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fieken costwear" sheetId="1" r:id="rId5"/>
    <sheet state="visible" name="Grafieken" sheetId="2" r:id="rId6"/>
    <sheet state="visible" name="Median cpw" sheetId="3" r:id="rId7"/>
    <sheet state="visible" name="Prijs verandering" sheetId="4" r:id="rId8"/>
    <sheet state="visible" name="Prijslijst kleding" sheetId="5" r:id="rId9"/>
    <sheet state="visible" name="Jaren" sheetId="6" r:id="rId10"/>
    <sheet state="visible" name="Laatst gedragen" sheetId="7" r:id="rId11"/>
    <sheet state="visible" name="Aantal keer gedragen over tijd" sheetId="8" r:id="rId12"/>
    <sheet state="visible" name="Data" sheetId="9" r:id="rId13"/>
    <sheet state="visible" name="Form responses 1" sheetId="10" r:id="rId14"/>
  </sheets>
  <definedNames/>
  <calcPr/>
</workbook>
</file>

<file path=xl/sharedStrings.xml><?xml version="1.0" encoding="utf-8"?>
<sst xmlns="http://schemas.openxmlformats.org/spreadsheetml/2006/main" count="8003" uniqueCount="201">
  <si>
    <t>Bruine Curduroy broek</t>
  </si>
  <si>
    <t>Spijkerbroek levi's</t>
  </si>
  <si>
    <t>Wit Nike t-shirt</t>
  </si>
  <si>
    <t>Wit Lost minds Athl. Track</t>
  </si>
  <si>
    <t>Daily Aesthetikz t-shirt</t>
  </si>
  <si>
    <t>Broeken</t>
  </si>
  <si>
    <t>Algemeen</t>
  </si>
  <si>
    <t>Average number of wears per item per category</t>
  </si>
  <si>
    <t>Number of wears of colours</t>
  </si>
  <si>
    <t>Average spend per category</t>
  </si>
  <si>
    <t>Top 10 cheapest</t>
  </si>
  <si>
    <t>Top 10 most worn</t>
  </si>
  <si>
    <t>T-shirt</t>
  </si>
  <si>
    <t>Trui</t>
  </si>
  <si>
    <t>Naam</t>
  </si>
  <si>
    <t>Cost per wear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</si>
  <si>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</si>
  <si>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</si>
  <si>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</si>
  <si>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</si>
  <si>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</si>
  <si>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</si>
  <si>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</si>
  <si>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</si>
  <si>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</si>
  <si>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</si>
  <si>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</si>
  <si>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</si>
  <si>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</si>
  <si>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</si>
  <si>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</si>
  <si>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</si>
  <si>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</si>
  <si>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</si>
  <si>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</si>
  <si>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</si>
  <si>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</si>
  <si>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</si>
  <si>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</si>
  <si>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</si>
  <si>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January 2026</t>
  </si>
  <si>
    <t>February 2026</t>
  </si>
  <si>
    <t>March 2026</t>
  </si>
  <si>
    <t>Prijs</t>
  </si>
  <si>
    <t>Datum</t>
  </si>
  <si>
    <t>Aantal keer gedragen</t>
  </si>
  <si>
    <t>Cost/wear</t>
  </si>
  <si>
    <t>T-Shirt</t>
  </si>
  <si>
    <t>Trui/Vest/Jasje</t>
  </si>
  <si>
    <t>Blousje</t>
  </si>
  <si>
    <t>Jas</t>
  </si>
  <si>
    <t>Schoenen</t>
  </si>
  <si>
    <t>Number of items bought</t>
  </si>
  <si>
    <t>Gemiddeld aantal keer gedragen</t>
  </si>
  <si>
    <t>Total euro spend</t>
  </si>
  <si>
    <t>Average cost/wear</t>
  </si>
  <si>
    <t>Average price of item</t>
  </si>
  <si>
    <t>Q2</t>
  </si>
  <si>
    <t>Q3</t>
  </si>
  <si>
    <t>Q4</t>
  </si>
  <si>
    <t>Q1'</t>
  </si>
  <si>
    <t>Q2'</t>
  </si>
  <si>
    <t>Q3'</t>
  </si>
  <si>
    <t>Q4'</t>
  </si>
  <si>
    <t>Q1''</t>
  </si>
  <si>
    <t>Q2"</t>
  </si>
  <si>
    <t>Q3"</t>
  </si>
  <si>
    <t>Q4"</t>
  </si>
  <si>
    <t>Q1'''</t>
  </si>
  <si>
    <t>Q2""</t>
  </si>
  <si>
    <t>Q3""</t>
  </si>
  <si>
    <t>Q4""</t>
  </si>
  <si>
    <t>Type</t>
  </si>
  <si>
    <t>Uit kledingkast</t>
  </si>
  <si>
    <t>Prijs voor verkocht</t>
  </si>
  <si>
    <t>Broek</t>
  </si>
  <si>
    <t>Nette broek zwart</t>
  </si>
  <si>
    <t>Dickies 874 zwart</t>
  </si>
  <si>
    <t>Nette broek groen</t>
  </si>
  <si>
    <t>Double pleaded beige linnen</t>
  </si>
  <si>
    <t>Blauwe linnen broek</t>
  </si>
  <si>
    <t>Spijkerbroek 20 euro</t>
  </si>
  <si>
    <t>Spijkerbroek lichtblauw papa</t>
  </si>
  <si>
    <t>Donkerblauwe spijkerbroek levi's</t>
  </si>
  <si>
    <t>Beige levi's</t>
  </si>
  <si>
    <t>Groene vintage levi's</t>
  </si>
  <si>
    <t>Joggingbroek zwart/groene strepen</t>
  </si>
  <si>
    <t>Pyjama' broek</t>
  </si>
  <si>
    <t>Bruine korte broek</t>
  </si>
  <si>
    <t>Beige korte broek</t>
  </si>
  <si>
    <t>Blauwe pantalon pak</t>
  </si>
  <si>
    <t>Wit t-shirt</t>
  </si>
  <si>
    <t>Wit t-shirt uniqlo</t>
  </si>
  <si>
    <t>Wit Fila t-shirt</t>
  </si>
  <si>
    <t>The Good Life t-shirt</t>
  </si>
  <si>
    <t>Mclaren t-shirt</t>
  </si>
  <si>
    <t>Utah t-shirt</t>
  </si>
  <si>
    <t>Bruin t-shirt</t>
  </si>
  <si>
    <t>Bruin vis t-shirt</t>
  </si>
  <si>
    <t>Groen t-shirt</t>
  </si>
  <si>
    <t>Rood t-shirt</t>
  </si>
  <si>
    <t>Grijs t-shirt</t>
  </si>
  <si>
    <t>Groene trui knitted</t>
  </si>
  <si>
    <t>Witte trui knitted</t>
  </si>
  <si>
    <t>Coltrui wit</t>
  </si>
  <si>
    <t>Grijze trui, witte strepen</t>
  </si>
  <si>
    <t>Groene trui strepen</t>
  </si>
  <si>
    <t>Groene superdry trui</t>
  </si>
  <si>
    <t>Grijze trui</t>
  </si>
  <si>
    <t>Gele trui</t>
  </si>
  <si>
    <t>Beige trui</t>
  </si>
  <si>
    <t>Bruine trui</t>
  </si>
  <si>
    <t>Lichtgroene trui</t>
  </si>
  <si>
    <t>Bruine fleece trui</t>
  </si>
  <si>
    <t>Rode fleece trui</t>
  </si>
  <si>
    <t>Beige ralph lauren fleece</t>
  </si>
  <si>
    <t>Rode Sweater</t>
  </si>
  <si>
    <t>Grijze Uniqlo sweater</t>
  </si>
  <si>
    <t>Ralph Lauren Sweater</t>
  </si>
  <si>
    <t>Grijze Ralph Lauren Sweater</t>
  </si>
  <si>
    <t>Grijze ralph lauren polo</t>
  </si>
  <si>
    <t>Blauwe lange mouwen polo</t>
  </si>
  <si>
    <t>Rood vest</t>
  </si>
  <si>
    <t>Zwart/rood vest</t>
  </si>
  <si>
    <t>Rood jasje</t>
  </si>
  <si>
    <t>Blauw/zwart/wit geblokt jasje</t>
  </si>
  <si>
    <t>Blauwe jas pak</t>
  </si>
  <si>
    <t>Oude blouse papa</t>
  </si>
  <si>
    <t>Groene blouse</t>
  </si>
  <si>
    <t>Blauwe blouse</t>
  </si>
  <si>
    <t>Blauwe Ralph Lauren blouse</t>
  </si>
  <si>
    <t>Bruine blouse</t>
  </si>
  <si>
    <t>Zwarte blouse</t>
  </si>
  <si>
    <t>Beige, v-neck, strepen</t>
  </si>
  <si>
    <t>Witte blouse doorzichtig</t>
  </si>
  <si>
    <t>Witte blouse, zwarte strepen</t>
  </si>
  <si>
    <t>Witte blouse oud</t>
  </si>
  <si>
    <t>Witte blouse Society Shop</t>
  </si>
  <si>
    <t>Rood geblokte blouse</t>
  </si>
  <si>
    <t>Nette lange grijze jas</t>
  </si>
  <si>
    <t>Groene winterjas</t>
  </si>
  <si>
    <t>Blauwe zomerjas</t>
  </si>
  <si>
    <t>Groene zomerjas corduroy</t>
  </si>
  <si>
    <t>Dikke spijkerjas</t>
  </si>
  <si>
    <t>Groene vintage leren jas</t>
  </si>
  <si>
    <t>Blauwe oud</t>
  </si>
  <si>
    <t>Bruine nette</t>
  </si>
  <si>
    <t>Zwarte Clarks loafers</t>
  </si>
  <si>
    <t>Witte gympen</t>
  </si>
  <si>
    <t>Witte fila schoenen</t>
  </si>
  <si>
    <t>Beige fila schoenen</t>
  </si>
  <si>
    <t>New Balance 1906R</t>
  </si>
  <si>
    <t>Wandelschoenen</t>
  </si>
  <si>
    <t>Hardloopschoenen</t>
  </si>
  <si>
    <t>Blauwe Uniqlo sweater</t>
  </si>
  <si>
    <t>Bruine Van Lier</t>
  </si>
  <si>
    <t>Bever bergschoenen</t>
  </si>
  <si>
    <t>Jack en Jones t-shirt</t>
  </si>
  <si>
    <t>Rode lange mouwen polo</t>
  </si>
  <si>
    <t>Blauwe korte broek</t>
  </si>
  <si>
    <t>Daily Paper t-shirt</t>
  </si>
  <si>
    <t>Flowfrog t-shirt</t>
  </si>
  <si>
    <t>Vans Mte Crosspath Xc</t>
  </si>
  <si>
    <t>Decathlon sportshirt wit</t>
  </si>
  <si>
    <t>Decathlon sportshirt zwart</t>
  </si>
  <si>
    <t>Decathlon hardloopshirt blauw</t>
  </si>
  <si>
    <t>Decathlon zwemshirt</t>
  </si>
  <si>
    <t>Decathlon Fitness short</t>
  </si>
  <si>
    <t>Decathlon wandelbroek dun</t>
  </si>
  <si>
    <t>Decathlon wandelbroek dik</t>
  </si>
  <si>
    <t>Beige linnen overhemd Vanda Tailors</t>
  </si>
  <si>
    <t>Wit overhemd Vanda Tailors</t>
  </si>
  <si>
    <t>Blauw overhemd Vanda Tailors</t>
  </si>
  <si>
    <t>Spijkerbroek Compound Garment</t>
  </si>
  <si>
    <t>Grijze pantalon pak Vanda Tailors</t>
  </si>
  <si>
    <t>Grijs jas pak Vanda Tailors</t>
  </si>
  <si>
    <t>Zwarte smoking broek</t>
  </si>
  <si>
    <t>Zwarte smoking jas</t>
  </si>
  <si>
    <t>Wit smoking overhemd</t>
  </si>
  <si>
    <t>Zwarte nette schoenen</t>
  </si>
  <si>
    <t>Timestamp</t>
  </si>
  <si>
    <t/>
  </si>
  <si>
    <t>Geen</t>
  </si>
  <si>
    <t>Bruine nette, Witte gympen</t>
  </si>
  <si>
    <t>Roze geblokte</t>
  </si>
  <si>
    <t>Witte oude gympen</t>
  </si>
  <si>
    <t>Blauw/Grijs blok trui</t>
  </si>
  <si>
    <t>Coltrui wit, Rood jasje</t>
  </si>
  <si>
    <t>Zwart t-shirt papegaai</t>
  </si>
  <si>
    <t>Blauw witte stippen</t>
  </si>
  <si>
    <t>Groen witte strepen</t>
  </si>
  <si>
    <t>Cyan t-shirt</t>
  </si>
  <si>
    <t>Wit, blauwe ronde patronen</t>
  </si>
  <si>
    <t>Grijze korte broek</t>
  </si>
  <si>
    <t>Geel t-shirt</t>
  </si>
  <si>
    <t>Chino bruin</t>
  </si>
  <si>
    <t>Oversized grijze blouse</t>
  </si>
  <si>
    <t>Coltrui wit, Rood jasje, Zwart/rood vest</t>
  </si>
  <si>
    <t>Nette broek zwart, 'Pyjama' broek</t>
  </si>
  <si>
    <t>Nette lange grijze jas, Dikke spijkerjas</t>
  </si>
  <si>
    <t>Spijkerbroek blauw recht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</si>
</sst>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-m-yy"/>
    <numFmt numFmtId="165" formatCode="d-m"/>
    <numFmt numFmtId="166" formatCode="dd/MM/yyyy"/>
    <numFmt numFmtId="167" formatCode="d&quot;-&quot;m&quot;-&quot;yy"/>
    <numFmt numFmtId="168" formatCode="d&quot;/&quot;m&quot;/&quot;yy&quot; &quot;h&quot;:&quot;m&quot;:&quot;s"/>
    <numFmt numFmtId="169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49" xfId="0" applyFont="1" applyNumberFormat="1"/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0" fillId="0" fontId="1" numFmtId="49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1" numFmtId="49" xfId="0" applyAlignment="1" applyFill="1" applyFont="1" applyNumberFormat="1">
      <alignment readingOrder="0"/>
    </xf>
    <xf borderId="0" fillId="2" fontId="1" numFmtId="0" xfId="0" applyFill="1" applyFont="1"/>
    <xf borderId="0" fillId="2" fontId="1" numFmtId="164" xfId="0" applyAlignment="1" applyFill="1" applyFont="1" applyNumberFormat="1">
      <alignment readingOrder="0"/>
    </xf>
    <xf borderId="0" fillId="2" fontId="1" numFmtId="0" xfId="0" applyAlignment="1" applyFill="1" applyFont="1">
      <alignment readingOrder="0"/>
    </xf>
    <xf borderId="0" fillId="3" fontId="1" numFmtId="49" xfId="0" applyAlignment="1" applyFill="1" applyFont="1" applyNumberFormat="1">
      <alignment readingOrder="0"/>
    </xf>
    <xf borderId="0" fillId="2" fontId="1" numFmtId="49" xfId="0" applyFill="1" applyFont="1" applyNumberFormat="1"/>
    <xf borderId="0" fillId="3" fontId="1" numFmtId="49" xfId="0" applyFill="1" applyFont="1" applyNumberFormat="1"/>
    <xf borderId="0" fillId="0" fontId="3" numFmtId="0" xfId="0" applyFont="1"/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horizontal="right"/>
    </xf>
    <xf borderId="0" fillId="0" fontId="1" numFmtId="166" xfId="0" applyFont="1" applyNumberFormat="1"/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7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49" xfId="0" applyAlignment="1" applyFill="1" applyFont="1" applyNumberForma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2" fontId="1" numFmtId="167" xfId="0" applyAlignment="1" applyFill="1" applyFont="1" applyNumberFormat="1">
      <alignment readingOrder="0" shrinkToFit="0" vertical="center" wrapText="0"/>
    </xf>
    <xf quotePrefix="1" borderId="0" fillId="0" fontId="1" numFmtId="49" xfId="0" applyAlignment="1" applyFont="1" applyNumberFormat="1">
      <alignment readingOrder="0" shrinkToFit="0" vertical="center" wrapText="0"/>
    </xf>
    <xf borderId="0" fillId="0" fontId="1" numFmtId="167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7" xfId="0" applyFont="1" applyNumberFormat="1"/>
    <xf borderId="0" fillId="0" fontId="1" numFmtId="168" xfId="0" applyFont="1" applyNumberFormat="1"/>
    <xf borderId="0" fillId="0" fontId="1" numFmtId="168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9" xfId="0" applyFont="1" applyNumberFormat="1"/>
    <xf borderId="0" fillId="0" fontId="1" numFmtId="169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12"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ta-style">
      <tableStyleElement dxfId="8" type="headerRow"/>
      <tableStyleElement dxfId="9" type="firstRowStripe"/>
      <tableStyleElement dxfId="10" type="secondRowStripe"/>
      <tableStyleElement dxfId="11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'Grafieken costwear'!$M$1:$M$90</c:f>
            </c:numRef>
          </c:xVal>
          <c:yVal>
            <c:numRef>
              <c:f>'Grafieken costwear'!$L$1:$L$90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1060749"/>
        <c:axId val="1608683145"/>
      </c:scatterChart>
      <c:valAx>
        <c:axId val="12910607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Price 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8683145"/>
        <c:majorUnit val="10.0"/>
        <c:minorUnit val="3.3333333333333335"/>
      </c:valAx>
      <c:valAx>
        <c:axId val="1608683145"/>
        <c:scaling>
          <c:orientation val="minMax"/>
          <c:max val="9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Cost per wear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1060749"/>
        <c:majorUnit val="2.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'Grafieken costwear'!$M$1:$M$18</c:f>
            </c:numRef>
          </c:xVal>
          <c:yVal>
            <c:numRef>
              <c:f>'Grafieken costwear'!$L$1:$L$18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9264238"/>
        <c:axId val="1245729430"/>
      </c:scatterChart>
      <c:valAx>
        <c:axId val="1209264238"/>
        <c:scaling>
          <c:orientation val="minMax"/>
          <c:max val="60.0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5729430"/>
        <c:majorUnit val="10.0"/>
      </c:valAx>
      <c:valAx>
        <c:axId val="1245729430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9264238"/>
        <c:majorUnit val="1.0"/>
        <c:minorUnit val="0.33333333333333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'Grafieken costwear'!$M$20:$M$33</c:f>
            </c:numRef>
          </c:xVal>
          <c:yVal>
            <c:numRef>
              <c:f>'Grafieken costwear'!$L$20:$L$33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5797248"/>
        <c:axId val="615625259"/>
      </c:scatterChart>
      <c:valAx>
        <c:axId val="170579724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5625259"/>
      </c:valAx>
      <c:valAx>
        <c:axId val="615625259"/>
        <c:scaling>
          <c:orientation val="minMax"/>
          <c:max val="4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Cost per wear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57972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'Grafieken costwear'!$M$34:$M$57</c:f>
            </c:numRef>
          </c:xVal>
          <c:yVal>
            <c:numRef>
              <c:f>'Grafieken costwear'!$L$34:$L$57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3969470"/>
        <c:axId val="686382575"/>
      </c:scatterChart>
      <c:valAx>
        <c:axId val="185396947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6382575"/>
      </c:valAx>
      <c:valAx>
        <c:axId val="686382575"/>
        <c:scaling>
          <c:orientation val="minMax"/>
          <c:max val="8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39694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'Grafieken costwear'!$M$59:$M$74</c:f>
            </c:numRef>
          </c:xVal>
          <c:yVal>
            <c:numRef>
              <c:f>'Grafieken costwear'!$L$59:$L$74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342377"/>
        <c:axId val="1678856393"/>
      </c:scatterChart>
      <c:valAx>
        <c:axId val="149834237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8856393"/>
      </c:valAx>
      <c:valAx>
        <c:axId val="1678856393"/>
        <c:scaling>
          <c:orientation val="minMax"/>
          <c:max val="3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83423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Cost/wear over time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'Prijs verandering'!$A$2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2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'Prijs verandering'!$D$1:$N$1</c:f>
            </c:strRef>
          </c:cat>
          <c:val>
            <c:numRef>
              <c:f>'Prijs verandering'!$D$2:$N$2</c:f>
              <c:numCache/>
            </c:numRef>
          </c:val>
          <c:smooth val="0"/>
        </c:ser>
        <c:ser>
          <c:idx val="1"/>
          <c:order val="1"/>
          <c:tx>
            <c:strRef>
              <c:f>'Prijs verandering'!$A$3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2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'Prijs verandering'!$D$1:$N$1</c:f>
            </c:strRef>
          </c:cat>
          <c:val>
            <c:numRef>
              <c:f>'Prijs verandering'!$D$3:$N$3</c:f>
              <c:numCache/>
            </c:numRef>
          </c:val>
          <c:smooth val="0"/>
        </c:ser>
        <c:ser>
          <c:idx val="2"/>
          <c:order val="2"/>
          <c:tx>
            <c:strRef>
              <c:f>'Prijs verandering'!$A$4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2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'Prijs verandering'!$D$1:$N$1</c:f>
            </c:strRef>
          </c:cat>
          <c:val>
            <c:numRef>
              <c:f>'Prijs verandering'!$D$4:$N$4</c:f>
              <c:numCache/>
            </c:numRef>
          </c:val>
          <c:smooth val="0"/>
        </c:ser>
        <c:ser>
          <c:idx val="3"/>
          <c:order val="3"/>
          <c:tx>
            <c:strRef>
              <c:f>'Prijs verandering'!$A$5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2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'Prijs verandering'!$D$1:$N$1</c:f>
            </c:strRef>
          </c:cat>
          <c:val>
            <c:numRef>
              <c:f>'Prijs verandering'!$D$5:$N$5</c:f>
              <c:numCache/>
            </c:numRef>
          </c:val>
          <c:smooth val="0"/>
        </c:ser>
        <c:ser>
          <c:idx val="4"/>
          <c:order val="4"/>
          <c:tx>
            <c:strRef>
              <c:f>'Prijs verandering'!$A$6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circle"/>
            <c:size val="2"/>
            <c:spPr>
              <a:solidFill>
                <a:srgbClr val="FF6D01"/>
              </a:solidFill>
              <a:ln cmpd="sng">
                <a:solidFill>
                  <a:srgbClr val="FF6D01"/>
                </a:solidFill>
              </a:ln>
            </c:spPr>
          </c:marker>
          <c:cat>
            <c:strRef>
              <c:f>'Prijs verandering'!$D$1:$N$1</c:f>
            </c:strRef>
          </c:cat>
          <c:val>
            <c:numRef>
              <c:f>'Prijs verandering'!$D$6:$N$6</c:f>
              <c:numCache/>
            </c:numRef>
          </c:val>
          <c:smooth val="0"/>
        </c:ser>
        <c:ser>
          <c:idx val="5"/>
          <c:order val="5"/>
          <c:tx>
            <c:strRef>
              <c:f>'Prijs verandering'!$A$7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circle"/>
            <c:size val="2"/>
            <c:spPr>
              <a:solidFill>
                <a:srgbClr val="46BDC6"/>
              </a:solidFill>
              <a:ln cmpd="sng">
                <a:solidFill>
                  <a:srgbClr val="46BDC6"/>
                </a:solidFill>
              </a:ln>
            </c:spPr>
          </c:marker>
          <c:cat>
            <c:strRef>
              <c:f>'Prijs verandering'!$D$1:$N$1</c:f>
            </c:strRef>
          </c:cat>
          <c:val>
            <c:numRef>
              <c:f>'Prijs verandering'!$D$7:$N$7</c:f>
              <c:numCache/>
            </c:numRef>
          </c:val>
          <c:smooth val="0"/>
        </c:ser>
        <c:ser>
          <c:idx val="6"/>
          <c:order val="6"/>
          <c:tx>
            <c:strRef>
              <c:f>'Prijs verandering'!$A$8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circle"/>
            <c:size val="2"/>
            <c:spPr>
              <a:solidFill>
                <a:srgbClr val="7BAAF7"/>
              </a:solidFill>
              <a:ln cmpd="sng">
                <a:solidFill>
                  <a:srgbClr val="7BAAF7"/>
                </a:solidFill>
              </a:ln>
            </c:spPr>
          </c:marker>
          <c:cat>
            <c:strRef>
              <c:f>'Prijs verandering'!$D$1:$N$1</c:f>
            </c:strRef>
          </c:cat>
          <c:val>
            <c:numRef>
              <c:f>'Prijs verandering'!$D$8:$N$8</c:f>
              <c:numCache/>
            </c:numRef>
          </c:val>
          <c:smooth val="0"/>
        </c:ser>
        <c:ser>
          <c:idx val="7"/>
          <c:order val="7"/>
          <c:tx>
            <c:strRef>
              <c:f>'Prijs verandering'!$A$9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circle"/>
            <c:size val="2"/>
            <c:spPr>
              <a:solidFill>
                <a:srgbClr val="F07B72"/>
              </a:solidFill>
              <a:ln cmpd="sng">
                <a:solidFill>
                  <a:srgbClr val="F07B72"/>
                </a:solidFill>
              </a:ln>
            </c:spPr>
          </c:marker>
          <c:cat>
            <c:strRef>
              <c:f>'Prijs verandering'!$D$1:$N$1</c:f>
            </c:strRef>
          </c:cat>
          <c:val>
            <c:numRef>
              <c:f>'Prijs verandering'!$D$9:$N$9</c:f>
              <c:numCache/>
            </c:numRef>
          </c:val>
          <c:smooth val="0"/>
        </c:ser>
        <c:ser>
          <c:idx val="8"/>
          <c:order val="8"/>
          <c:tx>
            <c:strRef>
              <c:f>'Prijs verandering'!$A$10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circle"/>
            <c:size val="2"/>
            <c:spPr>
              <a:solidFill>
                <a:srgbClr val="FCD04F"/>
              </a:solidFill>
              <a:ln cmpd="sng">
                <a:solidFill>
                  <a:srgbClr val="FCD04F"/>
                </a:solidFill>
              </a:ln>
            </c:spPr>
          </c:marker>
          <c:cat>
            <c:strRef>
              <c:f>'Prijs verandering'!$D$1:$N$1</c:f>
            </c:strRef>
          </c:cat>
          <c:val>
            <c:numRef>
              <c:f>'Prijs verandering'!$D$10:$N$10</c:f>
              <c:numCache/>
            </c:numRef>
          </c:val>
          <c:smooth val="0"/>
        </c:ser>
        <c:ser>
          <c:idx val="9"/>
          <c:order val="9"/>
          <c:tx>
            <c:strRef>
              <c:f>'Prijs verandering'!$A$11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circle"/>
            <c:size val="2"/>
            <c:spPr>
              <a:solidFill>
                <a:srgbClr val="71C287"/>
              </a:solidFill>
              <a:ln cmpd="sng">
                <a:solidFill>
                  <a:srgbClr val="71C287"/>
                </a:solidFill>
              </a:ln>
            </c:spPr>
          </c:marker>
          <c:cat>
            <c:strRef>
              <c:f>'Prijs verandering'!$D$1:$N$1</c:f>
            </c:strRef>
          </c:cat>
          <c:val>
            <c:numRef>
              <c:f>'Prijs verandering'!$D$11:$N$11</c:f>
              <c:numCache/>
            </c:numRef>
          </c:val>
          <c:smooth val="0"/>
        </c:ser>
        <c:ser>
          <c:idx val="10"/>
          <c:order val="10"/>
          <c:tx>
            <c:strRef>
              <c:f>'Prijs verandering'!$A$12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circle"/>
            <c:size val="2"/>
            <c:spPr>
              <a:solidFill>
                <a:srgbClr val="FF994D"/>
              </a:solidFill>
              <a:ln cmpd="sng">
                <a:solidFill>
                  <a:srgbClr val="FF994D"/>
                </a:solidFill>
              </a:ln>
            </c:spPr>
          </c:marker>
          <c:cat>
            <c:strRef>
              <c:f>'Prijs verandering'!$D$1:$N$1</c:f>
            </c:strRef>
          </c:cat>
          <c:val>
            <c:numRef>
              <c:f>'Prijs verandering'!$D$12:$N$12</c:f>
              <c:numCache/>
            </c:numRef>
          </c:val>
          <c:smooth val="0"/>
        </c:ser>
        <c:ser>
          <c:idx val="11"/>
          <c:order val="11"/>
          <c:tx>
            <c:strRef>
              <c:f>'Prijs verandering'!$A$13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circle"/>
            <c:size val="2"/>
            <c:spPr>
              <a:solidFill>
                <a:srgbClr val="7ED1D7"/>
              </a:solidFill>
              <a:ln cmpd="sng">
                <a:solidFill>
                  <a:srgbClr val="7ED1D7"/>
                </a:solidFill>
              </a:ln>
            </c:spPr>
          </c:marker>
          <c:cat>
            <c:strRef>
              <c:f>'Prijs verandering'!$D$1:$N$1</c:f>
            </c:strRef>
          </c:cat>
          <c:val>
            <c:numRef>
              <c:f>'Prijs verandering'!$D$13:$N$13</c:f>
              <c:numCache/>
            </c:numRef>
          </c:val>
          <c:smooth val="0"/>
        </c:ser>
        <c:ser>
          <c:idx val="12"/>
          <c:order val="12"/>
          <c:tx>
            <c:strRef>
              <c:f>'Prijs verandering'!$A$14</c:f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circle"/>
            <c:size val="2"/>
            <c:spPr>
              <a:solidFill>
                <a:srgbClr val="B3CEFB"/>
              </a:solidFill>
              <a:ln cmpd="sng">
                <a:solidFill>
                  <a:srgbClr val="B3CEFB"/>
                </a:solidFill>
              </a:ln>
            </c:spPr>
          </c:marker>
          <c:cat>
            <c:strRef>
              <c:f>'Prijs verandering'!$D$1:$N$1</c:f>
            </c:strRef>
          </c:cat>
          <c:val>
            <c:numRef>
              <c:f>'Prijs verandering'!$D$14:$N$14</c:f>
              <c:numCache/>
            </c:numRef>
          </c:val>
          <c:smooth val="0"/>
        </c:ser>
        <c:ser>
          <c:idx val="13"/>
          <c:order val="13"/>
          <c:tx>
            <c:strRef>
              <c:f>'Prijs verandering'!$A$15</c:f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circle"/>
            <c:size val="2"/>
            <c:spPr>
              <a:solidFill>
                <a:srgbClr val="F7B4AE"/>
              </a:solidFill>
              <a:ln cmpd="sng">
                <a:solidFill>
                  <a:srgbClr val="F7B4AE"/>
                </a:solidFill>
              </a:ln>
            </c:spPr>
          </c:marker>
          <c:cat>
            <c:strRef>
              <c:f>'Prijs verandering'!$D$1:$N$1</c:f>
            </c:strRef>
          </c:cat>
          <c:val>
            <c:numRef>
              <c:f>'Prijs verandering'!$D$15:$N$15</c:f>
              <c:numCache/>
            </c:numRef>
          </c:val>
          <c:smooth val="0"/>
        </c:ser>
        <c:ser>
          <c:idx val="14"/>
          <c:order val="14"/>
          <c:tx>
            <c:strRef>
              <c:f>'Prijs verandering'!$A$16</c:f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circle"/>
            <c:size val="2"/>
            <c:spPr>
              <a:solidFill>
                <a:srgbClr val="FDE49B"/>
              </a:solidFill>
              <a:ln cmpd="sng">
                <a:solidFill>
                  <a:srgbClr val="FDE49B"/>
                </a:solidFill>
              </a:ln>
            </c:spPr>
          </c:marker>
          <c:cat>
            <c:strRef>
              <c:f>'Prijs verandering'!$D$1:$N$1</c:f>
            </c:strRef>
          </c:cat>
          <c:val>
            <c:numRef>
              <c:f>'Prijs verandering'!$D$16:$N$16</c:f>
              <c:numCache/>
            </c:numRef>
          </c:val>
          <c:smooth val="0"/>
        </c:ser>
        <c:ser>
          <c:idx val="15"/>
          <c:order val="15"/>
          <c:tx>
            <c:strRef>
              <c:f>'Prijs verandering'!$A$17</c:f>
            </c:strRef>
          </c:tx>
          <c:spPr>
            <a:ln cmpd="sng">
              <a:solidFill>
                <a:srgbClr val="AEDCBA"/>
              </a:solidFill>
            </a:ln>
          </c:spPr>
          <c:marker>
            <c:symbol val="circle"/>
            <c:size val="2"/>
            <c:spPr>
              <a:solidFill>
                <a:srgbClr val="AEDCBA"/>
              </a:solidFill>
              <a:ln cmpd="sng">
                <a:solidFill>
                  <a:srgbClr val="AEDCBA"/>
                </a:solidFill>
              </a:ln>
            </c:spPr>
          </c:marker>
          <c:cat>
            <c:strRef>
              <c:f>'Prijs verandering'!$D$1:$N$1</c:f>
            </c:strRef>
          </c:cat>
          <c:val>
            <c:numRef>
              <c:f>'Prijs verandering'!$D$17:$N$17</c:f>
              <c:numCache/>
            </c:numRef>
          </c:val>
          <c:smooth val="0"/>
        </c:ser>
        <c:axId val="709930655"/>
        <c:axId val="401229861"/>
      </c:lineChart>
      <c:catAx>
        <c:axId val="7099306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1229861"/>
      </c:catAx>
      <c:valAx>
        <c:axId val="401229861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9930655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Cost/wear over time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'Prijs verandering'!$A$2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2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'Prijs verandering'!$D$1:$N$1</c:f>
            </c:strRef>
          </c:cat>
          <c:val>
            <c:numRef>
              <c:f>'Prijs verandering'!$D$2:$N$2</c:f>
              <c:numCache/>
            </c:numRef>
          </c:val>
          <c:smooth val="0"/>
        </c:ser>
        <c:ser>
          <c:idx val="1"/>
          <c:order val="1"/>
          <c:tx>
            <c:strRef>
              <c:f>'Prijs verandering'!$A$3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2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'Prijs verandering'!$D$1:$N$1</c:f>
            </c:strRef>
          </c:cat>
          <c:val>
            <c:numRef>
              <c:f>'Prijs verandering'!$D$3:$N$3</c:f>
              <c:numCache/>
            </c:numRef>
          </c:val>
          <c:smooth val="0"/>
        </c:ser>
        <c:ser>
          <c:idx val="2"/>
          <c:order val="2"/>
          <c:tx>
            <c:strRef>
              <c:f>'Prijs verandering'!$A$4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2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'Prijs verandering'!$D$1:$N$1</c:f>
            </c:strRef>
          </c:cat>
          <c:val>
            <c:numRef>
              <c:f>'Prijs verandering'!$D$4:$N$4</c:f>
              <c:numCache/>
            </c:numRef>
          </c:val>
          <c:smooth val="0"/>
        </c:ser>
        <c:ser>
          <c:idx val="3"/>
          <c:order val="3"/>
          <c:tx>
            <c:strRef>
              <c:f>'Prijs verandering'!$A$5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2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'Prijs verandering'!$D$1:$N$1</c:f>
            </c:strRef>
          </c:cat>
          <c:val>
            <c:numRef>
              <c:f>'Prijs verandering'!$D$5:$N$5</c:f>
              <c:numCache/>
            </c:numRef>
          </c:val>
          <c:smooth val="0"/>
        </c:ser>
        <c:ser>
          <c:idx val="4"/>
          <c:order val="4"/>
          <c:tx>
            <c:strRef>
              <c:f>'Prijs verandering'!$A$6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circle"/>
            <c:size val="2"/>
            <c:spPr>
              <a:solidFill>
                <a:srgbClr val="FF6D01"/>
              </a:solidFill>
              <a:ln cmpd="sng">
                <a:solidFill>
                  <a:srgbClr val="FF6D01"/>
                </a:solidFill>
              </a:ln>
            </c:spPr>
          </c:marker>
          <c:cat>
            <c:strRef>
              <c:f>'Prijs verandering'!$D$1:$N$1</c:f>
            </c:strRef>
          </c:cat>
          <c:val>
            <c:numRef>
              <c:f>'Prijs verandering'!$D$6:$N$6</c:f>
              <c:numCache/>
            </c:numRef>
          </c:val>
          <c:smooth val="0"/>
        </c:ser>
        <c:ser>
          <c:idx val="5"/>
          <c:order val="5"/>
          <c:tx>
            <c:strRef>
              <c:f>'Prijs verandering'!$A$7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circle"/>
            <c:size val="2"/>
            <c:spPr>
              <a:solidFill>
                <a:srgbClr val="46BDC6"/>
              </a:solidFill>
              <a:ln cmpd="sng">
                <a:solidFill>
                  <a:srgbClr val="46BDC6"/>
                </a:solidFill>
              </a:ln>
            </c:spPr>
          </c:marker>
          <c:cat>
            <c:strRef>
              <c:f>'Prijs verandering'!$D$1:$N$1</c:f>
            </c:strRef>
          </c:cat>
          <c:val>
            <c:numRef>
              <c:f>'Prijs verandering'!$D$7:$N$7</c:f>
              <c:numCache/>
            </c:numRef>
          </c:val>
          <c:smooth val="0"/>
        </c:ser>
        <c:ser>
          <c:idx val="6"/>
          <c:order val="6"/>
          <c:tx>
            <c:strRef>
              <c:f>'Prijs verandering'!$A$8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circle"/>
            <c:size val="2"/>
            <c:spPr>
              <a:solidFill>
                <a:srgbClr val="7BAAF7"/>
              </a:solidFill>
              <a:ln cmpd="sng">
                <a:solidFill>
                  <a:srgbClr val="7BAAF7"/>
                </a:solidFill>
              </a:ln>
            </c:spPr>
          </c:marker>
          <c:cat>
            <c:strRef>
              <c:f>'Prijs verandering'!$D$1:$N$1</c:f>
            </c:strRef>
          </c:cat>
          <c:val>
            <c:numRef>
              <c:f>'Prijs verandering'!$D$8:$N$8</c:f>
              <c:numCache/>
            </c:numRef>
          </c:val>
          <c:smooth val="0"/>
        </c:ser>
        <c:ser>
          <c:idx val="7"/>
          <c:order val="7"/>
          <c:tx>
            <c:strRef>
              <c:f>'Prijs verandering'!$A$9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circle"/>
            <c:size val="2"/>
            <c:spPr>
              <a:solidFill>
                <a:srgbClr val="F07B72"/>
              </a:solidFill>
              <a:ln cmpd="sng">
                <a:solidFill>
                  <a:srgbClr val="F07B72"/>
                </a:solidFill>
              </a:ln>
            </c:spPr>
          </c:marker>
          <c:cat>
            <c:strRef>
              <c:f>'Prijs verandering'!$D$1:$N$1</c:f>
            </c:strRef>
          </c:cat>
          <c:val>
            <c:numRef>
              <c:f>'Prijs verandering'!$D$9:$N$9</c:f>
              <c:numCache/>
            </c:numRef>
          </c:val>
          <c:smooth val="0"/>
        </c:ser>
        <c:ser>
          <c:idx val="8"/>
          <c:order val="8"/>
          <c:tx>
            <c:strRef>
              <c:f>'Prijs verandering'!$A$10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circle"/>
            <c:size val="2"/>
            <c:spPr>
              <a:solidFill>
                <a:srgbClr val="FCD04F"/>
              </a:solidFill>
              <a:ln cmpd="sng">
                <a:solidFill>
                  <a:srgbClr val="FCD04F"/>
                </a:solidFill>
              </a:ln>
            </c:spPr>
          </c:marker>
          <c:cat>
            <c:strRef>
              <c:f>'Prijs verandering'!$D$1:$N$1</c:f>
            </c:strRef>
          </c:cat>
          <c:val>
            <c:numRef>
              <c:f>'Prijs verandering'!$D$10:$N$10</c:f>
              <c:numCache/>
            </c:numRef>
          </c:val>
          <c:smooth val="0"/>
        </c:ser>
        <c:ser>
          <c:idx val="9"/>
          <c:order val="9"/>
          <c:tx>
            <c:strRef>
              <c:f>'Prijs verandering'!$A$11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circle"/>
            <c:size val="2"/>
            <c:spPr>
              <a:solidFill>
                <a:srgbClr val="71C287"/>
              </a:solidFill>
              <a:ln cmpd="sng">
                <a:solidFill>
                  <a:srgbClr val="71C287"/>
                </a:solidFill>
              </a:ln>
            </c:spPr>
          </c:marker>
          <c:cat>
            <c:strRef>
              <c:f>'Prijs verandering'!$D$1:$N$1</c:f>
            </c:strRef>
          </c:cat>
          <c:val>
            <c:numRef>
              <c:f>'Prijs verandering'!$D$11:$N$11</c:f>
              <c:numCache/>
            </c:numRef>
          </c:val>
          <c:smooth val="0"/>
        </c:ser>
        <c:ser>
          <c:idx val="10"/>
          <c:order val="10"/>
          <c:tx>
            <c:strRef>
              <c:f>'Prijs verandering'!$A$12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circle"/>
            <c:size val="2"/>
            <c:spPr>
              <a:solidFill>
                <a:srgbClr val="FF994D"/>
              </a:solidFill>
              <a:ln cmpd="sng">
                <a:solidFill>
                  <a:srgbClr val="FF994D"/>
                </a:solidFill>
              </a:ln>
            </c:spPr>
          </c:marker>
          <c:cat>
            <c:strRef>
              <c:f>'Prijs verandering'!$D$1:$N$1</c:f>
            </c:strRef>
          </c:cat>
          <c:val>
            <c:numRef>
              <c:f>'Prijs verandering'!$D$12:$N$12</c:f>
              <c:numCache/>
            </c:numRef>
          </c:val>
          <c:smooth val="0"/>
        </c:ser>
        <c:ser>
          <c:idx val="11"/>
          <c:order val="11"/>
          <c:tx>
            <c:strRef>
              <c:f>'Prijs verandering'!$A$13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circle"/>
            <c:size val="2"/>
            <c:spPr>
              <a:solidFill>
                <a:srgbClr val="7ED1D7"/>
              </a:solidFill>
              <a:ln cmpd="sng">
                <a:solidFill>
                  <a:srgbClr val="7ED1D7"/>
                </a:solidFill>
              </a:ln>
            </c:spPr>
          </c:marker>
          <c:cat>
            <c:strRef>
              <c:f>'Prijs verandering'!$D$1:$N$1</c:f>
            </c:strRef>
          </c:cat>
          <c:val>
            <c:numRef>
              <c:f>'Prijs verandering'!$D$13:$N$13</c:f>
              <c:numCache/>
            </c:numRef>
          </c:val>
          <c:smooth val="0"/>
        </c:ser>
        <c:ser>
          <c:idx val="12"/>
          <c:order val="12"/>
          <c:tx>
            <c:strRef>
              <c:f>'Prijs verandering'!$A$14</c:f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circle"/>
            <c:size val="2"/>
            <c:spPr>
              <a:solidFill>
                <a:srgbClr val="B3CEFB"/>
              </a:solidFill>
              <a:ln cmpd="sng">
                <a:solidFill>
                  <a:srgbClr val="B3CEFB"/>
                </a:solidFill>
              </a:ln>
            </c:spPr>
          </c:marker>
          <c:cat>
            <c:strRef>
              <c:f>'Prijs verandering'!$D$1:$N$1</c:f>
            </c:strRef>
          </c:cat>
          <c:val>
            <c:numRef>
              <c:f>'Prijs verandering'!$D$14:$N$14</c:f>
              <c:numCache/>
            </c:numRef>
          </c:val>
          <c:smooth val="0"/>
        </c:ser>
        <c:ser>
          <c:idx val="13"/>
          <c:order val="13"/>
          <c:tx>
            <c:strRef>
              <c:f>'Prijs verandering'!$A$15</c:f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circle"/>
            <c:size val="2"/>
            <c:spPr>
              <a:solidFill>
                <a:srgbClr val="F7B4AE"/>
              </a:solidFill>
              <a:ln cmpd="sng">
                <a:solidFill>
                  <a:srgbClr val="F7B4AE"/>
                </a:solidFill>
              </a:ln>
            </c:spPr>
          </c:marker>
          <c:cat>
            <c:strRef>
              <c:f>'Prijs verandering'!$D$1:$N$1</c:f>
            </c:strRef>
          </c:cat>
          <c:val>
            <c:numRef>
              <c:f>'Prijs verandering'!$D$15:$N$15</c:f>
              <c:numCache/>
            </c:numRef>
          </c:val>
          <c:smooth val="0"/>
        </c:ser>
        <c:ser>
          <c:idx val="14"/>
          <c:order val="14"/>
          <c:tx>
            <c:strRef>
              <c:f>'Prijs verandering'!$A$16</c:f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circle"/>
            <c:size val="2"/>
            <c:spPr>
              <a:solidFill>
                <a:srgbClr val="FDE49B"/>
              </a:solidFill>
              <a:ln cmpd="sng">
                <a:solidFill>
                  <a:srgbClr val="FDE49B"/>
                </a:solidFill>
              </a:ln>
            </c:spPr>
          </c:marker>
          <c:cat>
            <c:strRef>
              <c:f>'Prijs verandering'!$D$1:$N$1</c:f>
            </c:strRef>
          </c:cat>
          <c:val>
            <c:numRef>
              <c:f>'Prijs verandering'!$D$16:$N$16</c:f>
              <c:numCache/>
            </c:numRef>
          </c:val>
          <c:smooth val="0"/>
        </c:ser>
        <c:ser>
          <c:idx val="15"/>
          <c:order val="15"/>
          <c:tx>
            <c:strRef>
              <c:f>'Prijs verandering'!$A$17</c:f>
            </c:strRef>
          </c:tx>
          <c:spPr>
            <a:ln cmpd="sng">
              <a:solidFill>
                <a:srgbClr val="AEDCBA"/>
              </a:solidFill>
            </a:ln>
          </c:spPr>
          <c:marker>
            <c:symbol val="circle"/>
            <c:size val="2"/>
            <c:spPr>
              <a:solidFill>
                <a:srgbClr val="AEDCBA"/>
              </a:solidFill>
              <a:ln cmpd="sng">
                <a:solidFill>
                  <a:srgbClr val="AEDCBA"/>
                </a:solidFill>
              </a:ln>
            </c:spPr>
          </c:marker>
          <c:cat>
            <c:strRef>
              <c:f>'Prijs verandering'!$D$1:$N$1</c:f>
            </c:strRef>
          </c:cat>
          <c:val>
            <c:numRef>
              <c:f>'Prijs verandering'!$D$17:$N$17</c:f>
              <c:numCache/>
            </c:numRef>
          </c:val>
          <c:smooth val="0"/>
        </c:ser>
        <c:axId val="649229076"/>
        <c:axId val="677509646"/>
      </c:lineChart>
      <c:catAx>
        <c:axId val="6492290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7509646"/>
      </c:catAx>
      <c:valAx>
        <c:axId val="677509646"/>
        <c:scaling>
          <c:orientation val="minMax"/>
          <c:min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9229076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Amount of times worn over time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'Aantal keer gedragen over tijd'!$A$3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2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tijd'!$B$3:$M$3</c:f>
              <c:numCache/>
            </c:numRef>
          </c:val>
          <c:smooth val="0"/>
        </c:ser>
        <c:ser>
          <c:idx val="1"/>
          <c:order val="1"/>
          <c:tx>
            <c:strRef>
              <c:f>'Aantal keer gedragen over tijd'!$A$4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2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tijd'!$B$4:$M$4</c:f>
              <c:numCache/>
            </c:numRef>
          </c:val>
          <c:smooth val="0"/>
        </c:ser>
        <c:ser>
          <c:idx val="2"/>
          <c:order val="2"/>
          <c:tx>
            <c:strRef>
              <c:f>'Aantal keer gedragen over tijd'!$A$5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2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tijd'!$B$5:$M$5</c:f>
              <c:numCache/>
            </c:numRef>
          </c:val>
          <c:smooth val="0"/>
        </c:ser>
        <c:ser>
          <c:idx val="3"/>
          <c:order val="3"/>
          <c:tx>
            <c:strRef>
              <c:f>'Aantal keer gedragen over tijd'!$A$6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2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tijd'!$B$6:$M$6</c:f>
              <c:numCache/>
            </c:numRef>
          </c:val>
          <c:smooth val="0"/>
        </c:ser>
        <c:ser>
          <c:idx val="4"/>
          <c:order val="4"/>
          <c:tx>
            <c:strRef>
              <c:f>'Aantal keer gedragen over tijd'!$A$7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circle"/>
            <c:size val="2"/>
            <c:spPr>
              <a:solidFill>
                <a:srgbClr val="FF6D01"/>
              </a:solidFill>
              <a:ln cmpd="sng">
                <a:solidFill>
                  <a:srgbClr val="FF6D01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tijd'!$B$7:$M$7</c:f>
              <c:numCache/>
            </c:numRef>
          </c:val>
          <c:smooth val="0"/>
        </c:ser>
        <c:ser>
          <c:idx val="5"/>
          <c:order val="5"/>
          <c:tx>
            <c:strRef>
              <c:f>'Aantal keer gedragen over tijd'!$A$8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circle"/>
            <c:size val="2"/>
            <c:spPr>
              <a:solidFill>
                <a:srgbClr val="46BDC6"/>
              </a:solidFill>
              <a:ln cmpd="sng">
                <a:solidFill>
                  <a:srgbClr val="46BDC6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tijd'!$B$8:$M$8</c:f>
              <c:numCache/>
            </c:numRef>
          </c:val>
          <c:smooth val="0"/>
        </c:ser>
        <c:ser>
          <c:idx val="6"/>
          <c:order val="6"/>
          <c:tx>
            <c:strRef>
              <c:f>'Aantal keer gedragen over tijd'!$A$9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circle"/>
            <c:size val="2"/>
            <c:spPr>
              <a:solidFill>
                <a:srgbClr val="7BAAF7"/>
              </a:solidFill>
              <a:ln cmpd="sng">
                <a:solidFill>
                  <a:srgbClr val="7BAAF7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tijd'!$B$9:$M$9</c:f>
              <c:numCache/>
            </c:numRef>
          </c:val>
          <c:smooth val="0"/>
        </c:ser>
        <c:ser>
          <c:idx val="7"/>
          <c:order val="7"/>
          <c:tx>
            <c:strRef>
              <c:f>'Aantal keer gedragen over tijd'!$A$10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circle"/>
            <c:size val="2"/>
            <c:spPr>
              <a:solidFill>
                <a:srgbClr val="F07B72"/>
              </a:solidFill>
              <a:ln cmpd="sng">
                <a:solidFill>
                  <a:srgbClr val="F07B72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tijd'!$B$10:$M$10</c:f>
              <c:numCache/>
            </c:numRef>
          </c:val>
          <c:smooth val="0"/>
        </c:ser>
        <c:ser>
          <c:idx val="8"/>
          <c:order val="8"/>
          <c:tx>
            <c:strRef>
              <c:f>'Aantal keer gedragen over tijd'!$A$11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circle"/>
            <c:size val="2"/>
            <c:spPr>
              <a:solidFill>
                <a:srgbClr val="FCD04F"/>
              </a:solidFill>
              <a:ln cmpd="sng">
                <a:solidFill>
                  <a:srgbClr val="FCD04F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tijd'!$B$11:$M$11</c:f>
              <c:numCache/>
            </c:numRef>
          </c:val>
          <c:smooth val="0"/>
        </c:ser>
        <c:ser>
          <c:idx val="9"/>
          <c:order val="9"/>
          <c:tx>
            <c:strRef>
              <c:f>'Aantal keer gedragen over tijd'!$A$12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circle"/>
            <c:size val="2"/>
            <c:spPr>
              <a:solidFill>
                <a:srgbClr val="71C287"/>
              </a:solidFill>
              <a:ln cmpd="sng">
                <a:solidFill>
                  <a:srgbClr val="71C287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tijd'!$B$12:$M$12</c:f>
              <c:numCache/>
            </c:numRef>
          </c:val>
          <c:smooth val="0"/>
        </c:ser>
        <c:ser>
          <c:idx val="10"/>
          <c:order val="10"/>
          <c:tx>
            <c:strRef>
              <c:f>'Aantal keer gedragen over tijd'!$A$13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circle"/>
            <c:size val="2"/>
            <c:spPr>
              <a:solidFill>
                <a:srgbClr val="FF994D"/>
              </a:solidFill>
              <a:ln cmpd="sng">
                <a:solidFill>
                  <a:srgbClr val="FF994D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tijd'!$B$13:$M$13</c:f>
              <c:numCache/>
            </c:numRef>
          </c:val>
          <c:smooth val="0"/>
        </c:ser>
        <c:ser>
          <c:idx val="11"/>
          <c:order val="11"/>
          <c:tx>
            <c:strRef>
              <c:f>'Aantal keer gedragen over tijd'!$A$14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circle"/>
            <c:size val="2"/>
            <c:spPr>
              <a:solidFill>
                <a:srgbClr val="7ED1D7"/>
              </a:solidFill>
              <a:ln cmpd="sng">
                <a:solidFill>
                  <a:srgbClr val="7ED1D7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tijd'!$B$14:$M$14</c:f>
              <c:numCache/>
            </c:numRef>
          </c:val>
          <c:smooth val="0"/>
        </c:ser>
        <c:ser>
          <c:idx val="12"/>
          <c:order val="12"/>
          <c:tx>
            <c:strRef>
              <c:f>'Aantal keer gedragen over tijd'!$A$15</c:f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circle"/>
            <c:size val="2"/>
            <c:spPr>
              <a:solidFill>
                <a:srgbClr val="B3CEFB"/>
              </a:solidFill>
              <a:ln cmpd="sng">
                <a:solidFill>
                  <a:srgbClr val="B3CEFB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tijd'!$B$15:$M$15</c:f>
              <c:numCache/>
            </c:numRef>
          </c:val>
          <c:smooth val="0"/>
        </c:ser>
        <c:ser>
          <c:idx val="13"/>
          <c:order val="13"/>
          <c:tx>
            <c:strRef>
              <c:f>'Aantal keer gedragen over tijd'!$A$16</c:f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circle"/>
            <c:size val="2"/>
            <c:spPr>
              <a:solidFill>
                <a:srgbClr val="F7B4AE"/>
              </a:solidFill>
              <a:ln cmpd="sng">
                <a:solidFill>
                  <a:srgbClr val="F7B4AE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tijd'!$B$16:$M$16</c:f>
              <c:numCache/>
            </c:numRef>
          </c:val>
          <c:smooth val="0"/>
        </c:ser>
        <c:ser>
          <c:idx val="14"/>
          <c:order val="14"/>
          <c:tx>
            <c:strRef>
              <c:f>'Aantal keer gedragen over tijd'!$A$17</c:f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circle"/>
            <c:size val="2"/>
            <c:spPr>
              <a:solidFill>
                <a:srgbClr val="FDE49B"/>
              </a:solidFill>
              <a:ln cmpd="sng">
                <a:solidFill>
                  <a:srgbClr val="FDE49B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tijd'!$B$17:$M$17</c:f>
              <c:numCache/>
            </c:numRef>
          </c:val>
          <c:smooth val="0"/>
        </c:ser>
        <c:ser>
          <c:idx val="15"/>
          <c:order val="15"/>
          <c:tx>
            <c:strRef>
              <c:f>'Aantal keer gedragen over tijd'!$A$18</c:f>
            </c:strRef>
          </c:tx>
          <c:spPr>
            <a:ln cmpd="sng">
              <a:solidFill>
                <a:srgbClr val="AEDCBA"/>
              </a:solidFill>
            </a:ln>
          </c:spPr>
          <c:marker>
            <c:symbol val="circle"/>
            <c:size val="2"/>
            <c:spPr>
              <a:solidFill>
                <a:srgbClr val="AEDCBA"/>
              </a:solidFill>
              <a:ln cmpd="sng">
                <a:solidFill>
                  <a:srgbClr val="AEDCBA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tijd'!$B$18:$M$18</c:f>
              <c:numCache/>
            </c:numRef>
          </c:val>
          <c:smooth val="0"/>
        </c:ser>
        <c:ser>
          <c:idx val="16"/>
          <c:order val="16"/>
          <c:tx>
            <c:strRef>
              <c:f>'Aantal keer gedragen over tijd'!$A$19</c:f>
            </c:strRef>
          </c:tx>
          <c:spPr>
            <a:ln cmpd="sng">
              <a:solidFill>
                <a:srgbClr val="FFC599"/>
              </a:solidFill>
            </a:ln>
          </c:spPr>
          <c:marker>
            <c:symbol val="circle"/>
            <c:size val="2"/>
            <c:spPr>
              <a:solidFill>
                <a:srgbClr val="FFC599"/>
              </a:solidFill>
              <a:ln cmpd="sng">
                <a:solidFill>
                  <a:srgbClr val="FFC599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tijd'!$B$19:$M$19</c:f>
              <c:numCache/>
            </c:numRef>
          </c:val>
          <c:smooth val="0"/>
        </c:ser>
        <c:ser>
          <c:idx val="17"/>
          <c:order val="17"/>
          <c:tx>
            <c:strRef>
              <c:f>'Aantal keer gedragen over tijd'!$A$20</c:f>
            </c:strRef>
          </c:tx>
          <c:spPr>
            <a:ln cmpd="sng">
              <a:solidFill>
                <a:srgbClr val="B5E5E8"/>
              </a:solidFill>
            </a:ln>
          </c:spPr>
          <c:marker>
            <c:symbol val="circle"/>
            <c:size val="2"/>
            <c:spPr>
              <a:solidFill>
                <a:srgbClr val="B5E5E8"/>
              </a:solidFill>
              <a:ln cmpd="sng">
                <a:solidFill>
                  <a:srgbClr val="B5E5E8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tijd'!$B$20:$M$20</c:f>
              <c:numCache/>
            </c:numRef>
          </c:val>
          <c:smooth val="0"/>
        </c:ser>
        <c:ser>
          <c:idx val="18"/>
          <c:order val="18"/>
          <c:tx>
            <c:strRef>
              <c:f>'Aantal keer gedragen over tijd'!$A$21</c:f>
            </c:strRef>
          </c:tx>
          <c:spPr>
            <a:ln cmpd="sng">
              <a:solidFill>
                <a:srgbClr val="ECF3FE"/>
              </a:solidFill>
            </a:ln>
          </c:spPr>
          <c:marker>
            <c:symbol val="circle"/>
            <c:size val="2"/>
            <c:spPr>
              <a:solidFill>
                <a:srgbClr val="ECF3FE"/>
              </a:solidFill>
              <a:ln cmpd="sng">
                <a:solidFill>
                  <a:srgbClr val="ECF3FE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tijd'!$B$21:$M$21</c:f>
              <c:numCache/>
            </c:numRef>
          </c:val>
          <c:smooth val="0"/>
        </c:ser>
        <c:axId val="1212480964"/>
        <c:axId val="680257105"/>
      </c:lineChart>
      <c:catAx>
        <c:axId val="12124809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0257105"/>
      </c:catAx>
      <c:valAx>
        <c:axId val="6802571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2480964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Cost/wear vs Prijs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Data!$F$1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Data!$B$2:$B$18</c:f>
            </c:numRef>
          </c:xVal>
          <c:yVal>
            <c:numRef>
              <c:f>Data!$F$2:$F$18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1694454"/>
        <c:axId val="1419518017"/>
      </c:scatterChart>
      <c:valAx>
        <c:axId val="721694454"/>
        <c:scaling>
          <c:orientation val="minMax"/>
          <c:max val="75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Prijs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9518017"/>
      </c:valAx>
      <c:valAx>
        <c:axId val="1419518017"/>
        <c:scaling>
          <c:orientation val="minMax"/>
          <c:max val="1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Cost/wear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16944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'Median cpw'!$A$1:$AA$1</c:f>
            </c:strRef>
          </c:cat>
          <c:val>
            <c:numRef>
              <c:f>'Median cpw'!$A$2:$AA$2</c:f>
              <c:numCache/>
            </c:numRef>
          </c:val>
          <c:smooth val="0"/>
        </c:ser>
        <c:axId val="400251570"/>
        <c:axId val="951507935"/>
      </c:lineChart>
      <c:catAx>
        <c:axId val="4002515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1507935"/>
      </c:catAx>
      <c:valAx>
        <c:axId val="9515079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02515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Aantal gekochten kledingstukken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Jaren!$Q$2:$Q$10</c:f>
            </c:strRef>
          </c:cat>
          <c:val>
            <c:numRef>
              <c:f>Jaren!$R$2:$R$10</c:f>
              <c:numCache/>
            </c:numRef>
          </c:val>
        </c:ser>
        <c:axId val="1979351832"/>
        <c:axId val="709740352"/>
      </c:barChart>
      <c:catAx>
        <c:axId val="1979351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9740352"/>
      </c:catAx>
      <c:valAx>
        <c:axId val="7097403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93518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Gemiddeld aantal keer gedragen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Jaren!$T$1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Jaren!$Q$2:$Q$10</c:f>
            </c:numRef>
          </c:xVal>
          <c:yVal>
            <c:numRef>
              <c:f>Jaren!$T$2:$T$10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915154"/>
        <c:axId val="1827483856"/>
      </c:scatterChart>
      <c:valAx>
        <c:axId val="87091515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7483856"/>
        <c:majorUnit val="1.0"/>
      </c:valAx>
      <c:valAx>
        <c:axId val="18274838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Gemiddeld aantal keer gedragen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09151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Wear trend over time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'Aantal keer gedragen over tijd'!$A$3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3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tijd'!$B$3:$M$3</c:f>
              <c:numCache/>
            </c:numRef>
          </c:val>
          <c:smooth val="0"/>
        </c:ser>
        <c:ser>
          <c:idx val="1"/>
          <c:order val="1"/>
          <c:tx>
            <c:strRef>
              <c:f>'Aantal keer gedragen over tijd'!$A$4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3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tijd'!$B$4:$M$4</c:f>
              <c:numCache/>
            </c:numRef>
          </c:val>
          <c:smooth val="0"/>
        </c:ser>
        <c:ser>
          <c:idx val="2"/>
          <c:order val="2"/>
          <c:tx>
            <c:strRef>
              <c:f>'Aantal keer gedragen over tijd'!$A$5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3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tijd'!$B$5:$M$5</c:f>
              <c:numCache/>
            </c:numRef>
          </c:val>
          <c:smooth val="0"/>
        </c:ser>
        <c:ser>
          <c:idx val="3"/>
          <c:order val="3"/>
          <c:tx>
            <c:strRef>
              <c:f>'Aantal keer gedragen over tijd'!$A$6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3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tijd'!$B$6:$M$6</c:f>
              <c:numCache/>
            </c:numRef>
          </c:val>
          <c:smooth val="0"/>
        </c:ser>
        <c:ser>
          <c:idx val="4"/>
          <c:order val="4"/>
          <c:tx>
            <c:strRef>
              <c:f>'Aantal keer gedragen over tijd'!$A$7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circle"/>
            <c:size val="3"/>
            <c:spPr>
              <a:solidFill>
                <a:srgbClr val="FF6D01"/>
              </a:solidFill>
              <a:ln cmpd="sng">
                <a:solidFill>
                  <a:srgbClr val="FF6D01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tijd'!$B$7:$M$7</c:f>
              <c:numCache/>
            </c:numRef>
          </c:val>
          <c:smooth val="0"/>
        </c:ser>
        <c:ser>
          <c:idx val="5"/>
          <c:order val="5"/>
          <c:tx>
            <c:strRef>
              <c:f>'Aantal keer gedragen over tijd'!$A$8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circle"/>
            <c:size val="3"/>
            <c:spPr>
              <a:solidFill>
                <a:srgbClr val="46BDC6"/>
              </a:solidFill>
              <a:ln cmpd="sng">
                <a:solidFill>
                  <a:srgbClr val="46BDC6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tijd'!$B$8:$M$8</c:f>
              <c:numCache/>
            </c:numRef>
          </c:val>
          <c:smooth val="0"/>
        </c:ser>
        <c:ser>
          <c:idx val="6"/>
          <c:order val="6"/>
          <c:tx>
            <c:strRef>
              <c:f>'Aantal keer gedragen over tijd'!$A$9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circle"/>
            <c:size val="3"/>
            <c:spPr>
              <a:solidFill>
                <a:srgbClr val="7BAAF7"/>
              </a:solidFill>
              <a:ln cmpd="sng">
                <a:solidFill>
                  <a:srgbClr val="7BAAF7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tijd'!$B$9:$M$9</c:f>
              <c:numCache/>
            </c:numRef>
          </c:val>
          <c:smooth val="0"/>
        </c:ser>
        <c:ser>
          <c:idx val="7"/>
          <c:order val="7"/>
          <c:tx>
            <c:strRef>
              <c:f>'Aantal keer gedragen over tijd'!$A$10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circle"/>
            <c:size val="3"/>
            <c:spPr>
              <a:solidFill>
                <a:srgbClr val="F07B72"/>
              </a:solidFill>
              <a:ln cmpd="sng">
                <a:solidFill>
                  <a:srgbClr val="F07B72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tijd'!$B$10:$M$10</c:f>
              <c:numCache/>
            </c:numRef>
          </c:val>
          <c:smooth val="0"/>
        </c:ser>
        <c:ser>
          <c:idx val="8"/>
          <c:order val="8"/>
          <c:tx>
            <c:strRef>
              <c:f>'Aantal keer gedragen over tijd'!$A$11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circle"/>
            <c:size val="3"/>
            <c:spPr>
              <a:solidFill>
                <a:srgbClr val="FCD04F"/>
              </a:solidFill>
              <a:ln cmpd="sng">
                <a:solidFill>
                  <a:srgbClr val="FCD04F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tijd'!$B$11:$M$11</c:f>
              <c:numCache/>
            </c:numRef>
          </c:val>
          <c:smooth val="0"/>
        </c:ser>
        <c:ser>
          <c:idx val="9"/>
          <c:order val="9"/>
          <c:tx>
            <c:strRef>
              <c:f>'Aantal keer gedragen over tijd'!$A$12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circle"/>
            <c:size val="3"/>
            <c:spPr>
              <a:solidFill>
                <a:srgbClr val="71C287"/>
              </a:solidFill>
              <a:ln cmpd="sng">
                <a:solidFill>
                  <a:srgbClr val="71C287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tijd'!$B$12:$M$12</c:f>
              <c:numCache/>
            </c:numRef>
          </c:val>
          <c:smooth val="0"/>
        </c:ser>
        <c:ser>
          <c:idx val="10"/>
          <c:order val="10"/>
          <c:tx>
            <c:strRef>
              <c:f>'Aantal keer gedragen over tijd'!$A$13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circle"/>
            <c:size val="3"/>
            <c:spPr>
              <a:solidFill>
                <a:srgbClr val="FF994D"/>
              </a:solidFill>
              <a:ln cmpd="sng">
                <a:solidFill>
                  <a:srgbClr val="FF994D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tijd'!$B$13:$M$13</c:f>
              <c:numCache/>
            </c:numRef>
          </c:val>
          <c:smooth val="0"/>
        </c:ser>
        <c:ser>
          <c:idx val="11"/>
          <c:order val="11"/>
          <c:tx>
            <c:strRef>
              <c:f>'Aantal keer gedragen over tijd'!$A$14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circle"/>
            <c:size val="3"/>
            <c:spPr>
              <a:solidFill>
                <a:srgbClr val="7ED1D7"/>
              </a:solidFill>
              <a:ln cmpd="sng">
                <a:solidFill>
                  <a:srgbClr val="7ED1D7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tijd'!$B$14:$M$14</c:f>
              <c:numCache/>
            </c:numRef>
          </c:val>
          <c:smooth val="0"/>
        </c:ser>
        <c:ser>
          <c:idx val="12"/>
          <c:order val="12"/>
          <c:tx>
            <c:strRef>
              <c:f>'Aantal keer gedragen over tijd'!$A$15</c:f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circle"/>
            <c:size val="3"/>
            <c:spPr>
              <a:solidFill>
                <a:srgbClr val="B3CEFB"/>
              </a:solidFill>
              <a:ln cmpd="sng">
                <a:solidFill>
                  <a:srgbClr val="B3CEFB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tijd'!$B$15:$M$15</c:f>
              <c:numCache/>
            </c:numRef>
          </c:val>
          <c:smooth val="0"/>
        </c:ser>
        <c:ser>
          <c:idx val="13"/>
          <c:order val="13"/>
          <c:tx>
            <c:strRef>
              <c:f>'Aantal keer gedragen over tijd'!$A$16</c:f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circle"/>
            <c:size val="3"/>
            <c:spPr>
              <a:solidFill>
                <a:srgbClr val="F7B4AE"/>
              </a:solidFill>
              <a:ln cmpd="sng">
                <a:solidFill>
                  <a:srgbClr val="F7B4AE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tijd'!$B$16:$M$16</c:f>
              <c:numCache/>
            </c:numRef>
          </c:val>
          <c:smooth val="0"/>
        </c:ser>
        <c:ser>
          <c:idx val="14"/>
          <c:order val="14"/>
          <c:tx>
            <c:strRef>
              <c:f>'Aantal keer gedragen over tijd'!$A$17</c:f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circle"/>
            <c:size val="3"/>
            <c:spPr>
              <a:solidFill>
                <a:srgbClr val="FDE49B"/>
              </a:solidFill>
              <a:ln cmpd="sng">
                <a:solidFill>
                  <a:srgbClr val="FDE49B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tijd'!$B$17:$M$17</c:f>
              <c:numCache/>
            </c:numRef>
          </c:val>
          <c:smooth val="0"/>
        </c:ser>
        <c:ser>
          <c:idx val="15"/>
          <c:order val="15"/>
          <c:tx>
            <c:strRef>
              <c:f>'Aantal keer gedragen over tijd'!$A$18</c:f>
            </c:strRef>
          </c:tx>
          <c:spPr>
            <a:ln cmpd="sng">
              <a:solidFill>
                <a:srgbClr val="AEDCBA"/>
              </a:solidFill>
            </a:ln>
          </c:spPr>
          <c:marker>
            <c:symbol val="circle"/>
            <c:size val="3"/>
            <c:spPr>
              <a:solidFill>
                <a:srgbClr val="AEDCBA"/>
              </a:solidFill>
              <a:ln cmpd="sng">
                <a:solidFill>
                  <a:srgbClr val="AEDCBA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tijd'!$B$18:$M$18</c:f>
              <c:numCache/>
            </c:numRef>
          </c:val>
          <c:smooth val="0"/>
        </c:ser>
        <c:ser>
          <c:idx val="16"/>
          <c:order val="16"/>
          <c:tx>
            <c:strRef>
              <c:f>'Aantal keer gedragen over tijd'!$A$19</c:f>
            </c:strRef>
          </c:tx>
          <c:spPr>
            <a:ln cmpd="sng">
              <a:solidFill>
                <a:srgbClr val="FFC599"/>
              </a:solidFill>
            </a:ln>
          </c:spPr>
          <c:marker>
            <c:symbol val="circle"/>
            <c:size val="3"/>
            <c:spPr>
              <a:solidFill>
                <a:srgbClr val="FFC599"/>
              </a:solidFill>
              <a:ln cmpd="sng">
                <a:solidFill>
                  <a:srgbClr val="FFC599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tijd'!$B$19:$M$19</c:f>
              <c:numCache/>
            </c:numRef>
          </c:val>
          <c:smooth val="0"/>
        </c:ser>
        <c:ser>
          <c:idx val="17"/>
          <c:order val="17"/>
          <c:tx>
            <c:strRef>
              <c:f>'Aantal keer gedragen over tijd'!$A$20</c:f>
            </c:strRef>
          </c:tx>
          <c:spPr>
            <a:ln cmpd="sng">
              <a:solidFill>
                <a:srgbClr val="B5E5E8"/>
              </a:solidFill>
            </a:ln>
          </c:spPr>
          <c:marker>
            <c:symbol val="circle"/>
            <c:size val="3"/>
            <c:spPr>
              <a:solidFill>
                <a:srgbClr val="B5E5E8"/>
              </a:solidFill>
              <a:ln cmpd="sng">
                <a:solidFill>
                  <a:srgbClr val="B5E5E8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tijd'!$B$20:$M$20</c:f>
              <c:numCache/>
            </c:numRef>
          </c:val>
          <c:smooth val="0"/>
        </c:ser>
        <c:ser>
          <c:idx val="18"/>
          <c:order val="18"/>
          <c:tx>
            <c:strRef>
              <c:f>'Aantal keer gedragen over tijd'!$A$21</c:f>
            </c:strRef>
          </c:tx>
          <c:spPr>
            <a:ln cmpd="sng">
              <a:solidFill>
                <a:srgbClr val="ECF3FE"/>
              </a:solidFill>
            </a:ln>
          </c:spPr>
          <c:marker>
            <c:symbol val="circle"/>
            <c:size val="3"/>
            <c:spPr>
              <a:solidFill>
                <a:srgbClr val="ECF3FE"/>
              </a:solidFill>
              <a:ln cmpd="sng">
                <a:solidFill>
                  <a:srgbClr val="ECF3FE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tijd'!$B$21:$M$21</c:f>
              <c:numCache/>
            </c:numRef>
          </c:val>
          <c:smooth val="0"/>
        </c:ser>
        <c:ser>
          <c:idx val="19"/>
          <c:order val="19"/>
          <c:tx>
            <c:strRef>
              <c:f>'Aantal keer gedragen over tijd'!$A$22</c:f>
            </c:strRef>
          </c:tx>
          <c:spPr>
            <a:ln cmpd="sng">
              <a:solidFill>
                <a:srgbClr val="FDECEB"/>
              </a:solidFill>
            </a:ln>
          </c:spPr>
          <c:marker>
            <c:symbol val="circle"/>
            <c:size val="3"/>
            <c:spPr>
              <a:solidFill>
                <a:srgbClr val="FDECEB"/>
              </a:solidFill>
              <a:ln cmpd="sng">
                <a:solidFill>
                  <a:srgbClr val="FDECEB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tijd'!$B$22:$M$22</c:f>
              <c:numCache/>
            </c:numRef>
          </c:val>
          <c:smooth val="0"/>
        </c:ser>
        <c:ser>
          <c:idx val="20"/>
          <c:order val="20"/>
          <c:tx>
            <c:strRef>
              <c:f>'Aantal keer gedragen over tijd'!$A$23</c:f>
            </c:strRef>
          </c:tx>
          <c:spPr>
            <a:ln cmpd="sng">
              <a:solidFill>
                <a:srgbClr val="FFF8E6"/>
              </a:solidFill>
            </a:ln>
          </c:spPr>
          <c:marker>
            <c:symbol val="circle"/>
            <c:size val="3"/>
            <c:spPr>
              <a:solidFill>
                <a:srgbClr val="FFF8E6"/>
              </a:solidFill>
              <a:ln cmpd="sng">
                <a:solidFill>
                  <a:srgbClr val="FFF8E6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tijd'!$B$23:$M$23</c:f>
              <c:numCache/>
            </c:numRef>
          </c:val>
          <c:smooth val="0"/>
        </c:ser>
        <c:ser>
          <c:idx val="21"/>
          <c:order val="21"/>
          <c:tx>
            <c:strRef>
              <c:f>'Aantal keer gedragen over tijd'!$A$24</c:f>
            </c:strRef>
          </c:tx>
          <c:spPr>
            <a:ln cmpd="sng">
              <a:solidFill>
                <a:srgbClr val="EBF6EE"/>
              </a:solidFill>
            </a:ln>
          </c:spPr>
          <c:marker>
            <c:symbol val="circle"/>
            <c:size val="3"/>
            <c:spPr>
              <a:solidFill>
                <a:srgbClr val="EBF6EE"/>
              </a:solidFill>
              <a:ln cmpd="sng">
                <a:solidFill>
                  <a:srgbClr val="EBF6EE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tijd'!$B$24:$M$24</c:f>
              <c:numCache/>
            </c:numRef>
          </c:val>
          <c:smooth val="0"/>
        </c:ser>
        <c:ser>
          <c:idx val="22"/>
          <c:order val="22"/>
          <c:tx>
            <c:strRef>
              <c:f>'Aantal keer gedragen over tijd'!$A$25</c:f>
            </c:strRef>
          </c:tx>
          <c:spPr>
            <a:ln cmpd="sng">
              <a:solidFill>
                <a:srgbClr val="FFF0E6"/>
              </a:solidFill>
            </a:ln>
          </c:spPr>
          <c:marker>
            <c:symbol val="circle"/>
            <c:size val="3"/>
            <c:spPr>
              <a:solidFill>
                <a:srgbClr val="FFF0E6"/>
              </a:solidFill>
              <a:ln cmpd="sng">
                <a:solidFill>
                  <a:srgbClr val="FFF0E6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tijd'!$B$25:$M$25</c:f>
              <c:numCache/>
            </c:numRef>
          </c:val>
          <c:smooth val="0"/>
        </c:ser>
        <c:ser>
          <c:idx val="23"/>
          <c:order val="23"/>
          <c:tx>
            <c:strRef>
              <c:f>'Aantal keer gedragen over tijd'!$A$26</c:f>
            </c:strRef>
          </c:tx>
          <c:spPr>
            <a:ln cmpd="sng">
              <a:solidFill>
                <a:srgbClr val="EDF8F9"/>
              </a:solidFill>
            </a:ln>
          </c:spPr>
          <c:marker>
            <c:symbol val="circle"/>
            <c:size val="3"/>
            <c:spPr>
              <a:solidFill>
                <a:srgbClr val="EDF8F9"/>
              </a:solidFill>
              <a:ln cmpd="sng">
                <a:solidFill>
                  <a:srgbClr val="EDF8F9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tijd'!$B$26:$M$26</c:f>
              <c:numCache/>
            </c:numRef>
          </c:val>
          <c:smooth val="0"/>
        </c:ser>
        <c:ser>
          <c:idx val="24"/>
          <c:order val="24"/>
          <c:tx>
            <c:strRef>
              <c:f>'Aantal keer gedragen over tijd'!$A$27</c:f>
            </c:strRef>
          </c:tx>
          <c:spPr>
            <a:ln cmpd="sng">
              <a:solidFill>
                <a:srgbClr val="251701"/>
              </a:solidFill>
            </a:ln>
          </c:spPr>
          <c:marker>
            <c:symbol val="circle"/>
            <c:size val="3"/>
            <c:spPr>
              <a:solidFill>
                <a:srgbClr val="251701"/>
              </a:solidFill>
              <a:ln cmpd="sng">
                <a:solidFill>
                  <a:srgbClr val="251701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tijd'!$B$27:$M$27</c:f>
              <c:numCache/>
            </c:numRef>
          </c:val>
          <c:smooth val="0"/>
        </c:ser>
        <c:ser>
          <c:idx val="25"/>
          <c:order val="25"/>
          <c:tx>
            <c:strRef>
              <c:f>'Aantal keer gedragen over tijd'!$A$28</c:f>
            </c:strRef>
          </c:tx>
          <c:spPr>
            <a:ln cmpd="sng">
              <a:solidFill>
                <a:srgbClr val="032527"/>
              </a:solidFill>
            </a:ln>
          </c:spPr>
          <c:marker>
            <c:symbol val="circle"/>
            <c:size val="3"/>
            <c:spPr>
              <a:solidFill>
                <a:srgbClr val="032527"/>
              </a:solidFill>
              <a:ln cmpd="sng">
                <a:solidFill>
                  <a:srgbClr val="032527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tijd'!$B$28:$M$28</c:f>
              <c:numCache/>
            </c:numRef>
          </c:val>
          <c:smooth val="0"/>
        </c:ser>
        <c:ser>
          <c:idx val="26"/>
          <c:order val="26"/>
          <c:tx>
            <c:strRef>
              <c:f>'Aantal keer gedragen over tijd'!$A$29</c:f>
            </c:strRef>
          </c:tx>
          <c:spPr>
            <a:ln cmpd="sng">
              <a:solidFill>
                <a:srgbClr val="000C31"/>
              </a:solidFill>
            </a:ln>
          </c:spPr>
          <c:marker>
            <c:symbol val="circle"/>
            <c:size val="3"/>
            <c:spPr>
              <a:solidFill>
                <a:srgbClr val="000C31"/>
              </a:solidFill>
              <a:ln cmpd="sng">
                <a:solidFill>
                  <a:srgbClr val="000C31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tijd'!$B$29:$M$29</c:f>
              <c:numCache/>
            </c:numRef>
          </c:val>
          <c:smooth val="0"/>
        </c:ser>
        <c:ser>
          <c:idx val="27"/>
          <c:order val="27"/>
          <c:tx>
            <c:strRef>
              <c:f>'Aantal keer gedragen over tijd'!$A$30</c:f>
            </c:strRef>
          </c:tx>
          <c:spPr>
            <a:ln cmpd="sng">
              <a:solidFill>
                <a:srgbClr val="281021"/>
              </a:solidFill>
            </a:ln>
          </c:spPr>
          <c:marker>
            <c:symbol val="circle"/>
            <c:size val="3"/>
            <c:spPr>
              <a:solidFill>
                <a:srgbClr val="281021"/>
              </a:solidFill>
              <a:ln cmpd="sng">
                <a:solidFill>
                  <a:srgbClr val="281021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tijd'!$B$30:$M$30</c:f>
              <c:numCache/>
            </c:numRef>
          </c:val>
          <c:smooth val="0"/>
        </c:ser>
        <c:ser>
          <c:idx val="28"/>
          <c:order val="28"/>
          <c:tx>
            <c:strRef>
              <c:f>'Aantal keer gedragen over tijd'!$A$31</c:f>
            </c:strRef>
          </c:tx>
          <c:spPr>
            <a:ln cmpd="sng">
              <a:solidFill>
                <a:srgbClr val="FF1C32"/>
              </a:solidFill>
            </a:ln>
          </c:spPr>
          <c:marker>
            <c:symbol val="circle"/>
            <c:size val="3"/>
            <c:spPr>
              <a:solidFill>
                <a:srgbClr val="FF1C32"/>
              </a:solidFill>
              <a:ln cmpd="sng">
                <a:solidFill>
                  <a:srgbClr val="FF1C32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tijd'!$B$31:$M$31</c:f>
              <c:numCache/>
            </c:numRef>
          </c:val>
          <c:smooth val="0"/>
        </c:ser>
        <c:ser>
          <c:idx val="29"/>
          <c:order val="29"/>
          <c:tx>
            <c:strRef>
              <c:f>'Aantal keer gedragen over tijd'!$A$32</c:f>
            </c:strRef>
          </c:tx>
          <c:spPr>
            <a:ln cmpd="sng">
              <a:solidFill>
                <a:srgbClr val="240C0A"/>
              </a:solidFill>
            </a:ln>
          </c:spPr>
          <c:marker>
            <c:symbol val="circle"/>
            <c:size val="3"/>
            <c:spPr>
              <a:solidFill>
                <a:srgbClr val="240C0A"/>
              </a:solidFill>
              <a:ln cmpd="sng">
                <a:solidFill>
                  <a:srgbClr val="240C0A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tijd'!$B$32:$M$32</c:f>
              <c:numCache/>
            </c:numRef>
          </c:val>
          <c:smooth val="0"/>
        </c:ser>
        <c:ser>
          <c:idx val="30"/>
          <c:order val="30"/>
          <c:tx>
            <c:strRef>
              <c:f>'Aantal keer gedragen over tijd'!$A$33</c:f>
            </c:strRef>
          </c:tx>
          <c:spPr>
            <a:ln cmpd="sng">
              <a:solidFill>
                <a:srgbClr val="5E3C05"/>
              </a:solidFill>
            </a:ln>
          </c:spPr>
          <c:marker>
            <c:symbol val="circle"/>
            <c:size val="3"/>
            <c:spPr>
              <a:solidFill>
                <a:srgbClr val="5E3C05"/>
              </a:solidFill>
              <a:ln cmpd="sng">
                <a:solidFill>
                  <a:srgbClr val="5E3C05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tijd'!$B$33:$M$33</c:f>
              <c:numCache/>
            </c:numRef>
          </c:val>
          <c:smooth val="0"/>
        </c:ser>
        <c:ser>
          <c:idx val="31"/>
          <c:order val="31"/>
          <c:tx>
            <c:strRef>
              <c:f>'Aantal keer gedragen over tijd'!$A$34</c:f>
            </c:strRef>
          </c:tx>
          <c:spPr>
            <a:ln cmpd="sng">
              <a:solidFill>
                <a:srgbClr val="0A5D64"/>
              </a:solidFill>
            </a:ln>
          </c:spPr>
          <c:marker>
            <c:symbol val="circle"/>
            <c:size val="3"/>
            <c:spPr>
              <a:solidFill>
                <a:srgbClr val="0A5D64"/>
              </a:solidFill>
              <a:ln cmpd="sng">
                <a:solidFill>
                  <a:srgbClr val="0A5D64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tijd'!$B$34:$M$34</c:f>
              <c:numCache/>
            </c:numRef>
          </c:val>
          <c:smooth val="0"/>
        </c:ser>
        <c:ser>
          <c:idx val="32"/>
          <c:order val="32"/>
          <c:tx>
            <c:strRef>
              <c:f>'Aantal keer gedragen over tijd'!$A$35</c:f>
            </c:strRef>
          </c:tx>
          <c:spPr>
            <a:ln cmpd="sng">
              <a:solidFill>
                <a:srgbClr val="01217D"/>
              </a:solidFill>
            </a:ln>
          </c:spPr>
          <c:marker>
            <c:symbol val="circle"/>
            <c:size val="3"/>
            <c:spPr>
              <a:solidFill>
                <a:srgbClr val="01217D"/>
              </a:solidFill>
              <a:ln cmpd="sng">
                <a:solidFill>
                  <a:srgbClr val="01217D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tijd'!$B$35:$M$35</c:f>
              <c:numCache/>
            </c:numRef>
          </c:val>
          <c:smooth val="0"/>
        </c:ser>
        <c:ser>
          <c:idx val="33"/>
          <c:order val="33"/>
          <c:tx>
            <c:strRef>
              <c:f>'Aantal keer gedragen over tijd'!$A$36</c:f>
            </c:strRef>
          </c:tx>
          <c:spPr>
            <a:ln cmpd="sng">
              <a:solidFill>
                <a:srgbClr val="652B55"/>
              </a:solidFill>
            </a:ln>
          </c:spPr>
          <c:marker>
            <c:symbol val="circle"/>
            <c:size val="3"/>
            <c:spPr>
              <a:solidFill>
                <a:srgbClr val="652B55"/>
              </a:solidFill>
              <a:ln cmpd="sng">
                <a:solidFill>
                  <a:srgbClr val="652B55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tijd'!$B$36:$M$36</c:f>
              <c:numCache/>
            </c:numRef>
          </c:val>
          <c:smooth val="0"/>
        </c:ser>
        <c:ser>
          <c:idx val="34"/>
          <c:order val="34"/>
          <c:tx>
            <c:strRef>
              <c:f>'Aantal keer gedragen over tijd'!$A$37</c:f>
            </c:strRef>
          </c:tx>
          <c:spPr>
            <a:ln cmpd="sng">
              <a:solidFill>
                <a:srgbClr val="FF487E"/>
              </a:solidFill>
            </a:ln>
          </c:spPr>
          <c:marker>
            <c:symbol val="circle"/>
            <c:size val="3"/>
            <c:spPr>
              <a:solidFill>
                <a:srgbClr val="FF487E"/>
              </a:solidFill>
              <a:ln cmpd="sng">
                <a:solidFill>
                  <a:srgbClr val="FF487E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tijd'!$B$37:$M$37</c:f>
              <c:numCache/>
            </c:numRef>
          </c:val>
          <c:smooth val="0"/>
        </c:ser>
        <c:ser>
          <c:idx val="35"/>
          <c:order val="35"/>
          <c:tx>
            <c:strRef>
              <c:f>'Aantal keer gedragen over tijd'!$A$38</c:f>
            </c:strRef>
          </c:tx>
          <c:spPr>
            <a:ln cmpd="sng">
              <a:solidFill>
                <a:srgbClr val="5C201C"/>
              </a:solidFill>
            </a:ln>
          </c:spPr>
          <c:marker>
            <c:symbol val="circle"/>
            <c:size val="3"/>
            <c:spPr>
              <a:solidFill>
                <a:srgbClr val="5C201C"/>
              </a:solidFill>
              <a:ln cmpd="sng">
                <a:solidFill>
                  <a:srgbClr val="5C201C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tijd'!$B$38:$M$38</c:f>
              <c:numCache/>
            </c:numRef>
          </c:val>
          <c:smooth val="0"/>
        </c:ser>
        <c:ser>
          <c:idx val="36"/>
          <c:order val="36"/>
          <c:tx>
            <c:strRef>
              <c:f>'Aantal keer gedragen over tijd'!$A$39</c:f>
            </c:strRef>
          </c:tx>
          <c:spPr>
            <a:ln cmpd="sng">
              <a:solidFill>
                <a:srgbClr val="966108"/>
              </a:solidFill>
            </a:ln>
          </c:spPr>
          <c:marker>
            <c:symbol val="circle"/>
            <c:size val="3"/>
            <c:spPr>
              <a:solidFill>
                <a:srgbClr val="966108"/>
              </a:solidFill>
              <a:ln cmpd="sng">
                <a:solidFill>
                  <a:srgbClr val="966108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tijd'!$B$39:$M$39</c:f>
              <c:numCache/>
            </c:numRef>
          </c:val>
          <c:smooth val="0"/>
        </c:ser>
        <c:ser>
          <c:idx val="37"/>
          <c:order val="37"/>
          <c:tx>
            <c:strRef>
              <c:f>'Aantal keer gedragen over tijd'!$A$40</c:f>
            </c:strRef>
          </c:tx>
          <c:spPr>
            <a:ln cmpd="sng">
              <a:solidFill>
                <a:srgbClr val="1095A1"/>
              </a:solidFill>
            </a:ln>
          </c:spPr>
          <c:marker>
            <c:symbol val="circle"/>
            <c:size val="3"/>
            <c:spPr>
              <a:solidFill>
                <a:srgbClr val="1095A1"/>
              </a:solidFill>
              <a:ln cmpd="sng">
                <a:solidFill>
                  <a:srgbClr val="1095A1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tijd'!$B$40:$M$40</c:f>
              <c:numCache/>
            </c:numRef>
          </c:val>
          <c:smooth val="0"/>
        </c:ser>
        <c:ser>
          <c:idx val="38"/>
          <c:order val="38"/>
          <c:tx>
            <c:strRef>
              <c:f>'Aantal keer gedragen over tijd'!$A$41</c:f>
            </c:strRef>
          </c:tx>
          <c:spPr>
            <a:ln cmpd="sng">
              <a:solidFill>
                <a:srgbClr val="0235C8"/>
              </a:solidFill>
            </a:ln>
          </c:spPr>
          <c:marker>
            <c:symbol val="circle"/>
            <c:size val="3"/>
            <c:spPr>
              <a:solidFill>
                <a:srgbClr val="0235C8"/>
              </a:solidFill>
              <a:ln cmpd="sng">
                <a:solidFill>
                  <a:srgbClr val="0235C8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tijd'!$B$41:$M$41</c:f>
              <c:numCache/>
            </c:numRef>
          </c:val>
          <c:smooth val="0"/>
        </c:ser>
        <c:ser>
          <c:idx val="39"/>
          <c:order val="39"/>
          <c:tx>
            <c:strRef>
              <c:f>'Aantal keer gedragen over tijd'!$A$42</c:f>
            </c:strRef>
          </c:tx>
          <c:spPr>
            <a:ln cmpd="sng">
              <a:solidFill>
                <a:srgbClr val="A14589"/>
              </a:solidFill>
            </a:ln>
          </c:spPr>
          <c:marker>
            <c:symbol val="circle"/>
            <c:size val="3"/>
            <c:spPr>
              <a:solidFill>
                <a:srgbClr val="A14589"/>
              </a:solidFill>
              <a:ln cmpd="sng">
                <a:solidFill>
                  <a:srgbClr val="A14589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tijd'!$B$42:$M$42</c:f>
              <c:numCache/>
            </c:numRef>
          </c:val>
          <c:smooth val="0"/>
        </c:ser>
        <c:ser>
          <c:idx val="40"/>
          <c:order val="40"/>
          <c:tx>
            <c:strRef>
              <c:f>'Aantal keer gedragen over tijd'!$A$43</c:f>
            </c:strRef>
          </c:tx>
          <c:spPr>
            <a:ln cmpd="sng">
              <a:solidFill>
                <a:srgbClr val="FF74CA"/>
              </a:solidFill>
            </a:ln>
          </c:spPr>
          <c:marker>
            <c:symbol val="circle"/>
            <c:size val="3"/>
            <c:spPr>
              <a:solidFill>
                <a:srgbClr val="FF74CA"/>
              </a:solidFill>
              <a:ln cmpd="sng">
                <a:solidFill>
                  <a:srgbClr val="FF74CA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tijd'!$B$43:$M$43</c:f>
              <c:numCache/>
            </c:numRef>
          </c:val>
          <c:smooth val="0"/>
        </c:ser>
        <c:ser>
          <c:idx val="41"/>
          <c:order val="41"/>
          <c:tx>
            <c:strRef>
              <c:f>'Aantal keer gedragen over tijd'!$A$44</c:f>
            </c:strRef>
          </c:tx>
          <c:spPr>
            <a:ln cmpd="sng">
              <a:solidFill>
                <a:srgbClr val="93342D"/>
              </a:solidFill>
            </a:ln>
          </c:spPr>
          <c:marker>
            <c:symbol val="circle"/>
            <c:size val="3"/>
            <c:spPr>
              <a:solidFill>
                <a:srgbClr val="93342D"/>
              </a:solidFill>
              <a:ln cmpd="sng">
                <a:solidFill>
                  <a:srgbClr val="93342D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tijd'!$B$44:$M$44</c:f>
              <c:numCache/>
            </c:numRef>
          </c:val>
          <c:smooth val="0"/>
        </c:ser>
        <c:ser>
          <c:idx val="42"/>
          <c:order val="42"/>
          <c:tx>
            <c:strRef>
              <c:f>'Aantal keer gedragen over tijd'!$A$45</c:f>
            </c:strRef>
          </c:tx>
          <c:spPr>
            <a:ln cmpd="sng">
              <a:solidFill>
                <a:srgbClr val="CF850B"/>
              </a:solidFill>
            </a:ln>
          </c:spPr>
          <c:marker>
            <c:symbol val="circle"/>
            <c:size val="3"/>
            <c:spPr>
              <a:solidFill>
                <a:srgbClr val="CF850B"/>
              </a:solidFill>
              <a:ln cmpd="sng">
                <a:solidFill>
                  <a:srgbClr val="CF850B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tijd'!$B$45:$M$45</c:f>
              <c:numCache/>
            </c:numRef>
          </c:val>
          <c:smooth val="0"/>
        </c:ser>
        <c:ser>
          <c:idx val="43"/>
          <c:order val="43"/>
          <c:tx>
            <c:strRef>
              <c:f>'Aantal keer gedragen over tijd'!$A$46</c:f>
            </c:strRef>
          </c:tx>
          <c:spPr>
            <a:ln cmpd="sng">
              <a:solidFill>
                <a:srgbClr val="16CEDD"/>
              </a:solidFill>
            </a:ln>
          </c:spPr>
          <c:marker>
            <c:symbol val="circle"/>
            <c:size val="3"/>
            <c:spPr>
              <a:solidFill>
                <a:srgbClr val="16CEDD"/>
              </a:solidFill>
              <a:ln cmpd="sng">
                <a:solidFill>
                  <a:srgbClr val="16CEDD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tijd'!$B$46:$M$46</c:f>
              <c:numCache/>
            </c:numRef>
          </c:val>
          <c:smooth val="0"/>
        </c:ser>
        <c:ser>
          <c:idx val="44"/>
          <c:order val="44"/>
          <c:tx>
            <c:strRef>
              <c:f>'Aantal keer gedragen over tijd'!$A$47</c:f>
            </c:strRef>
          </c:tx>
          <c:spPr>
            <a:ln cmpd="sng">
              <a:solidFill>
                <a:srgbClr val="034913"/>
              </a:solidFill>
            </a:ln>
          </c:spPr>
          <c:marker>
            <c:symbol val="circle"/>
            <c:size val="3"/>
            <c:spPr>
              <a:solidFill>
                <a:srgbClr val="034913"/>
              </a:solidFill>
              <a:ln cmpd="sng">
                <a:solidFill>
                  <a:srgbClr val="034913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tijd'!$B$47:$M$47</c:f>
              <c:numCache/>
            </c:numRef>
          </c:val>
          <c:smooth val="0"/>
        </c:ser>
        <c:ser>
          <c:idx val="45"/>
          <c:order val="45"/>
          <c:tx>
            <c:strRef>
              <c:f>'Aantal keer gedragen over tijd'!$A$48</c:f>
            </c:strRef>
          </c:tx>
          <c:spPr>
            <a:ln cmpd="sng">
              <a:solidFill>
                <a:srgbClr val="DE5FBC"/>
              </a:solidFill>
            </a:ln>
          </c:spPr>
          <c:marker>
            <c:symbol val="circle"/>
            <c:size val="3"/>
            <c:spPr>
              <a:solidFill>
                <a:srgbClr val="DE5FBC"/>
              </a:solidFill>
              <a:ln cmpd="sng">
                <a:solidFill>
                  <a:srgbClr val="DE5FBC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tijd'!$B$48:$M$48</c:f>
              <c:numCache/>
            </c:numRef>
          </c:val>
          <c:smooth val="0"/>
        </c:ser>
        <c:ser>
          <c:idx val="46"/>
          <c:order val="46"/>
          <c:tx>
            <c:strRef>
              <c:f>'Aantal keer gedragen over tijd'!$A$49</c:f>
            </c:strRef>
          </c:tx>
          <c:spPr>
            <a:ln cmpd="sng">
              <a:solidFill>
                <a:srgbClr val="FFA016"/>
              </a:solidFill>
            </a:ln>
          </c:spPr>
          <c:marker>
            <c:symbol val="circle"/>
            <c:size val="3"/>
            <c:spPr>
              <a:solidFill>
                <a:srgbClr val="FFA016"/>
              </a:solidFill>
              <a:ln cmpd="sng">
                <a:solidFill>
                  <a:srgbClr val="FFA016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tijd'!$B$49:$M$49</c:f>
              <c:numCache/>
            </c:numRef>
          </c:val>
          <c:smooth val="0"/>
        </c:ser>
        <c:ser>
          <c:idx val="47"/>
          <c:order val="47"/>
          <c:tx>
            <c:strRef>
              <c:f>'Aantal keer gedragen over tijd'!$A$50</c:f>
            </c:strRef>
          </c:tx>
          <c:spPr>
            <a:ln cmpd="sng">
              <a:solidFill>
                <a:srgbClr val="CA483E"/>
              </a:solidFill>
            </a:ln>
          </c:spPr>
          <c:marker>
            <c:symbol val="circle"/>
            <c:size val="3"/>
            <c:spPr>
              <a:solidFill>
                <a:srgbClr val="CA483E"/>
              </a:solidFill>
              <a:ln cmpd="sng">
                <a:solidFill>
                  <a:srgbClr val="CA483E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tijd'!$B$50:$M$50</c:f>
              <c:numCache/>
            </c:numRef>
          </c:val>
          <c:smooth val="0"/>
        </c:ser>
        <c:ser>
          <c:idx val="48"/>
          <c:order val="48"/>
          <c:tx>
            <c:strRef>
              <c:f>'Aantal keer gedragen over tijd'!$A$51</c:f>
            </c:strRef>
          </c:tx>
          <c:spPr>
            <a:ln cmpd="sng">
              <a:solidFill>
                <a:srgbClr val="08AA0E"/>
              </a:solidFill>
            </a:ln>
          </c:spPr>
          <c:marker>
            <c:symbol val="circle"/>
            <c:size val="3"/>
            <c:spPr>
              <a:solidFill>
                <a:srgbClr val="08AA0E"/>
              </a:solidFill>
              <a:ln cmpd="sng">
                <a:solidFill>
                  <a:srgbClr val="08AA0E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tijd'!$B$51:$M$51</c:f>
              <c:numCache/>
            </c:numRef>
          </c:val>
          <c:smooth val="0"/>
        </c:ser>
        <c:ser>
          <c:idx val="49"/>
          <c:order val="49"/>
          <c:tx>
            <c:strRef>
              <c:f>'Aantal keer gedragen over tijd'!$A$52</c:f>
            </c:strRef>
          </c:tx>
          <c:spPr>
            <a:ln cmpd="sng">
              <a:solidFill>
                <a:srgbClr val="1C061A"/>
              </a:solidFill>
            </a:ln>
          </c:spPr>
          <c:marker>
            <c:symbol val="circle"/>
            <c:size val="3"/>
            <c:spPr>
              <a:solidFill>
                <a:srgbClr val="1C061A"/>
              </a:solidFill>
              <a:ln cmpd="sng">
                <a:solidFill>
                  <a:srgbClr val="1C061A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tijd'!$B$52:$M$52</c:f>
              <c:numCache/>
            </c:numRef>
          </c:val>
          <c:smooth val="0"/>
        </c:ser>
        <c:ser>
          <c:idx val="50"/>
          <c:order val="50"/>
          <c:tx>
            <c:strRef>
              <c:f>'Aantal keer gedragen over tijd'!$A$53</c:f>
            </c:strRef>
          </c:tx>
          <c:spPr>
            <a:ln cmpd="sng">
              <a:solidFill>
                <a:srgbClr val="055D5E"/>
              </a:solidFill>
            </a:ln>
          </c:spPr>
          <c:marker>
            <c:symbol val="circle"/>
            <c:size val="3"/>
            <c:spPr>
              <a:solidFill>
                <a:srgbClr val="055D5E"/>
              </a:solidFill>
              <a:ln cmpd="sng">
                <a:solidFill>
                  <a:srgbClr val="055D5E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tijd'!$B$53:$M$53</c:f>
              <c:numCache/>
            </c:numRef>
          </c:val>
          <c:smooth val="0"/>
        </c:ser>
        <c:ser>
          <c:idx val="51"/>
          <c:order val="51"/>
          <c:tx>
            <c:strRef>
              <c:f>'Aantal keer gedragen over tijd'!$A$54</c:f>
            </c:strRef>
          </c:tx>
          <c:spPr>
            <a:ln cmpd="sng">
              <a:solidFill>
                <a:srgbClr val="1B79F0"/>
              </a:solidFill>
            </a:ln>
          </c:spPr>
          <c:marker>
            <c:symbol val="circle"/>
            <c:size val="3"/>
            <c:spPr>
              <a:solidFill>
                <a:srgbClr val="1B79F0"/>
              </a:solidFill>
              <a:ln cmpd="sng">
                <a:solidFill>
                  <a:srgbClr val="1B79F0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tijd'!$B$54:$M$54</c:f>
              <c:numCache/>
            </c:numRef>
          </c:val>
          <c:smooth val="0"/>
        </c:ser>
        <c:ser>
          <c:idx val="52"/>
          <c:order val="52"/>
          <c:tx>
            <c:strRef>
              <c:f>'Aantal keer gedragen over tijd'!$A$55</c:f>
            </c:strRef>
          </c:tx>
          <c:spPr>
            <a:ln cmpd="sng">
              <a:solidFill>
                <a:srgbClr val="FFCB63"/>
              </a:solidFill>
            </a:ln>
          </c:spPr>
          <c:marker>
            <c:symbol val="circle"/>
            <c:size val="3"/>
            <c:spPr>
              <a:solidFill>
                <a:srgbClr val="FFCB63"/>
              </a:solidFill>
              <a:ln cmpd="sng">
                <a:solidFill>
                  <a:srgbClr val="FFCB63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tijd'!$B$55:$M$55</c:f>
              <c:numCache/>
            </c:numRef>
          </c:val>
          <c:smooth val="0"/>
        </c:ser>
        <c:ser>
          <c:idx val="53"/>
          <c:order val="53"/>
          <c:tx>
            <c:strRef>
              <c:f>'Aantal keer gedragen over tijd'!$A$56</c:f>
            </c:strRef>
          </c:tx>
          <c:spPr>
            <a:ln cmpd="sng">
              <a:solidFill>
                <a:srgbClr val="025B4F"/>
              </a:solidFill>
            </a:ln>
          </c:spPr>
          <c:marker>
            <c:symbol val="circle"/>
            <c:size val="3"/>
            <c:spPr>
              <a:solidFill>
                <a:srgbClr val="025B4F"/>
              </a:solidFill>
              <a:ln cmpd="sng">
                <a:solidFill>
                  <a:srgbClr val="025B4F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tijd'!$B$56:$M$56</c:f>
              <c:numCache/>
            </c:numRef>
          </c:val>
          <c:smooth val="0"/>
        </c:ser>
        <c:ser>
          <c:idx val="54"/>
          <c:order val="54"/>
          <c:tx>
            <c:strRef>
              <c:f>'Aantal keer gedragen over tijd'!$A$57</c:f>
            </c:strRef>
          </c:tx>
          <c:spPr>
            <a:ln cmpd="sng">
              <a:solidFill>
                <a:srgbClr val="40CE12"/>
              </a:solidFill>
            </a:ln>
          </c:spPr>
          <c:marker>
            <c:symbol val="circle"/>
            <c:size val="3"/>
            <c:spPr>
              <a:solidFill>
                <a:srgbClr val="40CE12"/>
              </a:solidFill>
              <a:ln cmpd="sng">
                <a:solidFill>
                  <a:srgbClr val="40CE12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tijd'!$B$57:$M$57</c:f>
              <c:numCache/>
            </c:numRef>
          </c:val>
          <c:smooth val="0"/>
        </c:ser>
        <c:ser>
          <c:idx val="55"/>
          <c:order val="55"/>
          <c:tx>
            <c:strRef>
              <c:f>'Aantal keer gedragen over tijd'!$A$58</c:f>
            </c:strRef>
          </c:tx>
          <c:spPr>
            <a:ln cmpd="sng">
              <a:solidFill>
                <a:srgbClr val="233F56"/>
              </a:solidFill>
            </a:ln>
          </c:spPr>
          <c:marker>
            <c:symbol val="circle"/>
            <c:size val="3"/>
            <c:spPr>
              <a:solidFill>
                <a:srgbClr val="233F56"/>
              </a:solidFill>
              <a:ln cmpd="sng">
                <a:solidFill>
                  <a:srgbClr val="233F56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tijd'!$B$58:$M$58</c:f>
              <c:numCache/>
            </c:numRef>
          </c:val>
          <c:smooth val="0"/>
        </c:ser>
        <c:ser>
          <c:idx val="56"/>
          <c:order val="56"/>
          <c:tx>
            <c:strRef>
              <c:f>'Aantal keer gedragen over tijd'!$A$59</c:f>
            </c:strRef>
          </c:tx>
          <c:spPr>
            <a:ln cmpd="sng">
              <a:solidFill>
                <a:srgbClr val="0671AA"/>
              </a:solidFill>
            </a:ln>
          </c:spPr>
          <c:marker>
            <c:symbol val="circle"/>
            <c:size val="3"/>
            <c:spPr>
              <a:solidFill>
                <a:srgbClr val="0671AA"/>
              </a:solidFill>
              <a:ln cmpd="sng">
                <a:solidFill>
                  <a:srgbClr val="0671AA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tijd'!$B$59:$M$59</c:f>
              <c:numCache/>
            </c:numRef>
          </c:val>
          <c:smooth val="0"/>
        </c:ser>
        <c:ser>
          <c:idx val="57"/>
          <c:order val="57"/>
          <c:tx>
            <c:strRef>
              <c:f>'Aantal keer gedragen over tijd'!$A$60</c:f>
            </c:strRef>
          </c:tx>
          <c:spPr>
            <a:ln cmpd="sng">
              <a:solidFill>
                <a:srgbClr val="589323"/>
              </a:solidFill>
            </a:ln>
          </c:spPr>
          <c:marker>
            <c:symbol val="circle"/>
            <c:size val="3"/>
            <c:spPr>
              <a:solidFill>
                <a:srgbClr val="589323"/>
              </a:solidFill>
              <a:ln cmpd="sng">
                <a:solidFill>
                  <a:srgbClr val="589323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tijd'!$B$60:$M$60</c:f>
              <c:numCache/>
            </c:numRef>
          </c:val>
          <c:smooth val="0"/>
        </c:ser>
        <c:ser>
          <c:idx val="58"/>
          <c:order val="58"/>
          <c:tx>
            <c:strRef>
              <c:f>'Aantal keer gedragen over tijd'!$A$61</c:f>
            </c:strRef>
          </c:tx>
          <c:spPr>
            <a:ln cmpd="sng">
              <a:solidFill>
                <a:srgbClr val="FFF7AF"/>
              </a:solidFill>
            </a:ln>
          </c:spPr>
          <c:marker>
            <c:symbol val="circle"/>
            <c:size val="3"/>
            <c:spPr>
              <a:solidFill>
                <a:srgbClr val="FFF7AF"/>
              </a:solidFill>
              <a:ln cmpd="sng">
                <a:solidFill>
                  <a:srgbClr val="FFF7AF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tijd'!$B$61:$M$61</c:f>
              <c:numCache/>
            </c:numRef>
          </c:val>
          <c:smooth val="0"/>
        </c:ser>
        <c:ser>
          <c:idx val="59"/>
          <c:order val="59"/>
          <c:tx>
            <c:strRef>
              <c:f>'Aantal keer gedragen over tijd'!$A$62</c:f>
            </c:strRef>
          </c:tx>
          <c:spPr>
            <a:ln cmpd="sng">
              <a:solidFill>
                <a:srgbClr val="3A6F60"/>
              </a:solidFill>
            </a:ln>
          </c:spPr>
          <c:marker>
            <c:symbol val="circle"/>
            <c:size val="3"/>
            <c:spPr>
              <a:solidFill>
                <a:srgbClr val="3A6F60"/>
              </a:solidFill>
              <a:ln cmpd="sng">
                <a:solidFill>
                  <a:srgbClr val="3A6F60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tijd'!$B$62:$M$62</c:f>
              <c:numCache/>
            </c:numRef>
          </c:val>
          <c:smooth val="0"/>
        </c:ser>
        <c:ser>
          <c:idx val="60"/>
          <c:order val="60"/>
          <c:tx>
            <c:strRef>
              <c:f>'Aantal keer gedragen over tijd'!$A$63</c:f>
            </c:strRef>
          </c:tx>
          <c:spPr>
            <a:ln cmpd="sng">
              <a:solidFill>
                <a:srgbClr val="79F315"/>
              </a:solidFill>
            </a:ln>
          </c:spPr>
          <c:marker>
            <c:symbol val="circle"/>
            <c:size val="3"/>
            <c:spPr>
              <a:solidFill>
                <a:srgbClr val="79F315"/>
              </a:solidFill>
              <a:ln cmpd="sng">
                <a:solidFill>
                  <a:srgbClr val="79F315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tijd'!$B$63:$M$63</c:f>
              <c:numCache/>
            </c:numRef>
          </c:val>
          <c:smooth val="0"/>
        </c:ser>
        <c:ser>
          <c:idx val="61"/>
          <c:order val="61"/>
          <c:tx>
            <c:strRef>
              <c:f>'Aantal keer gedragen over tijd'!$A$64</c:f>
            </c:strRef>
          </c:tx>
          <c:spPr>
            <a:ln cmpd="sng">
              <a:solidFill>
                <a:srgbClr val="297793"/>
              </a:solidFill>
            </a:ln>
          </c:spPr>
          <c:marker>
            <c:symbol val="circle"/>
            <c:size val="3"/>
            <c:spPr>
              <a:solidFill>
                <a:srgbClr val="297793"/>
              </a:solidFill>
              <a:ln cmpd="sng">
                <a:solidFill>
                  <a:srgbClr val="297793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tijd'!$B$64:$M$64</c:f>
              <c:numCache/>
            </c:numRef>
          </c:val>
          <c:smooth val="0"/>
        </c:ser>
        <c:ser>
          <c:idx val="62"/>
          <c:order val="62"/>
          <c:tx>
            <c:strRef>
              <c:f>'Aantal keer gedragen over tijd'!$A$65</c:f>
            </c:strRef>
          </c:tx>
          <c:spPr>
            <a:ln cmpd="sng">
              <a:solidFill>
                <a:srgbClr val="0785F5"/>
              </a:solidFill>
            </a:ln>
          </c:spPr>
          <c:marker>
            <c:symbol val="circle"/>
            <c:size val="3"/>
            <c:spPr>
              <a:solidFill>
                <a:srgbClr val="0785F5"/>
              </a:solidFill>
              <a:ln cmpd="sng">
                <a:solidFill>
                  <a:srgbClr val="0785F5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tijd'!$B$65:$M$65</c:f>
              <c:numCache/>
            </c:numRef>
          </c:val>
          <c:smooth val="0"/>
        </c:ser>
        <c:ser>
          <c:idx val="63"/>
          <c:order val="63"/>
          <c:tx>
            <c:strRef>
              <c:f>'Aantal keer gedragen over tijd'!$A$66</c:f>
            </c:strRef>
          </c:tx>
          <c:spPr>
            <a:ln cmpd="sng">
              <a:solidFill>
                <a:srgbClr val="95AD57"/>
              </a:solidFill>
            </a:ln>
          </c:spPr>
          <c:marker>
            <c:symbol val="circle"/>
            <c:size val="3"/>
            <c:spPr>
              <a:solidFill>
                <a:srgbClr val="95AD57"/>
              </a:solidFill>
              <a:ln cmpd="sng">
                <a:solidFill>
                  <a:srgbClr val="95AD57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tijd'!$B$66:$M$66</c:f>
              <c:numCache/>
            </c:numRef>
          </c:val>
          <c:smooth val="0"/>
        </c:ser>
        <c:ser>
          <c:idx val="64"/>
          <c:order val="64"/>
          <c:tx>
            <c:strRef>
              <c:f>'Aantal keer gedragen over tijd'!$A$67</c:f>
            </c:strRef>
          </c:tx>
          <c:spPr>
            <a:ln cmpd="sng">
              <a:solidFill>
                <a:srgbClr val="FF23FB"/>
              </a:solidFill>
            </a:ln>
          </c:spPr>
          <c:marker>
            <c:symbol val="circle"/>
            <c:size val="3"/>
            <c:spPr>
              <a:solidFill>
                <a:srgbClr val="FF23FB"/>
              </a:solidFill>
              <a:ln cmpd="sng">
                <a:solidFill>
                  <a:srgbClr val="FF23FB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tijd'!$B$67:$M$67</c:f>
              <c:numCache/>
            </c:numRef>
          </c:val>
          <c:smooth val="0"/>
        </c:ser>
        <c:ser>
          <c:idx val="65"/>
          <c:order val="65"/>
          <c:tx>
            <c:strRef>
              <c:f>'Aantal keer gedragen over tijd'!$A$68</c:f>
            </c:strRef>
          </c:tx>
          <c:spPr>
            <a:ln cmpd="sng">
              <a:solidFill>
                <a:srgbClr val="718371"/>
              </a:solidFill>
            </a:ln>
          </c:spPr>
          <c:marker>
            <c:symbol val="circle"/>
            <c:size val="3"/>
            <c:spPr>
              <a:solidFill>
                <a:srgbClr val="718371"/>
              </a:solidFill>
              <a:ln cmpd="sng">
                <a:solidFill>
                  <a:srgbClr val="718371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tijd'!$B$68:$M$68</c:f>
              <c:numCache/>
            </c:numRef>
          </c:val>
          <c:smooth val="0"/>
        </c:ser>
        <c:ser>
          <c:idx val="66"/>
          <c:order val="66"/>
          <c:tx>
            <c:strRef>
              <c:f>'Aantal keer gedragen over tijd'!$A$69</c:f>
            </c:strRef>
          </c:tx>
          <c:spPr>
            <a:ln cmpd="sng">
              <a:solidFill>
                <a:srgbClr val="B21818"/>
              </a:solidFill>
            </a:ln>
          </c:spPr>
          <c:marker>
            <c:symbol val="circle"/>
            <c:size val="3"/>
            <c:spPr>
              <a:solidFill>
                <a:srgbClr val="B21818"/>
              </a:solidFill>
              <a:ln cmpd="sng">
                <a:solidFill>
                  <a:srgbClr val="B21818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tijd'!$B$69:$M$69</c:f>
              <c:numCache/>
            </c:numRef>
          </c:val>
          <c:smooth val="0"/>
        </c:ser>
        <c:ser>
          <c:idx val="67"/>
          <c:order val="67"/>
          <c:tx>
            <c:strRef>
              <c:f>'Aantal keer gedragen over tijd'!$A$70</c:f>
            </c:strRef>
          </c:tx>
          <c:spPr>
            <a:ln cmpd="sng">
              <a:solidFill>
                <a:srgbClr val="2FAFD0"/>
              </a:solidFill>
            </a:ln>
          </c:spPr>
          <c:marker>
            <c:symbol val="circle"/>
            <c:size val="3"/>
            <c:spPr>
              <a:solidFill>
                <a:srgbClr val="2FAFD0"/>
              </a:solidFill>
              <a:ln cmpd="sng">
                <a:solidFill>
                  <a:srgbClr val="2FAFD0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tijd'!$B$70:$M$70</c:f>
              <c:numCache/>
            </c:numRef>
          </c:val>
          <c:smooth val="0"/>
        </c:ser>
        <c:ser>
          <c:idx val="68"/>
          <c:order val="68"/>
          <c:tx>
            <c:strRef>
              <c:f>'Aantal keer gedragen over tijd'!$A$71</c:f>
            </c:strRef>
          </c:tx>
          <c:spPr>
            <a:ln cmpd="sng">
              <a:solidFill>
                <a:srgbClr val="089940"/>
              </a:solidFill>
            </a:ln>
          </c:spPr>
          <c:marker>
            <c:symbol val="circle"/>
            <c:size val="3"/>
            <c:spPr>
              <a:solidFill>
                <a:srgbClr val="089940"/>
              </a:solidFill>
              <a:ln cmpd="sng">
                <a:solidFill>
                  <a:srgbClr val="089940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tijd'!$B$71:$M$71</c:f>
              <c:numCache/>
            </c:numRef>
          </c:val>
          <c:smooth val="0"/>
        </c:ser>
        <c:ser>
          <c:idx val="69"/>
          <c:order val="69"/>
          <c:tx>
            <c:strRef>
              <c:f>'Aantal keer gedragen over tijd'!$A$72</c:f>
            </c:strRef>
          </c:tx>
          <c:spPr>
            <a:ln cmpd="sng">
              <a:solidFill>
                <a:srgbClr val="D2C78B"/>
              </a:solidFill>
            </a:ln>
          </c:spPr>
          <c:marker>
            <c:symbol val="circle"/>
            <c:size val="3"/>
            <c:spPr>
              <a:solidFill>
                <a:srgbClr val="D2C78B"/>
              </a:solidFill>
              <a:ln cmpd="sng">
                <a:solidFill>
                  <a:srgbClr val="D2C78B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tijd'!$B$72:$M$72</c:f>
              <c:numCache/>
            </c:numRef>
          </c:val>
          <c:smooth val="0"/>
        </c:ser>
        <c:ser>
          <c:idx val="70"/>
          <c:order val="70"/>
          <c:tx>
            <c:strRef>
              <c:f>'Aantal keer gedragen over tijd'!$A$73</c:f>
            </c:strRef>
          </c:tx>
          <c:spPr>
            <a:ln cmpd="sng">
              <a:solidFill>
                <a:srgbClr val="FF4F47"/>
              </a:solidFill>
            </a:ln>
          </c:spPr>
          <c:marker>
            <c:symbol val="circle"/>
            <c:size val="3"/>
            <c:spPr>
              <a:solidFill>
                <a:srgbClr val="FF4F47"/>
              </a:solidFill>
              <a:ln cmpd="sng">
                <a:solidFill>
                  <a:srgbClr val="FF4F47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tijd'!$B$73:$M$73</c:f>
              <c:numCache/>
            </c:numRef>
          </c:val>
          <c:smooth val="0"/>
        </c:ser>
        <c:ser>
          <c:idx val="71"/>
          <c:order val="71"/>
          <c:tx>
            <c:strRef>
              <c:f>'Aantal keer gedragen over tijd'!$A$74</c:f>
            </c:strRef>
          </c:tx>
          <c:spPr>
            <a:ln cmpd="sng">
              <a:solidFill>
                <a:srgbClr val="A99782"/>
              </a:solidFill>
            </a:ln>
          </c:spPr>
          <c:marker>
            <c:symbol val="circle"/>
            <c:size val="3"/>
            <c:spPr>
              <a:solidFill>
                <a:srgbClr val="A99782"/>
              </a:solidFill>
              <a:ln cmpd="sng">
                <a:solidFill>
                  <a:srgbClr val="A99782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tijd'!$B$74:$M$74</c:f>
              <c:numCache/>
            </c:numRef>
          </c:val>
          <c:smooth val="0"/>
        </c:ser>
        <c:ser>
          <c:idx val="72"/>
          <c:order val="72"/>
          <c:tx>
            <c:strRef>
              <c:f>'Aantal keer gedragen over tijd'!$A$75</c:f>
            </c:strRef>
          </c:tx>
          <c:spPr>
            <a:ln cmpd="sng">
              <a:solidFill>
                <a:srgbClr val="EA3C1C"/>
              </a:solidFill>
            </a:ln>
          </c:spPr>
          <c:marker>
            <c:symbol val="circle"/>
            <c:size val="3"/>
            <c:spPr>
              <a:solidFill>
                <a:srgbClr val="EA3C1C"/>
              </a:solidFill>
              <a:ln cmpd="sng">
                <a:solidFill>
                  <a:srgbClr val="EA3C1C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tijd'!$B$75:$M$75</c:f>
              <c:numCache/>
            </c:numRef>
          </c:val>
          <c:smooth val="0"/>
        </c:ser>
        <c:ser>
          <c:idx val="73"/>
          <c:order val="73"/>
          <c:tx>
            <c:strRef>
              <c:f>'Aantal keer gedragen over tijd'!$A$76</c:f>
            </c:strRef>
          </c:tx>
          <c:spPr>
            <a:ln cmpd="sng">
              <a:solidFill>
                <a:srgbClr val="36E80C"/>
              </a:solidFill>
            </a:ln>
          </c:spPr>
          <c:marker>
            <c:symbol val="circle"/>
            <c:size val="3"/>
            <c:spPr>
              <a:solidFill>
                <a:srgbClr val="36E80C"/>
              </a:solidFill>
              <a:ln cmpd="sng">
                <a:solidFill>
                  <a:srgbClr val="36E80C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tijd'!$B$76:$M$76</c:f>
              <c:numCache/>
            </c:numRef>
          </c:val>
          <c:smooth val="0"/>
        </c:ser>
        <c:ser>
          <c:idx val="74"/>
          <c:order val="74"/>
          <c:tx>
            <c:strRef>
              <c:f>'Aantal keer gedragen over tijd'!$A$77</c:f>
            </c:strRef>
          </c:tx>
          <c:spPr>
            <a:ln cmpd="sng">
              <a:solidFill>
                <a:srgbClr val="09AD8C"/>
              </a:solidFill>
            </a:ln>
          </c:spPr>
          <c:marker>
            <c:symbol val="circle"/>
            <c:size val="3"/>
            <c:spPr>
              <a:solidFill>
                <a:srgbClr val="09AD8C"/>
              </a:solidFill>
              <a:ln cmpd="sng">
                <a:solidFill>
                  <a:srgbClr val="09AD8C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tijd'!$B$77:$M$77</c:f>
              <c:numCache/>
            </c:numRef>
          </c:val>
          <c:smooth val="0"/>
        </c:ser>
        <c:ser>
          <c:idx val="75"/>
          <c:order val="75"/>
          <c:tx>
            <c:strRef>
              <c:f>'Aantal keer gedragen over tijd'!$A$78</c:f>
            </c:strRef>
          </c:tx>
          <c:spPr>
            <a:ln cmpd="sng">
              <a:solidFill>
                <a:srgbClr val="0FE1BE"/>
              </a:solidFill>
            </a:ln>
          </c:spPr>
          <c:marker>
            <c:symbol val="circle"/>
            <c:size val="3"/>
            <c:spPr>
              <a:solidFill>
                <a:srgbClr val="0FE1BE"/>
              </a:solidFill>
              <a:ln cmpd="sng">
                <a:solidFill>
                  <a:srgbClr val="0FE1BE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tijd'!$B$78:$M$78</c:f>
              <c:numCache/>
            </c:numRef>
          </c:val>
          <c:smooth val="0"/>
        </c:ser>
        <c:ser>
          <c:idx val="76"/>
          <c:order val="76"/>
          <c:tx>
            <c:strRef>
              <c:f>'Aantal keer gedragen over tijd'!$A$79</c:f>
            </c:strRef>
          </c:tx>
          <c:spPr>
            <a:ln cmpd="sng">
              <a:solidFill>
                <a:srgbClr val="FF7B93"/>
              </a:solidFill>
            </a:ln>
          </c:spPr>
          <c:marker>
            <c:symbol val="circle"/>
            <c:size val="3"/>
            <c:spPr>
              <a:solidFill>
                <a:srgbClr val="FF7B93"/>
              </a:solidFill>
              <a:ln cmpd="sng">
                <a:solidFill>
                  <a:srgbClr val="FF7B93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tijd'!$B$79:$M$79</c:f>
              <c:numCache/>
            </c:numRef>
          </c:val>
          <c:smooth val="0"/>
        </c:ser>
        <c:ser>
          <c:idx val="77"/>
          <c:order val="77"/>
          <c:tx>
            <c:strRef>
              <c:f>'Aantal keer gedragen over tijd'!$A$80</c:f>
            </c:strRef>
          </c:tx>
          <c:spPr>
            <a:ln cmpd="sng">
              <a:solidFill>
                <a:srgbClr val="E0AB93"/>
              </a:solidFill>
            </a:ln>
          </c:spPr>
          <c:marker>
            <c:symbol val="circle"/>
            <c:size val="3"/>
            <c:spPr>
              <a:solidFill>
                <a:srgbClr val="E0AB93"/>
              </a:solidFill>
              <a:ln cmpd="sng">
                <a:solidFill>
                  <a:srgbClr val="E0AB93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tijd'!$B$80:$M$80</c:f>
              <c:numCache/>
            </c:numRef>
          </c:val>
          <c:smooth val="0"/>
        </c:ser>
        <c:ser>
          <c:idx val="78"/>
          <c:order val="78"/>
          <c:tx>
            <c:strRef>
              <c:f>'Aantal keer gedragen over tijd'!$A$81</c:f>
            </c:strRef>
          </c:tx>
          <c:spPr>
            <a:ln cmpd="sng">
              <a:solidFill>
                <a:srgbClr val="23611F"/>
              </a:solidFill>
            </a:ln>
          </c:spPr>
          <c:marker>
            <c:symbol val="circle"/>
            <c:size val="3"/>
            <c:spPr>
              <a:solidFill>
                <a:srgbClr val="23611F"/>
              </a:solidFill>
              <a:ln cmpd="sng">
                <a:solidFill>
                  <a:srgbClr val="23611F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tijd'!$B$81:$M$81</c:f>
              <c:numCache/>
            </c:numRef>
          </c:val>
          <c:smooth val="0"/>
        </c:ser>
        <c:ser>
          <c:idx val="79"/>
          <c:order val="79"/>
          <c:tx>
            <c:strRef>
              <c:f>'Aantal keer gedragen over tijd'!$A$82</c:f>
            </c:strRef>
          </c:tx>
          <c:spPr>
            <a:ln cmpd="sng">
              <a:solidFill>
                <a:srgbClr val="3C2049"/>
              </a:solidFill>
            </a:ln>
          </c:spPr>
          <c:marker>
            <c:symbol val="circle"/>
            <c:size val="3"/>
            <c:spPr>
              <a:solidFill>
                <a:srgbClr val="3C2049"/>
              </a:solidFill>
              <a:ln cmpd="sng">
                <a:solidFill>
                  <a:srgbClr val="3C2049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tijd'!$B$82:$M$82</c:f>
              <c:numCache/>
            </c:numRef>
          </c:val>
          <c:smooth val="0"/>
        </c:ser>
        <c:ser>
          <c:idx val="80"/>
          <c:order val="80"/>
          <c:tx>
            <c:strRef>
              <c:f>'Aantal keer gedragen over tijd'!$A$83</c:f>
            </c:strRef>
          </c:tx>
          <c:spPr>
            <a:ln cmpd="sng">
              <a:solidFill>
                <a:srgbClr val="0BC1D7"/>
              </a:solidFill>
            </a:ln>
          </c:spPr>
          <c:marker>
            <c:symbol val="circle"/>
            <c:size val="3"/>
            <c:spPr>
              <a:solidFill>
                <a:srgbClr val="0BC1D7"/>
              </a:solidFill>
              <a:ln cmpd="sng">
                <a:solidFill>
                  <a:srgbClr val="0BC1D7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tijd'!$B$83:$M$83</c:f>
              <c:numCache/>
            </c:numRef>
          </c:val>
          <c:smooth val="0"/>
        </c:ser>
        <c:ser>
          <c:idx val="81"/>
          <c:order val="81"/>
          <c:tx>
            <c:strRef>
              <c:f>'Aantal keer gedragen over tijd'!$A$84</c:f>
            </c:strRef>
          </c:tx>
          <c:spPr>
            <a:ln cmpd="sng">
              <a:solidFill>
                <a:srgbClr val="4CFBF2"/>
              </a:solidFill>
            </a:ln>
          </c:spPr>
          <c:marker>
            <c:symbol val="circle"/>
            <c:size val="3"/>
            <c:spPr>
              <a:solidFill>
                <a:srgbClr val="4CFBF2"/>
              </a:solidFill>
              <a:ln cmpd="sng">
                <a:solidFill>
                  <a:srgbClr val="4CFBF2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tijd'!$B$84:$M$84</c:f>
              <c:numCache/>
            </c:numRef>
          </c:val>
          <c:smooth val="0"/>
        </c:ser>
        <c:ser>
          <c:idx val="82"/>
          <c:order val="82"/>
          <c:tx>
            <c:strRef>
              <c:f>'Aantal keer gedragen over tijd'!$A$85</c:f>
            </c:strRef>
          </c:tx>
          <c:spPr>
            <a:ln cmpd="sng">
              <a:solidFill>
                <a:srgbClr val="FFA6E0"/>
              </a:solidFill>
            </a:ln>
          </c:spPr>
          <c:marker>
            <c:symbol val="circle"/>
            <c:size val="3"/>
            <c:spPr>
              <a:solidFill>
                <a:srgbClr val="FFA6E0"/>
              </a:solidFill>
              <a:ln cmpd="sng">
                <a:solidFill>
                  <a:srgbClr val="FFA6E0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tijd'!$B$85:$M$85</c:f>
              <c:numCache/>
            </c:numRef>
          </c:val>
          <c:smooth val="0"/>
        </c:ser>
        <c:ser>
          <c:idx val="83"/>
          <c:order val="83"/>
          <c:tx>
            <c:strRef>
              <c:f>'Aantal keer gedragen over tijd'!$A$86</c:f>
            </c:strRef>
          </c:tx>
          <c:spPr>
            <a:ln cmpd="sng">
              <a:solidFill>
                <a:srgbClr val="18BEA4"/>
              </a:solidFill>
            </a:ln>
          </c:spPr>
          <c:marker>
            <c:symbol val="circle"/>
            <c:size val="3"/>
            <c:spPr>
              <a:solidFill>
                <a:srgbClr val="18BEA4"/>
              </a:solidFill>
              <a:ln cmpd="sng">
                <a:solidFill>
                  <a:srgbClr val="18BEA4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tijd'!$B$86:$M$86</c:f>
              <c:numCache/>
            </c:numRef>
          </c:val>
          <c:smooth val="0"/>
        </c:ser>
        <c:ser>
          <c:idx val="84"/>
          <c:order val="84"/>
          <c:tx>
            <c:strRef>
              <c:f>'Aantal keer gedragen over tijd'!$A$87</c:f>
            </c:strRef>
          </c:tx>
          <c:spPr>
            <a:ln cmpd="sng">
              <a:solidFill>
                <a:srgbClr val="5C8522"/>
              </a:solidFill>
            </a:ln>
          </c:spPr>
          <c:marker>
            <c:symbol val="circle"/>
            <c:size val="3"/>
            <c:spPr>
              <a:solidFill>
                <a:srgbClr val="5C8522"/>
              </a:solidFill>
              <a:ln cmpd="sng">
                <a:solidFill>
                  <a:srgbClr val="5C8522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tijd'!$B$87:$M$87</c:f>
              <c:numCache/>
            </c:numRef>
          </c:val>
          <c:smooth val="0"/>
        </c:ser>
        <c:ser>
          <c:idx val="85"/>
          <c:order val="85"/>
          <c:tx>
            <c:strRef>
              <c:f>'Aantal keer gedragen over tijd'!$A$88</c:f>
            </c:strRef>
          </c:tx>
          <c:spPr>
            <a:ln cmpd="sng">
              <a:solidFill>
                <a:srgbClr val="425985"/>
              </a:solidFill>
            </a:ln>
          </c:spPr>
          <c:marker>
            <c:symbol val="circle"/>
            <c:size val="3"/>
            <c:spPr>
              <a:solidFill>
                <a:srgbClr val="425985"/>
              </a:solidFill>
              <a:ln cmpd="sng">
                <a:solidFill>
                  <a:srgbClr val="425985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tijd'!$B$88:$M$88</c:f>
              <c:numCache/>
            </c:numRef>
          </c:val>
          <c:smooth val="0"/>
        </c:ser>
        <c:ser>
          <c:idx val="86"/>
          <c:order val="86"/>
          <c:tx>
            <c:strRef>
              <c:f>'Aantal keer gedragen over tijd'!$A$89</c:f>
            </c:strRef>
          </c:tx>
          <c:spPr>
            <a:ln cmpd="sng">
              <a:solidFill>
                <a:srgbClr val="0CD522"/>
              </a:solidFill>
            </a:ln>
          </c:spPr>
          <c:marker>
            <c:symbol val="circle"/>
            <c:size val="3"/>
            <c:spPr>
              <a:solidFill>
                <a:srgbClr val="0CD522"/>
              </a:solidFill>
              <a:ln cmpd="sng">
                <a:solidFill>
                  <a:srgbClr val="0CD522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tijd'!$B$89:$M$89</c:f>
              <c:numCache/>
            </c:numRef>
          </c:val>
          <c:smooth val="0"/>
        </c:ser>
        <c:ser>
          <c:idx val="87"/>
          <c:order val="87"/>
          <c:tx>
            <c:strRef>
              <c:f>'Aantal keer gedragen over tijd'!$A$90</c:f>
            </c:strRef>
          </c:tx>
          <c:spPr>
            <a:ln cmpd="sng">
              <a:solidFill>
                <a:srgbClr val="891525"/>
              </a:solidFill>
            </a:ln>
          </c:spPr>
          <c:marker>
            <c:symbol val="circle"/>
            <c:size val="3"/>
            <c:spPr>
              <a:solidFill>
                <a:srgbClr val="891525"/>
              </a:solidFill>
              <a:ln cmpd="sng">
                <a:solidFill>
                  <a:srgbClr val="891525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tijd'!$B$90:$M$90</c:f>
              <c:numCache/>
            </c:numRef>
          </c:val>
          <c:smooth val="0"/>
        </c:ser>
        <c:ser>
          <c:idx val="88"/>
          <c:order val="88"/>
          <c:tx>
            <c:strRef>
              <c:f>'Aantal keer gedragen over tijd'!$A$91</c:f>
            </c:strRef>
          </c:tx>
          <c:spPr>
            <a:ln cmpd="sng">
              <a:solidFill>
                <a:srgbClr val="FFD22C"/>
              </a:solidFill>
            </a:ln>
          </c:spPr>
          <c:marker>
            <c:symbol val="circle"/>
            <c:size val="3"/>
            <c:spPr>
              <a:solidFill>
                <a:srgbClr val="FFD22C"/>
              </a:solidFill>
              <a:ln cmpd="sng">
                <a:solidFill>
                  <a:srgbClr val="FFD22C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tijd'!$B$91:$M$91</c:f>
              <c:numCache/>
            </c:numRef>
          </c:val>
          <c:smooth val="0"/>
        </c:ser>
        <c:ser>
          <c:idx val="89"/>
          <c:order val="89"/>
          <c:tx>
            <c:strRef>
              <c:f>'Aantal keer gedragen over tijd'!$A$92</c:f>
            </c:strRef>
          </c:tx>
          <c:spPr>
            <a:ln cmpd="sng">
              <a:solidFill>
                <a:srgbClr val="4FD2B5"/>
              </a:solidFill>
            </a:ln>
          </c:spPr>
          <c:marker>
            <c:symbol val="circle"/>
            <c:size val="3"/>
            <c:spPr>
              <a:solidFill>
                <a:srgbClr val="4FD2B5"/>
              </a:solidFill>
              <a:ln cmpd="sng">
                <a:solidFill>
                  <a:srgbClr val="4FD2B5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tijd'!$B$92:$M$92</c:f>
              <c:numCache/>
            </c:numRef>
          </c:val>
          <c:smooth val="0"/>
        </c:ser>
        <c:ser>
          <c:idx val="90"/>
          <c:order val="90"/>
          <c:tx>
            <c:strRef>
              <c:f>'Aantal keer gedragen over tijd'!$A$93</c:f>
            </c:strRef>
          </c:tx>
          <c:spPr>
            <a:ln cmpd="sng">
              <a:solidFill>
                <a:srgbClr val="95AA26"/>
              </a:solidFill>
            </a:ln>
          </c:spPr>
          <c:marker>
            <c:symbol val="circle"/>
            <c:size val="3"/>
            <c:spPr>
              <a:solidFill>
                <a:srgbClr val="95AA26"/>
              </a:solidFill>
              <a:ln cmpd="sng">
                <a:solidFill>
                  <a:srgbClr val="95AA26"/>
                </a:solidFill>
              </a:ln>
            </c:spPr>
          </c:marker>
          <c:cat>
            <c:strRef>
              <c:f>'Aantal keer gedragen over tijd'!$B$2:$M$2</c:f>
            </c:strRef>
          </c:cat>
          <c:val>
            <c:numRef>
              <c:f>'Aantal keer gedragen over tijd'!$B$93:$M$93</c:f>
              <c:numCache/>
            </c:numRef>
          </c:val>
          <c:smooth val="0"/>
        </c:ser>
        <c:axId val="42155002"/>
        <c:axId val="1163106313"/>
      </c:lineChart>
      <c:catAx>
        <c:axId val="421550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3106313"/>
      </c:catAx>
      <c:valAx>
        <c:axId val="11631063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155002"/>
      </c:valAx>
    </c:plotArea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euro spend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Jaren!$U$1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Jaren!$Q$2:$Q$10</c:f>
            </c:strRef>
          </c:cat>
          <c:val>
            <c:numRef>
              <c:f>Jaren!$U$2:$U$10</c:f>
              <c:numCache/>
            </c:numRef>
          </c:val>
        </c:ser>
        <c:axId val="115775810"/>
        <c:axId val="1481434974"/>
      </c:barChart>
      <c:catAx>
        <c:axId val="1157758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1434974"/>
      </c:catAx>
      <c:valAx>
        <c:axId val="14814349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euro spend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7758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Jaren!$V$1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Jaren!$U$2:$U$10</c:f>
            </c:numRef>
          </c:xVal>
          <c:yVal>
            <c:numRef>
              <c:f>Jaren!$V$2:$V$10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1904735"/>
        <c:axId val="526326268"/>
      </c:scatterChart>
      <c:valAx>
        <c:axId val="173190473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euro spend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6326268"/>
      </c:valAx>
      <c:valAx>
        <c:axId val="526326268"/>
        <c:scaling>
          <c:orientation val="minMax"/>
          <c:max val="3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cost/wear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19047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'Aantal keer gedragen over tijd'!$A$3</c:f>
            </c:strRef>
          </c:tx>
          <c:spPr>
            <a:ln cmpd="sng">
              <a:solidFill>
                <a:srgbClr val="7F6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'Aantal keer gedragen over tijd'!$B$2:$H$2</c:f>
            </c:strRef>
          </c:cat>
          <c:val>
            <c:numRef>
              <c:f>'Aantal keer gedragen over tijd'!$B$3:$H$3</c:f>
              <c:numCache/>
            </c:numRef>
          </c:val>
          <c:smooth val="0"/>
        </c:ser>
        <c:ser>
          <c:idx val="1"/>
          <c:order val="1"/>
          <c:tx>
            <c:strRef>
              <c:f>'Aantal keer gedragen over tijd'!$A$4</c:f>
            </c:strRef>
          </c:tx>
          <c:spPr>
            <a:ln cmpd="sng">
              <a:solidFill>
                <a:srgbClr val="00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'Aantal keer gedragen over tijd'!$B$2:$H$2</c:f>
            </c:strRef>
          </c:cat>
          <c:val>
            <c:numRef>
              <c:f>'Aantal keer gedragen over tijd'!$B$4:$H$4</c:f>
              <c:numCache/>
            </c:numRef>
          </c:val>
          <c:smooth val="0"/>
        </c:ser>
        <c:ser>
          <c:idx val="2"/>
          <c:order val="2"/>
          <c:tx>
            <c:strRef>
              <c:f>'Aantal keer gedragen over tijd'!$A$5</c:f>
            </c:strRef>
          </c:tx>
          <c:spPr>
            <a:ln cmpd="sng">
              <a:solidFill>
                <a:srgbClr val="CCCCCC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'Aantal keer gedragen over tijd'!$B$2:$H$2</c:f>
            </c:strRef>
          </c:cat>
          <c:val>
            <c:numRef>
              <c:f>'Aantal keer gedragen over tijd'!$B$5:$H$5</c:f>
              <c:numCache/>
            </c:numRef>
          </c:val>
          <c:smooth val="0"/>
        </c:ser>
        <c:ser>
          <c:idx val="3"/>
          <c:order val="3"/>
          <c:tx>
            <c:strRef>
              <c:f>'Aantal keer gedragen over tijd'!$A$11</c:f>
            </c:strRef>
          </c:tx>
          <c:spPr>
            <a:ln cmpd="sng">
              <a:solidFill>
                <a:srgbClr val="4A86E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'Aantal keer gedragen over tijd'!$B$2:$H$2</c:f>
            </c:strRef>
          </c:cat>
          <c:val>
            <c:numRef>
              <c:f>'Aantal keer gedragen over tijd'!$B$11:$H$11</c:f>
              <c:numCache/>
            </c:numRef>
          </c:val>
          <c:smooth val="0"/>
        </c:ser>
        <c:ser>
          <c:idx val="4"/>
          <c:order val="4"/>
          <c:tx>
            <c:strRef>
              <c:f>'Aantal keer gedragen over tijd'!$A$20</c:f>
            </c:strRef>
          </c:tx>
          <c:spPr>
            <a:ln cmpd="sng">
              <a:solidFill>
                <a:srgbClr val="F3F3F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'Aantal keer gedragen over tijd'!$B$2:$H$2</c:f>
            </c:strRef>
          </c:cat>
          <c:val>
            <c:numRef>
              <c:f>'Aantal keer gedragen over tijd'!$B$20:$H$20</c:f>
              <c:numCache/>
            </c:numRef>
          </c:val>
          <c:smooth val="0"/>
        </c:ser>
        <c:ser>
          <c:idx val="5"/>
          <c:order val="5"/>
          <c:tx>
            <c:strRef>
              <c:f>'Aantal keer gedragen over tijd'!$A$58</c:f>
            </c:strRef>
          </c:tx>
          <c:spPr>
            <a:ln cmpd="sng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'Aantal keer gedragen over tijd'!$B$2:$H$2</c:f>
            </c:strRef>
          </c:cat>
          <c:val>
            <c:numRef>
              <c:f>'Aantal keer gedragen over tijd'!$B$58:$H$58</c:f>
              <c:numCache/>
            </c:numRef>
          </c:val>
          <c:smooth val="0"/>
        </c:ser>
        <c:ser>
          <c:idx val="6"/>
          <c:order val="6"/>
          <c:tx>
            <c:strRef>
              <c:f>'Aantal keer gedragen over tijd'!$A$75</c:f>
            </c:strRef>
          </c:tx>
          <c:spPr>
            <a:ln cmpd="sng">
              <a:solidFill>
                <a:srgbClr val="FFD9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'Aantal keer gedragen over tijd'!$B$2:$H$2</c:f>
            </c:strRef>
          </c:cat>
          <c:val>
            <c:numRef>
              <c:f>'Aantal keer gedragen over tijd'!$B$75:$H$75</c:f>
              <c:numCache/>
            </c:numRef>
          </c:val>
          <c:smooth val="0"/>
        </c:ser>
        <c:ser>
          <c:idx val="7"/>
          <c:order val="7"/>
          <c:tx>
            <c:strRef>
              <c:f>'Aantal keer gedragen over tijd'!$A$71</c:f>
            </c:strRef>
          </c:tx>
          <c:spPr>
            <a:ln cmpd="sng">
              <a:solidFill>
                <a:srgbClr val="FF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'Aantal keer gedragen over tijd'!$B$2:$H$2</c:f>
            </c:strRef>
          </c:cat>
          <c:val>
            <c:numRef>
              <c:f>'Aantal keer gedragen over tijd'!$B$71:$H$71</c:f>
              <c:numCache/>
            </c:numRef>
          </c:val>
          <c:smooth val="0"/>
        </c:ser>
        <c:axId val="1932295926"/>
        <c:axId val="1752255070"/>
      </c:lineChart>
      <c:catAx>
        <c:axId val="19322959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2255070"/>
      </c:catAx>
      <c:valAx>
        <c:axId val="17522550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22959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chart" Target="../charts/chart13.xml"/><Relationship Id="rId4" Type="http://schemas.openxmlformats.org/officeDocument/2006/relationships/chart" Target="../charts/chart14.xml"/><Relationship Id="rId5" Type="http://schemas.openxmlformats.org/officeDocument/2006/relationships/chart" Target="../charts/chart1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172450" cy="5057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28</xdr:row>
      <xdr:rowOff>28575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46</xdr:row>
      <xdr:rowOff>133350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64</xdr:row>
      <xdr:rowOff>171450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371475</xdr:colOff>
      <xdr:row>88</xdr:row>
      <xdr:rowOff>47625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9525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904875</xdr:colOff>
      <xdr:row>2</xdr:row>
      <xdr:rowOff>9525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19</xdr:row>
      <xdr:rowOff>142875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904875</xdr:colOff>
      <xdr:row>19</xdr:row>
      <xdr:rowOff>142875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9525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210050" cy="260032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361950</xdr:colOff>
      <xdr:row>0</xdr:row>
      <xdr:rowOff>0</xdr:rowOff>
    </xdr:from>
    <xdr:ext cx="4210050" cy="260032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14</xdr:row>
      <xdr:rowOff>9525</xdr:rowOff>
    </xdr:from>
    <xdr:ext cx="8086725" cy="500062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723900</xdr:colOff>
      <xdr:row>0</xdr:row>
      <xdr:rowOff>0</xdr:rowOff>
    </xdr:from>
    <xdr:ext cx="4210050" cy="260032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723900</xdr:colOff>
      <xdr:row>13</xdr:row>
      <xdr:rowOff>0</xdr:rowOff>
    </xdr:from>
    <xdr:ext cx="4210050" cy="260032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733425</xdr:colOff>
      <xdr:row>2</xdr:row>
      <xdr:rowOff>190500</xdr:rowOff>
    </xdr:from>
    <xdr:ext cx="8858250" cy="5476875"/>
    <xdr:graphicFrame>
      <xdr:nvGraphicFramePr>
        <xdr:cNvPr id="16" name="Chart 16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10" displayName="Table1" name="Table1" id="1">
  <tableColumns count="8">
    <tableColumn name="Naam" id="1"/>
    <tableColumn name="Prijs" id="2"/>
    <tableColumn name="Datum" id="3"/>
    <tableColumn name="Type" id="4"/>
    <tableColumn name="Aantal keer gedragen" id="5"/>
    <tableColumn name="Cost/wear" id="6"/>
    <tableColumn name="Uit kledingkast" id="7"/>
    <tableColumn name="Prijs voor verkocht" id="8"/>
  </tableColumns>
  <tableStyleInfo name="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29.5"/>
  </cols>
  <sheetData>
    <row r="2">
      <c r="K2" s="1" t="s">
        <v>0</v>
      </c>
      <c r="L2" s="2">
        <f>'Prijslijst kleding'!E2</f>
        <v>0.1</v>
      </c>
      <c r="M2" s="2">
        <f>'Prijslijst kleding'!B2</f>
        <v>22.5</v>
      </c>
    </row>
    <row r="3">
      <c r="K3" s="3" t="str">
        <f>'Prijslijst kleding'!A3</f>
        <v>Nette broek zwart</v>
      </c>
      <c r="L3" s="2">
        <f>'Prijslijst kleding'!E3</f>
        <v>0</v>
      </c>
      <c r="M3" s="2">
        <f>'Prijslijst kleding'!B3</f>
        <v>0</v>
      </c>
    </row>
    <row r="4">
      <c r="K4" s="3" t="str">
        <f>'Prijslijst kleding'!A4</f>
        <v>Dickies 874 zwart</v>
      </c>
      <c r="L4" s="2">
        <f>'Prijslijst kleding'!E4</f>
        <v>0.29</v>
      </c>
      <c r="M4" s="2">
        <f>'Prijslijst kleding'!B4</f>
        <v>69</v>
      </c>
    </row>
    <row r="5">
      <c r="K5" s="3" t="str">
        <f>'Prijslijst kleding'!A5</f>
        <v>Nette broek groen</v>
      </c>
      <c r="L5" s="2">
        <f>'Prijslijst kleding'!E5</f>
        <v>0.43</v>
      </c>
      <c r="M5" s="2">
        <f>'Prijslijst kleding'!B5</f>
        <v>16</v>
      </c>
    </row>
    <row r="6">
      <c r="K6" s="3" t="str">
        <f>'Prijslijst kleding'!A6</f>
        <v>Double pleaded beige linnen</v>
      </c>
      <c r="L6" s="2">
        <f>'Prijslijst kleding'!E6</f>
        <v>10</v>
      </c>
      <c r="M6" s="2">
        <f>'Prijslijst kleding'!B6</f>
        <v>50</v>
      </c>
    </row>
    <row r="7">
      <c r="K7" s="3" t="str">
        <f>'Prijslijst kleding'!A7</f>
        <v>Blauwe linnen broek</v>
      </c>
      <c r="L7" s="2">
        <f>'Prijslijst kleding'!E7</f>
        <v>0.76</v>
      </c>
      <c r="M7" s="2">
        <f>'Prijslijst kleding'!B7</f>
        <v>49.9</v>
      </c>
    </row>
    <row r="8">
      <c r="K8" s="3" t="str">
        <f>'Prijslijst kleding'!A8</f>
        <v>Spijkerbroek 20 euro</v>
      </c>
      <c r="L8" s="2">
        <f>'Prijslijst kleding'!E8</f>
        <v>0.17</v>
      </c>
      <c r="M8" s="2">
        <f>'Prijslijst kleding'!B8</f>
        <v>20</v>
      </c>
    </row>
    <row r="9">
      <c r="K9" s="3" t="str">
        <f>'Prijslijst kleding'!A9</f>
        <v>Spijkerbroek lichtblauw papa</v>
      </c>
      <c r="L9" s="2">
        <f>'Prijslijst kleding'!E9</f>
        <v>0</v>
      </c>
      <c r="M9" s="2">
        <f>'Prijslijst kleding'!B9</f>
        <v>0</v>
      </c>
    </row>
    <row r="10">
      <c r="K10" s="1" t="s">
        <v>1</v>
      </c>
      <c r="L10" s="2">
        <f>'Prijslijst kleding'!E10</f>
        <v>0.17</v>
      </c>
      <c r="M10" s="2">
        <f>'Prijslijst kleding'!B10</f>
        <v>37.44</v>
      </c>
    </row>
    <row r="11">
      <c r="K11" s="3" t="str">
        <f>'Prijslijst kleding'!A11</f>
        <v>Donkerblauwe spijkerbroek levi's</v>
      </c>
      <c r="L11" s="2">
        <f>'Prijslijst kleding'!E11</f>
        <v>0.81</v>
      </c>
      <c r="M11" s="2">
        <f>'Prijslijst kleding'!B11</f>
        <v>34.04</v>
      </c>
    </row>
    <row r="12">
      <c r="K12" s="3" t="str">
        <f>'Prijslijst kleding'!A12</f>
        <v>Beige levi's</v>
      </c>
      <c r="L12" s="2">
        <f>'Prijslijst kleding'!E12</f>
        <v>0.21</v>
      </c>
      <c r="M12" s="2">
        <f>'Prijslijst kleding'!B12</f>
        <v>28.12</v>
      </c>
    </row>
    <row r="13">
      <c r="K13" s="3" t="str">
        <f>'Prijslijst kleding'!A14</f>
        <v>Joggingbroek zwart/groene strepen</v>
      </c>
      <c r="L13" s="2">
        <f>'Prijslijst kleding'!E14</f>
        <v>1.19</v>
      </c>
      <c r="M13" s="2">
        <f>'Prijslijst kleding'!B14</f>
        <v>50</v>
      </c>
    </row>
    <row r="14">
      <c r="K14" s="3" t="str">
        <f>'Prijslijst kleding'!A15</f>
        <v>Pyjama' broek</v>
      </c>
      <c r="L14" s="2">
        <f>'Prijslijst kleding'!E15</f>
        <v>0.25</v>
      </c>
      <c r="M14" s="2">
        <f>'Prijslijst kleding'!B15</f>
        <v>30</v>
      </c>
    </row>
    <row r="15">
      <c r="K15" s="3" t="str">
        <f>'Prijslijst kleding'!A16</f>
        <v>Bruine korte broek</v>
      </c>
      <c r="L15" s="2">
        <f>'Prijslijst kleding'!E16</f>
        <v>0.28</v>
      </c>
      <c r="M15" s="2">
        <f>'Prijslijst kleding'!B16</f>
        <v>20</v>
      </c>
    </row>
    <row r="16">
      <c r="K16" s="3" t="str">
        <f>'Prijslijst kleding'!A17</f>
        <v>Beige korte broek</v>
      </c>
      <c r="L16" s="2">
        <f>'Prijslijst kleding'!E17</f>
        <v>0.25</v>
      </c>
      <c r="M16" s="2">
        <f>'Prijslijst kleding'!B17</f>
        <v>20</v>
      </c>
    </row>
    <row r="17">
      <c r="K17" s="3" t="str">
        <f>'Prijslijst kleding'!A18</f>
        <v>Blauwe pantalon pak</v>
      </c>
      <c r="L17" s="2">
        <f>'Prijslijst kleding'!E18</f>
        <v>2.69</v>
      </c>
      <c r="M17" s="2">
        <f>'Prijslijst kleding'!B18</f>
        <v>161.25</v>
      </c>
    </row>
    <row r="18">
      <c r="K18" s="3" t="str">
        <f>'Prijslijst kleding'!A19</f>
        <v>Blauwe korte broek</v>
      </c>
      <c r="L18" s="2">
        <f>'Prijslijst kleding'!E19</f>
        <v>0.26</v>
      </c>
      <c r="M18" s="2">
        <f>'Prijslijst kleding'!B19</f>
        <v>5.95</v>
      </c>
    </row>
    <row r="19">
      <c r="K19" s="3" t="str">
        <f>'Prijslijst kleding'!A20</f>
        <v>Decathlon Fitness short</v>
      </c>
      <c r="L19" s="2">
        <f>'Prijslijst kleding'!E20</f>
        <v>0.36</v>
      </c>
      <c r="M19" s="2">
        <f>'Prijslijst kleding'!B20</f>
        <v>22.98</v>
      </c>
    </row>
    <row r="20">
      <c r="K20" s="3" t="str">
        <f>'Prijslijst kleding'!G2</f>
        <v>Wit t-shirt</v>
      </c>
      <c r="L20" s="2">
        <f>'Prijslijst kleding'!K2</f>
        <v>0.04</v>
      </c>
      <c r="M20" s="2">
        <f>'Prijslijst kleding'!H2</f>
        <v>30</v>
      </c>
    </row>
    <row r="21">
      <c r="K21" s="3" t="str">
        <f>'Prijslijst kleding'!G3</f>
        <v>Wit t-shirt uniqlo</v>
      </c>
      <c r="L21" s="2">
        <f>'Prijslijst kleding'!K3</f>
        <v>0.52</v>
      </c>
      <c r="M21" s="2">
        <f>'Prijslijst kleding'!H3</f>
        <v>139.5</v>
      </c>
    </row>
    <row r="22">
      <c r="K22" s="3" t="str">
        <f>'Prijslijst kleding'!G4</f>
        <v>Wit Fila t-shirt</v>
      </c>
      <c r="L22" s="2">
        <f>'Prijslijst kleding'!K4</f>
        <v>0.23</v>
      </c>
      <c r="M22" s="2">
        <f>'Prijslijst kleding'!H4</f>
        <v>20</v>
      </c>
    </row>
    <row r="23">
      <c r="K23" s="1" t="s">
        <v>2</v>
      </c>
      <c r="L23" s="2">
        <f>'Prijslijst kleding'!K5</f>
        <v>0.14</v>
      </c>
      <c r="M23" s="2">
        <f>'Prijslijst kleding'!H5</f>
        <v>30</v>
      </c>
    </row>
    <row r="24">
      <c r="K24" s="1" t="s">
        <v>3</v>
      </c>
      <c r="L24" s="2">
        <f>'Prijslijst kleding'!K6</f>
        <v>0.24</v>
      </c>
      <c r="M24" s="2">
        <f>'Prijslijst kleding'!H6</f>
        <v>20</v>
      </c>
    </row>
    <row r="25">
      <c r="K25" s="1" t="s">
        <v>4</v>
      </c>
      <c r="L25" s="2">
        <f>'Prijslijst kleding'!K7</f>
        <v>0.77</v>
      </c>
      <c r="M25" s="2">
        <f>'Prijslijst kleding'!H7</f>
        <v>29.95</v>
      </c>
    </row>
    <row r="26">
      <c r="K26" s="3" t="str">
        <f>'Prijslijst kleding'!G8</f>
        <v>The Good Life t-shirt</v>
      </c>
      <c r="L26" s="2">
        <f>'Prijslijst kleding'!K8</f>
        <v>0.46</v>
      </c>
      <c r="M26" s="2">
        <f>'Prijslijst kleding'!H8</f>
        <v>19.95</v>
      </c>
    </row>
    <row r="27">
      <c r="K27" s="3" t="str">
        <f>'Prijslijst kleding'!G9</f>
        <v>Mclaren t-shirt</v>
      </c>
      <c r="L27" s="2">
        <f>'Prijslijst kleding'!K9</f>
        <v>0.61</v>
      </c>
      <c r="M27" s="2">
        <f>'Prijslijst kleding'!H9</f>
        <v>22.44</v>
      </c>
    </row>
    <row r="28">
      <c r="K28" s="3" t="str">
        <f>'Prijslijst kleding'!G10</f>
        <v>Utah t-shirt</v>
      </c>
      <c r="L28" s="2">
        <f>'Prijslijst kleding'!K10</f>
        <v>0.42</v>
      </c>
      <c r="M28" s="2">
        <f>'Prijslijst kleding'!H10</f>
        <v>11.76</v>
      </c>
    </row>
    <row r="29">
      <c r="K29" s="3" t="str">
        <f>'Prijslijst kleding'!G11</f>
        <v>Bruin t-shirt</v>
      </c>
      <c r="L29" s="2">
        <f>'Prijslijst kleding'!K11</f>
        <v>0.34</v>
      </c>
      <c r="M29" s="2">
        <f>'Prijslijst kleding'!H11</f>
        <v>15</v>
      </c>
    </row>
    <row r="30">
      <c r="K30" s="3" t="str">
        <f>'Prijslijst kleding'!G12</f>
        <v>Bruin vis t-shirt</v>
      </c>
      <c r="L30" s="2">
        <f>'Prijslijst kleding'!K12</f>
        <v>2.5</v>
      </c>
      <c r="M30" s="2">
        <f>'Prijslijst kleding'!H12</f>
        <v>24</v>
      </c>
    </row>
    <row r="31">
      <c r="K31" s="3" t="str">
        <f>'Prijslijst kleding'!G13</f>
        <v>Groen t-shirt</v>
      </c>
      <c r="L31" s="2">
        <f>'Prijslijst kleding'!K13</f>
        <v>0.71</v>
      </c>
      <c r="M31" s="2">
        <f>'Prijslijst kleding'!H13</f>
        <v>20</v>
      </c>
    </row>
    <row r="32">
      <c r="K32" s="3" t="str">
        <f>'Prijslijst kleding'!G14</f>
        <v>Rood t-shirt</v>
      </c>
      <c r="L32" s="2">
        <f>'Prijslijst kleding'!K14</f>
        <v>3.33</v>
      </c>
      <c r="M32" s="2">
        <f>'Prijslijst kleding'!H14</f>
        <v>20</v>
      </c>
    </row>
    <row r="33">
      <c r="K33" s="3" t="str">
        <f>'Prijslijst kleding'!G15</f>
        <v>Grijs t-shirt</v>
      </c>
      <c r="L33" s="2">
        <f>'Prijslijst kleding'!K15</f>
        <v>0.87</v>
      </c>
      <c r="M33" s="2">
        <f>'Prijslijst kleding'!H15</f>
        <v>20</v>
      </c>
    </row>
    <row r="34">
      <c r="K34" s="3" t="str">
        <f>'Prijslijst kleding'!M2</f>
        <v>Groene trui knitted</v>
      </c>
      <c r="L34" s="2">
        <f>'Prijslijst kleding'!Q2</f>
        <v>0.54</v>
      </c>
      <c r="M34" s="2">
        <f>'Prijslijst kleding'!N2</f>
        <v>38.5</v>
      </c>
    </row>
    <row r="35">
      <c r="K35" s="3" t="str">
        <f>'Prijslijst kleding'!M3</f>
        <v>Witte trui knitted</v>
      </c>
      <c r="L35" s="2">
        <f>'Prijslijst kleding'!Q3</f>
        <v>0.49</v>
      </c>
      <c r="M35" s="2">
        <f>'Prijslijst kleding'!N3</f>
        <v>40</v>
      </c>
    </row>
    <row r="36">
      <c r="K36" s="3" t="str">
        <f>'Prijslijst kleding'!M4</f>
        <v>Coltrui wit</v>
      </c>
      <c r="L36" s="2">
        <f>'Prijslijst kleding'!Q4</f>
        <v>3.5</v>
      </c>
      <c r="M36" s="2">
        <f>'Prijslijst kleding'!N4</f>
        <v>35</v>
      </c>
    </row>
    <row r="37">
      <c r="K37" s="3" t="str">
        <f>'Prijslijst kleding'!M5</f>
        <v>Grijze trui, witte strepen</v>
      </c>
      <c r="L37" s="2">
        <f>'Prijslijst kleding'!Q5</f>
        <v>1.33</v>
      </c>
      <c r="M37" s="2">
        <f>'Prijslijst kleding'!N5</f>
        <v>40</v>
      </c>
    </row>
    <row r="38">
      <c r="K38" s="3" t="str">
        <f>'Prijslijst kleding'!M6</f>
        <v>Groene trui strepen</v>
      </c>
      <c r="L38" s="2">
        <f>'Prijslijst kleding'!Q6</f>
        <v>0.63</v>
      </c>
      <c r="M38" s="2">
        <f>'Prijslijst kleding'!N6</f>
        <v>40</v>
      </c>
    </row>
    <row r="39">
      <c r="K39" s="3" t="str">
        <f>'Prijslijst kleding'!M7</f>
        <v>Groene superdry trui</v>
      </c>
      <c r="L39" s="2">
        <f>'Prijslijst kleding'!Q7</f>
        <v>0.79</v>
      </c>
      <c r="M39" s="2">
        <f>'Prijslijst kleding'!N7</f>
        <v>22</v>
      </c>
    </row>
    <row r="40">
      <c r="K40" s="3" t="str">
        <f>'Prijslijst kleding'!M8</f>
        <v>Grijze trui</v>
      </c>
      <c r="L40" s="2">
        <f>'Prijslijst kleding'!Q8</f>
        <v>7</v>
      </c>
      <c r="M40" s="2">
        <f>'Prijslijst kleding'!N8</f>
        <v>35</v>
      </c>
    </row>
    <row r="41">
      <c r="K41" s="3" t="str">
        <f>'Prijslijst kleding'!M9</f>
        <v>Gele trui</v>
      </c>
      <c r="L41" s="2">
        <f>'Prijslijst kleding'!Q9</f>
        <v>0.73</v>
      </c>
      <c r="M41" s="2">
        <f>'Prijslijst kleding'!N9</f>
        <v>40</v>
      </c>
    </row>
    <row r="42">
      <c r="K42" s="3" t="str">
        <f>'Prijslijst kleding'!M10</f>
        <v>Beige trui</v>
      </c>
      <c r="L42" s="2">
        <f>'Prijslijst kleding'!Q10</f>
        <v>0.34</v>
      </c>
      <c r="M42" s="2">
        <f>'Prijslijst kleding'!N10</f>
        <v>19.95</v>
      </c>
    </row>
    <row r="43">
      <c r="K43" s="3" t="str">
        <f>'Prijslijst kleding'!M11</f>
        <v>Bruine trui</v>
      </c>
      <c r="L43" s="2">
        <f>'Prijslijst kleding'!Q11</f>
        <v>0.31</v>
      </c>
      <c r="M43" s="2">
        <f>'Prijslijst kleding'!N11</f>
        <v>9.9</v>
      </c>
    </row>
    <row r="44">
      <c r="K44" s="3" t="str">
        <f>'Prijslijst kleding'!M12</f>
        <v>Lichtgroene trui</v>
      </c>
      <c r="L44" s="2">
        <f>'Prijslijst kleding'!Q12</f>
        <v>0.26</v>
      </c>
      <c r="M44" s="2">
        <f>'Prijslijst kleding'!N12</f>
        <v>19.95</v>
      </c>
    </row>
    <row r="45">
      <c r="K45" s="3" t="str">
        <f>'Prijslijst kleding'!M13</f>
        <v>Bruine fleece trui</v>
      </c>
      <c r="L45" s="2">
        <f>'Prijslijst kleding'!Q13</f>
        <v>0.53</v>
      </c>
      <c r="M45" s="2">
        <f>'Prijslijst kleding'!N13</f>
        <v>35.1</v>
      </c>
    </row>
    <row r="46">
      <c r="K46" s="3" t="str">
        <f>'Prijslijst kleding'!M14</f>
        <v>Rode fleece trui</v>
      </c>
      <c r="L46" s="2">
        <f>'Prijslijst kleding'!Q14</f>
        <v>0.67</v>
      </c>
      <c r="M46" s="2">
        <f>'Prijslijst kleding'!N14</f>
        <v>19.3</v>
      </c>
    </row>
    <row r="47">
      <c r="K47" s="3" t="str">
        <f>'Prijslijst kleding'!M15</f>
        <v>Beige ralph lauren fleece</v>
      </c>
      <c r="L47" s="2">
        <f>'Prijslijst kleding'!Q15</f>
        <v>0.67</v>
      </c>
      <c r="M47" s="2">
        <f>'Prijslijst kleding'!N15</f>
        <v>35.39</v>
      </c>
    </row>
    <row r="48">
      <c r="K48" s="3" t="str">
        <f>'Prijslijst kleding'!M16</f>
        <v>Rode Sweater</v>
      </c>
      <c r="L48" s="2">
        <f>'Prijslijst kleding'!Q16</f>
        <v>0.15</v>
      </c>
      <c r="M48" s="2">
        <f>'Prijslijst kleding'!N16</f>
        <v>15</v>
      </c>
    </row>
    <row r="49">
      <c r="K49" s="3" t="str">
        <f>'Prijslijst kleding'!M17</f>
        <v>Grijze Uniqlo sweater</v>
      </c>
      <c r="L49" s="2">
        <f>'Prijslijst kleding'!Q17</f>
        <v>0.89</v>
      </c>
      <c r="M49" s="2">
        <f>'Prijslijst kleding'!N17</f>
        <v>39.9</v>
      </c>
    </row>
    <row r="50">
      <c r="K50" s="3" t="str">
        <f>'Prijslijst kleding'!M18</f>
        <v>Ralph Lauren Sweater</v>
      </c>
      <c r="L50" s="2">
        <f>'Prijslijst kleding'!Q18</f>
        <v>0.43</v>
      </c>
      <c r="M50" s="2">
        <f>'Prijslijst kleding'!N18</f>
        <v>41.14</v>
      </c>
    </row>
    <row r="51">
      <c r="K51" s="3" t="str">
        <f>'Prijslijst kleding'!M19</f>
        <v>Grijze Ralph Lauren Sweater</v>
      </c>
      <c r="L51" s="2">
        <f>'Prijslijst kleding'!Q19</f>
        <v>0.7</v>
      </c>
      <c r="M51" s="2">
        <f>'Prijslijst kleding'!N19</f>
        <v>37.97</v>
      </c>
    </row>
    <row r="52">
      <c r="K52" s="3" t="str">
        <f>'Prijslijst kleding'!M20</f>
        <v>Grijze ralph lauren polo</v>
      </c>
      <c r="L52" s="2">
        <f>'Prijslijst kleding'!Q20</f>
        <v>0.8</v>
      </c>
      <c r="M52" s="2">
        <f>'Prijslijst kleding'!N20</f>
        <v>19.25</v>
      </c>
    </row>
    <row r="53">
      <c r="K53" s="3" t="str">
        <f>'Prijslijst kleding'!M21</f>
        <v>Blauwe lange mouwen polo</v>
      </c>
      <c r="L53" s="2">
        <f>'Prijslijst kleding'!Q21</f>
        <v>0.35</v>
      </c>
      <c r="M53" s="2">
        <f>'Prijslijst kleding'!N21</f>
        <v>20.69</v>
      </c>
    </row>
    <row r="54">
      <c r="K54" s="3" t="str">
        <f>'Prijslijst kleding'!M22</f>
        <v>Rood vest</v>
      </c>
      <c r="L54" s="2">
        <f>'Prijslijst kleding'!Q22</f>
        <v>0.6</v>
      </c>
      <c r="M54" s="2">
        <f>'Prijslijst kleding'!N22</f>
        <v>35</v>
      </c>
    </row>
    <row r="55">
      <c r="K55" s="3" t="str">
        <f>'Prijslijst kleding'!M23</f>
        <v>Zwart/rood vest</v>
      </c>
      <c r="L55" s="2">
        <f>'Prijslijst kleding'!Q23</f>
        <v>1.46</v>
      </c>
      <c r="M55" s="2">
        <f>'Prijslijst kleding'!N23</f>
        <v>35</v>
      </c>
    </row>
    <row r="56">
      <c r="K56" s="3" t="str">
        <f>'Prijslijst kleding'!M24</f>
        <v>Rood jasje</v>
      </c>
      <c r="L56" s="2">
        <f>'Prijslijst kleding'!Q24</f>
        <v>2.5</v>
      </c>
      <c r="M56" s="2">
        <f>'Prijslijst kleding'!N24</f>
        <v>40</v>
      </c>
    </row>
    <row r="57">
      <c r="K57" s="3" t="str">
        <f>'Prijslijst kleding'!M25</f>
        <v>Blauw/zwart/wit geblokt jasje</v>
      </c>
      <c r="L57" s="2">
        <f>'Prijslijst kleding'!Q25</f>
        <v>0.24</v>
      </c>
      <c r="M57" s="2">
        <f>'Prijslijst kleding'!N25</f>
        <v>25</v>
      </c>
    </row>
    <row r="58">
      <c r="K58" s="3" t="str">
        <f>'Prijslijst kleding'!M26</f>
        <v>Blauwe jas pak</v>
      </c>
      <c r="L58" s="2">
        <f>'Prijslijst kleding'!Q26</f>
        <v>7.14</v>
      </c>
      <c r="M58" s="2">
        <f>'Prijslijst kleding'!N26</f>
        <v>414.25</v>
      </c>
    </row>
    <row r="59">
      <c r="K59" s="3" t="str">
        <f>'Prijslijst kleding'!S2</f>
        <v>Oude blouse papa</v>
      </c>
      <c r="L59" s="2">
        <f>'Prijslijst kleding'!W2</f>
        <v>0</v>
      </c>
      <c r="M59" s="2">
        <f>'Prijslijst kleding'!T2</f>
        <v>0</v>
      </c>
    </row>
    <row r="60">
      <c r="K60" s="3" t="str">
        <f>'Prijslijst kleding'!S3</f>
        <v>Groene blouse</v>
      </c>
      <c r="L60" s="2">
        <f>'Prijslijst kleding'!W3</f>
        <v>0.32</v>
      </c>
      <c r="M60" s="2">
        <f>'Prijslijst kleding'!T3</f>
        <v>15.5</v>
      </c>
    </row>
    <row r="61">
      <c r="K61" s="3" t="str">
        <f>'Prijslijst kleding'!S4</f>
        <v>Blauwe blouse</v>
      </c>
      <c r="L61" s="2">
        <f>'Prijslijst kleding'!W4</f>
        <v>6</v>
      </c>
      <c r="M61" s="2">
        <f>'Prijslijst kleding'!T4</f>
        <v>30</v>
      </c>
    </row>
    <row r="62">
      <c r="K62" s="3" t="str">
        <f>'Prijslijst kleding'!S5</f>
        <v>Blauwe Ralph Lauren blouse</v>
      </c>
      <c r="L62" s="2">
        <f>'Prijslijst kleding'!W5</f>
        <v>5</v>
      </c>
      <c r="M62" s="2">
        <f>'Prijslijst kleding'!T5</f>
        <v>85</v>
      </c>
    </row>
    <row r="63">
      <c r="K63" s="3" t="str">
        <f>'Prijslijst kleding'!S6</f>
        <v>Bruine blouse</v>
      </c>
      <c r="L63" s="2">
        <f>'Prijslijst kleding'!W6</f>
        <v>3.27</v>
      </c>
      <c r="M63" s="2">
        <f>'Prijslijst kleding'!T6</f>
        <v>36</v>
      </c>
    </row>
    <row r="64">
      <c r="K64" s="3" t="str">
        <f>'Prijslijst kleding'!S7</f>
        <v>Zwarte blouse</v>
      </c>
      <c r="L64" s="2">
        <f>'Prijslijst kleding'!W7</f>
        <v>9.99</v>
      </c>
      <c r="M64" s="2">
        <f>'Prijslijst kleding'!T7</f>
        <v>39.95</v>
      </c>
    </row>
    <row r="65">
      <c r="K65" s="3" t="str">
        <f>'Prijslijst kleding'!S8</f>
        <v>Beige, v-neck, strepen</v>
      </c>
      <c r="L65" s="2">
        <f>'Prijslijst kleding'!W8</f>
        <v>1.6</v>
      </c>
      <c r="M65" s="2">
        <f>'Prijslijst kleding'!T8</f>
        <v>40</v>
      </c>
    </row>
    <row r="66">
      <c r="K66" s="3" t="str">
        <f>'Prijslijst kleding'!S9</f>
        <v>Witte blouse doorzichtig</v>
      </c>
      <c r="L66" s="2">
        <f>'Prijslijst kleding'!W9</f>
        <v>1.03</v>
      </c>
      <c r="M66" s="2">
        <f>'Prijslijst kleding'!T9</f>
        <v>30</v>
      </c>
    </row>
    <row r="67">
      <c r="K67" s="3" t="str">
        <f>'Prijslijst kleding'!S10</f>
        <v>Witte blouse, zwarte strepen</v>
      </c>
      <c r="L67" s="2">
        <f>'Prijslijst kleding'!W10</f>
        <v>8</v>
      </c>
      <c r="M67" s="2">
        <f>'Prijslijst kleding'!T10</f>
        <v>40</v>
      </c>
    </row>
    <row r="68">
      <c r="K68" s="3" t="str">
        <f>'Prijslijst kleding'!S11</f>
        <v>Witte blouse oud</v>
      </c>
      <c r="L68" s="2">
        <f>'Prijslijst kleding'!W11</f>
        <v>0</v>
      </c>
      <c r="M68" s="2">
        <f>'Prijslijst kleding'!T11</f>
        <v>0</v>
      </c>
    </row>
    <row r="69">
      <c r="K69" s="3" t="str">
        <f>'Prijslijst kleding'!S12</f>
        <v>Witte blouse Society Shop</v>
      </c>
      <c r="L69" s="2">
        <f>'Prijslijst kleding'!W12</f>
        <v>2.04</v>
      </c>
      <c r="M69" s="2">
        <f>'Prijslijst kleding'!T12</f>
        <v>73.45</v>
      </c>
    </row>
    <row r="70">
      <c r="K70" s="3" t="str">
        <f>'Prijslijst kleding'!S13</f>
        <v>Rood geblokte blouse</v>
      </c>
      <c r="L70" s="2">
        <f>'Prijslijst kleding'!W13</f>
        <v>3.6</v>
      </c>
      <c r="M70" s="2">
        <f>'Prijslijst kleding'!T13</f>
        <v>18</v>
      </c>
    </row>
    <row r="71">
      <c r="K71" s="3" t="str">
        <f>'Prijslijst kleding'!S14</f>
        <v>Beige linnen overhemd Vanda Tailors</v>
      </c>
      <c r="L71" s="2">
        <f>'Prijslijst kleding'!W14</f>
        <v>32.33</v>
      </c>
      <c r="M71" s="2">
        <f>'Prijslijst kleding'!T14</f>
        <v>32.33</v>
      </c>
    </row>
    <row r="72">
      <c r="K72" s="3" t="str">
        <f>'Prijslijst kleding'!S15</f>
        <v>Wit overhemd Vanda Tailors</v>
      </c>
      <c r="L72" s="2">
        <f>'Prijslijst kleding'!W15</f>
        <v>1.2</v>
      </c>
      <c r="M72" s="2">
        <f>'Prijslijst kleding'!T15</f>
        <v>64.66</v>
      </c>
    </row>
    <row r="73">
      <c r="K73" s="3" t="str">
        <f>'Prijslijst kleding'!S16</f>
        <v>Blauw overhemd Vanda Tailors</v>
      </c>
      <c r="L73" s="2">
        <f>'Prijslijst kleding'!W16</f>
        <v>1.8</v>
      </c>
      <c r="M73" s="2">
        <f>'Prijslijst kleding'!T16</f>
        <v>32.33</v>
      </c>
    </row>
    <row r="74">
      <c r="K74" s="3" t="str">
        <f>'Prijslijst kleding'!S17</f>
        <v>Wit smoking overhemd</v>
      </c>
      <c r="L74" s="2">
        <f>'Prijslijst kleding'!W17</f>
        <v>14.97</v>
      </c>
      <c r="M74" s="2">
        <f>'Prijslijst kleding'!T17</f>
        <v>29.95</v>
      </c>
    </row>
    <row r="75">
      <c r="K75" s="2" t="str">
        <f>'Prijslijst kleding'!S18</f>
        <v/>
      </c>
      <c r="L75" s="2" t="str">
        <f>'Prijslijst kleding'!W18</f>
        <v/>
      </c>
      <c r="M75" s="2" t="str">
        <f>'Prijslijst kleding'!T18</f>
        <v/>
      </c>
    </row>
    <row r="76">
      <c r="K76" s="2" t="str">
        <f>'Prijslijst kleding'!S19</f>
        <v/>
      </c>
      <c r="L76" s="2" t="str">
        <f>'Prijslijst kleding'!W19</f>
        <v/>
      </c>
      <c r="M76" s="2" t="str">
        <f>'Prijslijst kleding'!T19</f>
        <v/>
      </c>
    </row>
    <row r="77">
      <c r="K77" s="3" t="str">
        <f>'Prijslijst kleding'!Y2</f>
        <v>Nette lange grijze jas</v>
      </c>
      <c r="L77" s="2">
        <f>'Prijslijst kleding'!AC2</f>
        <v>0.8</v>
      </c>
      <c r="M77" s="2">
        <f>'Prijslijst kleding'!Z2</f>
        <v>197.5</v>
      </c>
    </row>
    <row r="78">
      <c r="K78" s="3" t="str">
        <f>'Prijslijst kleding'!Y3</f>
        <v>Groene winterjas</v>
      </c>
      <c r="L78" s="2">
        <f>'Prijslijst kleding'!AC3</f>
        <v>0.46</v>
      </c>
      <c r="M78" s="2">
        <f>'Prijslijst kleding'!Z3</f>
        <v>180</v>
      </c>
    </row>
    <row r="79">
      <c r="K79" s="3" t="str">
        <f>'Prijslijst kleding'!Y4</f>
        <v>Blauwe zomerjas</v>
      </c>
      <c r="L79" s="2">
        <f>'Prijslijst kleding'!AC4</f>
        <v>0.98</v>
      </c>
      <c r="M79" s="2">
        <f>'Prijslijst kleding'!Z4</f>
        <v>50</v>
      </c>
    </row>
    <row r="80">
      <c r="K80" s="3" t="str">
        <f>'Prijslijst kleding'!Y5</f>
        <v>Groene zomerjas corduroy</v>
      </c>
      <c r="L80" s="2">
        <f>'Prijslijst kleding'!AC5</f>
        <v>0.52</v>
      </c>
      <c r="M80" s="2">
        <f>'Prijslijst kleding'!Z5</f>
        <v>74.9</v>
      </c>
    </row>
    <row r="81">
      <c r="K81" s="3" t="str">
        <f>'Prijslijst kleding'!Y6</f>
        <v>Dikke spijkerjas</v>
      </c>
      <c r="L81" s="2">
        <f>'Prijslijst kleding'!AC6</f>
        <v>0.87</v>
      </c>
      <c r="M81" s="2">
        <f>'Prijslijst kleding'!Z6</f>
        <v>45</v>
      </c>
    </row>
    <row r="82">
      <c r="K82" s="3" t="str">
        <f>'Prijslijst kleding'!AE2</f>
        <v>Blauwe oud</v>
      </c>
      <c r="L82" s="2">
        <f>'Prijslijst kleding'!AI2</f>
        <v>0.32</v>
      </c>
      <c r="M82" s="2">
        <f>'Prijslijst kleding'!AF2</f>
        <v>61.25</v>
      </c>
    </row>
    <row r="83">
      <c r="K83" s="3" t="str">
        <f>'Prijslijst kleding'!AE3</f>
        <v>Bruine nette</v>
      </c>
      <c r="L83" s="2">
        <f>'Prijslijst kleding'!AI3</f>
        <v>0.77</v>
      </c>
      <c r="M83" s="2">
        <f>'Prijslijst kleding'!AF3</f>
        <v>114</v>
      </c>
    </row>
    <row r="84">
      <c r="K84" s="3" t="str">
        <f>'Prijslijst kleding'!AE4</f>
        <v>Zwarte Clarks loafers</v>
      </c>
      <c r="L84" s="2">
        <f>'Prijslijst kleding'!AI4</f>
        <v>0.62</v>
      </c>
      <c r="M84" s="2">
        <f>'Prijslijst kleding'!AF4</f>
        <v>102</v>
      </c>
    </row>
    <row r="85">
      <c r="K85" s="3" t="str">
        <f>'Prijslijst kleding'!AE5</f>
        <v>Witte gympen</v>
      </c>
      <c r="L85" s="2">
        <f>'Prijslijst kleding'!AI5</f>
        <v>0.11</v>
      </c>
      <c r="M85" s="2">
        <f>'Prijslijst kleding'!AF5</f>
        <v>15.35</v>
      </c>
    </row>
    <row r="86">
      <c r="K86" s="3" t="str">
        <f>'Prijslijst kleding'!AE6</f>
        <v>Witte fila schoenen</v>
      </c>
      <c r="L86" s="2">
        <f>'Prijslijst kleding'!AI6</f>
        <v>3.64</v>
      </c>
      <c r="M86" s="2">
        <f>'Prijslijst kleding'!AF6</f>
        <v>40</v>
      </c>
    </row>
    <row r="87">
      <c r="K87" s="3" t="str">
        <f>'Prijslijst kleding'!AE7</f>
        <v>Beige fila schoenen</v>
      </c>
      <c r="L87" s="2">
        <f>'Prijslijst kleding'!AI7</f>
        <v>0.14</v>
      </c>
      <c r="M87" s="2">
        <f>'Prijslijst kleding'!AF7</f>
        <v>30</v>
      </c>
    </row>
    <row r="88">
      <c r="K88" s="3" t="str">
        <f>'Prijslijst kleding'!AE8</f>
        <v>New Balance 1906R</v>
      </c>
      <c r="L88" s="2">
        <f>'Prijslijst kleding'!AI8</f>
        <v>0.3</v>
      </c>
      <c r="M88" s="2">
        <f>'Prijslijst kleding'!AF8</f>
        <v>83.3</v>
      </c>
    </row>
    <row r="89">
      <c r="K89" s="3" t="str">
        <f>'Prijslijst kleding'!AE9</f>
        <v>Wandelschoenen</v>
      </c>
      <c r="L89" s="2">
        <f>'Prijslijst kleding'!AI9</f>
        <v>1.43</v>
      </c>
      <c r="M89" s="2">
        <f>'Prijslijst kleding'!AF9</f>
        <v>50</v>
      </c>
    </row>
    <row r="90">
      <c r="K90" s="3" t="str">
        <f>'Prijslijst kleding'!AE10</f>
        <v>Hardloopschoenen</v>
      </c>
      <c r="L90" s="2">
        <f>'Prijslijst kleding'!AI10</f>
        <v>1.19</v>
      </c>
      <c r="M90" s="2">
        <f>'Prijslijst kleding'!AF10</f>
        <v>140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N1" s="1" t="s">
        <v>6</v>
      </c>
    </row>
    <row r="2">
      <c r="N2" s="1" t="s">
        <v>7</v>
      </c>
    </row>
    <row r="3">
      <c r="N3" s="1" t="s">
        <v>8</v>
      </c>
    </row>
    <row r="4">
      <c r="N4" s="1" t="s">
        <v>9</v>
      </c>
    </row>
    <row r="40">
      <c r="A40" s="4" t="s">
        <v>10</v>
      </c>
      <c r="E40" s="5" t="s">
        <v>11</v>
      </c>
    </row>
    <row r="41">
      <c r="A41" s="2">
        <f>IFERROR(__xludf.DUMMYFUNCTION("SMALL(FILTER(Data!$F$2:$F1000, Data!$D$2:$D1000=""broek"",Data!$F$2:$F1000&gt;0), ROW(1:10)
)"),0.1)</f>
        <v>0.1</v>
      </c>
      <c r="B41" s="3" t="str">
        <f t="array" ref="B41">_xlfn.XLOOKUP(A41,Data!$F$2:$F1000,Data!$A$2:$A1000)</f>
        <v>Bruine Curduroy broek</v>
      </c>
      <c r="E41" s="2">
        <f>IFERROR(__xludf.DUMMYFUNCTION("LARGE(FILTER(Data!$E$2:$E1000,Data!$D$2:$D1000=""Broek""),ROW(1:10))"),242.0)</f>
        <v>242</v>
      </c>
      <c r="F41" s="3" t="str">
        <f t="array" ref="F41">_xlfn.XLOOKUP(E41,Data!$E$2:$E1000,Data!$A$2:$A1000)</f>
        <v>Dickies 874 zwart</v>
      </c>
    </row>
    <row r="42">
      <c r="A42" s="2">
        <f>IFERROR(__xludf.DUMMYFUNCTION("SMALL(FILTER(Data!$F$2:$F1000, Data!$D$2:$D1000=""broek"",Data!$F$2:$F1000&gt;0), ROW(2:11)
)"),0.17)</f>
        <v>0.17</v>
      </c>
      <c r="B42" s="3" t="str">
        <f t="array" ref="B42">_xlfn.XLOOKUP(A42,Data!$F$2:$F1000,Data!$A$2:$A1000)</f>
        <v>Spijkerbroek 20 euro</v>
      </c>
      <c r="E42" s="2">
        <f>IFERROR(__xludf.DUMMYFUNCTION("LARGE(FILTER(Data!$E$2:$E1000,Data!$D$2:$D1000=""Broek""),ROW(2:11))"),225.0)</f>
        <v>225</v>
      </c>
      <c r="F42" s="3" t="str">
        <f t="array" ref="F42">_xlfn.XLOOKUP(E42,Data!$E$2:$E1000,Data!$A$2:$A1000)</f>
        <v>Bruine Curduroy broek</v>
      </c>
    </row>
    <row r="43">
      <c r="A43" s="2">
        <f>IFERROR(__xludf.DUMMYFUNCTION("SMALL(FILTER(Data!$F$2:$F1000, Data!$D$2:$D1000=""broek"",Data!$F$2:$F1000&gt;0), ROW(3:12)
)"),0.17)</f>
        <v>0.17</v>
      </c>
      <c r="B43" s="3" t="str">
        <f t="array" ref="B43">_xlfn.XLOOKUP(A43,Data!$F$2:$F1000,Data!$A$2:$A1000)</f>
        <v>Spijkerbroek 20 euro</v>
      </c>
      <c r="E43" s="2">
        <f>IFERROR(__xludf.DUMMYFUNCTION("LARGE(FILTER(Data!$E$2:$E1000,Data!$D$2:$D1000=""Broek""),ROW(3:12))"),219.0)</f>
        <v>219</v>
      </c>
      <c r="F43" s="3" t="str">
        <f t="array" ref="F43">_xlfn.XLOOKUP(E43,Data!$E$2:$E1000,Data!$A$2:$A1000)</f>
        <v>Spijkerbroek levi's</v>
      </c>
    </row>
    <row r="44">
      <c r="A44" s="2">
        <f>IFERROR(__xludf.DUMMYFUNCTION("SMALL(FILTER(Data!$F$2:$F1000, Data!$D$2:$D1000=""broek"",Data!$F$2:$F1000&gt;0), ROW(4:13)
)"),0.21)</f>
        <v>0.21</v>
      </c>
      <c r="B44" s="3" t="str">
        <f t="array" ref="B44">_xlfn.XLOOKUP(A44,Data!$F$2:$F1000,Data!$A$2:$A1000)</f>
        <v>Beige levi's</v>
      </c>
      <c r="E44" s="2">
        <f>IFERROR(__xludf.DUMMYFUNCTION("LARGE(FILTER(Data!$E$2:$E1000,Data!$D$2:$D1000=""Broek""),ROW(4:13))"),131.0)</f>
        <v>131</v>
      </c>
      <c r="F44" s="3" t="str">
        <f t="array" ref="F44">_xlfn.XLOOKUP(E44,Data!$E$2:$E1000,Data!$A$2:$A1000)</f>
        <v>Beige levi's</v>
      </c>
    </row>
    <row r="45">
      <c r="A45" s="2">
        <f>IFERROR(__xludf.DUMMYFUNCTION("SMALL(FILTER(Data!$F$2:$F1000, Data!$D$2:$D1000=""broek"",Data!$F$2:$F1000&gt;0), ROW(5:14)
)"),0.25)</f>
        <v>0.25</v>
      </c>
      <c r="B45" s="3" t="str">
        <f t="array" ref="B45">_xlfn.XLOOKUP(A45,Data!$F$2:$F1000,Data!$A$2:$A1000)</f>
        <v>Pyjama' broek</v>
      </c>
      <c r="E45" s="2">
        <f>IFERROR(__xludf.DUMMYFUNCTION("LARGE(FILTER(Data!$E$2:$E1000,Data!$D$2:$D1000=""Broek""),ROW(5:14))"),122.0)</f>
        <v>122</v>
      </c>
      <c r="F45" s="3" t="str">
        <f t="array" ref="F45">_xlfn.XLOOKUP(E45,Data!$E$2:$E1000,Data!$A$2:$A1000)</f>
        <v>Pyjama' broek</v>
      </c>
    </row>
    <row r="46">
      <c r="A46" s="2">
        <f>IFERROR(__xludf.DUMMYFUNCTION("SMALL(FILTER(Data!$F$2:$F1000, Data!$D$2:$D1000=""broek"",Data!$F$2:$F1000&gt;0), ROW(6:15)
)"),0.25)</f>
        <v>0.25</v>
      </c>
      <c r="B46" s="3" t="str">
        <f t="array" ref="B46">_xlfn.XLOOKUP(A46,Data!$F$2:$F1000,Data!$A$2:$A1000)</f>
        <v>Pyjama' broek</v>
      </c>
      <c r="E46" s="2">
        <f>IFERROR(__xludf.DUMMYFUNCTION("LARGE(FILTER(Data!$E$2:$E1000,Data!$D$2:$D1000=""Broek""),ROW(6:15))"),115.0)</f>
        <v>115</v>
      </c>
      <c r="F46" s="3" t="str">
        <f t="array" ref="F46">_xlfn.XLOOKUP(E46,Data!$E$2:$E1000,Data!$A$2:$A1000)</f>
        <v>Spijkerbroek 20 euro</v>
      </c>
    </row>
    <row r="47">
      <c r="A47" s="2">
        <f>IFERROR(__xludf.DUMMYFUNCTION("SMALL(FILTER(Data!$F$2:$F1000, Data!$D$2:$D1000=""broek"",Data!$F$2:$F1000&gt;0), ROW(7:16)
)"),0.26)</f>
        <v>0.26</v>
      </c>
      <c r="B47" s="3" t="str">
        <f t="array" ref="B47">_xlfn.XLOOKUP(A47,Data!$F$2:$F1000,Data!$A$2:$A1000)</f>
        <v>Lichtgroene trui</v>
      </c>
      <c r="E47" s="2">
        <f>IFERROR(__xludf.DUMMYFUNCTION("LARGE(FILTER(Data!$E$2:$E1000,Data!$D$2:$D1000=""Broek""),ROW(7:16))"),79.0)</f>
        <v>79</v>
      </c>
      <c r="F47" s="3" t="str">
        <f t="array" ref="F47">_xlfn.XLOOKUP(E47,Data!$E$2:$E1000,Data!$A$2:$A1000)</f>
        <v>Beige korte broek</v>
      </c>
    </row>
    <row r="48">
      <c r="A48" s="2">
        <f>IFERROR(__xludf.DUMMYFUNCTION("SMALL(FILTER(Data!$F$2:$F1000, Data!$D$2:$D1000=""broek"",Data!$F$2:$F1000&gt;0), ROW(8:17)
)"),0.28)</f>
        <v>0.28</v>
      </c>
      <c r="B48" s="3" t="str">
        <f t="array" ref="B48">_xlfn.XLOOKUP(A48,Data!$F$2:$F1000,Data!$A$2:$A1000)</f>
        <v>Bruine korte broek</v>
      </c>
      <c r="E48" s="2">
        <f>IFERROR(__xludf.DUMMYFUNCTION("LARGE(FILTER(Data!$E$2:$E1000,Data!$D$2:$D1000=""Broek""),ROW(8:17))"),71.0)</f>
        <v>71</v>
      </c>
      <c r="F48" s="3" t="str">
        <f t="array" ref="F48">_xlfn.XLOOKUP(E48,Data!$E$2:$E1000,Data!$A$2:$A1000)</f>
        <v>Bruine korte broek</v>
      </c>
    </row>
    <row r="49">
      <c r="A49" s="2">
        <f>IFERROR(__xludf.DUMMYFUNCTION("SMALL(FILTER(Data!$F$2:$F1000, Data!$D$2:$D1000=""broek"",Data!$F$2:$F1000&gt;0), ROW(9:18)
)"),0.29)</f>
        <v>0.29</v>
      </c>
      <c r="B49" s="3" t="str">
        <f t="array" ref="B49">_xlfn.XLOOKUP(A49,Data!$F$2:$F1000,Data!$A$2:$A1000)</f>
        <v>Dickies 874 zwart</v>
      </c>
      <c r="E49" s="2">
        <f>IFERROR(__xludf.DUMMYFUNCTION("LARGE(FILTER(Data!$E$2:$E1000,Data!$D$2:$D1000=""Broek""),ROW(9:18))"),66.0)</f>
        <v>66</v>
      </c>
      <c r="F49" s="3" t="str">
        <f t="array" ref="F49">_xlfn.XLOOKUP(E49,Data!$E$2:$E1000,Data!$A$2:$A1000)</f>
        <v>Blauwe linnen broek</v>
      </c>
    </row>
    <row r="50">
      <c r="A50" s="2">
        <f>IFERROR(__xludf.DUMMYFUNCTION("SMALL(FILTER(Data!$F$2:$F1000, Data!$D$2:$D1000=""broek"",Data!$F$2:$F1000&gt;0), ROW(10:19)
)"),0.36)</f>
        <v>0.36</v>
      </c>
      <c r="B50" s="3" t="str">
        <f t="array" ref="B50">_xlfn.XLOOKUP(A50,Data!$F$2:$F1000,Data!$A$2:$A1000)</f>
        <v>Decathlon Fitness short</v>
      </c>
      <c r="E50" s="2">
        <f>IFERROR(__xludf.DUMMYFUNCTION("LARGE(FILTER(Data!$E$2:$E1000,Data!$D$2:$D1000=""Broek""),ROW(10:19))"),63.0)</f>
        <v>63</v>
      </c>
      <c r="F50" s="3" t="str">
        <f t="array" ref="F50">_xlfn.XLOOKUP(E50,Data!$E$2:$E1000,Data!$A$2:$A1000)</f>
        <v>Groene trui strepen</v>
      </c>
    </row>
    <row r="52">
      <c r="A52" s="4" t="s">
        <v>12</v>
      </c>
    </row>
    <row r="54">
      <c r="A54" s="4" t="s">
        <v>10</v>
      </c>
      <c r="E54" s="5" t="s">
        <v>11</v>
      </c>
    </row>
    <row r="55">
      <c r="A55" s="2">
        <f>IFERROR(__xludf.DUMMYFUNCTION("SMALL(FILTER(Data!$F$2:$F1000, Data!$D$2:$D1000=""T-shirt"",Data!$F$2:$F1000&gt;0), ROW(1:10)
)"),0.04)</f>
        <v>0.04</v>
      </c>
      <c r="B55" s="3" t="str">
        <f t="array" ref="B55">_xlfn.XLOOKUP(A55,Data!$F$2:$F1000,Data!$A$2:$A1000)</f>
        <v>Wit t-shirt</v>
      </c>
      <c r="E55" s="2">
        <f>IFERROR(__xludf.DUMMYFUNCTION("LARGE(FILTER(Data!$E$2:$E1000,Data!$D$2:$D1000=""T-shirt""),ROW(1:10))"),741.0)</f>
        <v>741</v>
      </c>
      <c r="F55" s="3" t="str">
        <f t="array" ref="F55">_xlfn.XLOOKUP(E55,Data!$E$2:$E1000,Data!$A$2:$A1000)</f>
        <v>Wit t-shirt</v>
      </c>
    </row>
    <row r="56">
      <c r="A56" s="2">
        <f>IFERROR(__xludf.DUMMYFUNCTION("SMALL(FILTER(Data!$F$2:$F1000, Data!$D$2:$D1000=""T-shirt"",Data!$F$2:$F1000&gt;0), ROW(2:11)
)"),0.14)</f>
        <v>0.14</v>
      </c>
      <c r="B56" s="3" t="str">
        <f t="array" ref="B56">_xlfn.XLOOKUP(A56,Data!$F$2:$F1000,Data!$A$2:$A1000)</f>
        <v>Wit Nike t-shirt</v>
      </c>
      <c r="E56" s="2">
        <f>IFERROR(__xludf.DUMMYFUNCTION("LARGE(FILTER(Data!$E$2:$E1000,Data!$D$2:$D1000=""T-shirt""),ROW(2:11))"),268.0)</f>
        <v>268</v>
      </c>
      <c r="F56" s="3" t="str">
        <f t="array" ref="F56">_xlfn.XLOOKUP(E56,Data!$E$2:$E1000,Data!$A$2:$A1000)</f>
        <v>Wit t-shirt uniqlo</v>
      </c>
    </row>
    <row r="57">
      <c r="A57" s="2">
        <f>IFERROR(__xludf.DUMMYFUNCTION("SMALL(FILTER(Data!$F$2:$F1000, Data!$D$2:$D1000=""T-shirt"",Data!$F$2:$F1000&gt;0), ROW(3:12)
)"),0.23)</f>
        <v>0.23</v>
      </c>
      <c r="B57" s="3" t="str">
        <f t="array" ref="B57">_xlfn.XLOOKUP(A57,Data!$F$2:$F1000,Data!$A$2:$A1000)</f>
        <v>Wit Fila t-shirt</v>
      </c>
      <c r="E57" s="2">
        <f>IFERROR(__xludf.DUMMYFUNCTION("LARGE(FILTER(Data!$E$2:$E1000,Data!$D$2:$D1000=""T-shirt""),ROW(3:12))"),211.0)</f>
        <v>211</v>
      </c>
      <c r="F57" s="3" t="str">
        <f t="array" ref="F57">_xlfn.XLOOKUP(E57,Data!$E$2:$E1000,Data!$A$2:$A1000)</f>
        <v>Wit Nike t-shirt</v>
      </c>
    </row>
    <row r="58">
      <c r="A58" s="2">
        <f>IFERROR(__xludf.DUMMYFUNCTION("SMALL(FILTER(Data!$F$2:$F1000, Data!$D$2:$D1000=""T-shirt"",Data!$F$2:$F1000&gt;0), ROW(4:13)
)"),0.24)</f>
        <v>0.24</v>
      </c>
      <c r="B58" s="3" t="str">
        <f t="array" ref="B58">_xlfn.XLOOKUP(A58,Data!$F$2:$F1000,Data!$A$2:$A1000)</f>
        <v>Wit Lost minds Athl. Track</v>
      </c>
      <c r="E58" s="2">
        <f>IFERROR(__xludf.DUMMYFUNCTION("LARGE(FILTER(Data!$E$2:$E1000,Data!$D$2:$D1000=""T-shirt""),ROW(4:13))"),86.0)</f>
        <v>86</v>
      </c>
      <c r="F58" s="3" t="str">
        <f t="array" ref="F58">_xlfn.XLOOKUP(E58,Data!$E$2:$E1000,Data!$A$2:$A1000)</f>
        <v>Wit Fila t-shirt</v>
      </c>
    </row>
    <row r="59">
      <c r="A59" s="2">
        <f>IFERROR(__xludf.DUMMYFUNCTION("SMALL(FILTER(Data!$F$2:$F1000, Data!$D$2:$D1000=""T-shirt"",Data!$F$2:$F1000&gt;0), ROW(5:14)
)"),0.34)</f>
        <v>0.34</v>
      </c>
      <c r="B59" s="3" t="str">
        <f t="array" ref="B59">_xlfn.XLOOKUP(A59,Data!$F$2:$F1000,Data!$A$2:$A1000)</f>
        <v>Bruin t-shirt</v>
      </c>
      <c r="E59" s="2">
        <f>IFERROR(__xludf.DUMMYFUNCTION("LARGE(FILTER(Data!$E$2:$E1000,Data!$D$2:$D1000=""T-shirt""),ROW(5:14))"),82.0)</f>
        <v>82</v>
      </c>
      <c r="F59" s="3" t="str">
        <f t="array" ref="F59">_xlfn.XLOOKUP(E59,Data!$E$2:$E1000,Data!$A$2:$A1000)</f>
        <v>Wit Lost minds Athl. Track</v>
      </c>
    </row>
    <row r="60">
      <c r="A60" s="2">
        <f>IFERROR(__xludf.DUMMYFUNCTION("SMALL(FILTER(Data!$F$2:$F1000, Data!$D$2:$D1000=""T-shirt"",Data!$F$2:$F1000&gt;0), ROW(6:15)
)"),0.42)</f>
        <v>0.42</v>
      </c>
      <c r="B60" s="3" t="str">
        <f t="array" ref="B60">_xlfn.XLOOKUP(A60,Data!$F$2:$F1000,Data!$A$2:$A1000)</f>
        <v>Utah t-shirt</v>
      </c>
      <c r="E60" s="2">
        <f>IFERROR(__xludf.DUMMYFUNCTION("LARGE(FILTER(Data!$E$2:$E1000,Data!$D$2:$D1000=""T-shirt""),ROW(6:15))"),44.0)</f>
        <v>44</v>
      </c>
      <c r="F60" s="3" t="str">
        <f t="array" ref="F60">_xlfn.XLOOKUP(E60,Data!$E$2:$E1000,Data!$A$2:$A1000)</f>
        <v>Bruin t-shirt</v>
      </c>
    </row>
    <row r="61">
      <c r="A61" s="2">
        <f>IFERROR(__xludf.DUMMYFUNCTION("SMALL(FILTER(Data!$F$2:$F1000, Data!$D$2:$D1000=""T-shirt"",Data!$F$2:$F1000&gt;0), ROW(7:16)
)"),0.45)</f>
        <v>0.45</v>
      </c>
      <c r="B61" s="3" t="str">
        <f t="array" ref="B61">_xlfn.XLOOKUP(A61,Data!$F$2:$F1000,Data!$A$2:$A1000)</f>
        <v>Flowfrog t-shirt</v>
      </c>
      <c r="E61" s="2">
        <f>IFERROR(__xludf.DUMMYFUNCTION("LARGE(FILTER(Data!$E$2:$E1000,Data!$D$2:$D1000=""T-shirt""),ROW(7:16))"),43.0)</f>
        <v>43</v>
      </c>
      <c r="F61" s="3" t="str">
        <f t="array" ref="F61">_xlfn.XLOOKUP(E61,Data!$E$2:$E1000,Data!$A$2:$A1000)</f>
        <v>The Good Life t-shirt</v>
      </c>
    </row>
    <row r="62">
      <c r="A62" s="2">
        <f>IFERROR(__xludf.DUMMYFUNCTION("SMALL(FILTER(Data!$F$2:$F1000, Data!$D$2:$D1000=""T-shirt"",Data!$F$2:$F1000&gt;0), ROW(8:17)
)"),0.46)</f>
        <v>0.46</v>
      </c>
      <c r="B62" s="3" t="str">
        <f t="array" ref="B62">_xlfn.XLOOKUP(A62,Data!$F$2:$F1000,Data!$A$2:$A1000)</f>
        <v>The Good Life t-shirt</v>
      </c>
      <c r="E62" s="2">
        <f>IFERROR(__xludf.DUMMYFUNCTION("LARGE(FILTER(Data!$E$2:$E1000,Data!$D$2:$D1000=""T-shirt""),ROW(8:17))"),39.0)</f>
        <v>39</v>
      </c>
      <c r="F62" s="3" t="str">
        <f t="array" ref="F62">_xlfn.XLOOKUP(E62,Data!$E$2:$E1000,Data!$A$2:$A1000)</f>
        <v>Daily Aesthetikz t-shirt</v>
      </c>
    </row>
    <row r="63">
      <c r="A63" s="2">
        <f>IFERROR(__xludf.DUMMYFUNCTION("SMALL(FILTER(Data!$F$2:$F1000, Data!$D$2:$D1000=""T-shirt"",Data!$F$2:$F1000&gt;0), ROW(9:18)
)"),0.52)</f>
        <v>0.52</v>
      </c>
      <c r="B63" s="3" t="str">
        <f t="array" ref="B63">_xlfn.XLOOKUP(A63,Data!$F$2:$F1000,Data!$A$2:$A1000)</f>
        <v>Wit t-shirt uniqlo</v>
      </c>
      <c r="E63" s="2">
        <f>IFERROR(__xludf.DUMMYFUNCTION("LARGE(FILTER(Data!$E$2:$E1000,Data!$D$2:$D1000=""T-shirt""),ROW(9:18))"),37.0)</f>
        <v>37</v>
      </c>
      <c r="F63" s="3" t="str">
        <f t="array" ref="F63">_xlfn.XLOOKUP(E63,Data!$E$2:$E1000,Data!$A$2:$A1000)</f>
        <v>Nette broek groen</v>
      </c>
    </row>
    <row r="64">
      <c r="A64" s="2">
        <f>IFERROR(__xludf.DUMMYFUNCTION("SMALL(FILTER(Data!$F$2:$F1000, Data!$D$2:$D1000=""T-shirt"",Data!$F$2:$F1000&gt;0), ROW(10:19)
)"),0.53)</f>
        <v>0.53</v>
      </c>
      <c r="B64" s="3" t="str">
        <f t="array" ref="B64">_xlfn.XLOOKUP(A64,Data!$F$2:$F1000,Data!$A$2:$A1000)</f>
        <v>Bruine fleece trui</v>
      </c>
      <c r="E64" s="2">
        <f>IFERROR(__xludf.DUMMYFUNCTION("LARGE(FILTER(Data!$E$2:$E1000,Data!$D$2:$D1000=""T-shirt""),ROW(10:19))"),29.0)</f>
        <v>29</v>
      </c>
      <c r="F64" s="3" t="str">
        <f t="array" ref="F64">_xlfn.XLOOKUP(E64,Data!$E$2:$E1000,Data!$A$2:$A1000)</f>
        <v>Rode fleece trui</v>
      </c>
    </row>
    <row r="66">
      <c r="A66" s="4" t="s">
        <v>13</v>
      </c>
    </row>
    <row r="68">
      <c r="A68" s="4" t="s">
        <v>10</v>
      </c>
      <c r="E68" s="5" t="s">
        <v>11</v>
      </c>
    </row>
    <row r="69">
      <c r="A69" s="2">
        <f>IFERROR(__xludf.DUMMYFUNCTION("SMALL(FILTER(Data!$F$2:$F1000, Data!$D$2:$D1000=""Trui"",Data!$F$2:$F1000&gt;0), ROW(1:10)
)"),0.15)</f>
        <v>0.15</v>
      </c>
      <c r="B69" s="3" t="str">
        <f t="array" ref="B69">_xlfn.XLOOKUP(A69,Data!$F$2:$F1000,Data!$A$2:$A1000)</f>
        <v>Rode Sweater</v>
      </c>
      <c r="E69" s="2">
        <f>IFERROR(__xludf.DUMMYFUNCTION("LARGE(FILTER(Data!$E$2:$E1000,Data!$D$2:$D1000=""Trui""),ROW(1:10))"),105.0)</f>
        <v>105</v>
      </c>
      <c r="F69" s="3" t="str">
        <f t="array" ref="F69">_xlfn.XLOOKUP(E69,Data!$E$2:$E1000,Data!$A$2:$A1000)</f>
        <v>Blauw/zwart/wit geblokt jasje</v>
      </c>
    </row>
    <row r="70">
      <c r="A70" s="2">
        <f>IFERROR(__xludf.DUMMYFUNCTION("SMALL(FILTER(Data!$F$2:$F1000, Data!$D$2:$D1000=""Trui"",Data!$F$2:$F1000&gt;0), ROW(2:11)
)"),0.24)</f>
        <v>0.24</v>
      </c>
      <c r="B70" s="3" t="str">
        <f t="array" ref="B70">_xlfn.XLOOKUP(A70,Data!$F$2:$F1000,Data!$A$2:$A1000)</f>
        <v>Wit Lost minds Athl. Track</v>
      </c>
      <c r="E70" s="2">
        <f>IFERROR(__xludf.DUMMYFUNCTION("LARGE(FILTER(Data!$E$2:$E1000,Data!$D$2:$D1000=""Trui""),ROW(2:11))"),97.0)</f>
        <v>97</v>
      </c>
      <c r="F70" s="3" t="str">
        <f t="array" ref="F70">_xlfn.XLOOKUP(E70,Data!$E$2:$E1000,Data!$A$2:$A1000)</f>
        <v>Rode Sweater</v>
      </c>
    </row>
    <row r="71">
      <c r="A71" s="2">
        <f>IFERROR(__xludf.DUMMYFUNCTION("SMALL(FILTER(Data!$F$2:$F1000, Data!$D$2:$D1000=""Trui"",Data!$F$2:$F1000&gt;0), ROW(3:12)
)"),0.26)</f>
        <v>0.26</v>
      </c>
      <c r="B71" s="3" t="str">
        <f t="array" ref="B71">_xlfn.XLOOKUP(A71,Data!$F$2:$F1000,Data!$A$2:$A1000)</f>
        <v>Lichtgroene trui</v>
      </c>
      <c r="E71" s="2">
        <f>IFERROR(__xludf.DUMMYFUNCTION("LARGE(FILTER(Data!$E$2:$E1000,Data!$D$2:$D1000=""Trui""),ROW(3:12))"),96.0)</f>
        <v>96</v>
      </c>
      <c r="F71" s="3" t="str">
        <f t="array" ref="F71">_xlfn.XLOOKUP(E71,Data!$E$2:$E1000,Data!$A$2:$A1000)</f>
        <v>Ralph Lauren Sweater</v>
      </c>
    </row>
    <row r="72">
      <c r="A72" s="2">
        <f>IFERROR(__xludf.DUMMYFUNCTION("SMALL(FILTER(Data!$F$2:$F1000, Data!$D$2:$D1000=""Trui"",Data!$F$2:$F1000&gt;0), ROW(4:13)
)"),0.31)</f>
        <v>0.31</v>
      </c>
      <c r="B72" s="3" t="str">
        <f t="array" ref="B72">_xlfn.XLOOKUP(A72,Data!$F$2:$F1000,Data!$A$2:$A1000)</f>
        <v>Bruine trui</v>
      </c>
      <c r="E72" s="2">
        <f>IFERROR(__xludf.DUMMYFUNCTION("LARGE(FILTER(Data!$E$2:$E1000,Data!$D$2:$D1000=""Trui""),ROW(4:13))"),82.0)</f>
        <v>82</v>
      </c>
      <c r="F72" s="3" t="str">
        <f t="array" ref="F72">_xlfn.XLOOKUP(E72,Data!$E$2:$E1000,Data!$A$2:$A1000)</f>
        <v>Wit Lost minds Athl. Track</v>
      </c>
    </row>
    <row r="73">
      <c r="A73" s="2">
        <f>IFERROR(__xludf.DUMMYFUNCTION("SMALL(FILTER(Data!$F$2:$F1000, Data!$D$2:$D1000=""Trui"",Data!$F$2:$F1000&gt;0), ROW(5:14)
)"),0.34)</f>
        <v>0.34</v>
      </c>
      <c r="B73" s="3" t="str">
        <f t="array" ref="B73">_xlfn.XLOOKUP(A73,Data!$F$2:$F1000,Data!$A$2:$A1000)</f>
        <v>Bruin t-shirt</v>
      </c>
      <c r="E73" s="2">
        <f>IFERROR(__xludf.DUMMYFUNCTION("LARGE(FILTER(Data!$E$2:$E1000,Data!$D$2:$D1000=""Trui""),ROW(5:14))"),78.0)</f>
        <v>78</v>
      </c>
      <c r="F73" s="3" t="str">
        <f t="array" ref="F73">_xlfn.XLOOKUP(E73,Data!$E$2:$E1000,Data!$A$2:$A1000)</f>
        <v>Lichtgroene trui</v>
      </c>
    </row>
    <row r="74">
      <c r="A74" s="2">
        <f>IFERROR(__xludf.DUMMYFUNCTION("SMALL(FILTER(Data!$F$2:$F1000, Data!$D$2:$D1000=""Trui"",Data!$F$2:$F1000&gt;0), ROW(6:15)
)"),0.35)</f>
        <v>0.35</v>
      </c>
      <c r="B74" s="3" t="str">
        <f t="array" ref="B74">_xlfn.XLOOKUP(A74,Data!$F$2:$F1000,Data!$A$2:$A1000)</f>
        <v>Blauwe lange mouwen polo</v>
      </c>
      <c r="E74" s="2">
        <f>IFERROR(__xludf.DUMMYFUNCTION("LARGE(FILTER(Data!$E$2:$E1000,Data!$D$2:$D1000=""Trui""),ROW(6:15))"),71.0)</f>
        <v>71</v>
      </c>
      <c r="F74" s="3" t="str">
        <f t="array" ref="F74">_xlfn.XLOOKUP(E74,Data!$E$2:$E1000,Data!$A$2:$A1000)</f>
        <v>Bruine korte broek</v>
      </c>
    </row>
    <row r="75">
      <c r="A75" s="2">
        <f>IFERROR(__xludf.DUMMYFUNCTION("SMALL(FILTER(Data!$F$2:$F1000, Data!$D$2:$D1000=""Trui"",Data!$F$2:$F1000&gt;0), ROW(7:16)
)"),0.43)</f>
        <v>0.43</v>
      </c>
      <c r="B75" s="3" t="str">
        <f t="array" ref="B75">_xlfn.XLOOKUP(A75,Data!$F$2:$F1000,Data!$A$2:$A1000)</f>
        <v>Nette broek groen</v>
      </c>
      <c r="E75" s="2">
        <f>IFERROR(__xludf.DUMMYFUNCTION("LARGE(FILTER(Data!$E$2:$E1000,Data!$D$2:$D1000=""Trui""),ROW(7:16))"),66.0)</f>
        <v>66</v>
      </c>
      <c r="F75" s="3" t="str">
        <f t="array" ref="F75">_xlfn.XLOOKUP(E75,Data!$E$2:$E1000,Data!$A$2:$A1000)</f>
        <v>Blauwe linnen broek</v>
      </c>
    </row>
    <row r="76">
      <c r="A76" s="2">
        <f>IFERROR(__xludf.DUMMYFUNCTION("SMALL(FILTER(Data!$F$2:$F1000, Data!$D$2:$D1000=""Trui"",Data!$F$2:$F1000&gt;0), ROW(8:17)
)"),0.49)</f>
        <v>0.49</v>
      </c>
      <c r="B76" s="3" t="str">
        <f t="array" ref="B76">_xlfn.XLOOKUP(A76,Data!$F$2:$F1000,Data!$A$2:$A1000)</f>
        <v>Witte trui knitted</v>
      </c>
      <c r="E76" s="2">
        <f>IFERROR(__xludf.DUMMYFUNCTION("LARGE(FILTER(Data!$E$2:$E1000,Data!$D$2:$D1000=""Trui""),ROW(8:17))"),63.0)</f>
        <v>63</v>
      </c>
      <c r="F76" s="3" t="str">
        <f t="array" ref="F76">_xlfn.XLOOKUP(E76,Data!$E$2:$E1000,Data!$A$2:$A1000)</f>
        <v>Groene trui strepen</v>
      </c>
    </row>
    <row r="77">
      <c r="A77" s="2">
        <f>IFERROR(__xludf.DUMMYFUNCTION("SMALL(FILTER(Data!$F$2:$F1000, Data!$D$2:$D1000=""Trui"",Data!$F$2:$F1000&gt;0), ROW(9:18)
)"),0.53)</f>
        <v>0.53</v>
      </c>
      <c r="B77" s="3" t="str">
        <f t="array" ref="B77">_xlfn.XLOOKUP(A77,Data!$F$2:$F1000,Data!$A$2:$A1000)</f>
        <v>Bruine fleece trui</v>
      </c>
      <c r="E77" s="2">
        <f>IFERROR(__xludf.DUMMYFUNCTION("LARGE(FILTER(Data!$E$2:$E1000,Data!$D$2:$D1000=""Trui""),ROW(9:18))"),59.0)</f>
        <v>59</v>
      </c>
      <c r="F77" s="3" t="str">
        <f t="array" ref="F77">_xlfn.XLOOKUP(E77,Data!$E$2:$E1000,Data!$A$2:$A1000)</f>
        <v>Blauwe lange mouwen polo</v>
      </c>
    </row>
    <row r="78">
      <c r="A78" s="2">
        <f>IFERROR(__xludf.DUMMYFUNCTION("SMALL(FILTER(Data!$F$2:$F1000, Data!$D$2:$D1000=""Trui"",Data!$F$2:$F1000&gt;0), ROW(10:19)
)"),0.54)</f>
        <v>0.54</v>
      </c>
      <c r="B78" s="3" t="str">
        <f t="array" ref="B78">_xlfn.XLOOKUP(A78,Data!$F$2:$F1000,Data!$A$2:$A1000)</f>
        <v>Groene trui knitted</v>
      </c>
      <c r="E78" s="2">
        <f>IFERROR(__xludf.DUMMYFUNCTION("LARGE(FILTER(Data!$E$2:$E1000,Data!$D$2:$D1000=""Trui""),ROW(10:19))"),58.0)</f>
        <v>58</v>
      </c>
      <c r="F78" s="3" t="str">
        <f t="array" ref="F78">_xlfn.XLOOKUP(E78,Data!$E$2:$E1000,Data!$A$2:$A1000)</f>
        <v>Beige trui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tr">
        <f>'Prijs verandering'!C1</f>
        <v>January 2024</v>
      </c>
      <c r="B1" s="3" t="str">
        <f>'Prijs verandering'!D1</f>
        <v>February 2024</v>
      </c>
      <c r="C1" s="3" t="str">
        <f>'Prijs verandering'!E1</f>
        <v>March 2024</v>
      </c>
      <c r="D1" s="3" t="str">
        <f>'Prijs verandering'!F1</f>
        <v>April 2024</v>
      </c>
      <c r="E1" s="3" t="str">
        <f>'Prijs verandering'!G1</f>
        <v>May 2024</v>
      </c>
      <c r="F1" s="3" t="str">
        <f>'Prijs verandering'!H1</f>
        <v>June 2024</v>
      </c>
      <c r="G1" s="3" t="str">
        <f>'Prijs verandering'!I1</f>
        <v>July 2024</v>
      </c>
      <c r="H1" s="3" t="str">
        <f>'Prijs verandering'!J1</f>
        <v>August 2024</v>
      </c>
      <c r="I1" s="3" t="str">
        <f>'Prijs verandering'!K1</f>
        <v>September 2024</v>
      </c>
      <c r="J1" s="3" t="str">
        <f>'Prijs verandering'!L1</f>
        <v>October 2024</v>
      </c>
      <c r="K1" s="3" t="str">
        <f>'Prijs verandering'!M1</f>
        <v>November 2024</v>
      </c>
      <c r="L1" s="3" t="str">
        <f>'Prijs verandering'!N1</f>
        <v>December 2024</v>
      </c>
      <c r="M1" s="3" t="str">
        <f>'Prijs verandering'!O1</f>
        <v>January 2025</v>
      </c>
      <c r="N1" s="3" t="str">
        <f>'Prijs verandering'!P1</f>
        <v>February 2025</v>
      </c>
      <c r="O1" s="3" t="str">
        <f>'Prijs verandering'!Q1</f>
        <v>March 2025</v>
      </c>
      <c r="P1" s="3" t="str">
        <f>'Prijs verandering'!R1</f>
        <v>April 2025</v>
      </c>
      <c r="Q1" s="3" t="str">
        <f>'Prijs verandering'!S1</f>
        <v>May 2025</v>
      </c>
      <c r="R1" s="3" t="str">
        <f>'Prijs verandering'!T1</f>
        <v>June 2025</v>
      </c>
      <c r="S1" s="3" t="str">
        <f>'Prijs verandering'!U1</f>
        <v>July 2025</v>
      </c>
      <c r="T1" s="3" t="str">
        <f>'Prijs verandering'!V1</f>
        <v>August 2025</v>
      </c>
      <c r="U1" s="3" t="str">
        <f>'Prijs verandering'!W1</f>
        <v>September 2025</v>
      </c>
      <c r="V1" s="3" t="str">
        <f>'Prijs verandering'!X1</f>
        <v>October 2025</v>
      </c>
      <c r="W1" s="3" t="str">
        <f>'Prijs verandering'!Y1</f>
        <v>November 2025</v>
      </c>
      <c r="X1" s="3" t="str">
        <f>'Prijs verandering'!Z1</f>
        <v>December 2025</v>
      </c>
      <c r="Y1" s="3" t="str">
        <f>'Prijs verandering'!AA1</f>
        <v>January 2026</v>
      </c>
      <c r="Z1" s="3" t="str">
        <f>'Prijs verandering'!AB1</f>
        <v>February 2026</v>
      </c>
      <c r="AA1" s="3" t="str">
        <f>'Prijs verandering'!AC1</f>
        <v>March 2026</v>
      </c>
      <c r="AB1" s="3" t="str">
        <f>'Prijs verandering'!AD1</f>
        <v/>
      </c>
      <c r="AC1" s="3" t="str">
        <f>'Prijs verandering'!AE1</f>
        <v/>
      </c>
      <c r="AD1" s="3" t="str">
        <f>'Prijs verandering'!AF1</f>
        <v/>
      </c>
      <c r="AE1" s="3" t="str">
        <f>'Prijs verandering'!AG1</f>
        <v/>
      </c>
      <c r="AF1" s="3" t="str">
        <f>'Prijs verandering'!AH1</f>
        <v/>
      </c>
    </row>
    <row r="2">
      <c r="A2" s="2">
        <f>ROUND(MEDIAN('Prijs verandering'!C2:C1000),2)</f>
        <v>0.91</v>
      </c>
      <c r="B2" s="2">
        <f>ROUND(MEDIAN('Prijs verandering'!D2:D1000),2)</f>
        <v>0.91</v>
      </c>
      <c r="C2" s="2">
        <f>ROUND(MEDIAN('Prijs verandering'!E2:E1000),2)</f>
        <v>0.91</v>
      </c>
      <c r="D2" s="2">
        <f>ROUND(MEDIAN('Prijs verandering'!F2:F1000),2)</f>
        <v>0.91</v>
      </c>
      <c r="E2" s="2">
        <f>ROUND(MEDIAN('Prijs verandering'!G2:G1000),2)</f>
        <v>0.81</v>
      </c>
      <c r="F2" s="2">
        <f>ROUND(MEDIAN('Prijs verandering'!H2:H1000),2)</f>
        <v>0.8</v>
      </c>
      <c r="G2" s="2">
        <f>ROUND(MEDIAN('Prijs verandering'!I2:I1000),2)</f>
        <v>0.82</v>
      </c>
      <c r="H2" s="2">
        <f>ROUND(MEDIAN('Prijs verandering'!J2:J1000),2)</f>
        <v>0.78</v>
      </c>
      <c r="I2" s="2">
        <f>ROUND(MEDIAN('Prijs verandering'!K2:K1000),2)</f>
        <v>0.8</v>
      </c>
      <c r="J2" s="2">
        <f>ROUND(MEDIAN('Prijs verandering'!L2:L1000),2)</f>
        <v>0.8</v>
      </c>
      <c r="K2" s="2">
        <f>ROUND(MEDIAN('Prijs verandering'!M2:M1000),2)</f>
        <v>0.79</v>
      </c>
      <c r="L2" s="2">
        <f>ROUND(MEDIAN('Prijs verandering'!N2:N1000),2)</f>
        <v>0.77</v>
      </c>
      <c r="M2" s="2">
        <f>ROUND(MEDIAN('Prijs verandering'!O2:O1000),2)</f>
        <v>0.77</v>
      </c>
      <c r="N2" s="2">
        <f>ROUND(MEDIAN('Prijs verandering'!P2:P1000),2)</f>
        <v>0.77</v>
      </c>
      <c r="O2" s="2">
        <f>ROUND(MEDIAN('Prijs verandering'!Q2:Q1000),2)</f>
        <v>0.77</v>
      </c>
      <c r="P2" s="2">
        <f>ROUND(MEDIAN('Prijs verandering'!R2:R1000),2)</f>
        <v>0.83</v>
      </c>
      <c r="Q2" s="2">
        <f>ROUND(MEDIAN('Prijs verandering'!S2:S1000),2)</f>
        <v>0.81</v>
      </c>
      <c r="R2" s="2">
        <f>ROUND(MEDIAN('Prijs verandering'!T2:T1000),2)</f>
        <v>0.8</v>
      </c>
      <c r="S2" s="2">
        <f>ROUND(MEDIAN('Prijs verandering'!U2:U1000),2)</f>
        <v>0.8</v>
      </c>
      <c r="T2" s="2">
        <f>ROUND(MEDIAN('Prijs verandering'!V2:V1000),2)</f>
        <v>0.87</v>
      </c>
      <c r="U2" s="2">
        <f>ROUND(MEDIAN('Prijs verandering'!W2:W1000),2)</f>
        <v>0.88</v>
      </c>
      <c r="V2" s="2">
        <f>ROUND(MEDIAN('Prijs verandering'!X2:X1000),2)</f>
        <v>0.88</v>
      </c>
      <c r="W2" s="2">
        <f>ROUND(MEDIAN('Prijs verandering'!Y2:Y1000),2)</f>
        <v>0.88</v>
      </c>
      <c r="X2" s="2">
        <f>ROUND(MEDIAN('Prijs verandering'!Z2:Z1000),2)</f>
        <v>0.87</v>
      </c>
      <c r="Y2" s="2">
        <f>ROUND(MEDIAN('Prijs verandering'!AA2:AA1000),2)</f>
        <v>0.88</v>
      </c>
      <c r="Z2" s="2">
        <f>ROUND(MEDIAN('Prijs verandering'!AB2:AB1000),2)</f>
        <v>0.88</v>
      </c>
      <c r="AA2" s="2">
        <f>ROUND(MEDIAN('Prijs verandering'!AC2:AC1000),2)</f>
        <v>0.86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7.13"/>
    <col customWidth="1" min="3" max="17" width="11.38"/>
    <col customWidth="1" min="18" max="18" width="8.5"/>
    <col customWidth="1" min="19" max="19" width="8.38"/>
    <col customWidth="1" min="20" max="20" width="8.75"/>
    <col customWidth="1" min="21" max="21" width="8.13"/>
    <col customWidth="1" min="22" max="22" width="10.38"/>
    <col customWidth="1" min="23" max="23" width="13.38"/>
    <col customWidth="1" min="24" max="24" width="11.13"/>
    <col customWidth="1" min="25" max="26" width="12.88"/>
  </cols>
  <sheetData>
    <row r="1">
      <c r="A1" s="1" t="s">
        <v>14</v>
      </c>
      <c r="B1" s="1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6" t="s">
        <v>20</v>
      </c>
      <c r="H1" s="6" t="s">
        <v>21</v>
      </c>
      <c r="I1" s="6" t="s">
        <v>22</v>
      </c>
      <c r="J1" s="6" t="s">
        <v>23</v>
      </c>
      <c r="K1" s="6" t="s">
        <v>24</v>
      </c>
      <c r="L1" s="6" t="s">
        <v>25</v>
      </c>
      <c r="M1" s="6" t="s">
        <v>26</v>
      </c>
      <c r="N1" s="6" t="s">
        <v>27</v>
      </c>
      <c r="O1" s="6" t="s">
        <v>28</v>
      </c>
      <c r="P1" s="6" t="s">
        <v>29</v>
      </c>
      <c r="Q1" s="6" t="s">
        <v>30</v>
      </c>
      <c r="R1" s="6" t="s">
        <v>31</v>
      </c>
      <c r="S1" s="6" t="s">
        <v>32</v>
      </c>
      <c r="T1" s="6" t="s">
        <v>33</v>
      </c>
      <c r="U1" s="6" t="s">
        <v>34</v>
      </c>
      <c r="V1" s="6" t="s">
        <v>35</v>
      </c>
      <c r="W1" s="6" t="s">
        <v>36</v>
      </c>
      <c r="X1" s="6" t="s">
        <v>37</v>
      </c>
      <c r="Y1" s="6" t="s">
        <v>38</v>
      </c>
      <c r="Z1" s="6" t="s">
        <v>39</v>
      </c>
      <c r="AA1" s="6" t="s">
        <v>40</v>
      </c>
      <c r="AB1" s="6" t="s">
        <v>41</v>
      </c>
      <c r="AC1" s="6" t="s">
        <v>42</v>
      </c>
      <c r="AD1" s="6"/>
      <c r="AE1" s="6"/>
      <c r="AF1" s="6"/>
      <c r="AG1" s="6"/>
      <c r="AH1" s="6"/>
      <c r="AI1" s="6"/>
      <c r="AJ1" s="6"/>
      <c r="AK1" s="6"/>
      <c r="AL1" s="6"/>
      <c r="AM1" s="3"/>
      <c r="AN1" s="3"/>
      <c r="AO1" s="3"/>
      <c r="AP1" s="3"/>
    </row>
    <row r="2">
      <c r="A2" s="6" t="str">
        <f>IFERROR(__xludf.DUMMYFUNCTION("FILTER(Data!A2:A1000, Data!A2:A1000 &lt;&gt; """")"),"Bruine Curduroy broek")</f>
        <v>Bruine Curduroy broek</v>
      </c>
      <c r="B2" s="2">
        <f>Data!F2:F1000</f>
        <v>0.1</v>
      </c>
      <c r="C2" s="2">
        <f>IFERROR(ROUND(Data!B2/(SUMPRODUCT(('Form responses 1'!$B$2:$B1000 = A2) * ('Form responses 1'!$A$2:$A1000 &lt;= DATE(2024, 1, 31)))
+ SUMPRODUCT(('Form responses 1'!$C$2:$C1000 = A2) * ('Form responses 1'!$A$2:$A1000 &lt;= DATE(2024, 1, 31)))
+ SUMPRODUCT(('Form responses 1'!$D$2:$D1000 = A2) * ('Form responses 1'!$A$2:$A1000 &lt;= DATE(2024, 1, 31)))
+ SUMPRODUCT(('Form responses 1'!$E$2:$E1000 = A2) * ('Form responses 1'!$A$2:$A1000 &lt;= DATE(2024, 1, 31)))
+ SUMPRODUCT(('Form responses 1'!$F$2:$F1000 = A2) * ('Form responses 1'!$A$2:$A1000 &lt;= DATE(2024, 1, 31)))
+ SUMPRODUCT(('Form responses 1'!$G$2:$G1000 = A2) * ('Form responses 1'!$A$2:$A1000 &lt;= DATE(2024, 1, 31)))), 2), "-")
</f>
        <v>0.16</v>
      </c>
      <c r="D2" s="2">
        <f>IFERROR(ROUND(Data!B2/(SUMPRODUCT(('Form responses 1'!$B$2:$B1000 = A2) * ('Form responses 1'!$A$2:$A1000 &lt;= DATE(2024, 2, 29)))
+ SUMPRODUCT(('Form responses 1'!$C$2:$C1000 = A2) * ('Form responses 1'!$A$2:$A1000 &lt;= DATE(2024, 2, 29)))
+ SUMPRODUCT(('Form responses 1'!$D$2:$D1000 = A2) * ('Form responses 1'!$A$2:$A1000 &lt;= DATE(2024, 2, 29)))
+ SUMPRODUCT(('Form responses 1'!$E$2:$E1000 = A2) * ('Form responses 1'!$A$2:$A1000 &lt;= DATE(2024, 2, 29)))
+ SUMPRODUCT(('Form responses 1'!$F$2:$F1000 = A2) * ('Form responses 1'!$A$2:$A1000 &lt;= DATE(2024, 2, 29)))
+ SUMPRODUCT(('Form responses 1'!$G$2:$G1000 = A2) * ('Form responses 1'!$A$2:$A1000 &lt;= DATE(2024, 2, 29)))), 2), "-")
</f>
        <v>0.16</v>
      </c>
      <c r="E2" s="2">
        <f>IFERROR(ROUND(Data!B2/(SUMPRODUCT(('Form responses 1'!$B$2:$B1000 = A2) * ('Form responses 1'!$A$2:$A1000 &lt;= DATE(2024, 3, 31)))
+ SUMPRODUCT(('Form responses 1'!$C$2:$C1000 = A2) * ('Form responses 1'!$A$2:$A1000 &lt;= DATE(2024, 3, 31)))
+ SUMPRODUCT(('Form responses 1'!$D$2:$D1000 = A2) * ('Form responses 1'!$A$2:$A1000 &lt;= DATE(2024, 3, 31)))
+ SUMPRODUCT(('Form responses 1'!$E$2:$E1000 = A2) * ('Form responses 1'!$A$2:$A1000 &lt;= DATE(2024, 3, 31)))
+ SUMPRODUCT(('Form responses 1'!$F$2:$F1000 = A2) * ('Form responses 1'!$A$2:$A1000 &lt;= DATE(2024, 3, 31)))
+ SUMPRODUCT(('Form responses 1'!$G$2:$G1000 = A2) * ('Form responses 1'!$A$2:$A1000 &lt;= DATE(2024, 3, 31)))), 2), "-")
</f>
        <v>0.16</v>
      </c>
      <c r="F2" s="2">
        <f>IFERROR(ROUND(Data!B2/(SUMPRODUCT(('Form responses 1'!$B$2:$B1000 = A2) * ('Form responses 1'!$A$2:$A1000 &lt;= DATE(2024, 4, 30)))
+ SUMPRODUCT(('Form responses 1'!$C$2:$C1000 = A2) * ('Form responses 1'!$A$2:$A1000 &lt;= DATE(2024, 4, 30)))
+ SUMPRODUCT(('Form responses 1'!$D$2:$D1000 = A2) * ('Form responses 1'!$A$2:$A1000 &lt;= DATE(2024, 4, 30)))
+ SUMPRODUCT(('Form responses 1'!$E$2:$E1000 = A2) * ('Form responses 1'!$A$2:$A1000 &lt;= DATE(2024, 4, 30)))
+ SUMPRODUCT(('Form responses 1'!$F$2:$F1000 = A2) * ('Form responses 1'!$A$2:$A1000 &lt;= DATE(2024, 4, 30)))
+ SUMPRODUCT(('Form responses 1'!$G$2:$G1000 = A2) * ('Form responses 1'!$A$2:$A1000 &lt;= DATE(2024, 4, 30)))), 2), "-")
</f>
        <v>0.16</v>
      </c>
      <c r="G2" s="2">
        <f>IFERROR(ROUND(Data!B2/(SUMPRODUCT(('Form responses 1'!$B$2:$B1000 = A2) * ('Form responses 1'!$A$2:$A1000 &lt;= DATE(2024, 5, 31)))
+ SUMPRODUCT(('Form responses 1'!$C$2:$C1000 = A2) * ('Form responses 1'!$A$2:$A1000 &lt;= DATE(2024, 5, 31)))
+ SUMPRODUCT(('Form responses 1'!$D$2:$D1000 = A2) * ('Form responses 1'!$A$2:$A1000 &lt;= DATE(2024, 5, 31)))
+ SUMPRODUCT(('Form responses 1'!$E$2:$E1000 = A2) * ('Form responses 1'!$A$2:$A1000 &lt;= DATE(2024, 5, 31)))
+ SUMPRODUCT(('Form responses 1'!$F$2:$F1000 = A2) * ('Form responses 1'!$A$2:$A1000 &lt;= DATE(2024, 5, 31)))
+ SUMPRODUCT(('Form responses 1'!$G$2:$G1000 = A2) * ('Form responses 1'!$A$2:$A1000 &lt;= DATE(2024, 5, 31)))), 2), "-")
</f>
        <v>0.15</v>
      </c>
      <c r="H2" s="2">
        <f>IFERROR(ROUND(Data!B2/(SUMPRODUCT(('Form responses 1'!$B$2:$B1000 = A2) * ('Form responses 1'!$A$2:$A1000 &lt;= DATE(2024, 6, 30)))
+ SUMPRODUCT(('Form responses 1'!$C$2:$C1000 = A2) * ('Form responses 1'!$A$2:$A1000 &lt;= DATE(2024, 6, 30)))
+ SUMPRODUCT(('Form responses 1'!$D$2:$D1000 = A2) * ('Form responses 1'!$A$2:$A1000 &lt;= DATE(2024, 6, 30)))
+ SUMPRODUCT(('Form responses 1'!$E$2:$E1000 = A2) * ('Form responses 1'!$A$2:$A1000 &lt;= DATE(2024, 6, 30)))
+ SUMPRODUCT(('Form responses 1'!$F$2:$F1000 = A2) * ('Form responses 1'!$A$2:$A1000 &lt;= DATE(2024, 6, 30)))
+ SUMPRODUCT(('Form responses 1'!$G$2:$G1000 = A2) * ('Form responses 1'!$A$2:$A1000 &lt;= DATE(2024, 6, 30)))), 2), "-")
</f>
        <v>0.15</v>
      </c>
      <c r="I2" s="2">
        <f>IFERROR(ROUND(Data!B2/(SUMPRODUCT(('Form responses 1'!$B$2:$B1000 = A2) * ('Form responses 1'!$A$2:$A1000 &lt;= DATE(2024, 7, 31)))
+ SUMPRODUCT(('Form responses 1'!$C$2:$C1000 = A2) * ('Form responses 1'!$A$2:$A1000 &lt;= DATE(2024, 7, 31)))
+ SUMPRODUCT(('Form responses 1'!$D$2:$D1000 = A2) * ('Form responses 1'!$A$2:$A1000 &lt;= DATE(2024, 7, 31)))
+ SUMPRODUCT(('Form responses 1'!$E$2:$E1000 = A2) * ('Form responses 1'!$A$2:$A1000 &lt;= DATE(2024, 7, 31)))
+ SUMPRODUCT(('Form responses 1'!$F$2:$F1000 = A2) * ('Form responses 1'!$A$2:$A1000 &lt;= DATE(2024, 7, 31)))
+ SUMPRODUCT(('Form responses 1'!$G$2:$G1000 = A2) * ('Form responses 1'!$A$2:$A1000 &lt;= DATE(2024, 7, 31)))), 2), "-")
</f>
        <v>0.15</v>
      </c>
      <c r="J2" s="2">
        <f>IFERROR(ROUND(Data!B2/(SUMPRODUCT(('Form responses 1'!$B$2:$B1000 = A2) * ('Form responses 1'!$A$2:$A1000 &lt;= DATE(2024, 8, 31)))
+ SUMPRODUCT(('Form responses 1'!$C$2:$C1000 = A2) * ('Form responses 1'!$A$2:$A1000 &lt;= DATE(2024, 8, 31)))
+ SUMPRODUCT(('Form responses 1'!$D$2:$D1000 = A2) * ('Form responses 1'!$A$2:$A1000 &lt;= DATE(2024, 8, 31)))
+ SUMPRODUCT(('Form responses 1'!$E$2:$E1000 = A2) * ('Form responses 1'!$A$2:$A1000 &lt;= DATE(2024, 8, 31)))
+ SUMPRODUCT(('Form responses 1'!$F$2:$F1000 = A2) * ('Form responses 1'!$A$2:$A1000 &lt;= DATE(2024, 8, 31)))
+ SUMPRODUCT(('Form responses 1'!$G$2:$G1000 = A2) * ('Form responses 1'!$A$2:$A1000 &lt;= DATE(2024, 8, 31)))), 2), "-")
</f>
        <v>0.15</v>
      </c>
      <c r="K2" s="2">
        <f>IFERROR(ROUND(Data!B2/(SUMPRODUCT(('Form responses 1'!$B$2:$B1000 = A2) * ('Form responses 1'!$A$2:$A1000 &lt;= DATE(2024, 9, 30)))
+ SUMPRODUCT(('Form responses 1'!$C$2:$C1000 = A2) * ('Form responses 1'!$A$2:$A1000 &lt;= DATE(2024, 9, 30)))
+ SUMPRODUCT(('Form responses 1'!$D$2:$D1000 = A2) * ('Form responses 1'!$A$2:$A1000 &lt;= DATE(2024, 9, 30)))
+ SUMPRODUCT(('Form responses 1'!$E$2:$E1000 = A2) * ('Form responses 1'!$A$2:$A1000 &lt;= DATE(2024, 9, 30)))
+ SUMPRODUCT(('Form responses 1'!$F$2:$F1000 = A2) * ('Form responses 1'!$A$2:$A1000 &lt;= DATE(2024, 9, 30)))
+ SUMPRODUCT(('Form responses 1'!$G$2:$G1000 = A2) * ('Form responses 1'!$A$2:$A1000 &lt;= DATE(2024, 9, 30)))), 2), "-")
</f>
        <v>0.14</v>
      </c>
      <c r="L2" s="2">
        <f>IFERROR(ROUND(Data!B2/(SUMPRODUCT(('Form responses 1'!$B$2:$B1000 = A2) * ('Form responses 1'!$A$2:$A1000 &lt;= DATE(2024, 10, 31)))
+ SUMPRODUCT(('Form responses 1'!$C$2:$C1000 = A2) * ('Form responses 1'!$A$2:$A1000 &lt;= DATE(2024, 10, 31)))
+ SUMPRODUCT(('Form responses 1'!$D$2:$D1000 = A2) * ('Form responses 1'!$A$2:$A1000 &lt;= DATE(2024, 10, 31)))
+ SUMPRODUCT(('Form responses 1'!$E$2:$E1000 = A2) * ('Form responses 1'!$A$2:$A1000 &lt;= DATE(2024, 10, 31)))
+ SUMPRODUCT(('Form responses 1'!$F$2:$F1000 = A2) * ('Form responses 1'!$A$2:$A1000 &lt;= DATE(2024, 10, 31)))
+ SUMPRODUCT(('Form responses 1'!$G$2:$G1000 = A2) * ('Form responses 1'!$A$2:$A1000 &lt;= DATE(2024, 10, 31)))), 2), "-")
</f>
        <v>0.13</v>
      </c>
      <c r="M2" s="2">
        <f>IFERROR(ROUND(Data!B2/(SUMPRODUCT(('Form responses 1'!$B$2:$B1000 = A2) * ('Form responses 1'!$A$2:$A1000 &lt;= DATE(2024, 11, 30)))
+ SUMPRODUCT(('Form responses 1'!$C$2:$C1000 = A2) * ('Form responses 1'!$A$2:$A1000 &lt;= DATE(2024, 11, 30)))
+ SUMPRODUCT(('Form responses 1'!$D$2:$D1000 = A2) * ('Form responses 1'!$A$2:$A1000 &lt;= DATE(2024, 11, 30)))
+ SUMPRODUCT(('Form responses 1'!$E$2:$E1000 = A2) * ('Form responses 1'!$A$2:$A1000 &lt;= DATE(2024, 11, 30)))
+ SUMPRODUCT(('Form responses 1'!$F$2:$F1000 = A2) * ('Form responses 1'!$A$2:$A1000 &lt;= DATE(2024, 11, 30)))
+ SUMPRODUCT(('Form responses 1'!$G$2:$G1000 = A2) * ('Form responses 1'!$A$2:$A1000 &lt;= DATE(2024, 11, 30)))), 2), "-")
</f>
        <v>0.13</v>
      </c>
      <c r="N2" s="2">
        <f>IFERROR(ROUND(Data!B2/(SUMPRODUCT(('Form responses 1'!$B$2:$B1000 = A2) * ('Form responses 1'!$A$2:$A1000 &lt;= DATE(2024, 12, 31)))
+ SUMPRODUCT(('Form responses 1'!$C$2:$C1000 = A2) * ('Form responses 1'!$A$2:$A1000 &lt;= DATE(2024, 12, 31)))
+ SUMPRODUCT(('Form responses 1'!$D$2:$D1000 = A2) * ('Form responses 1'!$A$2:$A1000 &lt;= DATE(2024, 12, 31)))
+ SUMPRODUCT(('Form responses 1'!$E$2:$E1000 = A2) * ('Form responses 1'!$A$2:$A1000 &lt;= DATE(2024, 12, 31)))
+ SUMPRODUCT(('Form responses 1'!$F$2:$F1000 = A2) * ('Form responses 1'!$A$2:$A1000 &lt;= DATE(2024, 12, 31)))
+ SUMPRODUCT(('Form responses 1'!$G$2:$G1000 = A2) * ('Form responses 1'!$A$2:$A1000 &lt;= DATE(2024, 12, 31)))), 2), "-")
</f>
        <v>0.12</v>
      </c>
      <c r="O2" s="2">
        <f>IFERROR(ROUND(Data!B2/(SUMPRODUCT(('Form responses 1'!$B$2:$B1000 = A2) * ('Form responses 1'!$A$2:$A1000 &lt;= DATE(2025, 1, 31)))
+ SUMPRODUCT(('Form responses 1'!$C$2:$C1000 = A2) * ('Form responses 1'!$A$2:$A1000 &lt;= DATE(2025, 1, 31)))
+ SUMPRODUCT(('Form responses 1'!$D$2:$D1000 = A2) * ('Form responses 1'!$A$2:$A1000 &lt;= DATE(2025, 1, 31)))
+ SUMPRODUCT(('Form responses 1'!$E$2:$E1000 = A2) * ('Form responses 1'!$A$2:$A1000 &lt;= DATE(2025, 1, 31)))
+ SUMPRODUCT(('Form responses 1'!$F$2:$F1000 = A2) * ('Form responses 1'!$A$2:$A1000 &lt;= DATE(2025, 1, 31)))
+ SUMPRODUCT(('Form responses 1'!$G$2:$G1000 = A2) * ('Form responses 1'!$A$2:$A1000 &lt;= DATE(2025, 1, 31)))), 2), "-")
</f>
        <v>0.12</v>
      </c>
      <c r="P2" s="2">
        <f>IFERROR(ROUND(Data!B2/(SUMPRODUCT(('Form responses 1'!$B$2:$B1000 = A2) * ('Form responses 1'!$A$2:$A1000 &lt;= DATE(2025, 2, 28)))
+ SUMPRODUCT(('Form responses 1'!$C$2:$C1000 = A2) * ('Form responses 1'!$A$2:$A1000 &lt;= DATE(2025, 2, 28)))
+ SUMPRODUCT(('Form responses 1'!$D$2:$D1000 = A2) * ('Form responses 1'!$A$2:$A1000 &lt;= DATE(2025, 2, 28)))
+ SUMPRODUCT(('Form responses 1'!$E$2:$E1000 = A2) * ('Form responses 1'!$A$2:$A1000 &lt;= DATE(2025, 2, 28)))
+ SUMPRODUCT(('Form responses 1'!$F$2:$F1000 = A2) * ('Form responses 1'!$A$2:$A1000 &lt;= DATE(2025, 2, 28)))
+ SUMPRODUCT(('Form responses 1'!$G$2:$G1000 = A2) * ('Form responses 1'!$A$2:$A1000 &lt;= DATE(2025, 2, 28)))), 2), "-")
</f>
        <v>0.12</v>
      </c>
      <c r="Q2" s="2">
        <f>IFERROR(ROUND(Data!B2/(SUMPRODUCT(('Form responses 1'!$B$2:$B1000 = A2) * ('Form responses 1'!$A$2:$A1000 &lt;= DATE(2025, 3, 31)))
+ SUMPRODUCT(('Form responses 1'!$C$2:$C1000 = A2) * ('Form responses 1'!$A$2:$A1000 &lt;= DATE(2025, 3, 31)))
+ SUMPRODUCT(('Form responses 1'!$D$2:$D1000 = A2) * ('Form responses 1'!$A$2:$A1000 &lt;= DATE(2025, 3, 31)))
+ SUMPRODUCT(('Form responses 1'!$E$2:$E1000 = A2) * ('Form responses 1'!$A$2:$A1000 &lt;= DATE(2025, 3, 31)))
+ SUMPRODUCT(('Form responses 1'!$F$2:$F1000 = A2) * ('Form responses 1'!$A$2:$A1000 &lt;= DATE(2025, 3, 31)))
+ SUMPRODUCT(('Form responses 1'!$G$2:$G1000 = A2) * ('Form responses 1'!$A$2:$A1000 &lt;= DATE(2025, 3, 31)))),2),"-")</f>
        <v>0.12</v>
      </c>
      <c r="R2" s="2">
        <f>IFERROR(ROUND(Data!B2/(SUMPRODUCT(('Form responses 1'!$B$2:$B1000 = A2) * ('Form responses 1'!$A$2:$A1000 &lt;= DATE(2025, 4, 30)))
+ SUMPRODUCT(('Form responses 1'!$C$2:$C1000 = A2) * ('Form responses 1'!$A$2:$A1000 &lt;= DATE(2025, 4, 30)))
+ SUMPRODUCT(('Form responses 1'!$D$2:$D1000 = A2) * ('Form responses 1'!$A$2:$A1000 &lt;= DATE(2025, 4, 30)))
+ SUMPRODUCT(('Form responses 1'!$E$2:$E1000 = A2) * ('Form responses 1'!$A$2:$A1000 &lt;= DATE(2025, 4, 30)))
+ SUMPRODUCT(('Form responses 1'!$F$2:$F1000 = A2) * ('Form responses 1'!$A$2:$A1000 &lt;= DATE(2025, 4, 30)))
+ SUMPRODUCT(('Form responses 1'!$G$2:$G1000 = A2) * ('Form responses 1'!$A$2:$A1000 &lt;= DATE(2025, 4, 30)))), 2), "-")
</f>
        <v>0.11</v>
      </c>
      <c r="S2" s="2">
        <f>IFERROR(ROUND(Data!B2/(SUMPRODUCT(('Form responses 1'!$B$2:$B1000 = A2) * ('Form responses 1'!$A$2:$A1000 &lt;= DATE(2025, 5, 31)))
+ SUMPRODUCT(('Form responses 1'!$C$2:$C1000 = A2) * ('Form responses 1'!$A$2:$A1000 &lt;= DATE(2025, 5, 31)))
+ SUMPRODUCT(('Form responses 1'!$D$2:$D1000 = A2) * ('Form responses 1'!$A$2:$A1000 &lt;= DATE(2025, 5, 31)))
+ SUMPRODUCT(('Form responses 1'!$E$2:$E1000 = A2) * ('Form responses 1'!$A$2:$A1000 &lt;= DATE(2025, 5, 31)))
+ SUMPRODUCT(('Form responses 1'!$F$2:$F1000 = A2) * ('Form responses 1'!$A$2:$A1000 &lt;= DATE(2025, 5, 31)))
+ SUMPRODUCT(('Form responses 1'!$G$2:$G1000 = A2) * ('Form responses 1'!$A$2:$A1000 &lt;= DATE(2025, 5, 31)))), 2), "-")
</f>
        <v>0.11</v>
      </c>
      <c r="T2" s="2">
        <f>IFERROR(ROUND(Data!B2/(SUMPRODUCT(('Form responses 1'!$B$2:$B1000 = A2) * ('Form responses 1'!$A$2:$A1000 &lt;= DATE(2025, 6, 30)))
+ SUMPRODUCT(('Form responses 1'!$C$2:$C1000 = A2) * ('Form responses 1'!$A$2:$A1000 &lt;= DATE(2025, 6, 30)))
+ SUMPRODUCT(('Form responses 1'!$D$2:$D1000 = A2) * ('Form responses 1'!$A$2:$A1000 &lt;= DATE(2025, 6, 30)))
+ SUMPRODUCT(('Form responses 1'!$E$2:$E1000 = A2) * ('Form responses 1'!$A$2:$A1000 &lt;= DATE(2025, 6, 30)))
+ SUMPRODUCT(('Form responses 1'!$F$2:$F1000 = A2) * ('Form responses 1'!$A$2:$A1000 &lt;= DATE(2025, 6, 30)))
+ SUMPRODUCT(('Form responses 1'!$G$2:$G1000 = A2) * ('Form responses 1'!$A$2:$A1000 &lt;= DATE(2025, 6, 30)))), 2), "-")
</f>
        <v>0.11</v>
      </c>
      <c r="U2" s="2">
        <f>IFERROR(ROUND(Data!B2/(SUMPRODUCT(('Form responses 1'!$B$2:$B1000 = A2) * ('Form responses 1'!$A$2:$A1000 &lt;= DATE(2025, 7, 31)))
+ SUMPRODUCT(('Form responses 1'!$C$2:$C1000 = A2) * ('Form responses 1'!$A$2:$A1000 &lt;= DATE(2025, 7, 31)))
+ SUMPRODUCT(('Form responses 1'!$D$2:$D1000 = A2) * ('Form responses 1'!$A$2:$A1000 &lt;= DATE(2025, 7, 31)))
+ SUMPRODUCT(('Form responses 1'!$E$2:$E1000 = A2) * ('Form responses 1'!$A$2:$A1000 &lt;= DATE(2025, 7, 31)))
+ SUMPRODUCT(('Form responses 1'!$F$2:$F1000 = A2) * ('Form responses 1'!$A$2:$A1000 &lt;= DATE(2025, 7, 31)))
+ SUMPRODUCT(('Form responses 1'!$G$2:$G1000 = A2) * ('Form responses 1'!$A$2:$A1000 &lt;= DATE(2025, 7, 31)))), 2), "-")
</f>
        <v>0.11</v>
      </c>
      <c r="V2" s="2">
        <f>IFERROR(ROUND(Data!B2/(SUMPRODUCT(('Form responses 1'!$B$2:$B1000 = A2) * ('Form responses 1'!$A$2:$A1000 &lt;= DATE(2025, 8, 31)))
+ SUMPRODUCT(('Form responses 1'!$C$2:$C1000 = A2) * ('Form responses 1'!$A$2:$A1000 &lt;= DATE(2025, 8, 31)))
+ SUMPRODUCT(('Form responses 1'!$D$2:$D1000 = A2) * ('Form responses 1'!$A$2:$A1000 &lt;= DATE(2025, 8, 31)))
+ SUMPRODUCT(('Form responses 1'!$E$2:$E1000 = A2) * ('Form responses 1'!$A$2:$A1000 &lt;= DATE(2025, 8, 31)))
+ SUMPRODUCT(('Form responses 1'!$F$2:$F1000 = A2) * ('Form responses 1'!$A$2:$A1000 &lt;= DATE(2025, 8, 31)))
+ SUMPRODUCT(('Form responses 1'!$G$2:$G1000 = A2) * ('Form responses 1'!$A$2:$A1000 &lt;= DATE(2025, 8, 31)))), 2), "-")
</f>
        <v>0.11</v>
      </c>
      <c r="W2" s="2">
        <f>IFERROR(ROUND(Data!B2/(SUMPRODUCT(('Form responses 1'!$B$2:$B1000 = A2) * ('Form responses 1'!$A$2:$A1000 &lt;= DATE(2025, 9, 30)))
+ SUMPRODUCT(('Form responses 1'!$C$2:$C1000 = A2) * ('Form responses 1'!$A$2:$A1000 &lt;= DATE(2025, 9, 30)))
+ SUMPRODUCT(('Form responses 1'!$D$2:$D1000 = A2) * ('Form responses 1'!$A$2:$A1000 &lt;= DATE(2025, 9, 30)))
+ SUMPRODUCT(('Form responses 1'!$E$2:$E1000 = A2) * ('Form responses 1'!$A$2:$A1000 &lt;= DATE(2025, 9, 30)))
+ SUMPRODUCT(('Form responses 1'!$F$2:$F1000 = A2) * ('Form responses 1'!$A$2:$A1000 &lt;= DATE(2025, 9, 30)))
+ SUMPRODUCT(('Form responses 1'!$G$2:$G1000 = A2) * ('Form responses 1'!$A$2:$A1000 &lt;= DATE(2025, 9, 30)))), 2), "-")
</f>
        <v>0.11</v>
      </c>
      <c r="X2" s="2">
        <f>IFERROR(ROUND(Data!B2/(SUMPRODUCT(('Form responses 1'!$B$2:$B1000 = A2) * ('Form responses 1'!$A$2:$A1000 &lt;= DATE(2025, 10, 31)))
+ SUMPRODUCT(('Form responses 1'!$C$2:$C1000 = A2) * ('Form responses 1'!$A$2:$A1000 &lt;= DATE(2025, 10, 31)))
+ SUMPRODUCT(('Form responses 1'!$D$2:$D1000 = A2) * ('Form responses 1'!$A$2:$A1000 &lt;= DATE(2025, 10, 31)))
+ SUMPRODUCT(('Form responses 1'!$E$2:$E1000 = A2) * ('Form responses 1'!$A$2:$A1000 &lt;= DATE(2025, 10, 31)))
+ SUMPRODUCT(('Form responses 1'!$F$2:$F1000 = A2) * ('Form responses 1'!$A$2:$A1000 &lt;= DATE(2025, 10, 31)))
+ SUMPRODUCT(('Form responses 1'!$G$2:$G1000 = A2) * ('Form responses 1'!$A$2:$A1000 &lt;= DATE(2025, 10, 31)))), 2), "-")
</f>
        <v>0.1</v>
      </c>
      <c r="Y2" s="2">
        <f>IFERROR(ROUND(Data!B2/(SUMPRODUCT(('Form responses 1'!$B$2:$B1000 = A2) * ('Form responses 1'!$A$2:$A1000 &lt;= DATE(2025, 11, 30)))
+ SUMPRODUCT(('Form responses 1'!$C$2:$C1000 = A2) * ('Form responses 1'!$A$2:$A1000 &lt;= DATE(2025, 11, 30)))
+ SUMPRODUCT(('Form responses 1'!$D$2:$D1000 = A2) * ('Form responses 1'!$A$2:$A1000 &lt;= DATE(2025, 11, 30)))
+ SUMPRODUCT(('Form responses 1'!$E$2:$E1000 = A2) * ('Form responses 1'!$A$2:$A1000 &lt;= DATE(2025, 11, 30)))
+ SUMPRODUCT(('Form responses 1'!$F$2:$F1000 = A2) * ('Form responses 1'!$A$2:$A1000 &lt;= DATE(2025, 11, 30)))
+ SUMPRODUCT(('Form responses 1'!$G$2:$G1000 = A2) * ('Form responses 1'!$A$2:$A1000 &lt;= DATE(2025, 11, 30)))), 2), "-")
</f>
        <v>0.1</v>
      </c>
      <c r="Z2" s="2">
        <f>IFERROR(ROUND(Data!B2/(SUMPRODUCT(('Form responses 1'!$B$2:$B1000 = A2) * ('Form responses 1'!$A$2:$A1000 &lt;= DATE(2025, 12, 31)))
+ SUMPRODUCT(('Form responses 1'!$C$2:$C1000 = A2) * ('Form responses 1'!$A$2:$A1000 &lt;= DATE(2025, 12, 31)))
+ SUMPRODUCT(('Form responses 1'!$D$2:$D1000 = A2) * ('Form responses 1'!$A$2:$A1000 &lt;= DATE(2025, 12, 31)))
+ SUMPRODUCT(('Form responses 1'!$E$2:$E1000 = A2) * ('Form responses 1'!$A$2:$A1000 &lt;= DATE(2025, 12, 31)))
+ SUMPRODUCT(('Form responses 1'!$F$2:$F1000 = A2) * ('Form responses 1'!$A$2:$A1000 &lt;= DATE(2025, 12, 31)))
+ SUMPRODUCT(('Form responses 1'!$G$2:$G1000 = A2) * ('Form responses 1'!$A$2:$A1000 &lt;= DATE(2025, 12, 31)))), 2), "-")
</f>
        <v>0.1</v>
      </c>
      <c r="AA2" s="2">
        <f>IFERROR(ROUND(Data!$B2/(
  SUMPRODUCT(('Form responses 1'!$B$2:$B1000=$A2)*('Form responses 1'!$A$2:$A1000&lt;=EOMONTH(DATEVALUE("1 "&amp;AA$1),0)))+
  SUMPRODUCT(('Form responses 1'!$C$2:$C1000=$A2)*('Form responses 1'!$A$2:$A1000&lt;=EOMONTH(DATEVALUE("1 "&amp;AA$1),0)))+
  SUMPRODUCT(('Form responses 1'!$D$2:$D1000=$A2)*('Form responses 1'!$A$2:$A1000&lt;=EOMONTH(DATEVALUE("1 "&amp;AA$1),0)))+
  SUMPRODUCT(('Form responses 1'!$E$2:$E1000=$A2)*('Form responses 1'!$A$2:$A1000&lt;=EOMONTH(DATEVALUE("1 "&amp;AA$1),0)))+
  SUMPRODUCT(('Form responses 1'!$F$2:$F1000=$A2)*('Form responses 1'!$A$2:$A1000&lt;=EOMONTH(DATEVALUE("1 "&amp;AA$1),0)))+
  SUMPRODUCT(('Form responses 1'!$G$2:$G1000=$A2)*('Form responses 1'!$A$2:$A1000&lt;=EOMONTH(DATEVALUE("1 "&amp;AA$1),0)))
),2),"-")</f>
        <v>0.1</v>
      </c>
      <c r="AB2" s="2">
        <f>IFERROR(ROUND(Data!$B2/(
  SUMPRODUCT(('Form responses 1'!$B$2:$B1000=$A2)*('Form responses 1'!$A$2:$A1000&lt;=EOMONTH(DATEVALUE("1 "&amp;AB$1),0)))+
  SUMPRODUCT(('Form responses 1'!$C$2:$C1000=$A2)*('Form responses 1'!$A$2:$A1000&lt;=EOMONTH(DATEVALUE("1 "&amp;AB$1),0)))+
  SUMPRODUCT(('Form responses 1'!$D$2:$D1000=$A2)*('Form responses 1'!$A$2:$A1000&lt;=EOMONTH(DATEVALUE("1 "&amp;AB$1),0)))+
  SUMPRODUCT(('Form responses 1'!$E$2:$E1000=$A2)*('Form responses 1'!$A$2:$A1000&lt;=EOMONTH(DATEVALUE("1 "&amp;AB$1),0)))+
  SUMPRODUCT(('Form responses 1'!$F$2:$F1000=$A2)*('Form responses 1'!$A$2:$A1000&lt;=EOMONTH(DATEVALUE("1 "&amp;AB$1),0)))+
  SUMPRODUCT(('Form responses 1'!$G$2:$G1000=$A2)*('Form responses 1'!$A$2:$A1000&lt;=EOMONTH(DATEVALUE("1 "&amp;AB$1),0)))
),2),"-")</f>
        <v>0.1</v>
      </c>
      <c r="AC2" s="2">
        <f>IFERROR(ROUND(Data!$B2/(
  SUMPRODUCT(('Form responses 1'!$B$2:$B1000=$A2)*('Form responses 1'!$A$2:$A1000&lt;=EOMONTH(DATEVALUE("1 "&amp;AC$1),0)))+
  SUMPRODUCT(('Form responses 1'!$C$2:$C1000=$A2)*('Form responses 1'!$A$2:$A1000&lt;=EOMONTH(DATEVALUE("1 "&amp;AC$1),0)))+
  SUMPRODUCT(('Form responses 1'!$D$2:$D1000=$A2)*('Form responses 1'!$A$2:$A1000&lt;=EOMONTH(DATEVALUE("1 "&amp;AC$1),0)))+
  SUMPRODUCT(('Form responses 1'!$E$2:$E1000=$A2)*('Form responses 1'!$A$2:$A1000&lt;=EOMONTH(DATEVALUE("1 "&amp;AC$1),0)))+
  SUMPRODUCT(('Form responses 1'!$F$2:$F1000=$A2)*('Form responses 1'!$A$2:$A1000&lt;=EOMONTH(DATEVALUE("1 "&amp;AC$1),0)))+
  SUMPRODUCT(('Form responses 1'!$G$2:$G1000=$A2)*('Form responses 1'!$A$2:$A1000&lt;=EOMONTH(DATEVALUE("1 "&amp;AC$1),0)))
),2),"-")</f>
        <v>0.1</v>
      </c>
      <c r="AD2" s="2" t="str">
        <f>IFERROR(ROUND(Data!$B2/(
  SUMPRODUCT(('Form responses 1'!$B$2:$B1000=$A2)*('Form responses 1'!$A$2:$A1000&lt;=EOMONTH(DATEVALUE("1 "&amp;AD$1),0)))+
  SUMPRODUCT(('Form responses 1'!$C$2:$C1000=$A2)*('Form responses 1'!$A$2:$A1000&lt;=EOMONTH(DATEVALUE("1 "&amp;AD$1),0)))+
  SUMPRODUCT(('Form responses 1'!$D$2:$D1000=$A2)*('Form responses 1'!$A$2:$A1000&lt;=EOMONTH(DATEVALUE("1 "&amp;AD$1),0)))+
  SUMPRODUCT(('Form responses 1'!$E$2:$E1000=$A2)*('Form responses 1'!$A$2:$A1000&lt;=EOMONTH(DATEVALUE("1 "&amp;AD$1),0)))+
  SUMPRODUCT(('Form responses 1'!$F$2:$F1000=$A2)*('Form responses 1'!$A$2:$A1000&lt;=EOMONTH(DATEVALUE("1 "&amp;AD$1),0)))+
  SUMPRODUCT(('Form responses 1'!$G$2:$G1000=$A2)*('Form responses 1'!$A$2:$A1000&lt;=EOMONTH(DATEVALUE("1 "&amp;AD$1),0)))
),2),"-")</f>
        <v>-</v>
      </c>
      <c r="AE2" s="2" t="str">
        <f>IFERROR(ROUND(Data!$B2/(
  SUMPRODUCT(('Form responses 1'!$B$2:$B1000=$A2)*('Form responses 1'!$A$2:$A1000&lt;=EOMONTH(DATEVALUE("1 "&amp;AE$1),0)))+
  SUMPRODUCT(('Form responses 1'!$C$2:$C1000=$A2)*('Form responses 1'!$A$2:$A1000&lt;=EOMONTH(DATEVALUE("1 "&amp;AE$1),0)))+
  SUMPRODUCT(('Form responses 1'!$D$2:$D1000=$A2)*('Form responses 1'!$A$2:$A1000&lt;=EOMONTH(DATEVALUE("1 "&amp;AE$1),0)))+
  SUMPRODUCT(('Form responses 1'!$E$2:$E1000=$A2)*('Form responses 1'!$A$2:$A1000&lt;=EOMONTH(DATEVALUE("1 "&amp;AE$1),0)))+
  SUMPRODUCT(('Form responses 1'!$F$2:$F1000=$A2)*('Form responses 1'!$A$2:$A1000&lt;=EOMONTH(DATEVALUE("1 "&amp;AE$1),0)))+
  SUMPRODUCT(('Form responses 1'!$G$2:$G1000=$A2)*('Form responses 1'!$A$2:$A1000&lt;=EOMONTH(DATEVALUE("1 "&amp;AE$1),0)))
),2),"-")</f>
        <v>-</v>
      </c>
      <c r="AF2" s="2" t="str">
        <f>IFERROR(ROUND(Data!$B2/(
  SUMPRODUCT(('Form responses 1'!$B$2:$B1000=$A2)*('Form responses 1'!$A$2:$A1000&lt;=EOMONTH(DATEVALUE("1 "&amp;AF$1),0)))+
  SUMPRODUCT(('Form responses 1'!$C$2:$C1000=$A2)*('Form responses 1'!$A$2:$A1000&lt;=EOMONTH(DATEVALUE("1 "&amp;AF$1),0)))+
  SUMPRODUCT(('Form responses 1'!$D$2:$D1000=$A2)*('Form responses 1'!$A$2:$A1000&lt;=EOMONTH(DATEVALUE("1 "&amp;AF$1),0)))+
  SUMPRODUCT(('Form responses 1'!$E$2:$E1000=$A2)*('Form responses 1'!$A$2:$A1000&lt;=EOMONTH(DATEVALUE("1 "&amp;AF$1),0)))+
  SUMPRODUCT(('Form responses 1'!$F$2:$F1000=$A2)*('Form responses 1'!$A$2:$A1000&lt;=EOMONTH(DATEVALUE("1 "&amp;AF$1),0)))+
  SUMPRODUCT(('Form responses 1'!$G$2:$G1000=$A2)*('Form responses 1'!$A$2:$A1000&lt;=EOMONTH(DATEVALUE("1 "&amp;AF$1),0)))
),2),"-")</f>
        <v>-</v>
      </c>
      <c r="AG2" s="2" t="str">
        <f>IFERROR(ROUND(Data!$B2/(
  SUMPRODUCT(('Form responses 1'!$B$2:$B1000=$A2)*('Form responses 1'!$A$2:$A1000&lt;=EOMONTH(DATEVALUE("1 "&amp;AG$1),0)))+
  SUMPRODUCT(('Form responses 1'!$C$2:$C1000=$A2)*('Form responses 1'!$A$2:$A1000&lt;=EOMONTH(DATEVALUE("1 "&amp;AG$1),0)))+
  SUMPRODUCT(('Form responses 1'!$D$2:$D1000=$A2)*('Form responses 1'!$A$2:$A1000&lt;=EOMONTH(DATEVALUE("1 "&amp;AG$1),0)))+
  SUMPRODUCT(('Form responses 1'!$E$2:$E1000=$A2)*('Form responses 1'!$A$2:$A1000&lt;=EOMONTH(DATEVALUE("1 "&amp;AG$1),0)))+
  SUMPRODUCT(('Form responses 1'!$F$2:$F1000=$A2)*('Form responses 1'!$A$2:$A1000&lt;=EOMONTH(DATEVALUE("1 "&amp;AG$1),0)))+
  SUMPRODUCT(('Form responses 1'!$G$2:$G1000=$A2)*('Form responses 1'!$A$2:$A1000&lt;=EOMONTH(DATEVALUE("1 "&amp;AG$1),0)))
),2),"-")</f>
        <v>-</v>
      </c>
      <c r="AH2" s="2" t="str">
        <f>IFERROR(ROUND(Data!$B2/(
  SUMPRODUCT(('Form responses 1'!$B$2:$B1000=$A2)*('Form responses 1'!$A$2:$A1000&lt;=EOMONTH(DATEVALUE("1 "&amp;AH$1),0)))+
  SUMPRODUCT(('Form responses 1'!$C$2:$C1000=$A2)*('Form responses 1'!$A$2:$A1000&lt;=EOMONTH(DATEVALUE("1 "&amp;AH$1),0)))+
  SUMPRODUCT(('Form responses 1'!$D$2:$D1000=$A2)*('Form responses 1'!$A$2:$A1000&lt;=EOMONTH(DATEVALUE("1 "&amp;AH$1),0)))+
  SUMPRODUCT(('Form responses 1'!$E$2:$E1000=$A2)*('Form responses 1'!$A$2:$A1000&lt;=EOMONTH(DATEVALUE("1 "&amp;AH$1),0)))+
  SUMPRODUCT(('Form responses 1'!$F$2:$F1000=$A2)*('Form responses 1'!$A$2:$A1000&lt;=EOMONTH(DATEVALUE("1 "&amp;AH$1),0)))+
  SUMPRODUCT(('Form responses 1'!$G$2:$G1000=$A2)*('Form responses 1'!$A$2:$A1000&lt;=EOMONTH(DATEVALUE("1 "&amp;AH$1),0)))
),2),"-")</f>
        <v>-</v>
      </c>
      <c r="AI2" s="2" t="str">
        <f>IFERROR(ROUND(Data!$B2/(
  SUMPRODUCT(('Form responses 1'!$B$2:$B1000=$A2)*('Form responses 1'!$A$2:$A1000&lt;=EOMONTH(DATEVALUE("1 "&amp;AI$1),0)))+
  SUMPRODUCT(('Form responses 1'!$C$2:$C1000=$A2)*('Form responses 1'!$A$2:$A1000&lt;=EOMONTH(DATEVALUE("1 "&amp;AI$1),0)))+
  SUMPRODUCT(('Form responses 1'!$D$2:$D1000=$A2)*('Form responses 1'!$A$2:$A1000&lt;=EOMONTH(DATEVALUE("1 "&amp;AI$1),0)))+
  SUMPRODUCT(('Form responses 1'!$E$2:$E1000=$A2)*('Form responses 1'!$A$2:$A1000&lt;=EOMONTH(DATEVALUE("1 "&amp;AI$1),0)))+
  SUMPRODUCT(('Form responses 1'!$F$2:$F1000=$A2)*('Form responses 1'!$A$2:$A1000&lt;=EOMONTH(DATEVALUE("1 "&amp;AI$1),0)))+
  SUMPRODUCT(('Form responses 1'!$G$2:$G1000=$A2)*('Form responses 1'!$A$2:$A1000&lt;=EOMONTH(DATEVALUE("1 "&amp;AI$1),0)))
),2),"-")</f>
        <v>-</v>
      </c>
      <c r="AJ2" s="2" t="str">
        <f>IFERROR(ROUND(Data!$B2/(
  SUMPRODUCT(('Form responses 1'!$B$2:$B1000=$A2)*('Form responses 1'!$A$2:$A1000&lt;=EOMONTH(DATEVALUE("1 "&amp;AJ$1),0)))+
  SUMPRODUCT(('Form responses 1'!$C$2:$C1000=$A2)*('Form responses 1'!$A$2:$A1000&lt;=EOMONTH(DATEVALUE("1 "&amp;AJ$1),0)))+
  SUMPRODUCT(('Form responses 1'!$D$2:$D1000=$A2)*('Form responses 1'!$A$2:$A1000&lt;=EOMONTH(DATEVALUE("1 "&amp;AJ$1),0)))+
  SUMPRODUCT(('Form responses 1'!$E$2:$E1000=$A2)*('Form responses 1'!$A$2:$A1000&lt;=EOMONTH(DATEVALUE("1 "&amp;AJ$1),0)))+
  SUMPRODUCT(('Form responses 1'!$F$2:$F1000=$A2)*('Form responses 1'!$A$2:$A1000&lt;=EOMONTH(DATEVALUE("1 "&amp;AJ$1),0)))+
  SUMPRODUCT(('Form responses 1'!$G$2:$G1000=$A2)*('Form responses 1'!$A$2:$A1000&lt;=EOMONTH(DATEVALUE("1 "&amp;AJ$1),0)))
),2),"-")</f>
        <v>-</v>
      </c>
      <c r="AK2" s="2" t="str">
        <f>IFERROR(ROUND(Data!$B2/(
  SUMPRODUCT(('Form responses 1'!$B$2:$B1000=$A2)*('Form responses 1'!$A$2:$A1000&lt;=EOMONTH(DATEVALUE("1 "&amp;AK$1),0)))+
  SUMPRODUCT(('Form responses 1'!$C$2:$C1000=$A2)*('Form responses 1'!$A$2:$A1000&lt;=EOMONTH(DATEVALUE("1 "&amp;AK$1),0)))+
  SUMPRODUCT(('Form responses 1'!$D$2:$D1000=$A2)*('Form responses 1'!$A$2:$A1000&lt;=EOMONTH(DATEVALUE("1 "&amp;AK$1),0)))+
  SUMPRODUCT(('Form responses 1'!$E$2:$E1000=$A2)*('Form responses 1'!$A$2:$A1000&lt;=EOMONTH(DATEVALUE("1 "&amp;AK$1),0)))+
  SUMPRODUCT(('Form responses 1'!$F$2:$F1000=$A2)*('Form responses 1'!$A$2:$A1000&lt;=EOMONTH(DATEVALUE("1 "&amp;AK$1),0)))+
  SUMPRODUCT(('Form responses 1'!$G$2:$G1000=$A2)*('Form responses 1'!$A$2:$A1000&lt;=EOMONTH(DATEVALUE("1 "&amp;AK$1),0)))
),2),"-")</f>
        <v>-</v>
      </c>
      <c r="AL2" s="2" t="str">
        <f>IFERROR(ROUND(Data!$B2/(
  SUMPRODUCT(('Form responses 1'!$B$2:$B1000=$A2)*('Form responses 1'!$A$2:$A1000&lt;=EOMONTH(DATEVALUE("1 "&amp;AL$1),0)))+
  SUMPRODUCT(('Form responses 1'!$C$2:$C1000=$A2)*('Form responses 1'!$A$2:$A1000&lt;=EOMONTH(DATEVALUE("1 "&amp;AL$1),0)))+
  SUMPRODUCT(('Form responses 1'!$D$2:$D1000=$A2)*('Form responses 1'!$A$2:$A1000&lt;=EOMONTH(DATEVALUE("1 "&amp;AL$1),0)))+
  SUMPRODUCT(('Form responses 1'!$E$2:$E1000=$A2)*('Form responses 1'!$A$2:$A1000&lt;=EOMONTH(DATEVALUE("1 "&amp;AL$1),0)))+
  SUMPRODUCT(('Form responses 1'!$F$2:$F1000=$A2)*('Form responses 1'!$A$2:$A1000&lt;=EOMONTH(DATEVALUE("1 "&amp;AL$1),0)))+
  SUMPRODUCT(('Form responses 1'!$G$2:$G1000=$A2)*('Form responses 1'!$A$2:$A1000&lt;=EOMONTH(DATEVALUE("1 "&amp;AL$1),0)))
),2),"-")</f>
        <v>-</v>
      </c>
    </row>
    <row r="3">
      <c r="A3" s="3" t="str">
        <f>IFERROR(__xludf.DUMMYFUNCTION("""COMPUTED_VALUE"""),"Nette broek zwart")</f>
        <v>Nette broek zwart</v>
      </c>
      <c r="B3" s="2">
        <f>Data!F3:F1000</f>
        <v>0</v>
      </c>
      <c r="C3" s="2">
        <f>IFERROR(ROUND(Data!B3/(SUMPRODUCT(('Form responses 1'!$B$2:$B1000 = A3) * ('Form responses 1'!$A$2:$A1000 &lt;= DATE(2024, 1, 31)))
+ SUMPRODUCT(('Form responses 1'!$C$2:$C1000 = A3) * ('Form responses 1'!$A$2:$A1000 &lt;= DATE(2024, 1, 31)))
+ SUMPRODUCT(('Form responses 1'!$D$2:$D1000 = A3) * ('Form responses 1'!$A$2:$A1000 &lt;= DATE(2024, 1, 31)))
+ SUMPRODUCT(('Form responses 1'!$E$2:$E1000 = A3) * ('Form responses 1'!$A$2:$A1000 &lt;= DATE(2024, 1, 31)))
+ SUMPRODUCT(('Form responses 1'!$F$2:$F1000 = A3) * ('Form responses 1'!$A$2:$A1000 &lt;= DATE(2024, 1, 31)))
+ SUMPRODUCT(('Form responses 1'!$G$2:$G1000 = A3) * ('Form responses 1'!$A$2:$A1000 &lt;= DATE(2024, 1, 31)))), 2), "-")
</f>
        <v>0</v>
      </c>
      <c r="D3" s="2">
        <f>IFERROR(ROUND(Data!B3/(SUMPRODUCT(('Form responses 1'!$B$2:$B1000 = A3) * ('Form responses 1'!$A$2:$A1000 &lt;= DATE(2024, 2, 29)))
+ SUMPRODUCT(('Form responses 1'!$C$2:$C1000 = A3) * ('Form responses 1'!$A$2:$A1000 &lt;= DATE(2024, 2, 29)))
+ SUMPRODUCT(('Form responses 1'!$D$2:$D1000 = A3) * ('Form responses 1'!$A$2:$A1000 &lt;= DATE(2024, 2, 29)))
+ SUMPRODUCT(('Form responses 1'!$E$2:$E1000 = A3) * ('Form responses 1'!$A$2:$A1000 &lt;= DATE(2024, 2, 29)))
+ SUMPRODUCT(('Form responses 1'!$F$2:$F1000 = A3) * ('Form responses 1'!$A$2:$A1000 &lt;= DATE(2024, 2, 29)))
+ SUMPRODUCT(('Form responses 1'!$G$2:$G1000 = A3) * ('Form responses 1'!$A$2:$A1000 &lt;= DATE(2024, 2, 29)))), 2), "-")
</f>
        <v>0</v>
      </c>
      <c r="E3" s="2">
        <f>IFERROR(ROUND(Data!B3/(SUMPRODUCT(('Form responses 1'!$B$2:$B1000 = A3) * ('Form responses 1'!$A$2:$A1000 &lt;= DATE(2024, 3, 31)))
+ SUMPRODUCT(('Form responses 1'!$C$2:$C1000 = A3) * ('Form responses 1'!$A$2:$A1000 &lt;= DATE(2024, 3, 31)))
+ SUMPRODUCT(('Form responses 1'!$D$2:$D1000 = A3) * ('Form responses 1'!$A$2:$A1000 &lt;= DATE(2024, 3, 31)))
+ SUMPRODUCT(('Form responses 1'!$E$2:$E1000 = A3) * ('Form responses 1'!$A$2:$A1000 &lt;= DATE(2024, 3, 31)))
+ SUMPRODUCT(('Form responses 1'!$F$2:$F1000 = A3) * ('Form responses 1'!$A$2:$A1000 &lt;= DATE(2024, 3, 31)))
+ SUMPRODUCT(('Form responses 1'!$G$2:$G1000 = A3) * ('Form responses 1'!$A$2:$A1000 &lt;= DATE(2024, 3, 31)))), 2), "-")
</f>
        <v>0</v>
      </c>
      <c r="F3" s="2">
        <f>IFERROR(ROUND(Data!B3/(SUMPRODUCT(('Form responses 1'!$B$2:$B1000 = A3) * ('Form responses 1'!$A$2:$A1000 &lt;= DATE(2024, 4, 30)))
+ SUMPRODUCT(('Form responses 1'!$C$2:$C1000 = A3) * ('Form responses 1'!$A$2:$A1000 &lt;= DATE(2024, 4, 30)))
+ SUMPRODUCT(('Form responses 1'!$D$2:$D1000 = A3) * ('Form responses 1'!$A$2:$A1000 &lt;= DATE(2024, 4, 30)))
+ SUMPRODUCT(('Form responses 1'!$E$2:$E1000 = A3) * ('Form responses 1'!$A$2:$A1000 &lt;= DATE(2024, 4, 30)))
+ SUMPRODUCT(('Form responses 1'!$F$2:$F1000 = A3) * ('Form responses 1'!$A$2:$A1000 &lt;= DATE(2024, 4, 30)))
+ SUMPRODUCT(('Form responses 1'!$G$2:$G1000 = A3) * ('Form responses 1'!$A$2:$A1000 &lt;= DATE(2024, 4, 30)))), 2), "-")
</f>
        <v>0</v>
      </c>
      <c r="G3" s="2">
        <f>IFERROR(ROUND(Data!B3/(SUMPRODUCT(('Form responses 1'!$B$2:$B1000 = A3) * ('Form responses 1'!$A$2:$A1000 &lt;= DATE(2024, 5, 31)))
+ SUMPRODUCT(('Form responses 1'!$C$2:$C1000 = A3) * ('Form responses 1'!$A$2:$A1000 &lt;= DATE(2024, 5, 31)))
+ SUMPRODUCT(('Form responses 1'!$D$2:$D1000 = A3) * ('Form responses 1'!$A$2:$A1000 &lt;= DATE(2024, 5, 31)))
+ SUMPRODUCT(('Form responses 1'!$E$2:$E1000 = A3) * ('Form responses 1'!$A$2:$A1000 &lt;= DATE(2024, 5, 31)))
+ SUMPRODUCT(('Form responses 1'!$F$2:$F1000 = A3) * ('Form responses 1'!$A$2:$A1000 &lt;= DATE(2024, 5, 31)))
+ SUMPRODUCT(('Form responses 1'!$G$2:$G1000 = A3) * ('Form responses 1'!$A$2:$A1000 &lt;= DATE(2024, 5, 31)))), 2), "-")
</f>
        <v>0</v>
      </c>
      <c r="H3" s="2">
        <f>IFERROR(ROUND(Data!B3/(SUMPRODUCT(('Form responses 1'!$B$2:$B1000 = A3) * ('Form responses 1'!$A$2:$A1000 &lt;= DATE(2024, 6, 30)))
+ SUMPRODUCT(('Form responses 1'!$C$2:$C1000 = A3) * ('Form responses 1'!$A$2:$A1000 &lt;= DATE(2024, 6, 30)))
+ SUMPRODUCT(('Form responses 1'!$D$2:$D1000 = A3) * ('Form responses 1'!$A$2:$A1000 &lt;= DATE(2024, 6, 30)))
+ SUMPRODUCT(('Form responses 1'!$E$2:$E1000 = A3) * ('Form responses 1'!$A$2:$A1000 &lt;= DATE(2024, 6, 30)))
+ SUMPRODUCT(('Form responses 1'!$F$2:$F1000 = A3) * ('Form responses 1'!$A$2:$A1000 &lt;= DATE(2024, 6, 30)))
+ SUMPRODUCT(('Form responses 1'!$G$2:$G1000 = A3) * ('Form responses 1'!$A$2:$A1000 &lt;= DATE(2024, 6, 30)))), 2), "-")
</f>
        <v>0</v>
      </c>
      <c r="I3" s="2">
        <f>IFERROR(ROUND(Data!B3/(SUMPRODUCT(('Form responses 1'!$B$2:$B1000 = A3) * ('Form responses 1'!$A$2:$A1000 &lt;= DATE(2024, 7, 31)))
+ SUMPRODUCT(('Form responses 1'!$C$2:$C1000 = A3) * ('Form responses 1'!$A$2:$A1000 &lt;= DATE(2024, 7, 31)))
+ SUMPRODUCT(('Form responses 1'!$D$2:$D1000 = A3) * ('Form responses 1'!$A$2:$A1000 &lt;= DATE(2024, 7, 31)))
+ SUMPRODUCT(('Form responses 1'!$E$2:$E1000 = A3) * ('Form responses 1'!$A$2:$A1000 &lt;= DATE(2024, 7, 31)))
+ SUMPRODUCT(('Form responses 1'!$F$2:$F1000 = A3) * ('Form responses 1'!$A$2:$A1000 &lt;= DATE(2024, 7, 31)))
+ SUMPRODUCT(('Form responses 1'!$G$2:$G1000 = A3) * ('Form responses 1'!$A$2:$A1000 &lt;= DATE(2024, 7, 31)))), 2), "-")
</f>
        <v>0</v>
      </c>
      <c r="J3" s="2">
        <f>IFERROR(ROUND(Data!B3/(SUMPRODUCT(('Form responses 1'!$B$2:$B1000 = A3) * ('Form responses 1'!$A$2:$A1000 &lt;= DATE(2024, 8, 31)))
+ SUMPRODUCT(('Form responses 1'!$C$2:$C1000 = A3) * ('Form responses 1'!$A$2:$A1000 &lt;= DATE(2024, 8, 31)))
+ SUMPRODUCT(('Form responses 1'!$D$2:$D1000 = A3) * ('Form responses 1'!$A$2:$A1000 &lt;= DATE(2024, 8, 31)))
+ SUMPRODUCT(('Form responses 1'!$E$2:$E1000 = A3) * ('Form responses 1'!$A$2:$A1000 &lt;= DATE(2024, 8, 31)))
+ SUMPRODUCT(('Form responses 1'!$F$2:$F1000 = A3) * ('Form responses 1'!$A$2:$A1000 &lt;= DATE(2024, 8, 31)))
+ SUMPRODUCT(('Form responses 1'!$G$2:$G1000 = A3) * ('Form responses 1'!$A$2:$A1000 &lt;= DATE(2024, 8, 31)))), 2), "-")
</f>
        <v>0</v>
      </c>
      <c r="K3" s="2">
        <f>IFERROR(ROUND(Data!B3/(SUMPRODUCT(('Form responses 1'!$B$2:$B1000 = A3) * ('Form responses 1'!$A$2:$A1000 &lt;= DATE(2024, 9, 30)))
+ SUMPRODUCT(('Form responses 1'!$C$2:$C1000 = A3) * ('Form responses 1'!$A$2:$A1000 &lt;= DATE(2024, 9, 30)))
+ SUMPRODUCT(('Form responses 1'!$D$2:$D1000 = A3) * ('Form responses 1'!$A$2:$A1000 &lt;= DATE(2024, 9, 30)))
+ SUMPRODUCT(('Form responses 1'!$E$2:$E1000 = A3) * ('Form responses 1'!$A$2:$A1000 &lt;= DATE(2024, 9, 30)))
+ SUMPRODUCT(('Form responses 1'!$F$2:$F1000 = A3) * ('Form responses 1'!$A$2:$A1000 &lt;= DATE(2024, 9, 30)))
+ SUMPRODUCT(('Form responses 1'!$G$2:$G1000 = A3) * ('Form responses 1'!$A$2:$A1000 &lt;= DATE(2024, 9, 30)))), 2), "-")
</f>
        <v>0</v>
      </c>
      <c r="L3" s="2">
        <f>IFERROR(ROUND(Data!B3/(SUMPRODUCT(('Form responses 1'!$B$2:$B1000 = A3) * ('Form responses 1'!$A$2:$A1000 &lt;= DATE(2024, 10, 31)))
+ SUMPRODUCT(('Form responses 1'!$C$2:$C1000 = A3) * ('Form responses 1'!$A$2:$A1000 &lt;= DATE(2024, 10, 31)))
+ SUMPRODUCT(('Form responses 1'!$D$2:$D1000 = A3) * ('Form responses 1'!$A$2:$A1000 &lt;= DATE(2024, 10, 31)))
+ SUMPRODUCT(('Form responses 1'!$E$2:$E1000 = A3) * ('Form responses 1'!$A$2:$A1000 &lt;= DATE(2024, 10, 31)))
+ SUMPRODUCT(('Form responses 1'!$F$2:$F1000 = A3) * ('Form responses 1'!$A$2:$A1000 &lt;= DATE(2024, 10, 31)))
+ SUMPRODUCT(('Form responses 1'!$G$2:$G1000 = A3) * ('Form responses 1'!$A$2:$A1000 &lt;= DATE(2024, 10, 31)))), 2), "-")
</f>
        <v>0</v>
      </c>
      <c r="M3" s="2">
        <f>IFERROR(ROUND(Data!B3/(SUMPRODUCT(('Form responses 1'!$B$2:$B1000 = A3) * ('Form responses 1'!$A$2:$A1000 &lt;= DATE(2024, 11, 30)))
+ SUMPRODUCT(('Form responses 1'!$C$2:$C1000 = A3) * ('Form responses 1'!$A$2:$A1000 &lt;= DATE(2024, 11, 30)))
+ SUMPRODUCT(('Form responses 1'!$D$2:$D1000 = A3) * ('Form responses 1'!$A$2:$A1000 &lt;= DATE(2024, 11, 30)))
+ SUMPRODUCT(('Form responses 1'!$E$2:$E1000 = A3) * ('Form responses 1'!$A$2:$A1000 &lt;= DATE(2024, 11, 30)))
+ SUMPRODUCT(('Form responses 1'!$F$2:$F1000 = A3) * ('Form responses 1'!$A$2:$A1000 &lt;= DATE(2024, 11, 30)))
+ SUMPRODUCT(('Form responses 1'!$G$2:$G1000 = A3) * ('Form responses 1'!$A$2:$A1000 &lt;= DATE(2024, 11, 30)))), 2), "-")
</f>
        <v>0</v>
      </c>
      <c r="N3" s="2">
        <f>IFERROR(ROUND(Data!B3/(SUMPRODUCT(('Form responses 1'!$B$2:$B1000 = A3) * ('Form responses 1'!$A$2:$A1000 &lt;= DATE(2024, 12, 31)))
+ SUMPRODUCT(('Form responses 1'!$C$2:$C1000 = A3) * ('Form responses 1'!$A$2:$A1000 &lt;= DATE(2024, 12, 31)))
+ SUMPRODUCT(('Form responses 1'!$D$2:$D1000 = A3) * ('Form responses 1'!$A$2:$A1000 &lt;= DATE(2024, 12, 31)))
+ SUMPRODUCT(('Form responses 1'!$E$2:$E1000 = A3) * ('Form responses 1'!$A$2:$A1000 &lt;= DATE(2024, 12, 31)))
+ SUMPRODUCT(('Form responses 1'!$F$2:$F1000 = A3) * ('Form responses 1'!$A$2:$A1000 &lt;= DATE(2024, 12, 31)))
+ SUMPRODUCT(('Form responses 1'!$G$2:$G1000 = A3) * ('Form responses 1'!$A$2:$A1000 &lt;= DATE(2024, 12, 31)))), 2), "-")
</f>
        <v>0</v>
      </c>
      <c r="O3" s="2">
        <f>IFERROR(ROUND(Data!B3/(SUMPRODUCT(('Form responses 1'!$B$2:$B1000 = A3) * ('Form responses 1'!$A$2:$A1000 &lt;= DATE(2025, 1, 31)))
+ SUMPRODUCT(('Form responses 1'!$C$2:$C1000 = A3) * ('Form responses 1'!$A$2:$A1000 &lt;= DATE(2025, 1, 31)))
+ SUMPRODUCT(('Form responses 1'!$D$2:$D1000 = A3) * ('Form responses 1'!$A$2:$A1000 &lt;= DATE(2025, 1, 31)))
+ SUMPRODUCT(('Form responses 1'!$E$2:$E1000 = A3) * ('Form responses 1'!$A$2:$A1000 &lt;= DATE(2025, 1, 31)))
+ SUMPRODUCT(('Form responses 1'!$F$2:$F1000 = A3) * ('Form responses 1'!$A$2:$A1000 &lt;= DATE(2025, 1, 31)))
+ SUMPRODUCT(('Form responses 1'!$G$2:$G1000 = A3) * ('Form responses 1'!$A$2:$A1000 &lt;= DATE(2025, 1, 31)))), 2), "-")
</f>
        <v>0</v>
      </c>
      <c r="P3" s="2">
        <f>IFERROR(ROUND(Data!B3/(SUMPRODUCT(('Form responses 1'!$B$2:$B1000 = A3) * ('Form responses 1'!$A$2:$A1000 &lt;= DATE(2025, 2, 28)))
+ SUMPRODUCT(('Form responses 1'!$C$2:$C1000 = A3) * ('Form responses 1'!$A$2:$A1000 &lt;= DATE(2025, 2, 28)))
+ SUMPRODUCT(('Form responses 1'!$D$2:$D1000 = A3) * ('Form responses 1'!$A$2:$A1000 &lt;= DATE(2025, 2, 28)))
+ SUMPRODUCT(('Form responses 1'!$E$2:$E1000 = A3) * ('Form responses 1'!$A$2:$A1000 &lt;= DATE(2025, 2, 28)))
+ SUMPRODUCT(('Form responses 1'!$F$2:$F1000 = A3) * ('Form responses 1'!$A$2:$A1000 &lt;= DATE(2025, 2, 28)))
+ SUMPRODUCT(('Form responses 1'!$G$2:$G1000 = A3) * ('Form responses 1'!$A$2:$A1000 &lt;= DATE(2025, 2, 28)))), 2), "-")
</f>
        <v>0</v>
      </c>
      <c r="Q3" s="2">
        <f>IFERROR(ROUND(Data!B3/(SUMPRODUCT(('Form responses 1'!$B$2:$B1000 = A3) * ('Form responses 1'!$A$2:$A1000 &lt;= DATE(2025, 3, 31)))
+ SUMPRODUCT(('Form responses 1'!$C$2:$C1000 = A3) * ('Form responses 1'!$A$2:$A1000 &lt;= DATE(2025, 3, 31)))
+ SUMPRODUCT(('Form responses 1'!$D$2:$D1000 = A3) * ('Form responses 1'!$A$2:$A1000 &lt;= DATE(2025, 3, 31)))
+ SUMPRODUCT(('Form responses 1'!$E$2:$E1000 = A3) * ('Form responses 1'!$A$2:$A1000 &lt;= DATE(2025, 3, 31)))
+ SUMPRODUCT(('Form responses 1'!$F$2:$F1000 = A3) * ('Form responses 1'!$A$2:$A1000 &lt;= DATE(2025, 3, 31)))
+ SUMPRODUCT(('Form responses 1'!$G$2:$G1000 = A3) * ('Form responses 1'!$A$2:$A1000 &lt;= DATE(2025, 3, 31)))),2),"-")</f>
        <v>0</v>
      </c>
      <c r="R3" s="2">
        <f>IFERROR(ROUND(Data!B3/(SUMPRODUCT(('Form responses 1'!$B$2:$B1000 = A3) * ('Form responses 1'!$A$2:$A1000 &lt;= DATE(2025, 4, 30)))
+ SUMPRODUCT(('Form responses 1'!$C$2:$C1000 = A3) * ('Form responses 1'!$A$2:$A1000 &lt;= DATE(2025, 4, 30)))
+ SUMPRODUCT(('Form responses 1'!$D$2:$D1000 = A3) * ('Form responses 1'!$A$2:$A1000 &lt;= DATE(2025, 4, 30)))
+ SUMPRODUCT(('Form responses 1'!$E$2:$E1000 = A3) * ('Form responses 1'!$A$2:$A1000 &lt;= DATE(2025, 4, 30)))
+ SUMPRODUCT(('Form responses 1'!$F$2:$F1000 = A3) * ('Form responses 1'!$A$2:$A1000 &lt;= DATE(2025, 4, 30)))
+ SUMPRODUCT(('Form responses 1'!$G$2:$G1000 = A3) * ('Form responses 1'!$A$2:$A1000 &lt;= DATE(2025, 4, 30)))), 2), "-")
</f>
        <v>0</v>
      </c>
      <c r="S3" s="2">
        <f>IFERROR(ROUND(Data!B3/(SUMPRODUCT(('Form responses 1'!$B$2:$B1000 = A3) * ('Form responses 1'!$A$2:$A1000 &lt;= DATE(2025, 5, 31)))
+ SUMPRODUCT(('Form responses 1'!$C$2:$C1000 = A3) * ('Form responses 1'!$A$2:$A1000 &lt;= DATE(2025, 5, 31)))
+ SUMPRODUCT(('Form responses 1'!$D$2:$D1000 = A3) * ('Form responses 1'!$A$2:$A1000 &lt;= DATE(2025, 5, 31)))
+ SUMPRODUCT(('Form responses 1'!$E$2:$E1000 = A3) * ('Form responses 1'!$A$2:$A1000 &lt;= DATE(2025, 5, 31)))
+ SUMPRODUCT(('Form responses 1'!$F$2:$F1000 = A3) * ('Form responses 1'!$A$2:$A1000 &lt;= DATE(2025, 5, 31)))
+ SUMPRODUCT(('Form responses 1'!$G$2:$G1000 = A3) * ('Form responses 1'!$A$2:$A1000 &lt;= DATE(2025, 5, 31)))), 2), "-")
</f>
        <v>0</v>
      </c>
      <c r="T3" s="2">
        <f>IFERROR(ROUND(Data!B3/(SUMPRODUCT(('Form responses 1'!$B$2:$B1000 = A3) * ('Form responses 1'!$A$2:$A1000 &lt;= DATE(2025, 6, 30)))
+ SUMPRODUCT(('Form responses 1'!$C$2:$C1000 = A3) * ('Form responses 1'!$A$2:$A1000 &lt;= DATE(2025, 6, 30)))
+ SUMPRODUCT(('Form responses 1'!$D$2:$D1000 = A3) * ('Form responses 1'!$A$2:$A1000 &lt;= DATE(2025, 6, 30)))
+ SUMPRODUCT(('Form responses 1'!$E$2:$E1000 = A3) * ('Form responses 1'!$A$2:$A1000 &lt;= DATE(2025, 6, 30)))
+ SUMPRODUCT(('Form responses 1'!$F$2:$F1000 = A3) * ('Form responses 1'!$A$2:$A1000 &lt;= DATE(2025, 6, 30)))
+ SUMPRODUCT(('Form responses 1'!$G$2:$G1000 = A3) * ('Form responses 1'!$A$2:$A1000 &lt;= DATE(2025, 6, 30)))), 2), "-")
</f>
        <v>0</v>
      </c>
      <c r="U3" s="2">
        <f>IFERROR(ROUND(Data!B3/(SUMPRODUCT(('Form responses 1'!$B$2:$B1000 = A3) * ('Form responses 1'!$A$2:$A1000 &lt;= DATE(2025, 7, 31)))
+ SUMPRODUCT(('Form responses 1'!$C$2:$C1000 = A3) * ('Form responses 1'!$A$2:$A1000 &lt;= DATE(2025, 7, 31)))
+ SUMPRODUCT(('Form responses 1'!$D$2:$D1000 = A3) * ('Form responses 1'!$A$2:$A1000 &lt;= DATE(2025, 7, 31)))
+ SUMPRODUCT(('Form responses 1'!$E$2:$E1000 = A3) * ('Form responses 1'!$A$2:$A1000 &lt;= DATE(2025, 7, 31)))
+ SUMPRODUCT(('Form responses 1'!$F$2:$F1000 = A3) * ('Form responses 1'!$A$2:$A1000 &lt;= DATE(2025, 7, 31)))
+ SUMPRODUCT(('Form responses 1'!$G$2:$G1000 = A3) * ('Form responses 1'!$A$2:$A1000 &lt;= DATE(2025, 7, 31)))), 2), "-")
</f>
        <v>0</v>
      </c>
      <c r="V3" s="2">
        <f>IFERROR(ROUND(Data!B3/(SUMPRODUCT(('Form responses 1'!$B$2:$B1000 = A3) * ('Form responses 1'!$A$2:$A1000 &lt;= DATE(2025, 8, 31)))
+ SUMPRODUCT(('Form responses 1'!$C$2:$C1000 = A3) * ('Form responses 1'!$A$2:$A1000 &lt;= DATE(2025, 8, 31)))
+ SUMPRODUCT(('Form responses 1'!$D$2:$D1000 = A3) * ('Form responses 1'!$A$2:$A1000 &lt;= DATE(2025, 8, 31)))
+ SUMPRODUCT(('Form responses 1'!$E$2:$E1000 = A3) * ('Form responses 1'!$A$2:$A1000 &lt;= DATE(2025, 8, 31)))
+ SUMPRODUCT(('Form responses 1'!$F$2:$F1000 = A3) * ('Form responses 1'!$A$2:$A1000 &lt;= DATE(2025, 8, 31)))
+ SUMPRODUCT(('Form responses 1'!$G$2:$G1000 = A3) * ('Form responses 1'!$A$2:$A1000 &lt;= DATE(2025, 8, 31)))), 2), "-")
</f>
        <v>0</v>
      </c>
      <c r="W3" s="2">
        <f>IFERROR(ROUND(Data!B3/(SUMPRODUCT(('Form responses 1'!$B$2:$B1000 = A3) * ('Form responses 1'!$A$2:$A1000 &lt;= DATE(2025, 9, 30)))
+ SUMPRODUCT(('Form responses 1'!$C$2:$C1000 = A3) * ('Form responses 1'!$A$2:$A1000 &lt;= DATE(2025, 9, 30)))
+ SUMPRODUCT(('Form responses 1'!$D$2:$D1000 = A3) * ('Form responses 1'!$A$2:$A1000 &lt;= DATE(2025, 9, 30)))
+ SUMPRODUCT(('Form responses 1'!$E$2:$E1000 = A3) * ('Form responses 1'!$A$2:$A1000 &lt;= DATE(2025, 9, 30)))
+ SUMPRODUCT(('Form responses 1'!$F$2:$F1000 = A3) * ('Form responses 1'!$A$2:$A1000 &lt;= DATE(2025, 9, 30)))
+ SUMPRODUCT(('Form responses 1'!$G$2:$G1000 = A3) * ('Form responses 1'!$A$2:$A1000 &lt;= DATE(2025, 9, 30)))), 2), "-")
</f>
        <v>0</v>
      </c>
      <c r="X3" s="2">
        <f>IFERROR(ROUND(Data!B3/(SUMPRODUCT(('Form responses 1'!$B$2:$B1000 = A3) * ('Form responses 1'!$A$2:$A1000 &lt;= DATE(2025, 10, 31)))
+ SUMPRODUCT(('Form responses 1'!$C$2:$C1000 = A3) * ('Form responses 1'!$A$2:$A1000 &lt;= DATE(2025, 10, 31)))
+ SUMPRODUCT(('Form responses 1'!$D$2:$D1000 = A3) * ('Form responses 1'!$A$2:$A1000 &lt;= DATE(2025, 10, 31)))
+ SUMPRODUCT(('Form responses 1'!$E$2:$E1000 = A3) * ('Form responses 1'!$A$2:$A1000 &lt;= DATE(2025, 10, 31)))
+ SUMPRODUCT(('Form responses 1'!$F$2:$F1000 = A3) * ('Form responses 1'!$A$2:$A1000 &lt;= DATE(2025, 10, 31)))
+ SUMPRODUCT(('Form responses 1'!$G$2:$G1000 = A3) * ('Form responses 1'!$A$2:$A1000 &lt;= DATE(2025, 10, 31)))), 2), "-")
</f>
        <v>0</v>
      </c>
      <c r="Y3" s="2">
        <f>IFERROR(ROUND(Data!B3/(SUMPRODUCT(('Form responses 1'!$B$2:$B1000 = A3) * ('Form responses 1'!$A$2:$A1000 &lt;= DATE(2025, 11, 30)))
+ SUMPRODUCT(('Form responses 1'!$C$2:$C1000 = A3) * ('Form responses 1'!$A$2:$A1000 &lt;= DATE(2025, 11, 30)))
+ SUMPRODUCT(('Form responses 1'!$D$2:$D1000 = A3) * ('Form responses 1'!$A$2:$A1000 &lt;= DATE(2025, 11, 30)))
+ SUMPRODUCT(('Form responses 1'!$E$2:$E1000 = A3) * ('Form responses 1'!$A$2:$A1000 &lt;= DATE(2025, 11, 30)))
+ SUMPRODUCT(('Form responses 1'!$F$2:$F1000 = A3) * ('Form responses 1'!$A$2:$A1000 &lt;= DATE(2025, 11, 30)))
+ SUMPRODUCT(('Form responses 1'!$G$2:$G1000 = A3) * ('Form responses 1'!$A$2:$A1000 &lt;= DATE(2025, 11, 30)))), 2), "-")
</f>
        <v>0</v>
      </c>
      <c r="Z3" s="2">
        <f>IFERROR(ROUND(Data!B3/(SUMPRODUCT(('Form responses 1'!$B$2:$B1000 = A3) * ('Form responses 1'!$A$2:$A1000 &lt;= DATE(2025, 12, 31)))
+ SUMPRODUCT(('Form responses 1'!$C$2:$C1000 = A3) * ('Form responses 1'!$A$2:$A1000 &lt;= DATE(2025, 12, 31)))
+ SUMPRODUCT(('Form responses 1'!$D$2:$D1000 = A3) * ('Form responses 1'!$A$2:$A1000 &lt;= DATE(2025, 12, 31)))
+ SUMPRODUCT(('Form responses 1'!$E$2:$E1000 = A3) * ('Form responses 1'!$A$2:$A1000 &lt;= DATE(2025, 12, 31)))
+ SUMPRODUCT(('Form responses 1'!$F$2:$F1000 = A3) * ('Form responses 1'!$A$2:$A1000 &lt;= DATE(2025, 12, 31)))
+ SUMPRODUCT(('Form responses 1'!$G$2:$G1000 = A3) * ('Form responses 1'!$A$2:$A1000 &lt;= DATE(2025, 12, 31)))), 2), "-")
</f>
        <v>0</v>
      </c>
      <c r="AA3" s="2">
        <f>IFERROR(ROUND(Data!$B3/(
  SUMPRODUCT(('Form responses 1'!$B$2:$B1000=$A3)*('Form responses 1'!$A$2:$A1000&lt;=EOMONTH(DATEVALUE("1 "&amp;AA$1),0)))+
  SUMPRODUCT(('Form responses 1'!$C$2:$C1000=$A3)*('Form responses 1'!$A$2:$A1000&lt;=EOMONTH(DATEVALUE("1 "&amp;AA$1),0)))+
  SUMPRODUCT(('Form responses 1'!$D$2:$D1000=$A3)*('Form responses 1'!$A$2:$A1000&lt;=EOMONTH(DATEVALUE("1 "&amp;AA$1),0)))+
  SUMPRODUCT(('Form responses 1'!$E$2:$E1000=$A3)*('Form responses 1'!$A$2:$A1000&lt;=EOMONTH(DATEVALUE("1 "&amp;AA$1),0)))+
  SUMPRODUCT(('Form responses 1'!$F$2:$F1000=$A3)*('Form responses 1'!$A$2:$A1000&lt;=EOMONTH(DATEVALUE("1 "&amp;AA$1),0)))+
  SUMPRODUCT(('Form responses 1'!$G$2:$G1000=$A3)*('Form responses 1'!$A$2:$A1000&lt;=EOMONTH(DATEVALUE("1 "&amp;AA$1),0)))
),2),"-")</f>
        <v>0</v>
      </c>
      <c r="AB3" s="2">
        <f>IFERROR(ROUND(Data!$B3/(
  SUMPRODUCT(('Form responses 1'!$B$2:$B1000=$A3)*('Form responses 1'!$A$2:$A1000&lt;=EOMONTH(DATEVALUE("1 "&amp;AB$1),0)))+
  SUMPRODUCT(('Form responses 1'!$C$2:$C1000=$A3)*('Form responses 1'!$A$2:$A1000&lt;=EOMONTH(DATEVALUE("1 "&amp;AB$1),0)))+
  SUMPRODUCT(('Form responses 1'!$D$2:$D1000=$A3)*('Form responses 1'!$A$2:$A1000&lt;=EOMONTH(DATEVALUE("1 "&amp;AB$1),0)))+
  SUMPRODUCT(('Form responses 1'!$E$2:$E1000=$A3)*('Form responses 1'!$A$2:$A1000&lt;=EOMONTH(DATEVALUE("1 "&amp;AB$1),0)))+
  SUMPRODUCT(('Form responses 1'!$F$2:$F1000=$A3)*('Form responses 1'!$A$2:$A1000&lt;=EOMONTH(DATEVALUE("1 "&amp;AB$1),0)))+
  SUMPRODUCT(('Form responses 1'!$G$2:$G1000=$A3)*('Form responses 1'!$A$2:$A1000&lt;=EOMONTH(DATEVALUE("1 "&amp;AB$1),0)))
),2),"-")</f>
        <v>0</v>
      </c>
      <c r="AC3" s="2">
        <f>IFERROR(ROUND(Data!$B3/(
  SUMPRODUCT(('Form responses 1'!$B$2:$B1000=$A3)*('Form responses 1'!$A$2:$A1000&lt;=EOMONTH(DATEVALUE("1 "&amp;AC$1),0)))+
  SUMPRODUCT(('Form responses 1'!$C$2:$C1000=$A3)*('Form responses 1'!$A$2:$A1000&lt;=EOMONTH(DATEVALUE("1 "&amp;AC$1),0)))+
  SUMPRODUCT(('Form responses 1'!$D$2:$D1000=$A3)*('Form responses 1'!$A$2:$A1000&lt;=EOMONTH(DATEVALUE("1 "&amp;AC$1),0)))+
  SUMPRODUCT(('Form responses 1'!$E$2:$E1000=$A3)*('Form responses 1'!$A$2:$A1000&lt;=EOMONTH(DATEVALUE("1 "&amp;AC$1),0)))+
  SUMPRODUCT(('Form responses 1'!$F$2:$F1000=$A3)*('Form responses 1'!$A$2:$A1000&lt;=EOMONTH(DATEVALUE("1 "&amp;AC$1),0)))+
  SUMPRODUCT(('Form responses 1'!$G$2:$G1000=$A3)*('Form responses 1'!$A$2:$A1000&lt;=EOMONTH(DATEVALUE("1 "&amp;AC$1),0)))
),2),"-")</f>
        <v>0</v>
      </c>
      <c r="AD3" s="2" t="str">
        <f>IFERROR(ROUND(Data!$B3/(
  SUMPRODUCT(('Form responses 1'!$B$2:$B1000=$A3)*('Form responses 1'!$A$2:$A1000&lt;=EOMONTH(DATEVALUE("1 "&amp;AD$1),0)))+
  SUMPRODUCT(('Form responses 1'!$C$2:$C1000=$A3)*('Form responses 1'!$A$2:$A1000&lt;=EOMONTH(DATEVALUE("1 "&amp;AD$1),0)))+
  SUMPRODUCT(('Form responses 1'!$D$2:$D1000=$A3)*('Form responses 1'!$A$2:$A1000&lt;=EOMONTH(DATEVALUE("1 "&amp;AD$1),0)))+
  SUMPRODUCT(('Form responses 1'!$E$2:$E1000=$A3)*('Form responses 1'!$A$2:$A1000&lt;=EOMONTH(DATEVALUE("1 "&amp;AD$1),0)))+
  SUMPRODUCT(('Form responses 1'!$F$2:$F1000=$A3)*('Form responses 1'!$A$2:$A1000&lt;=EOMONTH(DATEVALUE("1 "&amp;AD$1),0)))+
  SUMPRODUCT(('Form responses 1'!$G$2:$G1000=$A3)*('Form responses 1'!$A$2:$A1000&lt;=EOMONTH(DATEVALUE("1 "&amp;AD$1),0)))
),2),"-")</f>
        <v>-</v>
      </c>
      <c r="AE3" s="2" t="str">
        <f>IFERROR(ROUND(Data!$B3/(
  SUMPRODUCT(('Form responses 1'!$B$2:$B1000=$A3)*('Form responses 1'!$A$2:$A1000&lt;=EOMONTH(DATEVALUE("1 "&amp;AE$1),0)))+
  SUMPRODUCT(('Form responses 1'!$C$2:$C1000=$A3)*('Form responses 1'!$A$2:$A1000&lt;=EOMONTH(DATEVALUE("1 "&amp;AE$1),0)))+
  SUMPRODUCT(('Form responses 1'!$D$2:$D1000=$A3)*('Form responses 1'!$A$2:$A1000&lt;=EOMONTH(DATEVALUE("1 "&amp;AE$1),0)))+
  SUMPRODUCT(('Form responses 1'!$E$2:$E1000=$A3)*('Form responses 1'!$A$2:$A1000&lt;=EOMONTH(DATEVALUE("1 "&amp;AE$1),0)))+
  SUMPRODUCT(('Form responses 1'!$F$2:$F1000=$A3)*('Form responses 1'!$A$2:$A1000&lt;=EOMONTH(DATEVALUE("1 "&amp;AE$1),0)))+
  SUMPRODUCT(('Form responses 1'!$G$2:$G1000=$A3)*('Form responses 1'!$A$2:$A1000&lt;=EOMONTH(DATEVALUE("1 "&amp;AE$1),0)))
),2),"-")</f>
        <v>-</v>
      </c>
      <c r="AF3" s="2" t="str">
        <f>IFERROR(ROUND(Data!$B3/(
  SUMPRODUCT(('Form responses 1'!$B$2:$B1000=$A3)*('Form responses 1'!$A$2:$A1000&lt;=EOMONTH(DATEVALUE("1 "&amp;AF$1),0)))+
  SUMPRODUCT(('Form responses 1'!$C$2:$C1000=$A3)*('Form responses 1'!$A$2:$A1000&lt;=EOMONTH(DATEVALUE("1 "&amp;AF$1),0)))+
  SUMPRODUCT(('Form responses 1'!$D$2:$D1000=$A3)*('Form responses 1'!$A$2:$A1000&lt;=EOMONTH(DATEVALUE("1 "&amp;AF$1),0)))+
  SUMPRODUCT(('Form responses 1'!$E$2:$E1000=$A3)*('Form responses 1'!$A$2:$A1000&lt;=EOMONTH(DATEVALUE("1 "&amp;AF$1),0)))+
  SUMPRODUCT(('Form responses 1'!$F$2:$F1000=$A3)*('Form responses 1'!$A$2:$A1000&lt;=EOMONTH(DATEVALUE("1 "&amp;AF$1),0)))+
  SUMPRODUCT(('Form responses 1'!$G$2:$G1000=$A3)*('Form responses 1'!$A$2:$A1000&lt;=EOMONTH(DATEVALUE("1 "&amp;AF$1),0)))
),2),"-")</f>
        <v>-</v>
      </c>
      <c r="AG3" s="2" t="str">
        <f>IFERROR(ROUND(Data!$B3/(
  SUMPRODUCT(('Form responses 1'!$B$2:$B1000=$A3)*('Form responses 1'!$A$2:$A1000&lt;=EOMONTH(DATEVALUE("1 "&amp;AG$1),0)))+
  SUMPRODUCT(('Form responses 1'!$C$2:$C1000=$A3)*('Form responses 1'!$A$2:$A1000&lt;=EOMONTH(DATEVALUE("1 "&amp;AG$1),0)))+
  SUMPRODUCT(('Form responses 1'!$D$2:$D1000=$A3)*('Form responses 1'!$A$2:$A1000&lt;=EOMONTH(DATEVALUE("1 "&amp;AG$1),0)))+
  SUMPRODUCT(('Form responses 1'!$E$2:$E1000=$A3)*('Form responses 1'!$A$2:$A1000&lt;=EOMONTH(DATEVALUE("1 "&amp;AG$1),0)))+
  SUMPRODUCT(('Form responses 1'!$F$2:$F1000=$A3)*('Form responses 1'!$A$2:$A1000&lt;=EOMONTH(DATEVALUE("1 "&amp;AG$1),0)))+
  SUMPRODUCT(('Form responses 1'!$G$2:$G1000=$A3)*('Form responses 1'!$A$2:$A1000&lt;=EOMONTH(DATEVALUE("1 "&amp;AG$1),0)))
),2),"-")</f>
        <v>-</v>
      </c>
      <c r="AH3" s="2" t="str">
        <f>IFERROR(ROUND(Data!$B3/(
  SUMPRODUCT(('Form responses 1'!$B$2:$B1000=$A3)*('Form responses 1'!$A$2:$A1000&lt;=EOMONTH(DATEVALUE("1 "&amp;AH$1),0)))+
  SUMPRODUCT(('Form responses 1'!$C$2:$C1000=$A3)*('Form responses 1'!$A$2:$A1000&lt;=EOMONTH(DATEVALUE("1 "&amp;AH$1),0)))+
  SUMPRODUCT(('Form responses 1'!$D$2:$D1000=$A3)*('Form responses 1'!$A$2:$A1000&lt;=EOMONTH(DATEVALUE("1 "&amp;AH$1),0)))+
  SUMPRODUCT(('Form responses 1'!$E$2:$E1000=$A3)*('Form responses 1'!$A$2:$A1000&lt;=EOMONTH(DATEVALUE("1 "&amp;AH$1),0)))+
  SUMPRODUCT(('Form responses 1'!$F$2:$F1000=$A3)*('Form responses 1'!$A$2:$A1000&lt;=EOMONTH(DATEVALUE("1 "&amp;AH$1),0)))+
  SUMPRODUCT(('Form responses 1'!$G$2:$G1000=$A3)*('Form responses 1'!$A$2:$A1000&lt;=EOMONTH(DATEVALUE("1 "&amp;AH$1),0)))
),2),"-")</f>
        <v>-</v>
      </c>
      <c r="AI3" s="2" t="str">
        <f>IFERROR(ROUND(Data!$B3/(
  SUMPRODUCT(('Form responses 1'!$B$2:$B1000=$A3)*('Form responses 1'!$A$2:$A1000&lt;=EOMONTH(DATEVALUE("1 "&amp;AI$1),0)))+
  SUMPRODUCT(('Form responses 1'!$C$2:$C1000=$A3)*('Form responses 1'!$A$2:$A1000&lt;=EOMONTH(DATEVALUE("1 "&amp;AI$1),0)))+
  SUMPRODUCT(('Form responses 1'!$D$2:$D1000=$A3)*('Form responses 1'!$A$2:$A1000&lt;=EOMONTH(DATEVALUE("1 "&amp;AI$1),0)))+
  SUMPRODUCT(('Form responses 1'!$E$2:$E1000=$A3)*('Form responses 1'!$A$2:$A1000&lt;=EOMONTH(DATEVALUE("1 "&amp;AI$1),0)))+
  SUMPRODUCT(('Form responses 1'!$F$2:$F1000=$A3)*('Form responses 1'!$A$2:$A1000&lt;=EOMONTH(DATEVALUE("1 "&amp;AI$1),0)))+
  SUMPRODUCT(('Form responses 1'!$G$2:$G1000=$A3)*('Form responses 1'!$A$2:$A1000&lt;=EOMONTH(DATEVALUE("1 "&amp;AI$1),0)))
),2),"-")</f>
        <v>-</v>
      </c>
      <c r="AJ3" s="2" t="str">
        <f>IFERROR(ROUND(Data!$B3/(
  SUMPRODUCT(('Form responses 1'!$B$2:$B1000=$A3)*('Form responses 1'!$A$2:$A1000&lt;=EOMONTH(DATEVALUE("1 "&amp;AJ$1),0)))+
  SUMPRODUCT(('Form responses 1'!$C$2:$C1000=$A3)*('Form responses 1'!$A$2:$A1000&lt;=EOMONTH(DATEVALUE("1 "&amp;AJ$1),0)))+
  SUMPRODUCT(('Form responses 1'!$D$2:$D1000=$A3)*('Form responses 1'!$A$2:$A1000&lt;=EOMONTH(DATEVALUE("1 "&amp;AJ$1),0)))+
  SUMPRODUCT(('Form responses 1'!$E$2:$E1000=$A3)*('Form responses 1'!$A$2:$A1000&lt;=EOMONTH(DATEVALUE("1 "&amp;AJ$1),0)))+
  SUMPRODUCT(('Form responses 1'!$F$2:$F1000=$A3)*('Form responses 1'!$A$2:$A1000&lt;=EOMONTH(DATEVALUE("1 "&amp;AJ$1),0)))+
  SUMPRODUCT(('Form responses 1'!$G$2:$G1000=$A3)*('Form responses 1'!$A$2:$A1000&lt;=EOMONTH(DATEVALUE("1 "&amp;AJ$1),0)))
),2),"-")</f>
        <v>-</v>
      </c>
      <c r="AK3" s="2" t="str">
        <f>IFERROR(ROUND(Data!$B3/(
  SUMPRODUCT(('Form responses 1'!$B$2:$B1000=$A3)*('Form responses 1'!$A$2:$A1000&lt;=EOMONTH(DATEVALUE("1 "&amp;AK$1),0)))+
  SUMPRODUCT(('Form responses 1'!$C$2:$C1000=$A3)*('Form responses 1'!$A$2:$A1000&lt;=EOMONTH(DATEVALUE("1 "&amp;AK$1),0)))+
  SUMPRODUCT(('Form responses 1'!$D$2:$D1000=$A3)*('Form responses 1'!$A$2:$A1000&lt;=EOMONTH(DATEVALUE("1 "&amp;AK$1),0)))+
  SUMPRODUCT(('Form responses 1'!$E$2:$E1000=$A3)*('Form responses 1'!$A$2:$A1000&lt;=EOMONTH(DATEVALUE("1 "&amp;AK$1),0)))+
  SUMPRODUCT(('Form responses 1'!$F$2:$F1000=$A3)*('Form responses 1'!$A$2:$A1000&lt;=EOMONTH(DATEVALUE("1 "&amp;AK$1),0)))+
  SUMPRODUCT(('Form responses 1'!$G$2:$G1000=$A3)*('Form responses 1'!$A$2:$A1000&lt;=EOMONTH(DATEVALUE("1 "&amp;AK$1),0)))
),2),"-")</f>
        <v>-</v>
      </c>
      <c r="AL3" s="2" t="str">
        <f>IFERROR(ROUND(Data!$B3/(
  SUMPRODUCT(('Form responses 1'!$B$2:$B1000=$A3)*('Form responses 1'!$A$2:$A1000&lt;=EOMONTH(DATEVALUE("1 "&amp;AL$1),0)))+
  SUMPRODUCT(('Form responses 1'!$C$2:$C1000=$A3)*('Form responses 1'!$A$2:$A1000&lt;=EOMONTH(DATEVALUE("1 "&amp;AL$1),0)))+
  SUMPRODUCT(('Form responses 1'!$D$2:$D1000=$A3)*('Form responses 1'!$A$2:$A1000&lt;=EOMONTH(DATEVALUE("1 "&amp;AL$1),0)))+
  SUMPRODUCT(('Form responses 1'!$E$2:$E1000=$A3)*('Form responses 1'!$A$2:$A1000&lt;=EOMONTH(DATEVALUE("1 "&amp;AL$1),0)))+
  SUMPRODUCT(('Form responses 1'!$F$2:$F1000=$A3)*('Form responses 1'!$A$2:$A1000&lt;=EOMONTH(DATEVALUE("1 "&amp;AL$1),0)))+
  SUMPRODUCT(('Form responses 1'!$G$2:$G1000=$A3)*('Form responses 1'!$A$2:$A1000&lt;=EOMONTH(DATEVALUE("1 "&amp;AL$1),0)))
),2),"-")</f>
        <v>-</v>
      </c>
    </row>
    <row r="4">
      <c r="A4" s="3" t="str">
        <f>IFERROR(__xludf.DUMMYFUNCTION("""COMPUTED_VALUE"""),"Dickies 874 zwart")</f>
        <v>Dickies 874 zwart</v>
      </c>
      <c r="B4" s="2">
        <f>Data!F4:F1000</f>
        <v>0.29</v>
      </c>
      <c r="C4" s="2">
        <f>IFERROR(ROUND(Data!B4/(SUMPRODUCT(('Form responses 1'!$B$2:$B1000 = A4) * ('Form responses 1'!$A$2:$A1000 &lt;= DATE(2024, 1, 31)))
+ SUMPRODUCT(('Form responses 1'!$C$2:$C1000 = A4) * ('Form responses 1'!$A$2:$A1000 &lt;= DATE(2024, 1, 31)))
+ SUMPRODUCT(('Form responses 1'!$D$2:$D1000 = A4) * ('Form responses 1'!$A$2:$A1000 &lt;= DATE(2024, 1, 31)))
+ SUMPRODUCT(('Form responses 1'!$E$2:$E1000 = A4) * ('Form responses 1'!$A$2:$A1000 &lt;= DATE(2024, 1, 31)))
+ SUMPRODUCT(('Form responses 1'!$F$2:$F1000 = A4) * ('Form responses 1'!$A$2:$A1000 &lt;= DATE(2024, 1, 31)))
+ SUMPRODUCT(('Form responses 1'!$G$2:$G1000 = A4) * ('Form responses 1'!$A$2:$A1000 &lt;= DATE(2024, 1, 31)))), 2), "-")
</f>
        <v>1.82</v>
      </c>
      <c r="D4" s="2">
        <f>IFERROR(ROUND(Data!B4/(SUMPRODUCT(('Form responses 1'!$B$2:$B1000 = A4) * ('Form responses 1'!$A$2:$A1000 &lt;= DATE(2024, 2, 29)))
+ SUMPRODUCT(('Form responses 1'!$C$2:$C1000 = A4) * ('Form responses 1'!$A$2:$A1000 &lt;= DATE(2024, 2, 29)))
+ SUMPRODUCT(('Form responses 1'!$D$2:$D1000 = A4) * ('Form responses 1'!$A$2:$A1000 &lt;= DATE(2024, 2, 29)))
+ SUMPRODUCT(('Form responses 1'!$E$2:$E1000 = A4) * ('Form responses 1'!$A$2:$A1000 &lt;= DATE(2024, 2, 29)))
+ SUMPRODUCT(('Form responses 1'!$F$2:$F1000 = A4) * ('Form responses 1'!$A$2:$A1000 &lt;= DATE(2024, 2, 29)))
+ SUMPRODUCT(('Form responses 1'!$G$2:$G1000 = A4) * ('Form responses 1'!$A$2:$A1000 &lt;= DATE(2024, 2, 29)))), 2), "-")
</f>
        <v>1.5</v>
      </c>
      <c r="E4" s="2">
        <f>IFERROR(ROUND(Data!B4/(SUMPRODUCT(('Form responses 1'!$B$2:$B1000 = A4) * ('Form responses 1'!$A$2:$A1000 &lt;= DATE(2024, 3, 31)))
+ SUMPRODUCT(('Form responses 1'!$C$2:$C1000 = A4) * ('Form responses 1'!$A$2:$A1000 &lt;= DATE(2024, 3, 31)))
+ SUMPRODUCT(('Form responses 1'!$D$2:$D1000 = A4) * ('Form responses 1'!$A$2:$A1000 &lt;= DATE(2024, 3, 31)))
+ SUMPRODUCT(('Form responses 1'!$E$2:$E1000 = A4) * ('Form responses 1'!$A$2:$A1000 &lt;= DATE(2024, 3, 31)))
+ SUMPRODUCT(('Form responses 1'!$F$2:$F1000 = A4) * ('Form responses 1'!$A$2:$A1000 &lt;= DATE(2024, 3, 31)))
+ SUMPRODUCT(('Form responses 1'!$G$2:$G1000 = A4) * ('Form responses 1'!$A$2:$A1000 &lt;= DATE(2024, 3, 31)))), 2), "-")
</f>
        <v>1.21</v>
      </c>
      <c r="F4" s="2">
        <f>IFERROR(ROUND(Data!B4/(SUMPRODUCT(('Form responses 1'!$B$2:$B1000 = A4) * ('Form responses 1'!$A$2:$A1000 &lt;= DATE(2024, 4, 30)))
+ SUMPRODUCT(('Form responses 1'!$C$2:$C1000 = A4) * ('Form responses 1'!$A$2:$A1000 &lt;= DATE(2024, 4, 30)))
+ SUMPRODUCT(('Form responses 1'!$D$2:$D1000 = A4) * ('Form responses 1'!$A$2:$A1000 &lt;= DATE(2024, 4, 30)))
+ SUMPRODUCT(('Form responses 1'!$E$2:$E1000 = A4) * ('Form responses 1'!$A$2:$A1000 &lt;= DATE(2024, 4, 30)))
+ SUMPRODUCT(('Form responses 1'!$F$2:$F1000 = A4) * ('Form responses 1'!$A$2:$A1000 &lt;= DATE(2024, 4, 30)))
+ SUMPRODUCT(('Form responses 1'!$G$2:$G1000 = A4) * ('Form responses 1'!$A$2:$A1000 &lt;= DATE(2024, 4, 30)))), 2), "-")
</f>
        <v>1.05</v>
      </c>
      <c r="G4" s="2">
        <f>IFERROR(ROUND(Data!B4/(SUMPRODUCT(('Form responses 1'!$B$2:$B1000 = A4) * ('Form responses 1'!$A$2:$A1000 &lt;= DATE(2024, 5, 31)))
+ SUMPRODUCT(('Form responses 1'!$C$2:$C1000 = A4) * ('Form responses 1'!$A$2:$A1000 &lt;= DATE(2024, 5, 31)))
+ SUMPRODUCT(('Form responses 1'!$D$2:$D1000 = A4) * ('Form responses 1'!$A$2:$A1000 &lt;= DATE(2024, 5, 31)))
+ SUMPRODUCT(('Form responses 1'!$E$2:$E1000 = A4) * ('Form responses 1'!$A$2:$A1000 &lt;= DATE(2024, 5, 31)))
+ SUMPRODUCT(('Form responses 1'!$F$2:$F1000 = A4) * ('Form responses 1'!$A$2:$A1000 &lt;= DATE(2024, 5, 31)))
+ SUMPRODUCT(('Form responses 1'!$G$2:$G1000 = A4) * ('Form responses 1'!$A$2:$A1000 &lt;= DATE(2024, 5, 31)))), 2), "-")
</f>
        <v>0.99</v>
      </c>
      <c r="H4" s="2">
        <f>IFERROR(ROUND(Data!B4/(SUMPRODUCT(('Form responses 1'!$B$2:$B1000 = A4) * ('Form responses 1'!$A$2:$A1000 &lt;= DATE(2024, 6, 30)))
+ SUMPRODUCT(('Form responses 1'!$C$2:$C1000 = A4) * ('Form responses 1'!$A$2:$A1000 &lt;= DATE(2024, 6, 30)))
+ SUMPRODUCT(('Form responses 1'!$D$2:$D1000 = A4) * ('Form responses 1'!$A$2:$A1000 &lt;= DATE(2024, 6, 30)))
+ SUMPRODUCT(('Form responses 1'!$E$2:$E1000 = A4) * ('Form responses 1'!$A$2:$A1000 &lt;= DATE(2024, 6, 30)))
+ SUMPRODUCT(('Form responses 1'!$F$2:$F1000 = A4) * ('Form responses 1'!$A$2:$A1000 &lt;= DATE(2024, 6, 30)))
+ SUMPRODUCT(('Form responses 1'!$G$2:$G1000 = A4) * ('Form responses 1'!$A$2:$A1000 &lt;= DATE(2024, 6, 30)))), 2), "-")
</f>
        <v>0.86</v>
      </c>
      <c r="I4" s="2">
        <f>IFERROR(ROUND(Data!B4/(SUMPRODUCT(('Form responses 1'!$B$2:$B1000 = A4) * ('Form responses 1'!$A$2:$A1000 &lt;= DATE(2024, 7, 31)))
+ SUMPRODUCT(('Form responses 1'!$C$2:$C1000 = A4) * ('Form responses 1'!$A$2:$A1000 &lt;= DATE(2024, 7, 31)))
+ SUMPRODUCT(('Form responses 1'!$D$2:$D1000 = A4) * ('Form responses 1'!$A$2:$A1000 &lt;= DATE(2024, 7, 31)))
+ SUMPRODUCT(('Form responses 1'!$E$2:$E1000 = A4) * ('Form responses 1'!$A$2:$A1000 &lt;= DATE(2024, 7, 31)))
+ SUMPRODUCT(('Form responses 1'!$F$2:$F1000 = A4) * ('Form responses 1'!$A$2:$A1000 &lt;= DATE(2024, 7, 31)))
+ SUMPRODUCT(('Form responses 1'!$G$2:$G1000 = A4) * ('Form responses 1'!$A$2:$A1000 &lt;= DATE(2024, 7, 31)))), 2), "-")
</f>
        <v>0.79</v>
      </c>
      <c r="J4" s="2">
        <f>IFERROR(ROUND(Data!B4/(SUMPRODUCT(('Form responses 1'!$B$2:$B1000 = A4) * ('Form responses 1'!$A$2:$A1000 &lt;= DATE(2024, 8, 31)))
+ SUMPRODUCT(('Form responses 1'!$C$2:$C1000 = A4) * ('Form responses 1'!$A$2:$A1000 &lt;= DATE(2024, 8, 31)))
+ SUMPRODUCT(('Form responses 1'!$D$2:$D1000 = A4) * ('Form responses 1'!$A$2:$A1000 &lt;= DATE(2024, 8, 31)))
+ SUMPRODUCT(('Form responses 1'!$E$2:$E1000 = A4) * ('Form responses 1'!$A$2:$A1000 &lt;= DATE(2024, 8, 31)))
+ SUMPRODUCT(('Form responses 1'!$F$2:$F1000 = A4) * ('Form responses 1'!$A$2:$A1000 &lt;= DATE(2024, 8, 31)))
+ SUMPRODUCT(('Form responses 1'!$G$2:$G1000 = A4) * ('Form responses 1'!$A$2:$A1000 &lt;= DATE(2024, 8, 31)))), 2), "-")
</f>
        <v>0.78</v>
      </c>
      <c r="K4" s="2">
        <f>IFERROR(ROUND(Data!B4/(SUMPRODUCT(('Form responses 1'!$B$2:$B1000 = A4) * ('Form responses 1'!$A$2:$A1000 &lt;= DATE(2024, 9, 30)))
+ SUMPRODUCT(('Form responses 1'!$C$2:$C1000 = A4) * ('Form responses 1'!$A$2:$A1000 &lt;= DATE(2024, 9, 30)))
+ SUMPRODUCT(('Form responses 1'!$D$2:$D1000 = A4) * ('Form responses 1'!$A$2:$A1000 &lt;= DATE(2024, 9, 30)))
+ SUMPRODUCT(('Form responses 1'!$E$2:$E1000 = A4) * ('Form responses 1'!$A$2:$A1000 &lt;= DATE(2024, 9, 30)))
+ SUMPRODUCT(('Form responses 1'!$F$2:$F1000 = A4) * ('Form responses 1'!$A$2:$A1000 &lt;= DATE(2024, 9, 30)))
+ SUMPRODUCT(('Form responses 1'!$G$2:$G1000 = A4) * ('Form responses 1'!$A$2:$A1000 &lt;= DATE(2024, 9, 30)))), 2), "-")
</f>
        <v>0.73</v>
      </c>
      <c r="L4" s="2">
        <f>IFERROR(ROUND(Data!B4/(SUMPRODUCT(('Form responses 1'!$B$2:$B1000 = A4) * ('Form responses 1'!$A$2:$A1000 &lt;= DATE(2024, 10, 31)))
+ SUMPRODUCT(('Form responses 1'!$C$2:$C1000 = A4) * ('Form responses 1'!$A$2:$A1000 &lt;= DATE(2024, 10, 31)))
+ SUMPRODUCT(('Form responses 1'!$D$2:$D1000 = A4) * ('Form responses 1'!$A$2:$A1000 &lt;= DATE(2024, 10, 31)))
+ SUMPRODUCT(('Form responses 1'!$E$2:$E1000 = A4) * ('Form responses 1'!$A$2:$A1000 &lt;= DATE(2024, 10, 31)))
+ SUMPRODUCT(('Form responses 1'!$F$2:$F1000 = A4) * ('Form responses 1'!$A$2:$A1000 &lt;= DATE(2024, 10, 31)))
+ SUMPRODUCT(('Form responses 1'!$G$2:$G1000 = A4) * ('Form responses 1'!$A$2:$A1000 &lt;= DATE(2024, 10, 31)))), 2), "-")
</f>
        <v>0.71</v>
      </c>
      <c r="M4" s="2">
        <f>IFERROR(ROUND(Data!B4/(SUMPRODUCT(('Form responses 1'!$B$2:$B1000 = A4) * ('Form responses 1'!$A$2:$A1000 &lt;= DATE(2024, 11, 30)))
+ SUMPRODUCT(('Form responses 1'!$C$2:$C1000 = A4) * ('Form responses 1'!$A$2:$A1000 &lt;= DATE(2024, 11, 30)))
+ SUMPRODUCT(('Form responses 1'!$D$2:$D1000 = A4) * ('Form responses 1'!$A$2:$A1000 &lt;= DATE(2024, 11, 30)))
+ SUMPRODUCT(('Form responses 1'!$E$2:$E1000 = A4) * ('Form responses 1'!$A$2:$A1000 &lt;= DATE(2024, 11, 30)))
+ SUMPRODUCT(('Form responses 1'!$F$2:$F1000 = A4) * ('Form responses 1'!$A$2:$A1000 &lt;= DATE(2024, 11, 30)))
+ SUMPRODUCT(('Form responses 1'!$G$2:$G1000 = A4) * ('Form responses 1'!$A$2:$A1000 &lt;= DATE(2024, 11, 30)))), 2), "-")
</f>
        <v>0.65</v>
      </c>
      <c r="N4" s="2">
        <f>IFERROR(ROUND(Data!B4/(SUMPRODUCT(('Form responses 1'!$B$2:$B1000 = A4) * ('Form responses 1'!$A$2:$A1000 &lt;= DATE(2024, 12, 31)))
+ SUMPRODUCT(('Form responses 1'!$C$2:$C1000 = A4) * ('Form responses 1'!$A$2:$A1000 &lt;= DATE(2024, 12, 31)))
+ SUMPRODUCT(('Form responses 1'!$D$2:$D1000 = A4) * ('Form responses 1'!$A$2:$A1000 &lt;= DATE(2024, 12, 31)))
+ SUMPRODUCT(('Form responses 1'!$E$2:$E1000 = A4) * ('Form responses 1'!$A$2:$A1000 &lt;= DATE(2024, 12, 31)))
+ SUMPRODUCT(('Form responses 1'!$F$2:$F1000 = A4) * ('Form responses 1'!$A$2:$A1000 &lt;= DATE(2024, 12, 31)))
+ SUMPRODUCT(('Form responses 1'!$G$2:$G1000 = A4) * ('Form responses 1'!$A$2:$A1000 &lt;= DATE(2024, 12, 31)))), 2), "-")
</f>
        <v>0.57</v>
      </c>
      <c r="O4" s="2">
        <f>IFERROR(ROUND(Data!B4/(SUMPRODUCT(('Form responses 1'!$B$2:$B1000 = A4) * ('Form responses 1'!$A$2:$A1000 &lt;= DATE(2025, 1, 31)))
+ SUMPRODUCT(('Form responses 1'!$C$2:$C1000 = A4) * ('Form responses 1'!$A$2:$A1000 &lt;= DATE(2025, 1, 31)))
+ SUMPRODUCT(('Form responses 1'!$D$2:$D1000 = A4) * ('Form responses 1'!$A$2:$A1000 &lt;= DATE(2025, 1, 31)))
+ SUMPRODUCT(('Form responses 1'!$E$2:$E1000 = A4) * ('Form responses 1'!$A$2:$A1000 &lt;= DATE(2025, 1, 31)))
+ SUMPRODUCT(('Form responses 1'!$F$2:$F1000 = A4) * ('Form responses 1'!$A$2:$A1000 &lt;= DATE(2025, 1, 31)))
+ SUMPRODUCT(('Form responses 1'!$G$2:$G1000 = A4) * ('Form responses 1'!$A$2:$A1000 &lt;= DATE(2025, 1, 31)))), 2), "-")
</f>
        <v>0.55</v>
      </c>
      <c r="P4" s="2">
        <f>IFERROR(ROUND(Data!B4/(SUMPRODUCT(('Form responses 1'!$B$2:$B1000 = A4) * ('Form responses 1'!$A$2:$A1000 &lt;= DATE(2025, 2, 28)))
+ SUMPRODUCT(('Form responses 1'!$C$2:$C1000 = A4) * ('Form responses 1'!$A$2:$A1000 &lt;= DATE(2025, 2, 28)))
+ SUMPRODUCT(('Form responses 1'!$D$2:$D1000 = A4) * ('Form responses 1'!$A$2:$A1000 &lt;= DATE(2025, 2, 28)))
+ SUMPRODUCT(('Form responses 1'!$E$2:$E1000 = A4) * ('Form responses 1'!$A$2:$A1000 &lt;= DATE(2025, 2, 28)))
+ SUMPRODUCT(('Form responses 1'!$F$2:$F1000 = A4) * ('Form responses 1'!$A$2:$A1000 &lt;= DATE(2025, 2, 28)))
+ SUMPRODUCT(('Form responses 1'!$G$2:$G1000 = A4) * ('Form responses 1'!$A$2:$A1000 &lt;= DATE(2025, 2, 28)))), 2), "-")
</f>
        <v>0.51</v>
      </c>
      <c r="Q4" s="2">
        <f>IFERROR(ROUND(Data!B4/(SUMPRODUCT(('Form responses 1'!$B$2:$B1000 = A4) * ('Form responses 1'!$A$2:$A1000 &lt;= DATE(2025, 3, 31)))
+ SUMPRODUCT(('Form responses 1'!$C$2:$C1000 = A4) * ('Form responses 1'!$A$2:$A1000 &lt;= DATE(2025, 3, 31)))
+ SUMPRODUCT(('Form responses 1'!$D$2:$D1000 = A4) * ('Form responses 1'!$A$2:$A1000 &lt;= DATE(2025, 3, 31)))
+ SUMPRODUCT(('Form responses 1'!$E$2:$E1000 = A4) * ('Form responses 1'!$A$2:$A1000 &lt;= DATE(2025, 3, 31)))
+ SUMPRODUCT(('Form responses 1'!$F$2:$F1000 = A4) * ('Form responses 1'!$A$2:$A1000 &lt;= DATE(2025, 3, 31)))
+ SUMPRODUCT(('Form responses 1'!$G$2:$G1000 = A4) * ('Form responses 1'!$A$2:$A1000 &lt;= DATE(2025, 3, 31)))),2),"-")</f>
        <v>0.47</v>
      </c>
      <c r="R4" s="2">
        <f>IFERROR(ROUND(Data!B4/(SUMPRODUCT(('Form responses 1'!$B$2:$B1000 = A4) * ('Form responses 1'!$A$2:$A1000 &lt;= DATE(2025, 4, 30)))
+ SUMPRODUCT(('Form responses 1'!$C$2:$C1000 = A4) * ('Form responses 1'!$A$2:$A1000 &lt;= DATE(2025, 4, 30)))
+ SUMPRODUCT(('Form responses 1'!$D$2:$D1000 = A4) * ('Form responses 1'!$A$2:$A1000 &lt;= DATE(2025, 4, 30)))
+ SUMPRODUCT(('Form responses 1'!$E$2:$E1000 = A4) * ('Form responses 1'!$A$2:$A1000 &lt;= DATE(2025, 4, 30)))
+ SUMPRODUCT(('Form responses 1'!$F$2:$F1000 = A4) * ('Form responses 1'!$A$2:$A1000 &lt;= DATE(2025, 4, 30)))
+ SUMPRODUCT(('Form responses 1'!$G$2:$G1000 = A4) * ('Form responses 1'!$A$2:$A1000 &lt;= DATE(2025, 4, 30)))), 2), "-")
</f>
        <v>0.44</v>
      </c>
      <c r="S4" s="2">
        <f>IFERROR(ROUND(Data!B4/(SUMPRODUCT(('Form responses 1'!$B$2:$B1000 = A4) * ('Form responses 1'!$A$2:$A1000 &lt;= DATE(2025, 5, 31)))
+ SUMPRODUCT(('Form responses 1'!$C$2:$C1000 = A4) * ('Form responses 1'!$A$2:$A1000 &lt;= DATE(2025, 5, 31)))
+ SUMPRODUCT(('Form responses 1'!$D$2:$D1000 = A4) * ('Form responses 1'!$A$2:$A1000 &lt;= DATE(2025, 5, 31)))
+ SUMPRODUCT(('Form responses 1'!$E$2:$E1000 = A4) * ('Form responses 1'!$A$2:$A1000 &lt;= DATE(2025, 5, 31)))
+ SUMPRODUCT(('Form responses 1'!$F$2:$F1000 = A4) * ('Form responses 1'!$A$2:$A1000 &lt;= DATE(2025, 5, 31)))
+ SUMPRODUCT(('Form responses 1'!$G$2:$G1000 = A4) * ('Form responses 1'!$A$2:$A1000 &lt;= DATE(2025, 5, 31)))), 2), "-")
</f>
        <v>0.42</v>
      </c>
      <c r="T4" s="2">
        <f>IFERROR(ROUND(Data!B4/(SUMPRODUCT(('Form responses 1'!$B$2:$B1000 = A4) * ('Form responses 1'!$A$2:$A1000 &lt;= DATE(2025, 6, 30)))
+ SUMPRODUCT(('Form responses 1'!$C$2:$C1000 = A4) * ('Form responses 1'!$A$2:$A1000 &lt;= DATE(2025, 6, 30)))
+ SUMPRODUCT(('Form responses 1'!$D$2:$D1000 = A4) * ('Form responses 1'!$A$2:$A1000 &lt;= DATE(2025, 6, 30)))
+ SUMPRODUCT(('Form responses 1'!$E$2:$E1000 = A4) * ('Form responses 1'!$A$2:$A1000 &lt;= DATE(2025, 6, 30)))
+ SUMPRODUCT(('Form responses 1'!$F$2:$F1000 = A4) * ('Form responses 1'!$A$2:$A1000 &lt;= DATE(2025, 6, 30)))
+ SUMPRODUCT(('Form responses 1'!$G$2:$G1000 = A4) * ('Form responses 1'!$A$2:$A1000 &lt;= DATE(2025, 6, 30)))), 2), "-")
</f>
        <v>0.41</v>
      </c>
      <c r="U4" s="2">
        <f>IFERROR(ROUND(Data!B4/(SUMPRODUCT(('Form responses 1'!$B$2:$B1000 = A4) * ('Form responses 1'!$A$2:$A1000 &lt;= DATE(2025, 7, 31)))
+ SUMPRODUCT(('Form responses 1'!$C$2:$C1000 = A4) * ('Form responses 1'!$A$2:$A1000 &lt;= DATE(2025, 7, 31)))
+ SUMPRODUCT(('Form responses 1'!$D$2:$D1000 = A4) * ('Form responses 1'!$A$2:$A1000 &lt;= DATE(2025, 7, 31)))
+ SUMPRODUCT(('Form responses 1'!$E$2:$E1000 = A4) * ('Form responses 1'!$A$2:$A1000 &lt;= DATE(2025, 7, 31)))
+ SUMPRODUCT(('Form responses 1'!$F$2:$F1000 = A4) * ('Form responses 1'!$A$2:$A1000 &lt;= DATE(2025, 7, 31)))
+ SUMPRODUCT(('Form responses 1'!$G$2:$G1000 = A4) * ('Form responses 1'!$A$2:$A1000 &lt;= DATE(2025, 7, 31)))), 2), "-")
</f>
        <v>0.41</v>
      </c>
      <c r="V4" s="2">
        <f>IFERROR(ROUND(Data!B4/(SUMPRODUCT(('Form responses 1'!$B$2:$B1000 = A4) * ('Form responses 1'!$A$2:$A1000 &lt;= DATE(2025, 8, 31)))
+ SUMPRODUCT(('Form responses 1'!$C$2:$C1000 = A4) * ('Form responses 1'!$A$2:$A1000 &lt;= DATE(2025, 8, 31)))
+ SUMPRODUCT(('Form responses 1'!$D$2:$D1000 = A4) * ('Form responses 1'!$A$2:$A1000 &lt;= DATE(2025, 8, 31)))
+ SUMPRODUCT(('Form responses 1'!$E$2:$E1000 = A4) * ('Form responses 1'!$A$2:$A1000 &lt;= DATE(2025, 8, 31)))
+ SUMPRODUCT(('Form responses 1'!$F$2:$F1000 = A4) * ('Form responses 1'!$A$2:$A1000 &lt;= DATE(2025, 8, 31)))
+ SUMPRODUCT(('Form responses 1'!$G$2:$G1000 = A4) * ('Form responses 1'!$A$2:$A1000 &lt;= DATE(2025, 8, 31)))), 2), "-")
</f>
        <v>0.4</v>
      </c>
      <c r="W4" s="2">
        <f>IFERROR(ROUND(Data!B4/(SUMPRODUCT(('Form responses 1'!$B$2:$B1000 = A4) * ('Form responses 1'!$A$2:$A1000 &lt;= DATE(2025, 9, 30)))
+ SUMPRODUCT(('Form responses 1'!$C$2:$C1000 = A4) * ('Form responses 1'!$A$2:$A1000 &lt;= DATE(2025, 9, 30)))
+ SUMPRODUCT(('Form responses 1'!$D$2:$D1000 = A4) * ('Form responses 1'!$A$2:$A1000 &lt;= DATE(2025, 9, 30)))
+ SUMPRODUCT(('Form responses 1'!$E$2:$E1000 = A4) * ('Form responses 1'!$A$2:$A1000 &lt;= DATE(2025, 9, 30)))
+ SUMPRODUCT(('Form responses 1'!$F$2:$F1000 = A4) * ('Form responses 1'!$A$2:$A1000 &lt;= DATE(2025, 9, 30)))
+ SUMPRODUCT(('Form responses 1'!$G$2:$G1000 = A4) * ('Form responses 1'!$A$2:$A1000 &lt;= DATE(2025, 9, 30)))), 2), "-")
</f>
        <v>0.39</v>
      </c>
      <c r="X4" s="2">
        <f>IFERROR(ROUND(Data!B4/(SUMPRODUCT(('Form responses 1'!$B$2:$B1000 = A4) * ('Form responses 1'!$A$2:$A1000 &lt;= DATE(2025, 10, 31)))
+ SUMPRODUCT(('Form responses 1'!$C$2:$C1000 = A4) * ('Form responses 1'!$A$2:$A1000 &lt;= DATE(2025, 10, 31)))
+ SUMPRODUCT(('Form responses 1'!$D$2:$D1000 = A4) * ('Form responses 1'!$A$2:$A1000 &lt;= DATE(2025, 10, 31)))
+ SUMPRODUCT(('Form responses 1'!$E$2:$E1000 = A4) * ('Form responses 1'!$A$2:$A1000 &lt;= DATE(2025, 10, 31)))
+ SUMPRODUCT(('Form responses 1'!$F$2:$F1000 = A4) * ('Form responses 1'!$A$2:$A1000 &lt;= DATE(2025, 10, 31)))
+ SUMPRODUCT(('Form responses 1'!$G$2:$G1000 = A4) * ('Form responses 1'!$A$2:$A1000 &lt;= DATE(2025, 10, 31)))), 2), "-")
</f>
        <v>0.38</v>
      </c>
      <c r="Y4" s="2">
        <f>IFERROR(ROUND(Data!B4/(SUMPRODUCT(('Form responses 1'!$B$2:$B1000 = A4) * ('Form responses 1'!$A$2:$A1000 &lt;= DATE(2025, 11, 30)))
+ SUMPRODUCT(('Form responses 1'!$C$2:$C1000 = A4) * ('Form responses 1'!$A$2:$A1000 &lt;= DATE(2025, 11, 30)))
+ SUMPRODUCT(('Form responses 1'!$D$2:$D1000 = A4) * ('Form responses 1'!$A$2:$A1000 &lt;= DATE(2025, 11, 30)))
+ SUMPRODUCT(('Form responses 1'!$E$2:$E1000 = A4) * ('Form responses 1'!$A$2:$A1000 &lt;= DATE(2025, 11, 30)))
+ SUMPRODUCT(('Form responses 1'!$F$2:$F1000 = A4) * ('Form responses 1'!$A$2:$A1000 &lt;= DATE(2025, 11, 30)))
+ SUMPRODUCT(('Form responses 1'!$G$2:$G1000 = A4) * ('Form responses 1'!$A$2:$A1000 &lt;= DATE(2025, 11, 30)))), 2), "-")
</f>
        <v>0.37</v>
      </c>
      <c r="Z4" s="2">
        <f>IFERROR(ROUND(Data!B4/(SUMPRODUCT(('Form responses 1'!$B$2:$B1000 = A4) * ('Form responses 1'!$A$2:$A1000 &lt;= DATE(2025, 12, 31)))
+ SUMPRODUCT(('Form responses 1'!$C$2:$C1000 = A4) * ('Form responses 1'!$A$2:$A1000 &lt;= DATE(2025, 12, 31)))
+ SUMPRODUCT(('Form responses 1'!$D$2:$D1000 = A4) * ('Form responses 1'!$A$2:$A1000 &lt;= DATE(2025, 12, 31)))
+ SUMPRODUCT(('Form responses 1'!$E$2:$E1000 = A4) * ('Form responses 1'!$A$2:$A1000 &lt;= DATE(2025, 12, 31)))
+ SUMPRODUCT(('Form responses 1'!$F$2:$F1000 = A4) * ('Form responses 1'!$A$2:$A1000 &lt;= DATE(2025, 12, 31)))
+ SUMPRODUCT(('Form responses 1'!$G$2:$G1000 = A4) * ('Form responses 1'!$A$2:$A1000 &lt;= DATE(2025, 12, 31)))), 2), "-")
</f>
        <v>0.36</v>
      </c>
      <c r="AA4" s="2">
        <f>IFERROR(ROUND(Data!$B4/(
  SUMPRODUCT(('Form responses 1'!$B$2:$B1000=$A4)*('Form responses 1'!$A$2:$A1000&lt;=EOMONTH(DATEVALUE("1 "&amp;AA$1),0)))+
  SUMPRODUCT(('Form responses 1'!$C$2:$C1000=$A4)*('Form responses 1'!$A$2:$A1000&lt;=EOMONTH(DATEVALUE("1 "&amp;AA$1),0)))+
  SUMPRODUCT(('Form responses 1'!$D$2:$D1000=$A4)*('Form responses 1'!$A$2:$A1000&lt;=EOMONTH(DATEVALUE("1 "&amp;AA$1),0)))+
  SUMPRODUCT(('Form responses 1'!$E$2:$E1000=$A4)*('Form responses 1'!$A$2:$A1000&lt;=EOMONTH(DATEVALUE("1 "&amp;AA$1),0)))+
  SUMPRODUCT(('Form responses 1'!$F$2:$F1000=$A4)*('Form responses 1'!$A$2:$A1000&lt;=EOMONTH(DATEVALUE("1 "&amp;AA$1),0)))+
  SUMPRODUCT(('Form responses 1'!$G$2:$G1000=$A4)*('Form responses 1'!$A$2:$A1000&lt;=EOMONTH(DATEVALUE("1 "&amp;AA$1),0)))
),2),"-")</f>
        <v>0.35</v>
      </c>
      <c r="AB4" s="2">
        <f>IFERROR(ROUND(Data!$B4/(
  SUMPRODUCT(('Form responses 1'!$B$2:$B1000=$A4)*('Form responses 1'!$A$2:$A1000&lt;=EOMONTH(DATEVALUE("1 "&amp;AB$1),0)))+
  SUMPRODUCT(('Form responses 1'!$C$2:$C1000=$A4)*('Form responses 1'!$A$2:$A1000&lt;=EOMONTH(DATEVALUE("1 "&amp;AB$1),0)))+
  SUMPRODUCT(('Form responses 1'!$D$2:$D1000=$A4)*('Form responses 1'!$A$2:$A1000&lt;=EOMONTH(DATEVALUE("1 "&amp;AB$1),0)))+
  SUMPRODUCT(('Form responses 1'!$E$2:$E1000=$A4)*('Form responses 1'!$A$2:$A1000&lt;=EOMONTH(DATEVALUE("1 "&amp;AB$1),0)))+
  SUMPRODUCT(('Form responses 1'!$F$2:$F1000=$A4)*('Form responses 1'!$A$2:$A1000&lt;=EOMONTH(DATEVALUE("1 "&amp;AB$1),0)))+
  SUMPRODUCT(('Form responses 1'!$G$2:$G1000=$A4)*('Form responses 1'!$A$2:$A1000&lt;=EOMONTH(DATEVALUE("1 "&amp;AB$1),0)))
),2),"-")</f>
        <v>0.34</v>
      </c>
      <c r="AC4" s="2">
        <f>IFERROR(ROUND(Data!$B4/(
  SUMPRODUCT(('Form responses 1'!$B$2:$B1000=$A4)*('Form responses 1'!$A$2:$A1000&lt;=EOMONTH(DATEVALUE("1 "&amp;AC$1),0)))+
  SUMPRODUCT(('Form responses 1'!$C$2:$C1000=$A4)*('Form responses 1'!$A$2:$A1000&lt;=EOMONTH(DATEVALUE("1 "&amp;AC$1),0)))+
  SUMPRODUCT(('Form responses 1'!$D$2:$D1000=$A4)*('Form responses 1'!$A$2:$A1000&lt;=EOMONTH(DATEVALUE("1 "&amp;AC$1),0)))+
  SUMPRODUCT(('Form responses 1'!$E$2:$E1000=$A4)*('Form responses 1'!$A$2:$A1000&lt;=EOMONTH(DATEVALUE("1 "&amp;AC$1),0)))+
  SUMPRODUCT(('Form responses 1'!$F$2:$F1000=$A4)*('Form responses 1'!$A$2:$A1000&lt;=EOMONTH(DATEVALUE("1 "&amp;AC$1),0)))+
  SUMPRODUCT(('Form responses 1'!$G$2:$G1000=$A4)*('Form responses 1'!$A$2:$A1000&lt;=EOMONTH(DATEVALUE("1 "&amp;AC$1),0)))
),2),"-")</f>
        <v>0.33</v>
      </c>
      <c r="AD4" s="2" t="str">
        <f>IFERROR(ROUND(Data!$B4/(
  SUMPRODUCT(('Form responses 1'!$B$2:$B1000=$A4)*('Form responses 1'!$A$2:$A1000&lt;=EOMONTH(DATEVALUE("1 "&amp;AD$1),0)))+
  SUMPRODUCT(('Form responses 1'!$C$2:$C1000=$A4)*('Form responses 1'!$A$2:$A1000&lt;=EOMONTH(DATEVALUE("1 "&amp;AD$1),0)))+
  SUMPRODUCT(('Form responses 1'!$D$2:$D1000=$A4)*('Form responses 1'!$A$2:$A1000&lt;=EOMONTH(DATEVALUE("1 "&amp;AD$1),0)))+
  SUMPRODUCT(('Form responses 1'!$E$2:$E1000=$A4)*('Form responses 1'!$A$2:$A1000&lt;=EOMONTH(DATEVALUE("1 "&amp;AD$1),0)))+
  SUMPRODUCT(('Form responses 1'!$F$2:$F1000=$A4)*('Form responses 1'!$A$2:$A1000&lt;=EOMONTH(DATEVALUE("1 "&amp;AD$1),0)))+
  SUMPRODUCT(('Form responses 1'!$G$2:$G1000=$A4)*('Form responses 1'!$A$2:$A1000&lt;=EOMONTH(DATEVALUE("1 "&amp;AD$1),0)))
),2),"-")</f>
        <v>-</v>
      </c>
      <c r="AE4" s="2" t="str">
        <f>IFERROR(ROUND(Data!$B4/(
  SUMPRODUCT(('Form responses 1'!$B$2:$B1000=$A4)*('Form responses 1'!$A$2:$A1000&lt;=EOMONTH(DATEVALUE("1 "&amp;AE$1),0)))+
  SUMPRODUCT(('Form responses 1'!$C$2:$C1000=$A4)*('Form responses 1'!$A$2:$A1000&lt;=EOMONTH(DATEVALUE("1 "&amp;AE$1),0)))+
  SUMPRODUCT(('Form responses 1'!$D$2:$D1000=$A4)*('Form responses 1'!$A$2:$A1000&lt;=EOMONTH(DATEVALUE("1 "&amp;AE$1),0)))+
  SUMPRODUCT(('Form responses 1'!$E$2:$E1000=$A4)*('Form responses 1'!$A$2:$A1000&lt;=EOMONTH(DATEVALUE("1 "&amp;AE$1),0)))+
  SUMPRODUCT(('Form responses 1'!$F$2:$F1000=$A4)*('Form responses 1'!$A$2:$A1000&lt;=EOMONTH(DATEVALUE("1 "&amp;AE$1),0)))+
  SUMPRODUCT(('Form responses 1'!$G$2:$G1000=$A4)*('Form responses 1'!$A$2:$A1000&lt;=EOMONTH(DATEVALUE("1 "&amp;AE$1),0)))
),2),"-")</f>
        <v>-</v>
      </c>
      <c r="AF4" s="2" t="str">
        <f>IFERROR(ROUND(Data!$B4/(
  SUMPRODUCT(('Form responses 1'!$B$2:$B1000=$A4)*('Form responses 1'!$A$2:$A1000&lt;=EOMONTH(DATEVALUE("1 "&amp;AF$1),0)))+
  SUMPRODUCT(('Form responses 1'!$C$2:$C1000=$A4)*('Form responses 1'!$A$2:$A1000&lt;=EOMONTH(DATEVALUE("1 "&amp;AF$1),0)))+
  SUMPRODUCT(('Form responses 1'!$D$2:$D1000=$A4)*('Form responses 1'!$A$2:$A1000&lt;=EOMONTH(DATEVALUE("1 "&amp;AF$1),0)))+
  SUMPRODUCT(('Form responses 1'!$E$2:$E1000=$A4)*('Form responses 1'!$A$2:$A1000&lt;=EOMONTH(DATEVALUE("1 "&amp;AF$1),0)))+
  SUMPRODUCT(('Form responses 1'!$F$2:$F1000=$A4)*('Form responses 1'!$A$2:$A1000&lt;=EOMONTH(DATEVALUE("1 "&amp;AF$1),0)))+
  SUMPRODUCT(('Form responses 1'!$G$2:$G1000=$A4)*('Form responses 1'!$A$2:$A1000&lt;=EOMONTH(DATEVALUE("1 "&amp;AF$1),0)))
),2),"-")</f>
        <v>-</v>
      </c>
      <c r="AG4" s="2" t="str">
        <f>IFERROR(ROUND(Data!$B4/(
  SUMPRODUCT(('Form responses 1'!$B$2:$B1000=$A4)*('Form responses 1'!$A$2:$A1000&lt;=EOMONTH(DATEVALUE("1 "&amp;AG$1),0)))+
  SUMPRODUCT(('Form responses 1'!$C$2:$C1000=$A4)*('Form responses 1'!$A$2:$A1000&lt;=EOMONTH(DATEVALUE("1 "&amp;AG$1),0)))+
  SUMPRODUCT(('Form responses 1'!$D$2:$D1000=$A4)*('Form responses 1'!$A$2:$A1000&lt;=EOMONTH(DATEVALUE("1 "&amp;AG$1),0)))+
  SUMPRODUCT(('Form responses 1'!$E$2:$E1000=$A4)*('Form responses 1'!$A$2:$A1000&lt;=EOMONTH(DATEVALUE("1 "&amp;AG$1),0)))+
  SUMPRODUCT(('Form responses 1'!$F$2:$F1000=$A4)*('Form responses 1'!$A$2:$A1000&lt;=EOMONTH(DATEVALUE("1 "&amp;AG$1),0)))+
  SUMPRODUCT(('Form responses 1'!$G$2:$G1000=$A4)*('Form responses 1'!$A$2:$A1000&lt;=EOMONTH(DATEVALUE("1 "&amp;AG$1),0)))
),2),"-")</f>
        <v>-</v>
      </c>
      <c r="AH4" s="2" t="str">
        <f>IFERROR(ROUND(Data!$B4/(
  SUMPRODUCT(('Form responses 1'!$B$2:$B1000=$A4)*('Form responses 1'!$A$2:$A1000&lt;=EOMONTH(DATEVALUE("1 "&amp;AH$1),0)))+
  SUMPRODUCT(('Form responses 1'!$C$2:$C1000=$A4)*('Form responses 1'!$A$2:$A1000&lt;=EOMONTH(DATEVALUE("1 "&amp;AH$1),0)))+
  SUMPRODUCT(('Form responses 1'!$D$2:$D1000=$A4)*('Form responses 1'!$A$2:$A1000&lt;=EOMONTH(DATEVALUE("1 "&amp;AH$1),0)))+
  SUMPRODUCT(('Form responses 1'!$E$2:$E1000=$A4)*('Form responses 1'!$A$2:$A1000&lt;=EOMONTH(DATEVALUE("1 "&amp;AH$1),0)))+
  SUMPRODUCT(('Form responses 1'!$F$2:$F1000=$A4)*('Form responses 1'!$A$2:$A1000&lt;=EOMONTH(DATEVALUE("1 "&amp;AH$1),0)))+
  SUMPRODUCT(('Form responses 1'!$G$2:$G1000=$A4)*('Form responses 1'!$A$2:$A1000&lt;=EOMONTH(DATEVALUE("1 "&amp;AH$1),0)))
),2),"-")</f>
        <v>-</v>
      </c>
      <c r="AI4" s="2" t="str">
        <f>IFERROR(ROUND(Data!$B4/(
  SUMPRODUCT(('Form responses 1'!$B$2:$B1000=$A4)*('Form responses 1'!$A$2:$A1000&lt;=EOMONTH(DATEVALUE("1 "&amp;AI$1),0)))+
  SUMPRODUCT(('Form responses 1'!$C$2:$C1000=$A4)*('Form responses 1'!$A$2:$A1000&lt;=EOMONTH(DATEVALUE("1 "&amp;AI$1),0)))+
  SUMPRODUCT(('Form responses 1'!$D$2:$D1000=$A4)*('Form responses 1'!$A$2:$A1000&lt;=EOMONTH(DATEVALUE("1 "&amp;AI$1),0)))+
  SUMPRODUCT(('Form responses 1'!$E$2:$E1000=$A4)*('Form responses 1'!$A$2:$A1000&lt;=EOMONTH(DATEVALUE("1 "&amp;AI$1),0)))+
  SUMPRODUCT(('Form responses 1'!$F$2:$F1000=$A4)*('Form responses 1'!$A$2:$A1000&lt;=EOMONTH(DATEVALUE("1 "&amp;AI$1),0)))+
  SUMPRODUCT(('Form responses 1'!$G$2:$G1000=$A4)*('Form responses 1'!$A$2:$A1000&lt;=EOMONTH(DATEVALUE("1 "&amp;AI$1),0)))
),2),"-")</f>
        <v>-</v>
      </c>
      <c r="AJ4" s="2" t="str">
        <f>IFERROR(ROUND(Data!$B4/(
  SUMPRODUCT(('Form responses 1'!$B$2:$B1000=$A4)*('Form responses 1'!$A$2:$A1000&lt;=EOMONTH(DATEVALUE("1 "&amp;AJ$1),0)))+
  SUMPRODUCT(('Form responses 1'!$C$2:$C1000=$A4)*('Form responses 1'!$A$2:$A1000&lt;=EOMONTH(DATEVALUE("1 "&amp;AJ$1),0)))+
  SUMPRODUCT(('Form responses 1'!$D$2:$D1000=$A4)*('Form responses 1'!$A$2:$A1000&lt;=EOMONTH(DATEVALUE("1 "&amp;AJ$1),0)))+
  SUMPRODUCT(('Form responses 1'!$E$2:$E1000=$A4)*('Form responses 1'!$A$2:$A1000&lt;=EOMONTH(DATEVALUE("1 "&amp;AJ$1),0)))+
  SUMPRODUCT(('Form responses 1'!$F$2:$F1000=$A4)*('Form responses 1'!$A$2:$A1000&lt;=EOMONTH(DATEVALUE("1 "&amp;AJ$1),0)))+
  SUMPRODUCT(('Form responses 1'!$G$2:$G1000=$A4)*('Form responses 1'!$A$2:$A1000&lt;=EOMONTH(DATEVALUE("1 "&amp;AJ$1),0)))
),2),"-")</f>
        <v>-</v>
      </c>
      <c r="AK4" s="2" t="str">
        <f>IFERROR(ROUND(Data!$B4/(
  SUMPRODUCT(('Form responses 1'!$B$2:$B1000=$A4)*('Form responses 1'!$A$2:$A1000&lt;=EOMONTH(DATEVALUE("1 "&amp;AK$1),0)))+
  SUMPRODUCT(('Form responses 1'!$C$2:$C1000=$A4)*('Form responses 1'!$A$2:$A1000&lt;=EOMONTH(DATEVALUE("1 "&amp;AK$1),0)))+
  SUMPRODUCT(('Form responses 1'!$D$2:$D1000=$A4)*('Form responses 1'!$A$2:$A1000&lt;=EOMONTH(DATEVALUE("1 "&amp;AK$1),0)))+
  SUMPRODUCT(('Form responses 1'!$E$2:$E1000=$A4)*('Form responses 1'!$A$2:$A1000&lt;=EOMONTH(DATEVALUE("1 "&amp;AK$1),0)))+
  SUMPRODUCT(('Form responses 1'!$F$2:$F1000=$A4)*('Form responses 1'!$A$2:$A1000&lt;=EOMONTH(DATEVALUE("1 "&amp;AK$1),0)))+
  SUMPRODUCT(('Form responses 1'!$G$2:$G1000=$A4)*('Form responses 1'!$A$2:$A1000&lt;=EOMONTH(DATEVALUE("1 "&amp;AK$1),0)))
),2),"-")</f>
        <v>-</v>
      </c>
      <c r="AL4" s="2" t="str">
        <f>IFERROR(ROUND(Data!$B4/(
  SUMPRODUCT(('Form responses 1'!$B$2:$B1000=$A4)*('Form responses 1'!$A$2:$A1000&lt;=EOMONTH(DATEVALUE("1 "&amp;AL$1),0)))+
  SUMPRODUCT(('Form responses 1'!$C$2:$C1000=$A4)*('Form responses 1'!$A$2:$A1000&lt;=EOMONTH(DATEVALUE("1 "&amp;AL$1),0)))+
  SUMPRODUCT(('Form responses 1'!$D$2:$D1000=$A4)*('Form responses 1'!$A$2:$A1000&lt;=EOMONTH(DATEVALUE("1 "&amp;AL$1),0)))+
  SUMPRODUCT(('Form responses 1'!$E$2:$E1000=$A4)*('Form responses 1'!$A$2:$A1000&lt;=EOMONTH(DATEVALUE("1 "&amp;AL$1),0)))+
  SUMPRODUCT(('Form responses 1'!$F$2:$F1000=$A4)*('Form responses 1'!$A$2:$A1000&lt;=EOMONTH(DATEVALUE("1 "&amp;AL$1),0)))+
  SUMPRODUCT(('Form responses 1'!$G$2:$G1000=$A4)*('Form responses 1'!$A$2:$A1000&lt;=EOMONTH(DATEVALUE("1 "&amp;AL$1),0)))
),2),"-")</f>
        <v>-</v>
      </c>
    </row>
    <row r="5">
      <c r="A5" s="3" t="str">
        <f>IFERROR(__xludf.DUMMYFUNCTION("""COMPUTED_VALUE"""),"Nette broek groen")</f>
        <v>Nette broek groen</v>
      </c>
      <c r="B5" s="2">
        <f>Data!F5:F1000</f>
        <v>0.43</v>
      </c>
      <c r="C5" s="2">
        <f>IFERROR(ROUND(Data!B5/(SUMPRODUCT(('Form responses 1'!$B$2:$B1000 = A5) * ('Form responses 1'!$A$2:$A1000 &lt;= DATE(2024, 1, 31)))
+ SUMPRODUCT(('Form responses 1'!$C$2:$C1000 = A5) * ('Form responses 1'!$A$2:$A1000 &lt;= DATE(2024, 1, 31)))
+ SUMPRODUCT(('Form responses 1'!$D$2:$D1000 = A5) * ('Form responses 1'!$A$2:$A1000 &lt;= DATE(2024, 1, 31)))
+ SUMPRODUCT(('Form responses 1'!$E$2:$E1000 = A5) * ('Form responses 1'!$A$2:$A1000 &lt;= DATE(2024, 1, 31)))
+ SUMPRODUCT(('Form responses 1'!$F$2:$F1000 = A5) * ('Form responses 1'!$A$2:$A1000 &lt;= DATE(2024, 1, 31)))
+ SUMPRODUCT(('Form responses 1'!$G$2:$G1000 = A5) * ('Form responses 1'!$A$2:$A1000 &lt;= DATE(2024, 1, 31)))), 2), "-")
</f>
        <v>0.43</v>
      </c>
      <c r="D5" s="2">
        <f>IFERROR(ROUND(Data!B5/(SUMPRODUCT(('Form responses 1'!$B$2:$B1000 = A5) * ('Form responses 1'!$A$2:$A1000 &lt;= DATE(2024, 2, 29)))
+ SUMPRODUCT(('Form responses 1'!$C$2:$C1000 = A5) * ('Form responses 1'!$A$2:$A1000 &lt;= DATE(2024, 2, 29)))
+ SUMPRODUCT(('Form responses 1'!$D$2:$D1000 = A5) * ('Form responses 1'!$A$2:$A1000 &lt;= DATE(2024, 2, 29)))
+ SUMPRODUCT(('Form responses 1'!$E$2:$E1000 = A5) * ('Form responses 1'!$A$2:$A1000 &lt;= DATE(2024, 2, 29)))
+ SUMPRODUCT(('Form responses 1'!$F$2:$F1000 = A5) * ('Form responses 1'!$A$2:$A1000 &lt;= DATE(2024, 2, 29)))
+ SUMPRODUCT(('Form responses 1'!$G$2:$G1000 = A5) * ('Form responses 1'!$A$2:$A1000 &lt;= DATE(2024, 2, 29)))), 2), "-")
</f>
        <v>0.43</v>
      </c>
      <c r="E5" s="2">
        <f>IFERROR(ROUND(Data!B5/(SUMPRODUCT(('Form responses 1'!$B$2:$B1000 = A5) * ('Form responses 1'!$A$2:$A1000 &lt;= DATE(2024, 3, 31)))
+ SUMPRODUCT(('Form responses 1'!$C$2:$C1000 = A5) * ('Form responses 1'!$A$2:$A1000 &lt;= DATE(2024, 3, 31)))
+ SUMPRODUCT(('Form responses 1'!$D$2:$D1000 = A5) * ('Form responses 1'!$A$2:$A1000 &lt;= DATE(2024, 3, 31)))
+ SUMPRODUCT(('Form responses 1'!$E$2:$E1000 = A5) * ('Form responses 1'!$A$2:$A1000 &lt;= DATE(2024, 3, 31)))
+ SUMPRODUCT(('Form responses 1'!$F$2:$F1000 = A5) * ('Form responses 1'!$A$2:$A1000 &lt;= DATE(2024, 3, 31)))
+ SUMPRODUCT(('Form responses 1'!$G$2:$G1000 = A5) * ('Form responses 1'!$A$2:$A1000 &lt;= DATE(2024, 3, 31)))), 2), "-")
</f>
        <v>0.43</v>
      </c>
      <c r="F5" s="2">
        <f>IFERROR(ROUND(Data!B5/(SUMPRODUCT(('Form responses 1'!$B$2:$B1000 = A5) * ('Form responses 1'!$A$2:$A1000 &lt;= DATE(2024, 4, 30)))
+ SUMPRODUCT(('Form responses 1'!$C$2:$C1000 = A5) * ('Form responses 1'!$A$2:$A1000 &lt;= DATE(2024, 4, 30)))
+ SUMPRODUCT(('Form responses 1'!$D$2:$D1000 = A5) * ('Form responses 1'!$A$2:$A1000 &lt;= DATE(2024, 4, 30)))
+ SUMPRODUCT(('Form responses 1'!$E$2:$E1000 = A5) * ('Form responses 1'!$A$2:$A1000 &lt;= DATE(2024, 4, 30)))
+ SUMPRODUCT(('Form responses 1'!$F$2:$F1000 = A5) * ('Form responses 1'!$A$2:$A1000 &lt;= DATE(2024, 4, 30)))
+ SUMPRODUCT(('Form responses 1'!$G$2:$G1000 = A5) * ('Form responses 1'!$A$2:$A1000 &lt;= DATE(2024, 4, 30)))), 2), "-")
</f>
        <v>0.43</v>
      </c>
      <c r="G5" s="2">
        <f>IFERROR(ROUND(Data!B5/(SUMPRODUCT(('Form responses 1'!$B$2:$B1000 = A5) * ('Form responses 1'!$A$2:$A1000 &lt;= DATE(2024, 5, 31)))
+ SUMPRODUCT(('Form responses 1'!$C$2:$C1000 = A5) * ('Form responses 1'!$A$2:$A1000 &lt;= DATE(2024, 5, 31)))
+ SUMPRODUCT(('Form responses 1'!$D$2:$D1000 = A5) * ('Form responses 1'!$A$2:$A1000 &lt;= DATE(2024, 5, 31)))
+ SUMPRODUCT(('Form responses 1'!$E$2:$E1000 = A5) * ('Form responses 1'!$A$2:$A1000 &lt;= DATE(2024, 5, 31)))
+ SUMPRODUCT(('Form responses 1'!$F$2:$F1000 = A5) * ('Form responses 1'!$A$2:$A1000 &lt;= DATE(2024, 5, 31)))
+ SUMPRODUCT(('Form responses 1'!$G$2:$G1000 = A5) * ('Form responses 1'!$A$2:$A1000 &lt;= DATE(2024, 5, 31)))), 2), "-")
</f>
        <v>0.43</v>
      </c>
      <c r="H5" s="2">
        <f>IFERROR(ROUND(Data!B5/(SUMPRODUCT(('Form responses 1'!$B$2:$B1000 = A5) * ('Form responses 1'!$A$2:$A1000 &lt;= DATE(2024, 6, 30)))
+ SUMPRODUCT(('Form responses 1'!$C$2:$C1000 = A5) * ('Form responses 1'!$A$2:$A1000 &lt;= DATE(2024, 6, 30)))
+ SUMPRODUCT(('Form responses 1'!$D$2:$D1000 = A5) * ('Form responses 1'!$A$2:$A1000 &lt;= DATE(2024, 6, 30)))
+ SUMPRODUCT(('Form responses 1'!$E$2:$E1000 = A5) * ('Form responses 1'!$A$2:$A1000 &lt;= DATE(2024, 6, 30)))
+ SUMPRODUCT(('Form responses 1'!$F$2:$F1000 = A5) * ('Form responses 1'!$A$2:$A1000 &lt;= DATE(2024, 6, 30)))
+ SUMPRODUCT(('Form responses 1'!$G$2:$G1000 = A5) * ('Form responses 1'!$A$2:$A1000 &lt;= DATE(2024, 6, 30)))), 2), "-")
</f>
        <v>0.43</v>
      </c>
      <c r="I5" s="2">
        <f>IFERROR(ROUND(Data!B5/(SUMPRODUCT(('Form responses 1'!$B$2:$B1000 = A5) * ('Form responses 1'!$A$2:$A1000 &lt;= DATE(2024, 7, 31)))
+ SUMPRODUCT(('Form responses 1'!$C$2:$C1000 = A5) * ('Form responses 1'!$A$2:$A1000 &lt;= DATE(2024, 7, 31)))
+ SUMPRODUCT(('Form responses 1'!$D$2:$D1000 = A5) * ('Form responses 1'!$A$2:$A1000 &lt;= DATE(2024, 7, 31)))
+ SUMPRODUCT(('Form responses 1'!$E$2:$E1000 = A5) * ('Form responses 1'!$A$2:$A1000 &lt;= DATE(2024, 7, 31)))
+ SUMPRODUCT(('Form responses 1'!$F$2:$F1000 = A5) * ('Form responses 1'!$A$2:$A1000 &lt;= DATE(2024, 7, 31)))
+ SUMPRODUCT(('Form responses 1'!$G$2:$G1000 = A5) * ('Form responses 1'!$A$2:$A1000 &lt;= DATE(2024, 7, 31)))), 2), "-")
</f>
        <v>0.43</v>
      </c>
      <c r="J5" s="2">
        <f>IFERROR(ROUND(Data!B5/(SUMPRODUCT(('Form responses 1'!$B$2:$B1000 = A5) * ('Form responses 1'!$A$2:$A1000 &lt;= DATE(2024, 8, 31)))
+ SUMPRODUCT(('Form responses 1'!$C$2:$C1000 = A5) * ('Form responses 1'!$A$2:$A1000 &lt;= DATE(2024, 8, 31)))
+ SUMPRODUCT(('Form responses 1'!$D$2:$D1000 = A5) * ('Form responses 1'!$A$2:$A1000 &lt;= DATE(2024, 8, 31)))
+ SUMPRODUCT(('Form responses 1'!$E$2:$E1000 = A5) * ('Form responses 1'!$A$2:$A1000 &lt;= DATE(2024, 8, 31)))
+ SUMPRODUCT(('Form responses 1'!$F$2:$F1000 = A5) * ('Form responses 1'!$A$2:$A1000 &lt;= DATE(2024, 8, 31)))
+ SUMPRODUCT(('Form responses 1'!$G$2:$G1000 = A5) * ('Form responses 1'!$A$2:$A1000 &lt;= DATE(2024, 8, 31)))), 2), "-")
</f>
        <v>0.43</v>
      </c>
      <c r="K5" s="2">
        <f>IFERROR(ROUND(Data!B5/(SUMPRODUCT(('Form responses 1'!$B$2:$B1000 = A5) * ('Form responses 1'!$A$2:$A1000 &lt;= DATE(2024, 9, 30)))
+ SUMPRODUCT(('Form responses 1'!$C$2:$C1000 = A5) * ('Form responses 1'!$A$2:$A1000 &lt;= DATE(2024, 9, 30)))
+ SUMPRODUCT(('Form responses 1'!$D$2:$D1000 = A5) * ('Form responses 1'!$A$2:$A1000 &lt;= DATE(2024, 9, 30)))
+ SUMPRODUCT(('Form responses 1'!$E$2:$E1000 = A5) * ('Form responses 1'!$A$2:$A1000 &lt;= DATE(2024, 9, 30)))
+ SUMPRODUCT(('Form responses 1'!$F$2:$F1000 = A5) * ('Form responses 1'!$A$2:$A1000 &lt;= DATE(2024, 9, 30)))
+ SUMPRODUCT(('Form responses 1'!$G$2:$G1000 = A5) * ('Form responses 1'!$A$2:$A1000 &lt;= DATE(2024, 9, 30)))), 2), "-")
</f>
        <v>0.43</v>
      </c>
      <c r="L5" s="2">
        <f>IFERROR(ROUND(Data!B5/(SUMPRODUCT(('Form responses 1'!$B$2:$B1000 = A5) * ('Form responses 1'!$A$2:$A1000 &lt;= DATE(2024, 10, 31)))
+ SUMPRODUCT(('Form responses 1'!$C$2:$C1000 = A5) * ('Form responses 1'!$A$2:$A1000 &lt;= DATE(2024, 10, 31)))
+ SUMPRODUCT(('Form responses 1'!$D$2:$D1000 = A5) * ('Form responses 1'!$A$2:$A1000 &lt;= DATE(2024, 10, 31)))
+ SUMPRODUCT(('Form responses 1'!$E$2:$E1000 = A5) * ('Form responses 1'!$A$2:$A1000 &lt;= DATE(2024, 10, 31)))
+ SUMPRODUCT(('Form responses 1'!$F$2:$F1000 = A5) * ('Form responses 1'!$A$2:$A1000 &lt;= DATE(2024, 10, 31)))
+ SUMPRODUCT(('Form responses 1'!$G$2:$G1000 = A5) * ('Form responses 1'!$A$2:$A1000 &lt;= DATE(2024, 10, 31)))), 2), "-")
</f>
        <v>0.43</v>
      </c>
      <c r="M5" s="2">
        <f>IFERROR(ROUND(Data!B5/(SUMPRODUCT(('Form responses 1'!$B$2:$B1000 = A5) * ('Form responses 1'!$A$2:$A1000 &lt;= DATE(2024, 11, 30)))
+ SUMPRODUCT(('Form responses 1'!$C$2:$C1000 = A5) * ('Form responses 1'!$A$2:$A1000 &lt;= DATE(2024, 11, 30)))
+ SUMPRODUCT(('Form responses 1'!$D$2:$D1000 = A5) * ('Form responses 1'!$A$2:$A1000 &lt;= DATE(2024, 11, 30)))
+ SUMPRODUCT(('Form responses 1'!$E$2:$E1000 = A5) * ('Form responses 1'!$A$2:$A1000 &lt;= DATE(2024, 11, 30)))
+ SUMPRODUCT(('Form responses 1'!$F$2:$F1000 = A5) * ('Form responses 1'!$A$2:$A1000 &lt;= DATE(2024, 11, 30)))
+ SUMPRODUCT(('Form responses 1'!$G$2:$G1000 = A5) * ('Form responses 1'!$A$2:$A1000 &lt;= DATE(2024, 11, 30)))), 2), "-")
</f>
        <v>0.43</v>
      </c>
      <c r="N5" s="2">
        <f>IFERROR(ROUND(Data!B5/(SUMPRODUCT(('Form responses 1'!$B$2:$B1000 = A5) * ('Form responses 1'!$A$2:$A1000 &lt;= DATE(2024, 12, 31)))
+ SUMPRODUCT(('Form responses 1'!$C$2:$C1000 = A5) * ('Form responses 1'!$A$2:$A1000 &lt;= DATE(2024, 12, 31)))
+ SUMPRODUCT(('Form responses 1'!$D$2:$D1000 = A5) * ('Form responses 1'!$A$2:$A1000 &lt;= DATE(2024, 12, 31)))
+ SUMPRODUCT(('Form responses 1'!$E$2:$E1000 = A5) * ('Form responses 1'!$A$2:$A1000 &lt;= DATE(2024, 12, 31)))
+ SUMPRODUCT(('Form responses 1'!$F$2:$F1000 = A5) * ('Form responses 1'!$A$2:$A1000 &lt;= DATE(2024, 12, 31)))
+ SUMPRODUCT(('Form responses 1'!$G$2:$G1000 = A5) * ('Form responses 1'!$A$2:$A1000 &lt;= DATE(2024, 12, 31)))), 2), "-")
</f>
        <v>0.43</v>
      </c>
      <c r="O5" s="2">
        <f>IFERROR(ROUND(Data!B5/(SUMPRODUCT(('Form responses 1'!$B$2:$B1000 = A5) * ('Form responses 1'!$A$2:$A1000 &lt;= DATE(2025, 1, 31)))
+ SUMPRODUCT(('Form responses 1'!$C$2:$C1000 = A5) * ('Form responses 1'!$A$2:$A1000 &lt;= DATE(2025, 1, 31)))
+ SUMPRODUCT(('Form responses 1'!$D$2:$D1000 = A5) * ('Form responses 1'!$A$2:$A1000 &lt;= DATE(2025, 1, 31)))
+ SUMPRODUCT(('Form responses 1'!$E$2:$E1000 = A5) * ('Form responses 1'!$A$2:$A1000 &lt;= DATE(2025, 1, 31)))
+ SUMPRODUCT(('Form responses 1'!$F$2:$F1000 = A5) * ('Form responses 1'!$A$2:$A1000 &lt;= DATE(2025, 1, 31)))
+ SUMPRODUCT(('Form responses 1'!$G$2:$G1000 = A5) * ('Form responses 1'!$A$2:$A1000 &lt;= DATE(2025, 1, 31)))), 2), "-")
</f>
        <v>0.43</v>
      </c>
      <c r="P5" s="2">
        <f>IFERROR(ROUND(Data!B5/(SUMPRODUCT(('Form responses 1'!$B$2:$B1000 = A5) * ('Form responses 1'!$A$2:$A1000 &lt;= DATE(2025, 2, 28)))
+ SUMPRODUCT(('Form responses 1'!$C$2:$C1000 = A5) * ('Form responses 1'!$A$2:$A1000 &lt;= DATE(2025, 2, 28)))
+ SUMPRODUCT(('Form responses 1'!$D$2:$D1000 = A5) * ('Form responses 1'!$A$2:$A1000 &lt;= DATE(2025, 2, 28)))
+ SUMPRODUCT(('Form responses 1'!$E$2:$E1000 = A5) * ('Form responses 1'!$A$2:$A1000 &lt;= DATE(2025, 2, 28)))
+ SUMPRODUCT(('Form responses 1'!$F$2:$F1000 = A5) * ('Form responses 1'!$A$2:$A1000 &lt;= DATE(2025, 2, 28)))
+ SUMPRODUCT(('Form responses 1'!$G$2:$G1000 = A5) * ('Form responses 1'!$A$2:$A1000 &lt;= DATE(2025, 2, 28)))), 2), "-")
</f>
        <v>0.43</v>
      </c>
      <c r="Q5" s="2">
        <f>IFERROR(ROUND(Data!B5/(SUMPRODUCT(('Form responses 1'!$B$2:$B1000 = A5) * ('Form responses 1'!$A$2:$A1000 &lt;= DATE(2025, 3, 31)))
+ SUMPRODUCT(('Form responses 1'!$C$2:$C1000 = A5) * ('Form responses 1'!$A$2:$A1000 &lt;= DATE(2025, 3, 31)))
+ SUMPRODUCT(('Form responses 1'!$D$2:$D1000 = A5) * ('Form responses 1'!$A$2:$A1000 &lt;= DATE(2025, 3, 31)))
+ SUMPRODUCT(('Form responses 1'!$E$2:$E1000 = A5) * ('Form responses 1'!$A$2:$A1000 &lt;= DATE(2025, 3, 31)))
+ SUMPRODUCT(('Form responses 1'!$F$2:$F1000 = A5) * ('Form responses 1'!$A$2:$A1000 &lt;= DATE(2025, 3, 31)))
+ SUMPRODUCT(('Form responses 1'!$G$2:$G1000 = A5) * ('Form responses 1'!$A$2:$A1000 &lt;= DATE(2025, 3, 31)))),2),"-")</f>
        <v>0.43</v>
      </c>
      <c r="R5" s="2">
        <f>IFERROR(ROUND(Data!B5/(SUMPRODUCT(('Form responses 1'!$B$2:$B1000 = A5) * ('Form responses 1'!$A$2:$A1000 &lt;= DATE(2025, 4, 30)))
+ SUMPRODUCT(('Form responses 1'!$C$2:$C1000 = A5) * ('Form responses 1'!$A$2:$A1000 &lt;= DATE(2025, 4, 30)))
+ SUMPRODUCT(('Form responses 1'!$D$2:$D1000 = A5) * ('Form responses 1'!$A$2:$A1000 &lt;= DATE(2025, 4, 30)))
+ SUMPRODUCT(('Form responses 1'!$E$2:$E1000 = A5) * ('Form responses 1'!$A$2:$A1000 &lt;= DATE(2025, 4, 30)))
+ SUMPRODUCT(('Form responses 1'!$F$2:$F1000 = A5) * ('Form responses 1'!$A$2:$A1000 &lt;= DATE(2025, 4, 30)))
+ SUMPRODUCT(('Form responses 1'!$G$2:$G1000 = A5) * ('Form responses 1'!$A$2:$A1000 &lt;= DATE(2025, 4, 30)))), 2), "-")
</f>
        <v>0.43</v>
      </c>
      <c r="S5" s="2">
        <f>IFERROR(ROUND(Data!B5/(SUMPRODUCT(('Form responses 1'!$B$2:$B1000 = A5) * ('Form responses 1'!$A$2:$A1000 &lt;= DATE(2025, 5, 31)))
+ SUMPRODUCT(('Form responses 1'!$C$2:$C1000 = A5) * ('Form responses 1'!$A$2:$A1000 &lt;= DATE(2025, 5, 31)))
+ SUMPRODUCT(('Form responses 1'!$D$2:$D1000 = A5) * ('Form responses 1'!$A$2:$A1000 &lt;= DATE(2025, 5, 31)))
+ SUMPRODUCT(('Form responses 1'!$E$2:$E1000 = A5) * ('Form responses 1'!$A$2:$A1000 &lt;= DATE(2025, 5, 31)))
+ SUMPRODUCT(('Form responses 1'!$F$2:$F1000 = A5) * ('Form responses 1'!$A$2:$A1000 &lt;= DATE(2025, 5, 31)))
+ SUMPRODUCT(('Form responses 1'!$G$2:$G1000 = A5) * ('Form responses 1'!$A$2:$A1000 &lt;= DATE(2025, 5, 31)))), 2), "-")
</f>
        <v>0.43</v>
      </c>
      <c r="T5" s="2">
        <f>IFERROR(ROUND(Data!B5/(SUMPRODUCT(('Form responses 1'!$B$2:$B1000 = A5) * ('Form responses 1'!$A$2:$A1000 &lt;= DATE(2025, 6, 30)))
+ SUMPRODUCT(('Form responses 1'!$C$2:$C1000 = A5) * ('Form responses 1'!$A$2:$A1000 &lt;= DATE(2025, 6, 30)))
+ SUMPRODUCT(('Form responses 1'!$D$2:$D1000 = A5) * ('Form responses 1'!$A$2:$A1000 &lt;= DATE(2025, 6, 30)))
+ SUMPRODUCT(('Form responses 1'!$E$2:$E1000 = A5) * ('Form responses 1'!$A$2:$A1000 &lt;= DATE(2025, 6, 30)))
+ SUMPRODUCT(('Form responses 1'!$F$2:$F1000 = A5) * ('Form responses 1'!$A$2:$A1000 &lt;= DATE(2025, 6, 30)))
+ SUMPRODUCT(('Form responses 1'!$G$2:$G1000 = A5) * ('Form responses 1'!$A$2:$A1000 &lt;= DATE(2025, 6, 30)))), 2), "-")
</f>
        <v>0.43</v>
      </c>
      <c r="U5" s="2">
        <f>IFERROR(ROUND(Data!B5/(SUMPRODUCT(('Form responses 1'!$B$2:$B1000 = A5) * ('Form responses 1'!$A$2:$A1000 &lt;= DATE(2025, 7, 31)))
+ SUMPRODUCT(('Form responses 1'!$C$2:$C1000 = A5) * ('Form responses 1'!$A$2:$A1000 &lt;= DATE(2025, 7, 31)))
+ SUMPRODUCT(('Form responses 1'!$D$2:$D1000 = A5) * ('Form responses 1'!$A$2:$A1000 &lt;= DATE(2025, 7, 31)))
+ SUMPRODUCT(('Form responses 1'!$E$2:$E1000 = A5) * ('Form responses 1'!$A$2:$A1000 &lt;= DATE(2025, 7, 31)))
+ SUMPRODUCT(('Form responses 1'!$F$2:$F1000 = A5) * ('Form responses 1'!$A$2:$A1000 &lt;= DATE(2025, 7, 31)))
+ SUMPRODUCT(('Form responses 1'!$G$2:$G1000 = A5) * ('Form responses 1'!$A$2:$A1000 &lt;= DATE(2025, 7, 31)))), 2), "-")
</f>
        <v>0.43</v>
      </c>
      <c r="V5" s="2">
        <f>IFERROR(ROUND(Data!B5/(SUMPRODUCT(('Form responses 1'!$B$2:$B1000 = A5) * ('Form responses 1'!$A$2:$A1000 &lt;= DATE(2025, 8, 31)))
+ SUMPRODUCT(('Form responses 1'!$C$2:$C1000 = A5) * ('Form responses 1'!$A$2:$A1000 &lt;= DATE(2025, 8, 31)))
+ SUMPRODUCT(('Form responses 1'!$D$2:$D1000 = A5) * ('Form responses 1'!$A$2:$A1000 &lt;= DATE(2025, 8, 31)))
+ SUMPRODUCT(('Form responses 1'!$E$2:$E1000 = A5) * ('Form responses 1'!$A$2:$A1000 &lt;= DATE(2025, 8, 31)))
+ SUMPRODUCT(('Form responses 1'!$F$2:$F1000 = A5) * ('Form responses 1'!$A$2:$A1000 &lt;= DATE(2025, 8, 31)))
+ SUMPRODUCT(('Form responses 1'!$G$2:$G1000 = A5) * ('Form responses 1'!$A$2:$A1000 &lt;= DATE(2025, 8, 31)))), 2), "-")
</f>
        <v>0.43</v>
      </c>
      <c r="W5" s="2">
        <f>IFERROR(ROUND(Data!B5/(SUMPRODUCT(('Form responses 1'!$B$2:$B1000 = A5) * ('Form responses 1'!$A$2:$A1000 &lt;= DATE(2025, 9, 30)))
+ SUMPRODUCT(('Form responses 1'!$C$2:$C1000 = A5) * ('Form responses 1'!$A$2:$A1000 &lt;= DATE(2025, 9, 30)))
+ SUMPRODUCT(('Form responses 1'!$D$2:$D1000 = A5) * ('Form responses 1'!$A$2:$A1000 &lt;= DATE(2025, 9, 30)))
+ SUMPRODUCT(('Form responses 1'!$E$2:$E1000 = A5) * ('Form responses 1'!$A$2:$A1000 &lt;= DATE(2025, 9, 30)))
+ SUMPRODUCT(('Form responses 1'!$F$2:$F1000 = A5) * ('Form responses 1'!$A$2:$A1000 &lt;= DATE(2025, 9, 30)))
+ SUMPRODUCT(('Form responses 1'!$G$2:$G1000 = A5) * ('Form responses 1'!$A$2:$A1000 &lt;= DATE(2025, 9, 30)))), 2), "-")
</f>
        <v>0.43</v>
      </c>
      <c r="X5" s="2">
        <f>IFERROR(ROUND(Data!B5/(SUMPRODUCT(('Form responses 1'!$B$2:$B1000 = A5) * ('Form responses 1'!$A$2:$A1000 &lt;= DATE(2025, 10, 31)))
+ SUMPRODUCT(('Form responses 1'!$C$2:$C1000 = A5) * ('Form responses 1'!$A$2:$A1000 &lt;= DATE(2025, 10, 31)))
+ SUMPRODUCT(('Form responses 1'!$D$2:$D1000 = A5) * ('Form responses 1'!$A$2:$A1000 &lt;= DATE(2025, 10, 31)))
+ SUMPRODUCT(('Form responses 1'!$E$2:$E1000 = A5) * ('Form responses 1'!$A$2:$A1000 &lt;= DATE(2025, 10, 31)))
+ SUMPRODUCT(('Form responses 1'!$F$2:$F1000 = A5) * ('Form responses 1'!$A$2:$A1000 &lt;= DATE(2025, 10, 31)))
+ SUMPRODUCT(('Form responses 1'!$G$2:$G1000 = A5) * ('Form responses 1'!$A$2:$A1000 &lt;= DATE(2025, 10, 31)))), 2), "-")
</f>
        <v>0.43</v>
      </c>
      <c r="Y5" s="2">
        <f>IFERROR(ROUND(Data!B5/(SUMPRODUCT(('Form responses 1'!$B$2:$B1000 = A5) * ('Form responses 1'!$A$2:$A1000 &lt;= DATE(2025, 11, 30)))
+ SUMPRODUCT(('Form responses 1'!$C$2:$C1000 = A5) * ('Form responses 1'!$A$2:$A1000 &lt;= DATE(2025, 11, 30)))
+ SUMPRODUCT(('Form responses 1'!$D$2:$D1000 = A5) * ('Form responses 1'!$A$2:$A1000 &lt;= DATE(2025, 11, 30)))
+ SUMPRODUCT(('Form responses 1'!$E$2:$E1000 = A5) * ('Form responses 1'!$A$2:$A1000 &lt;= DATE(2025, 11, 30)))
+ SUMPRODUCT(('Form responses 1'!$F$2:$F1000 = A5) * ('Form responses 1'!$A$2:$A1000 &lt;= DATE(2025, 11, 30)))
+ SUMPRODUCT(('Form responses 1'!$G$2:$G1000 = A5) * ('Form responses 1'!$A$2:$A1000 &lt;= DATE(2025, 11, 30)))), 2), "-")
</f>
        <v>0.43</v>
      </c>
      <c r="Z5" s="2">
        <f>IFERROR(ROUND(Data!B5/(SUMPRODUCT(('Form responses 1'!$B$2:$B1000 = A5) * ('Form responses 1'!$A$2:$A1000 &lt;= DATE(2025, 12, 31)))
+ SUMPRODUCT(('Form responses 1'!$C$2:$C1000 = A5) * ('Form responses 1'!$A$2:$A1000 &lt;= DATE(2025, 12, 31)))
+ SUMPRODUCT(('Form responses 1'!$D$2:$D1000 = A5) * ('Form responses 1'!$A$2:$A1000 &lt;= DATE(2025, 12, 31)))
+ SUMPRODUCT(('Form responses 1'!$E$2:$E1000 = A5) * ('Form responses 1'!$A$2:$A1000 &lt;= DATE(2025, 12, 31)))
+ SUMPRODUCT(('Form responses 1'!$F$2:$F1000 = A5) * ('Form responses 1'!$A$2:$A1000 &lt;= DATE(2025, 12, 31)))
+ SUMPRODUCT(('Form responses 1'!$G$2:$G1000 = A5) * ('Form responses 1'!$A$2:$A1000 &lt;= DATE(2025, 12, 31)))), 2), "-")
</f>
        <v>0.43</v>
      </c>
      <c r="AA5" s="2">
        <f>IFERROR(ROUND(Data!$B5/(
  SUMPRODUCT(('Form responses 1'!$B$2:$B1000=$A5)*('Form responses 1'!$A$2:$A1000&lt;=EOMONTH(DATEVALUE("1 "&amp;AA$1),0)))+
  SUMPRODUCT(('Form responses 1'!$C$2:$C1000=$A5)*('Form responses 1'!$A$2:$A1000&lt;=EOMONTH(DATEVALUE("1 "&amp;AA$1),0)))+
  SUMPRODUCT(('Form responses 1'!$D$2:$D1000=$A5)*('Form responses 1'!$A$2:$A1000&lt;=EOMONTH(DATEVALUE("1 "&amp;AA$1),0)))+
  SUMPRODUCT(('Form responses 1'!$E$2:$E1000=$A5)*('Form responses 1'!$A$2:$A1000&lt;=EOMONTH(DATEVALUE("1 "&amp;AA$1),0)))+
  SUMPRODUCT(('Form responses 1'!$F$2:$F1000=$A5)*('Form responses 1'!$A$2:$A1000&lt;=EOMONTH(DATEVALUE("1 "&amp;AA$1),0)))+
  SUMPRODUCT(('Form responses 1'!$G$2:$G1000=$A5)*('Form responses 1'!$A$2:$A1000&lt;=EOMONTH(DATEVALUE("1 "&amp;AA$1),0)))
),2),"-")</f>
        <v>0.43</v>
      </c>
      <c r="AB5" s="2">
        <f>IFERROR(ROUND(Data!$B5/(
  SUMPRODUCT(('Form responses 1'!$B$2:$B1000=$A5)*('Form responses 1'!$A$2:$A1000&lt;=EOMONTH(DATEVALUE("1 "&amp;AB$1),0)))+
  SUMPRODUCT(('Form responses 1'!$C$2:$C1000=$A5)*('Form responses 1'!$A$2:$A1000&lt;=EOMONTH(DATEVALUE("1 "&amp;AB$1),0)))+
  SUMPRODUCT(('Form responses 1'!$D$2:$D1000=$A5)*('Form responses 1'!$A$2:$A1000&lt;=EOMONTH(DATEVALUE("1 "&amp;AB$1),0)))+
  SUMPRODUCT(('Form responses 1'!$E$2:$E1000=$A5)*('Form responses 1'!$A$2:$A1000&lt;=EOMONTH(DATEVALUE("1 "&amp;AB$1),0)))+
  SUMPRODUCT(('Form responses 1'!$F$2:$F1000=$A5)*('Form responses 1'!$A$2:$A1000&lt;=EOMONTH(DATEVALUE("1 "&amp;AB$1),0)))+
  SUMPRODUCT(('Form responses 1'!$G$2:$G1000=$A5)*('Form responses 1'!$A$2:$A1000&lt;=EOMONTH(DATEVALUE("1 "&amp;AB$1),0)))
),2),"-")</f>
        <v>0.43</v>
      </c>
      <c r="AC5" s="2">
        <f>IFERROR(ROUND(Data!$B5/(
  SUMPRODUCT(('Form responses 1'!$B$2:$B1000=$A5)*('Form responses 1'!$A$2:$A1000&lt;=EOMONTH(DATEVALUE("1 "&amp;AC$1),0)))+
  SUMPRODUCT(('Form responses 1'!$C$2:$C1000=$A5)*('Form responses 1'!$A$2:$A1000&lt;=EOMONTH(DATEVALUE("1 "&amp;AC$1),0)))+
  SUMPRODUCT(('Form responses 1'!$D$2:$D1000=$A5)*('Form responses 1'!$A$2:$A1000&lt;=EOMONTH(DATEVALUE("1 "&amp;AC$1),0)))+
  SUMPRODUCT(('Form responses 1'!$E$2:$E1000=$A5)*('Form responses 1'!$A$2:$A1000&lt;=EOMONTH(DATEVALUE("1 "&amp;AC$1),0)))+
  SUMPRODUCT(('Form responses 1'!$F$2:$F1000=$A5)*('Form responses 1'!$A$2:$A1000&lt;=EOMONTH(DATEVALUE("1 "&amp;AC$1),0)))+
  SUMPRODUCT(('Form responses 1'!$G$2:$G1000=$A5)*('Form responses 1'!$A$2:$A1000&lt;=EOMONTH(DATEVALUE("1 "&amp;AC$1),0)))
),2),"-")</f>
        <v>0.43</v>
      </c>
      <c r="AD5" s="2" t="str">
        <f>IFERROR(ROUND(Data!$B5/(
  SUMPRODUCT(('Form responses 1'!$B$2:$B1000=$A5)*('Form responses 1'!$A$2:$A1000&lt;=EOMONTH(DATEVALUE("1 "&amp;AD$1),0)))+
  SUMPRODUCT(('Form responses 1'!$C$2:$C1000=$A5)*('Form responses 1'!$A$2:$A1000&lt;=EOMONTH(DATEVALUE("1 "&amp;AD$1),0)))+
  SUMPRODUCT(('Form responses 1'!$D$2:$D1000=$A5)*('Form responses 1'!$A$2:$A1000&lt;=EOMONTH(DATEVALUE("1 "&amp;AD$1),0)))+
  SUMPRODUCT(('Form responses 1'!$E$2:$E1000=$A5)*('Form responses 1'!$A$2:$A1000&lt;=EOMONTH(DATEVALUE("1 "&amp;AD$1),0)))+
  SUMPRODUCT(('Form responses 1'!$F$2:$F1000=$A5)*('Form responses 1'!$A$2:$A1000&lt;=EOMONTH(DATEVALUE("1 "&amp;AD$1),0)))+
  SUMPRODUCT(('Form responses 1'!$G$2:$G1000=$A5)*('Form responses 1'!$A$2:$A1000&lt;=EOMONTH(DATEVALUE("1 "&amp;AD$1),0)))
),2),"-")</f>
        <v>-</v>
      </c>
      <c r="AE5" s="2" t="str">
        <f>IFERROR(ROUND(Data!$B5/(
  SUMPRODUCT(('Form responses 1'!$B$2:$B1000=$A5)*('Form responses 1'!$A$2:$A1000&lt;=EOMONTH(DATEVALUE("1 "&amp;AE$1),0)))+
  SUMPRODUCT(('Form responses 1'!$C$2:$C1000=$A5)*('Form responses 1'!$A$2:$A1000&lt;=EOMONTH(DATEVALUE("1 "&amp;AE$1),0)))+
  SUMPRODUCT(('Form responses 1'!$D$2:$D1000=$A5)*('Form responses 1'!$A$2:$A1000&lt;=EOMONTH(DATEVALUE("1 "&amp;AE$1),0)))+
  SUMPRODUCT(('Form responses 1'!$E$2:$E1000=$A5)*('Form responses 1'!$A$2:$A1000&lt;=EOMONTH(DATEVALUE("1 "&amp;AE$1),0)))+
  SUMPRODUCT(('Form responses 1'!$F$2:$F1000=$A5)*('Form responses 1'!$A$2:$A1000&lt;=EOMONTH(DATEVALUE("1 "&amp;AE$1),0)))+
  SUMPRODUCT(('Form responses 1'!$G$2:$G1000=$A5)*('Form responses 1'!$A$2:$A1000&lt;=EOMONTH(DATEVALUE("1 "&amp;AE$1),0)))
),2),"-")</f>
        <v>-</v>
      </c>
      <c r="AF5" s="2" t="str">
        <f>IFERROR(ROUND(Data!$B5/(
  SUMPRODUCT(('Form responses 1'!$B$2:$B1000=$A5)*('Form responses 1'!$A$2:$A1000&lt;=EOMONTH(DATEVALUE("1 "&amp;AF$1),0)))+
  SUMPRODUCT(('Form responses 1'!$C$2:$C1000=$A5)*('Form responses 1'!$A$2:$A1000&lt;=EOMONTH(DATEVALUE("1 "&amp;AF$1),0)))+
  SUMPRODUCT(('Form responses 1'!$D$2:$D1000=$A5)*('Form responses 1'!$A$2:$A1000&lt;=EOMONTH(DATEVALUE("1 "&amp;AF$1),0)))+
  SUMPRODUCT(('Form responses 1'!$E$2:$E1000=$A5)*('Form responses 1'!$A$2:$A1000&lt;=EOMONTH(DATEVALUE("1 "&amp;AF$1),0)))+
  SUMPRODUCT(('Form responses 1'!$F$2:$F1000=$A5)*('Form responses 1'!$A$2:$A1000&lt;=EOMONTH(DATEVALUE("1 "&amp;AF$1),0)))+
  SUMPRODUCT(('Form responses 1'!$G$2:$G1000=$A5)*('Form responses 1'!$A$2:$A1000&lt;=EOMONTH(DATEVALUE("1 "&amp;AF$1),0)))
),2),"-")</f>
        <v>-</v>
      </c>
      <c r="AG5" s="2" t="str">
        <f>IFERROR(ROUND(Data!$B5/(
  SUMPRODUCT(('Form responses 1'!$B$2:$B1000=$A5)*('Form responses 1'!$A$2:$A1000&lt;=EOMONTH(DATEVALUE("1 "&amp;AG$1),0)))+
  SUMPRODUCT(('Form responses 1'!$C$2:$C1000=$A5)*('Form responses 1'!$A$2:$A1000&lt;=EOMONTH(DATEVALUE("1 "&amp;AG$1),0)))+
  SUMPRODUCT(('Form responses 1'!$D$2:$D1000=$A5)*('Form responses 1'!$A$2:$A1000&lt;=EOMONTH(DATEVALUE("1 "&amp;AG$1),0)))+
  SUMPRODUCT(('Form responses 1'!$E$2:$E1000=$A5)*('Form responses 1'!$A$2:$A1000&lt;=EOMONTH(DATEVALUE("1 "&amp;AG$1),0)))+
  SUMPRODUCT(('Form responses 1'!$F$2:$F1000=$A5)*('Form responses 1'!$A$2:$A1000&lt;=EOMONTH(DATEVALUE("1 "&amp;AG$1),0)))+
  SUMPRODUCT(('Form responses 1'!$G$2:$G1000=$A5)*('Form responses 1'!$A$2:$A1000&lt;=EOMONTH(DATEVALUE("1 "&amp;AG$1),0)))
),2),"-")</f>
        <v>-</v>
      </c>
      <c r="AH5" s="2" t="str">
        <f>IFERROR(ROUND(Data!$B5/(
  SUMPRODUCT(('Form responses 1'!$B$2:$B1000=$A5)*('Form responses 1'!$A$2:$A1000&lt;=EOMONTH(DATEVALUE("1 "&amp;AH$1),0)))+
  SUMPRODUCT(('Form responses 1'!$C$2:$C1000=$A5)*('Form responses 1'!$A$2:$A1000&lt;=EOMONTH(DATEVALUE("1 "&amp;AH$1),0)))+
  SUMPRODUCT(('Form responses 1'!$D$2:$D1000=$A5)*('Form responses 1'!$A$2:$A1000&lt;=EOMONTH(DATEVALUE("1 "&amp;AH$1),0)))+
  SUMPRODUCT(('Form responses 1'!$E$2:$E1000=$A5)*('Form responses 1'!$A$2:$A1000&lt;=EOMONTH(DATEVALUE("1 "&amp;AH$1),0)))+
  SUMPRODUCT(('Form responses 1'!$F$2:$F1000=$A5)*('Form responses 1'!$A$2:$A1000&lt;=EOMONTH(DATEVALUE("1 "&amp;AH$1),0)))+
  SUMPRODUCT(('Form responses 1'!$G$2:$G1000=$A5)*('Form responses 1'!$A$2:$A1000&lt;=EOMONTH(DATEVALUE("1 "&amp;AH$1),0)))
),2),"-")</f>
        <v>-</v>
      </c>
      <c r="AI5" s="2" t="str">
        <f>IFERROR(ROUND(Data!$B5/(
  SUMPRODUCT(('Form responses 1'!$B$2:$B1000=$A5)*('Form responses 1'!$A$2:$A1000&lt;=EOMONTH(DATEVALUE("1 "&amp;AI$1),0)))+
  SUMPRODUCT(('Form responses 1'!$C$2:$C1000=$A5)*('Form responses 1'!$A$2:$A1000&lt;=EOMONTH(DATEVALUE("1 "&amp;AI$1),0)))+
  SUMPRODUCT(('Form responses 1'!$D$2:$D1000=$A5)*('Form responses 1'!$A$2:$A1000&lt;=EOMONTH(DATEVALUE("1 "&amp;AI$1),0)))+
  SUMPRODUCT(('Form responses 1'!$E$2:$E1000=$A5)*('Form responses 1'!$A$2:$A1000&lt;=EOMONTH(DATEVALUE("1 "&amp;AI$1),0)))+
  SUMPRODUCT(('Form responses 1'!$F$2:$F1000=$A5)*('Form responses 1'!$A$2:$A1000&lt;=EOMONTH(DATEVALUE("1 "&amp;AI$1),0)))+
  SUMPRODUCT(('Form responses 1'!$G$2:$G1000=$A5)*('Form responses 1'!$A$2:$A1000&lt;=EOMONTH(DATEVALUE("1 "&amp;AI$1),0)))
),2),"-")</f>
        <v>-</v>
      </c>
      <c r="AJ5" s="2" t="str">
        <f>IFERROR(ROUND(Data!$B5/(
  SUMPRODUCT(('Form responses 1'!$B$2:$B1000=$A5)*('Form responses 1'!$A$2:$A1000&lt;=EOMONTH(DATEVALUE("1 "&amp;AJ$1),0)))+
  SUMPRODUCT(('Form responses 1'!$C$2:$C1000=$A5)*('Form responses 1'!$A$2:$A1000&lt;=EOMONTH(DATEVALUE("1 "&amp;AJ$1),0)))+
  SUMPRODUCT(('Form responses 1'!$D$2:$D1000=$A5)*('Form responses 1'!$A$2:$A1000&lt;=EOMONTH(DATEVALUE("1 "&amp;AJ$1),0)))+
  SUMPRODUCT(('Form responses 1'!$E$2:$E1000=$A5)*('Form responses 1'!$A$2:$A1000&lt;=EOMONTH(DATEVALUE("1 "&amp;AJ$1),0)))+
  SUMPRODUCT(('Form responses 1'!$F$2:$F1000=$A5)*('Form responses 1'!$A$2:$A1000&lt;=EOMONTH(DATEVALUE("1 "&amp;AJ$1),0)))+
  SUMPRODUCT(('Form responses 1'!$G$2:$G1000=$A5)*('Form responses 1'!$A$2:$A1000&lt;=EOMONTH(DATEVALUE("1 "&amp;AJ$1),0)))
),2),"-")</f>
        <v>-</v>
      </c>
      <c r="AK5" s="2" t="str">
        <f>IFERROR(ROUND(Data!$B5/(
  SUMPRODUCT(('Form responses 1'!$B$2:$B1000=$A5)*('Form responses 1'!$A$2:$A1000&lt;=EOMONTH(DATEVALUE("1 "&amp;AK$1),0)))+
  SUMPRODUCT(('Form responses 1'!$C$2:$C1000=$A5)*('Form responses 1'!$A$2:$A1000&lt;=EOMONTH(DATEVALUE("1 "&amp;AK$1),0)))+
  SUMPRODUCT(('Form responses 1'!$D$2:$D1000=$A5)*('Form responses 1'!$A$2:$A1000&lt;=EOMONTH(DATEVALUE("1 "&amp;AK$1),0)))+
  SUMPRODUCT(('Form responses 1'!$E$2:$E1000=$A5)*('Form responses 1'!$A$2:$A1000&lt;=EOMONTH(DATEVALUE("1 "&amp;AK$1),0)))+
  SUMPRODUCT(('Form responses 1'!$F$2:$F1000=$A5)*('Form responses 1'!$A$2:$A1000&lt;=EOMONTH(DATEVALUE("1 "&amp;AK$1),0)))+
  SUMPRODUCT(('Form responses 1'!$G$2:$G1000=$A5)*('Form responses 1'!$A$2:$A1000&lt;=EOMONTH(DATEVALUE("1 "&amp;AK$1),0)))
),2),"-")</f>
        <v>-</v>
      </c>
      <c r="AL5" s="2" t="str">
        <f>IFERROR(ROUND(Data!$B5/(
  SUMPRODUCT(('Form responses 1'!$B$2:$B1000=$A5)*('Form responses 1'!$A$2:$A1000&lt;=EOMONTH(DATEVALUE("1 "&amp;AL$1),0)))+
  SUMPRODUCT(('Form responses 1'!$C$2:$C1000=$A5)*('Form responses 1'!$A$2:$A1000&lt;=EOMONTH(DATEVALUE("1 "&amp;AL$1),0)))+
  SUMPRODUCT(('Form responses 1'!$D$2:$D1000=$A5)*('Form responses 1'!$A$2:$A1000&lt;=EOMONTH(DATEVALUE("1 "&amp;AL$1),0)))+
  SUMPRODUCT(('Form responses 1'!$E$2:$E1000=$A5)*('Form responses 1'!$A$2:$A1000&lt;=EOMONTH(DATEVALUE("1 "&amp;AL$1),0)))+
  SUMPRODUCT(('Form responses 1'!$F$2:$F1000=$A5)*('Form responses 1'!$A$2:$A1000&lt;=EOMONTH(DATEVALUE("1 "&amp;AL$1),0)))+
  SUMPRODUCT(('Form responses 1'!$G$2:$G1000=$A5)*('Form responses 1'!$A$2:$A1000&lt;=EOMONTH(DATEVALUE("1 "&amp;AL$1),0)))
),2),"-")</f>
        <v>-</v>
      </c>
    </row>
    <row r="6">
      <c r="A6" s="3" t="str">
        <f>IFERROR(__xludf.DUMMYFUNCTION("""COMPUTED_VALUE"""),"Double pleaded beige linnen")</f>
        <v>Double pleaded beige linnen</v>
      </c>
      <c r="B6" s="2">
        <f>Data!F6:F1000</f>
        <v>10</v>
      </c>
      <c r="C6" s="2">
        <f>IFERROR(ROUND(Data!B6/(SUMPRODUCT(('Form responses 1'!$B$2:$B1000 = A6) * ('Form responses 1'!$A$2:$A1000 &lt;= DATE(2024, 1, 31)))
+ SUMPRODUCT(('Form responses 1'!$C$2:$C1000 = A6) * ('Form responses 1'!$A$2:$A1000 &lt;= DATE(2024, 1, 31)))
+ SUMPRODUCT(('Form responses 1'!$D$2:$D1000 = A6) * ('Form responses 1'!$A$2:$A1000 &lt;= DATE(2024, 1, 31)))
+ SUMPRODUCT(('Form responses 1'!$E$2:$E1000 = A6) * ('Form responses 1'!$A$2:$A1000 &lt;= DATE(2024, 1, 31)))
+ SUMPRODUCT(('Form responses 1'!$F$2:$F1000 = A6) * ('Form responses 1'!$A$2:$A1000 &lt;= DATE(2024, 1, 31)))
+ SUMPRODUCT(('Form responses 1'!$G$2:$G1000 = A6) * ('Form responses 1'!$A$2:$A1000 &lt;= DATE(2024, 1, 31)))), 2), "-")
</f>
        <v>10</v>
      </c>
      <c r="D6" s="2">
        <f>IFERROR(ROUND(Data!B6/(SUMPRODUCT(('Form responses 1'!$B$2:$B1000 = A6) * ('Form responses 1'!$A$2:$A1000 &lt;= DATE(2024, 2, 29)))
+ SUMPRODUCT(('Form responses 1'!$C$2:$C1000 = A6) * ('Form responses 1'!$A$2:$A1000 &lt;= DATE(2024, 2, 29)))
+ SUMPRODUCT(('Form responses 1'!$D$2:$D1000 = A6) * ('Form responses 1'!$A$2:$A1000 &lt;= DATE(2024, 2, 29)))
+ SUMPRODUCT(('Form responses 1'!$E$2:$E1000 = A6) * ('Form responses 1'!$A$2:$A1000 &lt;= DATE(2024, 2, 29)))
+ SUMPRODUCT(('Form responses 1'!$F$2:$F1000 = A6) * ('Form responses 1'!$A$2:$A1000 &lt;= DATE(2024, 2, 29)))
+ SUMPRODUCT(('Form responses 1'!$G$2:$G1000 = A6) * ('Form responses 1'!$A$2:$A1000 &lt;= DATE(2024, 2, 29)))), 2), "-")
</f>
        <v>10</v>
      </c>
      <c r="E6" s="2">
        <f>IFERROR(ROUND(Data!B6/(SUMPRODUCT(('Form responses 1'!$B$2:$B1000 = A6) * ('Form responses 1'!$A$2:$A1000 &lt;= DATE(2024, 3, 31)))
+ SUMPRODUCT(('Form responses 1'!$C$2:$C1000 = A6) * ('Form responses 1'!$A$2:$A1000 &lt;= DATE(2024, 3, 31)))
+ SUMPRODUCT(('Form responses 1'!$D$2:$D1000 = A6) * ('Form responses 1'!$A$2:$A1000 &lt;= DATE(2024, 3, 31)))
+ SUMPRODUCT(('Form responses 1'!$E$2:$E1000 = A6) * ('Form responses 1'!$A$2:$A1000 &lt;= DATE(2024, 3, 31)))
+ SUMPRODUCT(('Form responses 1'!$F$2:$F1000 = A6) * ('Form responses 1'!$A$2:$A1000 &lt;= DATE(2024, 3, 31)))
+ SUMPRODUCT(('Form responses 1'!$G$2:$G1000 = A6) * ('Form responses 1'!$A$2:$A1000 &lt;= DATE(2024, 3, 31)))), 2), "-")
</f>
        <v>10</v>
      </c>
      <c r="F6" s="2">
        <f>IFERROR(ROUND(Data!B6/(SUMPRODUCT(('Form responses 1'!$B$2:$B1000 = A6) * ('Form responses 1'!$A$2:$A1000 &lt;= DATE(2024, 4, 30)))
+ SUMPRODUCT(('Form responses 1'!$C$2:$C1000 = A6) * ('Form responses 1'!$A$2:$A1000 &lt;= DATE(2024, 4, 30)))
+ SUMPRODUCT(('Form responses 1'!$D$2:$D1000 = A6) * ('Form responses 1'!$A$2:$A1000 &lt;= DATE(2024, 4, 30)))
+ SUMPRODUCT(('Form responses 1'!$E$2:$E1000 = A6) * ('Form responses 1'!$A$2:$A1000 &lt;= DATE(2024, 4, 30)))
+ SUMPRODUCT(('Form responses 1'!$F$2:$F1000 = A6) * ('Form responses 1'!$A$2:$A1000 &lt;= DATE(2024, 4, 30)))
+ SUMPRODUCT(('Form responses 1'!$G$2:$G1000 = A6) * ('Form responses 1'!$A$2:$A1000 &lt;= DATE(2024, 4, 30)))), 2), "-")
</f>
        <v>10</v>
      </c>
      <c r="G6" s="2">
        <f>IFERROR(ROUND(Data!B6/(SUMPRODUCT(('Form responses 1'!$B$2:$B1000 = A6) * ('Form responses 1'!$A$2:$A1000 &lt;= DATE(2024, 5, 31)))
+ SUMPRODUCT(('Form responses 1'!$C$2:$C1000 = A6) * ('Form responses 1'!$A$2:$A1000 &lt;= DATE(2024, 5, 31)))
+ SUMPRODUCT(('Form responses 1'!$D$2:$D1000 = A6) * ('Form responses 1'!$A$2:$A1000 &lt;= DATE(2024, 5, 31)))
+ SUMPRODUCT(('Form responses 1'!$E$2:$E1000 = A6) * ('Form responses 1'!$A$2:$A1000 &lt;= DATE(2024, 5, 31)))
+ SUMPRODUCT(('Form responses 1'!$F$2:$F1000 = A6) * ('Form responses 1'!$A$2:$A1000 &lt;= DATE(2024, 5, 31)))
+ SUMPRODUCT(('Form responses 1'!$G$2:$G1000 = A6) * ('Form responses 1'!$A$2:$A1000 &lt;= DATE(2024, 5, 31)))), 2), "-")
</f>
        <v>10</v>
      </c>
      <c r="H6" s="2">
        <f>IFERROR(ROUND(Data!B6/(SUMPRODUCT(('Form responses 1'!$B$2:$B1000 = A6) * ('Form responses 1'!$A$2:$A1000 &lt;= DATE(2024, 6, 30)))
+ SUMPRODUCT(('Form responses 1'!$C$2:$C1000 = A6) * ('Form responses 1'!$A$2:$A1000 &lt;= DATE(2024, 6, 30)))
+ SUMPRODUCT(('Form responses 1'!$D$2:$D1000 = A6) * ('Form responses 1'!$A$2:$A1000 &lt;= DATE(2024, 6, 30)))
+ SUMPRODUCT(('Form responses 1'!$E$2:$E1000 = A6) * ('Form responses 1'!$A$2:$A1000 &lt;= DATE(2024, 6, 30)))
+ SUMPRODUCT(('Form responses 1'!$F$2:$F1000 = A6) * ('Form responses 1'!$A$2:$A1000 &lt;= DATE(2024, 6, 30)))
+ SUMPRODUCT(('Form responses 1'!$G$2:$G1000 = A6) * ('Form responses 1'!$A$2:$A1000 &lt;= DATE(2024, 6, 30)))), 2), "-")
</f>
        <v>10</v>
      </c>
      <c r="I6" s="2">
        <f>IFERROR(ROUND(Data!B6/(SUMPRODUCT(('Form responses 1'!$B$2:$B1000 = A6) * ('Form responses 1'!$A$2:$A1000 &lt;= DATE(2024, 7, 31)))
+ SUMPRODUCT(('Form responses 1'!$C$2:$C1000 = A6) * ('Form responses 1'!$A$2:$A1000 &lt;= DATE(2024, 7, 31)))
+ SUMPRODUCT(('Form responses 1'!$D$2:$D1000 = A6) * ('Form responses 1'!$A$2:$A1000 &lt;= DATE(2024, 7, 31)))
+ SUMPRODUCT(('Form responses 1'!$E$2:$E1000 = A6) * ('Form responses 1'!$A$2:$A1000 &lt;= DATE(2024, 7, 31)))
+ SUMPRODUCT(('Form responses 1'!$F$2:$F1000 = A6) * ('Form responses 1'!$A$2:$A1000 &lt;= DATE(2024, 7, 31)))
+ SUMPRODUCT(('Form responses 1'!$G$2:$G1000 = A6) * ('Form responses 1'!$A$2:$A1000 &lt;= DATE(2024, 7, 31)))), 2), "-")
</f>
        <v>10</v>
      </c>
      <c r="J6" s="2">
        <f>IFERROR(ROUND(Data!B6/(SUMPRODUCT(('Form responses 1'!$B$2:$B1000 = A6) * ('Form responses 1'!$A$2:$A1000 &lt;= DATE(2024, 8, 31)))
+ SUMPRODUCT(('Form responses 1'!$C$2:$C1000 = A6) * ('Form responses 1'!$A$2:$A1000 &lt;= DATE(2024, 8, 31)))
+ SUMPRODUCT(('Form responses 1'!$D$2:$D1000 = A6) * ('Form responses 1'!$A$2:$A1000 &lt;= DATE(2024, 8, 31)))
+ SUMPRODUCT(('Form responses 1'!$E$2:$E1000 = A6) * ('Form responses 1'!$A$2:$A1000 &lt;= DATE(2024, 8, 31)))
+ SUMPRODUCT(('Form responses 1'!$F$2:$F1000 = A6) * ('Form responses 1'!$A$2:$A1000 &lt;= DATE(2024, 8, 31)))
+ SUMPRODUCT(('Form responses 1'!$G$2:$G1000 = A6) * ('Form responses 1'!$A$2:$A1000 &lt;= DATE(2024, 8, 31)))), 2), "-")
</f>
        <v>10</v>
      </c>
      <c r="K6" s="2">
        <f>IFERROR(ROUND(Data!B6/(SUMPRODUCT(('Form responses 1'!$B$2:$B1000 = A6) * ('Form responses 1'!$A$2:$A1000 &lt;= DATE(2024, 9, 30)))
+ SUMPRODUCT(('Form responses 1'!$C$2:$C1000 = A6) * ('Form responses 1'!$A$2:$A1000 &lt;= DATE(2024, 9, 30)))
+ SUMPRODUCT(('Form responses 1'!$D$2:$D1000 = A6) * ('Form responses 1'!$A$2:$A1000 &lt;= DATE(2024, 9, 30)))
+ SUMPRODUCT(('Form responses 1'!$E$2:$E1000 = A6) * ('Form responses 1'!$A$2:$A1000 &lt;= DATE(2024, 9, 30)))
+ SUMPRODUCT(('Form responses 1'!$F$2:$F1000 = A6) * ('Form responses 1'!$A$2:$A1000 &lt;= DATE(2024, 9, 30)))
+ SUMPRODUCT(('Form responses 1'!$G$2:$G1000 = A6) * ('Form responses 1'!$A$2:$A1000 &lt;= DATE(2024, 9, 30)))), 2), "-")
</f>
        <v>10</v>
      </c>
      <c r="L6" s="2">
        <f>IFERROR(ROUND(Data!B6/(SUMPRODUCT(('Form responses 1'!$B$2:$B1000 = A6) * ('Form responses 1'!$A$2:$A1000 &lt;= DATE(2024, 10, 31)))
+ SUMPRODUCT(('Form responses 1'!$C$2:$C1000 = A6) * ('Form responses 1'!$A$2:$A1000 &lt;= DATE(2024, 10, 31)))
+ SUMPRODUCT(('Form responses 1'!$D$2:$D1000 = A6) * ('Form responses 1'!$A$2:$A1000 &lt;= DATE(2024, 10, 31)))
+ SUMPRODUCT(('Form responses 1'!$E$2:$E1000 = A6) * ('Form responses 1'!$A$2:$A1000 &lt;= DATE(2024, 10, 31)))
+ SUMPRODUCT(('Form responses 1'!$F$2:$F1000 = A6) * ('Form responses 1'!$A$2:$A1000 &lt;= DATE(2024, 10, 31)))
+ SUMPRODUCT(('Form responses 1'!$G$2:$G1000 = A6) * ('Form responses 1'!$A$2:$A1000 &lt;= DATE(2024, 10, 31)))), 2), "-")
</f>
        <v>10</v>
      </c>
      <c r="M6" s="2">
        <f>IFERROR(ROUND(Data!B6/(SUMPRODUCT(('Form responses 1'!$B$2:$B1000 = A6) * ('Form responses 1'!$A$2:$A1000 &lt;= DATE(2024, 11, 30)))
+ SUMPRODUCT(('Form responses 1'!$C$2:$C1000 = A6) * ('Form responses 1'!$A$2:$A1000 &lt;= DATE(2024, 11, 30)))
+ SUMPRODUCT(('Form responses 1'!$D$2:$D1000 = A6) * ('Form responses 1'!$A$2:$A1000 &lt;= DATE(2024, 11, 30)))
+ SUMPRODUCT(('Form responses 1'!$E$2:$E1000 = A6) * ('Form responses 1'!$A$2:$A1000 &lt;= DATE(2024, 11, 30)))
+ SUMPRODUCT(('Form responses 1'!$F$2:$F1000 = A6) * ('Form responses 1'!$A$2:$A1000 &lt;= DATE(2024, 11, 30)))
+ SUMPRODUCT(('Form responses 1'!$G$2:$G1000 = A6) * ('Form responses 1'!$A$2:$A1000 &lt;= DATE(2024, 11, 30)))), 2), "-")
</f>
        <v>10</v>
      </c>
      <c r="N6" s="2">
        <f>IFERROR(ROUND(Data!B6/(SUMPRODUCT(('Form responses 1'!$B$2:$B1000 = A6) * ('Form responses 1'!$A$2:$A1000 &lt;= DATE(2024, 12, 31)))
+ SUMPRODUCT(('Form responses 1'!$C$2:$C1000 = A6) * ('Form responses 1'!$A$2:$A1000 &lt;= DATE(2024, 12, 31)))
+ SUMPRODUCT(('Form responses 1'!$D$2:$D1000 = A6) * ('Form responses 1'!$A$2:$A1000 &lt;= DATE(2024, 12, 31)))
+ SUMPRODUCT(('Form responses 1'!$E$2:$E1000 = A6) * ('Form responses 1'!$A$2:$A1000 &lt;= DATE(2024, 12, 31)))
+ SUMPRODUCT(('Form responses 1'!$F$2:$F1000 = A6) * ('Form responses 1'!$A$2:$A1000 &lt;= DATE(2024, 12, 31)))
+ SUMPRODUCT(('Form responses 1'!$G$2:$G1000 = A6) * ('Form responses 1'!$A$2:$A1000 &lt;= DATE(2024, 12, 31)))), 2), "-")
</f>
        <v>10</v>
      </c>
      <c r="O6" s="2">
        <f>IFERROR(ROUND(Data!B6/(SUMPRODUCT(('Form responses 1'!$B$2:$B1000 = A6) * ('Form responses 1'!$A$2:$A1000 &lt;= DATE(2025, 1, 31)))
+ SUMPRODUCT(('Form responses 1'!$C$2:$C1000 = A6) * ('Form responses 1'!$A$2:$A1000 &lt;= DATE(2025, 1, 31)))
+ SUMPRODUCT(('Form responses 1'!$D$2:$D1000 = A6) * ('Form responses 1'!$A$2:$A1000 &lt;= DATE(2025, 1, 31)))
+ SUMPRODUCT(('Form responses 1'!$E$2:$E1000 = A6) * ('Form responses 1'!$A$2:$A1000 &lt;= DATE(2025, 1, 31)))
+ SUMPRODUCT(('Form responses 1'!$F$2:$F1000 = A6) * ('Form responses 1'!$A$2:$A1000 &lt;= DATE(2025, 1, 31)))
+ SUMPRODUCT(('Form responses 1'!$G$2:$G1000 = A6) * ('Form responses 1'!$A$2:$A1000 &lt;= DATE(2025, 1, 31)))), 2), "-")
</f>
        <v>10</v>
      </c>
      <c r="P6" s="2">
        <f>IFERROR(ROUND(Data!B6/(SUMPRODUCT(('Form responses 1'!$B$2:$B1000 = A6) * ('Form responses 1'!$A$2:$A1000 &lt;= DATE(2025, 2, 28)))
+ SUMPRODUCT(('Form responses 1'!$C$2:$C1000 = A6) * ('Form responses 1'!$A$2:$A1000 &lt;= DATE(2025, 2, 28)))
+ SUMPRODUCT(('Form responses 1'!$D$2:$D1000 = A6) * ('Form responses 1'!$A$2:$A1000 &lt;= DATE(2025, 2, 28)))
+ SUMPRODUCT(('Form responses 1'!$E$2:$E1000 = A6) * ('Form responses 1'!$A$2:$A1000 &lt;= DATE(2025, 2, 28)))
+ SUMPRODUCT(('Form responses 1'!$F$2:$F1000 = A6) * ('Form responses 1'!$A$2:$A1000 &lt;= DATE(2025, 2, 28)))
+ SUMPRODUCT(('Form responses 1'!$G$2:$G1000 = A6) * ('Form responses 1'!$A$2:$A1000 &lt;= DATE(2025, 2, 28)))), 2), "-")
</f>
        <v>10</v>
      </c>
      <c r="Q6" s="2">
        <f>IFERROR(ROUND(Data!B6/(SUMPRODUCT(('Form responses 1'!$B$2:$B1000 = A6) * ('Form responses 1'!$A$2:$A1000 &lt;= DATE(2025, 3, 31)))
+ SUMPRODUCT(('Form responses 1'!$C$2:$C1000 = A6) * ('Form responses 1'!$A$2:$A1000 &lt;= DATE(2025, 3, 31)))
+ SUMPRODUCT(('Form responses 1'!$D$2:$D1000 = A6) * ('Form responses 1'!$A$2:$A1000 &lt;= DATE(2025, 3, 31)))
+ SUMPRODUCT(('Form responses 1'!$E$2:$E1000 = A6) * ('Form responses 1'!$A$2:$A1000 &lt;= DATE(2025, 3, 31)))
+ SUMPRODUCT(('Form responses 1'!$F$2:$F1000 = A6) * ('Form responses 1'!$A$2:$A1000 &lt;= DATE(2025, 3, 31)))
+ SUMPRODUCT(('Form responses 1'!$G$2:$G1000 = A6) * ('Form responses 1'!$A$2:$A1000 &lt;= DATE(2025, 3, 31)))),2),"-")</f>
        <v>10</v>
      </c>
      <c r="R6" s="2">
        <f>IFERROR(ROUND(Data!B6/(SUMPRODUCT(('Form responses 1'!$B$2:$B1000 = A6) * ('Form responses 1'!$A$2:$A1000 &lt;= DATE(2025, 4, 30)))
+ SUMPRODUCT(('Form responses 1'!$C$2:$C1000 = A6) * ('Form responses 1'!$A$2:$A1000 &lt;= DATE(2025, 4, 30)))
+ SUMPRODUCT(('Form responses 1'!$D$2:$D1000 = A6) * ('Form responses 1'!$A$2:$A1000 &lt;= DATE(2025, 4, 30)))
+ SUMPRODUCT(('Form responses 1'!$E$2:$E1000 = A6) * ('Form responses 1'!$A$2:$A1000 &lt;= DATE(2025, 4, 30)))
+ SUMPRODUCT(('Form responses 1'!$F$2:$F1000 = A6) * ('Form responses 1'!$A$2:$A1000 &lt;= DATE(2025, 4, 30)))
+ SUMPRODUCT(('Form responses 1'!$G$2:$G1000 = A6) * ('Form responses 1'!$A$2:$A1000 &lt;= DATE(2025, 4, 30)))), 2), "-")
</f>
        <v>10</v>
      </c>
      <c r="S6" s="2">
        <f>IFERROR(ROUND(Data!B6/(SUMPRODUCT(('Form responses 1'!$B$2:$B1000 = A6) * ('Form responses 1'!$A$2:$A1000 &lt;= DATE(2025, 5, 31)))
+ SUMPRODUCT(('Form responses 1'!$C$2:$C1000 = A6) * ('Form responses 1'!$A$2:$A1000 &lt;= DATE(2025, 5, 31)))
+ SUMPRODUCT(('Form responses 1'!$D$2:$D1000 = A6) * ('Form responses 1'!$A$2:$A1000 &lt;= DATE(2025, 5, 31)))
+ SUMPRODUCT(('Form responses 1'!$E$2:$E1000 = A6) * ('Form responses 1'!$A$2:$A1000 &lt;= DATE(2025, 5, 31)))
+ SUMPRODUCT(('Form responses 1'!$F$2:$F1000 = A6) * ('Form responses 1'!$A$2:$A1000 &lt;= DATE(2025, 5, 31)))
+ SUMPRODUCT(('Form responses 1'!$G$2:$G1000 = A6) * ('Form responses 1'!$A$2:$A1000 &lt;= DATE(2025, 5, 31)))), 2), "-")
</f>
        <v>10</v>
      </c>
      <c r="T6" s="2">
        <f>IFERROR(ROUND(Data!B6/(SUMPRODUCT(('Form responses 1'!$B$2:$B1000 = A6) * ('Form responses 1'!$A$2:$A1000 &lt;= DATE(2025, 6, 30)))
+ SUMPRODUCT(('Form responses 1'!$C$2:$C1000 = A6) * ('Form responses 1'!$A$2:$A1000 &lt;= DATE(2025, 6, 30)))
+ SUMPRODUCT(('Form responses 1'!$D$2:$D1000 = A6) * ('Form responses 1'!$A$2:$A1000 &lt;= DATE(2025, 6, 30)))
+ SUMPRODUCT(('Form responses 1'!$E$2:$E1000 = A6) * ('Form responses 1'!$A$2:$A1000 &lt;= DATE(2025, 6, 30)))
+ SUMPRODUCT(('Form responses 1'!$F$2:$F1000 = A6) * ('Form responses 1'!$A$2:$A1000 &lt;= DATE(2025, 6, 30)))
+ SUMPRODUCT(('Form responses 1'!$G$2:$G1000 = A6) * ('Form responses 1'!$A$2:$A1000 &lt;= DATE(2025, 6, 30)))), 2), "-")
</f>
        <v>10</v>
      </c>
      <c r="U6" s="2">
        <f>IFERROR(ROUND(Data!B6/(SUMPRODUCT(('Form responses 1'!$B$2:$B1000 = A6) * ('Form responses 1'!$A$2:$A1000 &lt;= DATE(2025, 7, 31)))
+ SUMPRODUCT(('Form responses 1'!$C$2:$C1000 = A6) * ('Form responses 1'!$A$2:$A1000 &lt;= DATE(2025, 7, 31)))
+ SUMPRODUCT(('Form responses 1'!$D$2:$D1000 = A6) * ('Form responses 1'!$A$2:$A1000 &lt;= DATE(2025, 7, 31)))
+ SUMPRODUCT(('Form responses 1'!$E$2:$E1000 = A6) * ('Form responses 1'!$A$2:$A1000 &lt;= DATE(2025, 7, 31)))
+ SUMPRODUCT(('Form responses 1'!$F$2:$F1000 = A6) * ('Form responses 1'!$A$2:$A1000 &lt;= DATE(2025, 7, 31)))
+ SUMPRODUCT(('Form responses 1'!$G$2:$G1000 = A6) * ('Form responses 1'!$A$2:$A1000 &lt;= DATE(2025, 7, 31)))), 2), "-")
</f>
        <v>10</v>
      </c>
      <c r="V6" s="2">
        <f>IFERROR(ROUND(Data!B6/(SUMPRODUCT(('Form responses 1'!$B$2:$B1000 = A6) * ('Form responses 1'!$A$2:$A1000 &lt;= DATE(2025, 8, 31)))
+ SUMPRODUCT(('Form responses 1'!$C$2:$C1000 = A6) * ('Form responses 1'!$A$2:$A1000 &lt;= DATE(2025, 8, 31)))
+ SUMPRODUCT(('Form responses 1'!$D$2:$D1000 = A6) * ('Form responses 1'!$A$2:$A1000 &lt;= DATE(2025, 8, 31)))
+ SUMPRODUCT(('Form responses 1'!$E$2:$E1000 = A6) * ('Form responses 1'!$A$2:$A1000 &lt;= DATE(2025, 8, 31)))
+ SUMPRODUCT(('Form responses 1'!$F$2:$F1000 = A6) * ('Form responses 1'!$A$2:$A1000 &lt;= DATE(2025, 8, 31)))
+ SUMPRODUCT(('Form responses 1'!$G$2:$G1000 = A6) * ('Form responses 1'!$A$2:$A1000 &lt;= DATE(2025, 8, 31)))), 2), "-")
</f>
        <v>10</v>
      </c>
      <c r="W6" s="2">
        <f>IFERROR(ROUND(Data!B6/(SUMPRODUCT(('Form responses 1'!$B$2:$B1000 = A6) * ('Form responses 1'!$A$2:$A1000 &lt;= DATE(2025, 9, 30)))
+ SUMPRODUCT(('Form responses 1'!$C$2:$C1000 = A6) * ('Form responses 1'!$A$2:$A1000 &lt;= DATE(2025, 9, 30)))
+ SUMPRODUCT(('Form responses 1'!$D$2:$D1000 = A6) * ('Form responses 1'!$A$2:$A1000 &lt;= DATE(2025, 9, 30)))
+ SUMPRODUCT(('Form responses 1'!$E$2:$E1000 = A6) * ('Form responses 1'!$A$2:$A1000 &lt;= DATE(2025, 9, 30)))
+ SUMPRODUCT(('Form responses 1'!$F$2:$F1000 = A6) * ('Form responses 1'!$A$2:$A1000 &lt;= DATE(2025, 9, 30)))
+ SUMPRODUCT(('Form responses 1'!$G$2:$G1000 = A6) * ('Form responses 1'!$A$2:$A1000 &lt;= DATE(2025, 9, 30)))), 2), "-")
</f>
        <v>10</v>
      </c>
      <c r="X6" s="2">
        <f>IFERROR(ROUND(Data!B6/(SUMPRODUCT(('Form responses 1'!$B$2:$B1000 = A6) * ('Form responses 1'!$A$2:$A1000 &lt;= DATE(2025, 10, 31)))
+ SUMPRODUCT(('Form responses 1'!$C$2:$C1000 = A6) * ('Form responses 1'!$A$2:$A1000 &lt;= DATE(2025, 10, 31)))
+ SUMPRODUCT(('Form responses 1'!$D$2:$D1000 = A6) * ('Form responses 1'!$A$2:$A1000 &lt;= DATE(2025, 10, 31)))
+ SUMPRODUCT(('Form responses 1'!$E$2:$E1000 = A6) * ('Form responses 1'!$A$2:$A1000 &lt;= DATE(2025, 10, 31)))
+ SUMPRODUCT(('Form responses 1'!$F$2:$F1000 = A6) * ('Form responses 1'!$A$2:$A1000 &lt;= DATE(2025, 10, 31)))
+ SUMPRODUCT(('Form responses 1'!$G$2:$G1000 = A6) * ('Form responses 1'!$A$2:$A1000 &lt;= DATE(2025, 10, 31)))), 2), "-")
</f>
        <v>10</v>
      </c>
      <c r="Y6" s="2">
        <f>IFERROR(ROUND(Data!B6/(SUMPRODUCT(('Form responses 1'!$B$2:$B1000 = A6) * ('Form responses 1'!$A$2:$A1000 &lt;= DATE(2025, 11, 30)))
+ SUMPRODUCT(('Form responses 1'!$C$2:$C1000 = A6) * ('Form responses 1'!$A$2:$A1000 &lt;= DATE(2025, 11, 30)))
+ SUMPRODUCT(('Form responses 1'!$D$2:$D1000 = A6) * ('Form responses 1'!$A$2:$A1000 &lt;= DATE(2025, 11, 30)))
+ SUMPRODUCT(('Form responses 1'!$E$2:$E1000 = A6) * ('Form responses 1'!$A$2:$A1000 &lt;= DATE(2025, 11, 30)))
+ SUMPRODUCT(('Form responses 1'!$F$2:$F1000 = A6) * ('Form responses 1'!$A$2:$A1000 &lt;= DATE(2025, 11, 30)))
+ SUMPRODUCT(('Form responses 1'!$G$2:$G1000 = A6) * ('Form responses 1'!$A$2:$A1000 &lt;= DATE(2025, 11, 30)))), 2), "-")
</f>
        <v>10</v>
      </c>
      <c r="Z6" s="2">
        <f>IFERROR(ROUND(Data!B6/(SUMPRODUCT(('Form responses 1'!$B$2:$B1000 = A6) * ('Form responses 1'!$A$2:$A1000 &lt;= DATE(2025, 12, 31)))
+ SUMPRODUCT(('Form responses 1'!$C$2:$C1000 = A6) * ('Form responses 1'!$A$2:$A1000 &lt;= DATE(2025, 12, 31)))
+ SUMPRODUCT(('Form responses 1'!$D$2:$D1000 = A6) * ('Form responses 1'!$A$2:$A1000 &lt;= DATE(2025, 12, 31)))
+ SUMPRODUCT(('Form responses 1'!$E$2:$E1000 = A6) * ('Form responses 1'!$A$2:$A1000 &lt;= DATE(2025, 12, 31)))
+ SUMPRODUCT(('Form responses 1'!$F$2:$F1000 = A6) * ('Form responses 1'!$A$2:$A1000 &lt;= DATE(2025, 12, 31)))
+ SUMPRODUCT(('Form responses 1'!$G$2:$G1000 = A6) * ('Form responses 1'!$A$2:$A1000 &lt;= DATE(2025, 12, 31)))), 2), "-")
</f>
        <v>10</v>
      </c>
      <c r="AA6" s="2">
        <f>IFERROR(ROUND(Data!$B6/(
  SUMPRODUCT(('Form responses 1'!$B$2:$B1000=$A6)*('Form responses 1'!$A$2:$A1000&lt;=EOMONTH(DATEVALUE("1 "&amp;AA$1),0)))+
  SUMPRODUCT(('Form responses 1'!$C$2:$C1000=$A6)*('Form responses 1'!$A$2:$A1000&lt;=EOMONTH(DATEVALUE("1 "&amp;AA$1),0)))+
  SUMPRODUCT(('Form responses 1'!$D$2:$D1000=$A6)*('Form responses 1'!$A$2:$A1000&lt;=EOMONTH(DATEVALUE("1 "&amp;AA$1),0)))+
  SUMPRODUCT(('Form responses 1'!$E$2:$E1000=$A6)*('Form responses 1'!$A$2:$A1000&lt;=EOMONTH(DATEVALUE("1 "&amp;AA$1),0)))+
  SUMPRODUCT(('Form responses 1'!$F$2:$F1000=$A6)*('Form responses 1'!$A$2:$A1000&lt;=EOMONTH(DATEVALUE("1 "&amp;AA$1),0)))+
  SUMPRODUCT(('Form responses 1'!$G$2:$G1000=$A6)*('Form responses 1'!$A$2:$A1000&lt;=EOMONTH(DATEVALUE("1 "&amp;AA$1),0)))
),2),"-")</f>
        <v>10</v>
      </c>
      <c r="AB6" s="2">
        <f>IFERROR(ROUND(Data!$B6/(
  SUMPRODUCT(('Form responses 1'!$B$2:$B1000=$A6)*('Form responses 1'!$A$2:$A1000&lt;=EOMONTH(DATEVALUE("1 "&amp;AB$1),0)))+
  SUMPRODUCT(('Form responses 1'!$C$2:$C1000=$A6)*('Form responses 1'!$A$2:$A1000&lt;=EOMONTH(DATEVALUE("1 "&amp;AB$1),0)))+
  SUMPRODUCT(('Form responses 1'!$D$2:$D1000=$A6)*('Form responses 1'!$A$2:$A1000&lt;=EOMONTH(DATEVALUE("1 "&amp;AB$1),0)))+
  SUMPRODUCT(('Form responses 1'!$E$2:$E1000=$A6)*('Form responses 1'!$A$2:$A1000&lt;=EOMONTH(DATEVALUE("1 "&amp;AB$1),0)))+
  SUMPRODUCT(('Form responses 1'!$F$2:$F1000=$A6)*('Form responses 1'!$A$2:$A1000&lt;=EOMONTH(DATEVALUE("1 "&amp;AB$1),0)))+
  SUMPRODUCT(('Form responses 1'!$G$2:$G1000=$A6)*('Form responses 1'!$A$2:$A1000&lt;=EOMONTH(DATEVALUE("1 "&amp;AB$1),0)))
),2),"-")</f>
        <v>10</v>
      </c>
      <c r="AC6" s="2">
        <f>IFERROR(ROUND(Data!$B6/(
  SUMPRODUCT(('Form responses 1'!$B$2:$B1000=$A6)*('Form responses 1'!$A$2:$A1000&lt;=EOMONTH(DATEVALUE("1 "&amp;AC$1),0)))+
  SUMPRODUCT(('Form responses 1'!$C$2:$C1000=$A6)*('Form responses 1'!$A$2:$A1000&lt;=EOMONTH(DATEVALUE("1 "&amp;AC$1),0)))+
  SUMPRODUCT(('Form responses 1'!$D$2:$D1000=$A6)*('Form responses 1'!$A$2:$A1000&lt;=EOMONTH(DATEVALUE("1 "&amp;AC$1),0)))+
  SUMPRODUCT(('Form responses 1'!$E$2:$E1000=$A6)*('Form responses 1'!$A$2:$A1000&lt;=EOMONTH(DATEVALUE("1 "&amp;AC$1),0)))+
  SUMPRODUCT(('Form responses 1'!$F$2:$F1000=$A6)*('Form responses 1'!$A$2:$A1000&lt;=EOMONTH(DATEVALUE("1 "&amp;AC$1),0)))+
  SUMPRODUCT(('Form responses 1'!$G$2:$G1000=$A6)*('Form responses 1'!$A$2:$A1000&lt;=EOMONTH(DATEVALUE("1 "&amp;AC$1),0)))
),2),"-")</f>
        <v>10</v>
      </c>
      <c r="AD6" s="2" t="str">
        <f>IFERROR(ROUND(Data!$B6/(
  SUMPRODUCT(('Form responses 1'!$B$2:$B1000=$A6)*('Form responses 1'!$A$2:$A1000&lt;=EOMONTH(DATEVALUE("1 "&amp;AD$1),0)))+
  SUMPRODUCT(('Form responses 1'!$C$2:$C1000=$A6)*('Form responses 1'!$A$2:$A1000&lt;=EOMONTH(DATEVALUE("1 "&amp;AD$1),0)))+
  SUMPRODUCT(('Form responses 1'!$D$2:$D1000=$A6)*('Form responses 1'!$A$2:$A1000&lt;=EOMONTH(DATEVALUE("1 "&amp;AD$1),0)))+
  SUMPRODUCT(('Form responses 1'!$E$2:$E1000=$A6)*('Form responses 1'!$A$2:$A1000&lt;=EOMONTH(DATEVALUE("1 "&amp;AD$1),0)))+
  SUMPRODUCT(('Form responses 1'!$F$2:$F1000=$A6)*('Form responses 1'!$A$2:$A1000&lt;=EOMONTH(DATEVALUE("1 "&amp;AD$1),0)))+
  SUMPRODUCT(('Form responses 1'!$G$2:$G1000=$A6)*('Form responses 1'!$A$2:$A1000&lt;=EOMONTH(DATEVALUE("1 "&amp;AD$1),0)))
),2),"-")</f>
        <v>-</v>
      </c>
      <c r="AE6" s="2" t="str">
        <f>IFERROR(ROUND(Data!$B6/(
  SUMPRODUCT(('Form responses 1'!$B$2:$B1000=$A6)*('Form responses 1'!$A$2:$A1000&lt;=EOMONTH(DATEVALUE("1 "&amp;AE$1),0)))+
  SUMPRODUCT(('Form responses 1'!$C$2:$C1000=$A6)*('Form responses 1'!$A$2:$A1000&lt;=EOMONTH(DATEVALUE("1 "&amp;AE$1),0)))+
  SUMPRODUCT(('Form responses 1'!$D$2:$D1000=$A6)*('Form responses 1'!$A$2:$A1000&lt;=EOMONTH(DATEVALUE("1 "&amp;AE$1),0)))+
  SUMPRODUCT(('Form responses 1'!$E$2:$E1000=$A6)*('Form responses 1'!$A$2:$A1000&lt;=EOMONTH(DATEVALUE("1 "&amp;AE$1),0)))+
  SUMPRODUCT(('Form responses 1'!$F$2:$F1000=$A6)*('Form responses 1'!$A$2:$A1000&lt;=EOMONTH(DATEVALUE("1 "&amp;AE$1),0)))+
  SUMPRODUCT(('Form responses 1'!$G$2:$G1000=$A6)*('Form responses 1'!$A$2:$A1000&lt;=EOMONTH(DATEVALUE("1 "&amp;AE$1),0)))
),2),"-")</f>
        <v>-</v>
      </c>
      <c r="AF6" s="2" t="str">
        <f>IFERROR(ROUND(Data!$B6/(
  SUMPRODUCT(('Form responses 1'!$B$2:$B1000=$A6)*('Form responses 1'!$A$2:$A1000&lt;=EOMONTH(DATEVALUE("1 "&amp;AF$1),0)))+
  SUMPRODUCT(('Form responses 1'!$C$2:$C1000=$A6)*('Form responses 1'!$A$2:$A1000&lt;=EOMONTH(DATEVALUE("1 "&amp;AF$1),0)))+
  SUMPRODUCT(('Form responses 1'!$D$2:$D1000=$A6)*('Form responses 1'!$A$2:$A1000&lt;=EOMONTH(DATEVALUE("1 "&amp;AF$1),0)))+
  SUMPRODUCT(('Form responses 1'!$E$2:$E1000=$A6)*('Form responses 1'!$A$2:$A1000&lt;=EOMONTH(DATEVALUE("1 "&amp;AF$1),0)))+
  SUMPRODUCT(('Form responses 1'!$F$2:$F1000=$A6)*('Form responses 1'!$A$2:$A1000&lt;=EOMONTH(DATEVALUE("1 "&amp;AF$1),0)))+
  SUMPRODUCT(('Form responses 1'!$G$2:$G1000=$A6)*('Form responses 1'!$A$2:$A1000&lt;=EOMONTH(DATEVALUE("1 "&amp;AF$1),0)))
),2),"-")</f>
        <v>-</v>
      </c>
      <c r="AG6" s="2" t="str">
        <f>IFERROR(ROUND(Data!$B6/(
  SUMPRODUCT(('Form responses 1'!$B$2:$B1000=$A6)*('Form responses 1'!$A$2:$A1000&lt;=EOMONTH(DATEVALUE("1 "&amp;AG$1),0)))+
  SUMPRODUCT(('Form responses 1'!$C$2:$C1000=$A6)*('Form responses 1'!$A$2:$A1000&lt;=EOMONTH(DATEVALUE("1 "&amp;AG$1),0)))+
  SUMPRODUCT(('Form responses 1'!$D$2:$D1000=$A6)*('Form responses 1'!$A$2:$A1000&lt;=EOMONTH(DATEVALUE("1 "&amp;AG$1),0)))+
  SUMPRODUCT(('Form responses 1'!$E$2:$E1000=$A6)*('Form responses 1'!$A$2:$A1000&lt;=EOMONTH(DATEVALUE("1 "&amp;AG$1),0)))+
  SUMPRODUCT(('Form responses 1'!$F$2:$F1000=$A6)*('Form responses 1'!$A$2:$A1000&lt;=EOMONTH(DATEVALUE("1 "&amp;AG$1),0)))+
  SUMPRODUCT(('Form responses 1'!$G$2:$G1000=$A6)*('Form responses 1'!$A$2:$A1000&lt;=EOMONTH(DATEVALUE("1 "&amp;AG$1),0)))
),2),"-")</f>
        <v>-</v>
      </c>
      <c r="AH6" s="2" t="str">
        <f>IFERROR(ROUND(Data!$B6/(
  SUMPRODUCT(('Form responses 1'!$B$2:$B1000=$A6)*('Form responses 1'!$A$2:$A1000&lt;=EOMONTH(DATEVALUE("1 "&amp;AH$1),0)))+
  SUMPRODUCT(('Form responses 1'!$C$2:$C1000=$A6)*('Form responses 1'!$A$2:$A1000&lt;=EOMONTH(DATEVALUE("1 "&amp;AH$1),0)))+
  SUMPRODUCT(('Form responses 1'!$D$2:$D1000=$A6)*('Form responses 1'!$A$2:$A1000&lt;=EOMONTH(DATEVALUE("1 "&amp;AH$1),0)))+
  SUMPRODUCT(('Form responses 1'!$E$2:$E1000=$A6)*('Form responses 1'!$A$2:$A1000&lt;=EOMONTH(DATEVALUE("1 "&amp;AH$1),0)))+
  SUMPRODUCT(('Form responses 1'!$F$2:$F1000=$A6)*('Form responses 1'!$A$2:$A1000&lt;=EOMONTH(DATEVALUE("1 "&amp;AH$1),0)))+
  SUMPRODUCT(('Form responses 1'!$G$2:$G1000=$A6)*('Form responses 1'!$A$2:$A1000&lt;=EOMONTH(DATEVALUE("1 "&amp;AH$1),0)))
),2),"-")</f>
        <v>-</v>
      </c>
      <c r="AI6" s="2" t="str">
        <f>IFERROR(ROUND(Data!$B6/(
  SUMPRODUCT(('Form responses 1'!$B$2:$B1000=$A6)*('Form responses 1'!$A$2:$A1000&lt;=EOMONTH(DATEVALUE("1 "&amp;AI$1),0)))+
  SUMPRODUCT(('Form responses 1'!$C$2:$C1000=$A6)*('Form responses 1'!$A$2:$A1000&lt;=EOMONTH(DATEVALUE("1 "&amp;AI$1),0)))+
  SUMPRODUCT(('Form responses 1'!$D$2:$D1000=$A6)*('Form responses 1'!$A$2:$A1000&lt;=EOMONTH(DATEVALUE("1 "&amp;AI$1),0)))+
  SUMPRODUCT(('Form responses 1'!$E$2:$E1000=$A6)*('Form responses 1'!$A$2:$A1000&lt;=EOMONTH(DATEVALUE("1 "&amp;AI$1),0)))+
  SUMPRODUCT(('Form responses 1'!$F$2:$F1000=$A6)*('Form responses 1'!$A$2:$A1000&lt;=EOMONTH(DATEVALUE("1 "&amp;AI$1),0)))+
  SUMPRODUCT(('Form responses 1'!$G$2:$G1000=$A6)*('Form responses 1'!$A$2:$A1000&lt;=EOMONTH(DATEVALUE("1 "&amp;AI$1),0)))
),2),"-")</f>
        <v>-</v>
      </c>
      <c r="AJ6" s="2" t="str">
        <f>IFERROR(ROUND(Data!$B6/(
  SUMPRODUCT(('Form responses 1'!$B$2:$B1000=$A6)*('Form responses 1'!$A$2:$A1000&lt;=EOMONTH(DATEVALUE("1 "&amp;AJ$1),0)))+
  SUMPRODUCT(('Form responses 1'!$C$2:$C1000=$A6)*('Form responses 1'!$A$2:$A1000&lt;=EOMONTH(DATEVALUE("1 "&amp;AJ$1),0)))+
  SUMPRODUCT(('Form responses 1'!$D$2:$D1000=$A6)*('Form responses 1'!$A$2:$A1000&lt;=EOMONTH(DATEVALUE("1 "&amp;AJ$1),0)))+
  SUMPRODUCT(('Form responses 1'!$E$2:$E1000=$A6)*('Form responses 1'!$A$2:$A1000&lt;=EOMONTH(DATEVALUE("1 "&amp;AJ$1),0)))+
  SUMPRODUCT(('Form responses 1'!$F$2:$F1000=$A6)*('Form responses 1'!$A$2:$A1000&lt;=EOMONTH(DATEVALUE("1 "&amp;AJ$1),0)))+
  SUMPRODUCT(('Form responses 1'!$G$2:$G1000=$A6)*('Form responses 1'!$A$2:$A1000&lt;=EOMONTH(DATEVALUE("1 "&amp;AJ$1),0)))
),2),"-")</f>
        <v>-</v>
      </c>
      <c r="AK6" s="2" t="str">
        <f>IFERROR(ROUND(Data!$B6/(
  SUMPRODUCT(('Form responses 1'!$B$2:$B1000=$A6)*('Form responses 1'!$A$2:$A1000&lt;=EOMONTH(DATEVALUE("1 "&amp;AK$1),0)))+
  SUMPRODUCT(('Form responses 1'!$C$2:$C1000=$A6)*('Form responses 1'!$A$2:$A1000&lt;=EOMONTH(DATEVALUE("1 "&amp;AK$1),0)))+
  SUMPRODUCT(('Form responses 1'!$D$2:$D1000=$A6)*('Form responses 1'!$A$2:$A1000&lt;=EOMONTH(DATEVALUE("1 "&amp;AK$1),0)))+
  SUMPRODUCT(('Form responses 1'!$E$2:$E1000=$A6)*('Form responses 1'!$A$2:$A1000&lt;=EOMONTH(DATEVALUE("1 "&amp;AK$1),0)))+
  SUMPRODUCT(('Form responses 1'!$F$2:$F1000=$A6)*('Form responses 1'!$A$2:$A1000&lt;=EOMONTH(DATEVALUE("1 "&amp;AK$1),0)))+
  SUMPRODUCT(('Form responses 1'!$G$2:$G1000=$A6)*('Form responses 1'!$A$2:$A1000&lt;=EOMONTH(DATEVALUE("1 "&amp;AK$1),0)))
),2),"-")</f>
        <v>-</v>
      </c>
      <c r="AL6" s="2" t="str">
        <f>IFERROR(ROUND(Data!$B6/(
  SUMPRODUCT(('Form responses 1'!$B$2:$B1000=$A6)*('Form responses 1'!$A$2:$A1000&lt;=EOMONTH(DATEVALUE("1 "&amp;AL$1),0)))+
  SUMPRODUCT(('Form responses 1'!$C$2:$C1000=$A6)*('Form responses 1'!$A$2:$A1000&lt;=EOMONTH(DATEVALUE("1 "&amp;AL$1),0)))+
  SUMPRODUCT(('Form responses 1'!$D$2:$D1000=$A6)*('Form responses 1'!$A$2:$A1000&lt;=EOMONTH(DATEVALUE("1 "&amp;AL$1),0)))+
  SUMPRODUCT(('Form responses 1'!$E$2:$E1000=$A6)*('Form responses 1'!$A$2:$A1000&lt;=EOMONTH(DATEVALUE("1 "&amp;AL$1),0)))+
  SUMPRODUCT(('Form responses 1'!$F$2:$F1000=$A6)*('Form responses 1'!$A$2:$A1000&lt;=EOMONTH(DATEVALUE("1 "&amp;AL$1),0)))+
  SUMPRODUCT(('Form responses 1'!$G$2:$G1000=$A6)*('Form responses 1'!$A$2:$A1000&lt;=EOMONTH(DATEVALUE("1 "&amp;AL$1),0)))
),2),"-")</f>
        <v>-</v>
      </c>
    </row>
    <row r="7">
      <c r="A7" s="6" t="str">
        <f>IFERROR(__xludf.DUMMYFUNCTION("""COMPUTED_VALUE"""),"Blauwe linnen broek")</f>
        <v>Blauwe linnen broek</v>
      </c>
      <c r="B7" s="2">
        <f>Data!F7:F1000</f>
        <v>0.76</v>
      </c>
      <c r="C7" s="2">
        <f>IFERROR(ROUND(Data!B7/(SUMPRODUCT(('Form responses 1'!$B$2:$B1000 = A7) * ('Form responses 1'!$A$2:$A1000 &lt;= DATE(2024, 1, 31)))
+ SUMPRODUCT(('Form responses 1'!$C$2:$C1000 = A7) * ('Form responses 1'!$A$2:$A1000 &lt;= DATE(2024, 1, 31)))
+ SUMPRODUCT(('Form responses 1'!$D$2:$D1000 = A7) * ('Form responses 1'!$A$2:$A1000 &lt;= DATE(2024, 1, 31)))
+ SUMPRODUCT(('Form responses 1'!$E$2:$E1000 = A7) * ('Form responses 1'!$A$2:$A1000 &lt;= DATE(2024, 1, 31)))
+ SUMPRODUCT(('Form responses 1'!$F$2:$F1000 = A7) * ('Form responses 1'!$A$2:$A1000 &lt;= DATE(2024, 1, 31)))
+ SUMPRODUCT(('Form responses 1'!$G$2:$G1000 = A7) * ('Form responses 1'!$A$2:$A1000 &lt;= DATE(2024, 1, 31)))), 2), "-")
</f>
        <v>7.13</v>
      </c>
      <c r="D7" s="2">
        <f>IFERROR(ROUND(Data!B7/(SUMPRODUCT(('Form responses 1'!$B$2:$B1000 = A7) * ('Form responses 1'!$A$2:$A1000 &lt;= DATE(2024, 2, 29)))
+ SUMPRODUCT(('Form responses 1'!$C$2:$C1000 = A7) * ('Form responses 1'!$A$2:$A1000 &lt;= DATE(2024, 2, 29)))
+ SUMPRODUCT(('Form responses 1'!$D$2:$D1000 = A7) * ('Form responses 1'!$A$2:$A1000 &lt;= DATE(2024, 2, 29)))
+ SUMPRODUCT(('Form responses 1'!$E$2:$E1000 = A7) * ('Form responses 1'!$A$2:$A1000 &lt;= DATE(2024, 2, 29)))
+ SUMPRODUCT(('Form responses 1'!$F$2:$F1000 = A7) * ('Form responses 1'!$A$2:$A1000 &lt;= DATE(2024, 2, 29)))
+ SUMPRODUCT(('Form responses 1'!$G$2:$G1000 = A7) * ('Form responses 1'!$A$2:$A1000 &lt;= DATE(2024, 2, 29)))), 2), "-")
</f>
        <v>7.13</v>
      </c>
      <c r="E7" s="2">
        <f>IFERROR(ROUND(Data!B7/(SUMPRODUCT(('Form responses 1'!$B$2:$B1000 = A7) * ('Form responses 1'!$A$2:$A1000 &lt;= DATE(2024, 3, 31)))
+ SUMPRODUCT(('Form responses 1'!$C$2:$C1000 = A7) * ('Form responses 1'!$A$2:$A1000 &lt;= DATE(2024, 3, 31)))
+ SUMPRODUCT(('Form responses 1'!$D$2:$D1000 = A7) * ('Form responses 1'!$A$2:$A1000 &lt;= DATE(2024, 3, 31)))
+ SUMPRODUCT(('Form responses 1'!$E$2:$E1000 = A7) * ('Form responses 1'!$A$2:$A1000 &lt;= DATE(2024, 3, 31)))
+ SUMPRODUCT(('Form responses 1'!$F$2:$F1000 = A7) * ('Form responses 1'!$A$2:$A1000 &lt;= DATE(2024, 3, 31)))
+ SUMPRODUCT(('Form responses 1'!$G$2:$G1000 = A7) * ('Form responses 1'!$A$2:$A1000 &lt;= DATE(2024, 3, 31)))), 2), "-")
</f>
        <v>7.13</v>
      </c>
      <c r="F7" s="2">
        <f>IFERROR(ROUND(Data!B7/(SUMPRODUCT(('Form responses 1'!$B$2:$B1000 = A7) * ('Form responses 1'!$A$2:$A1000 &lt;= DATE(2024, 4, 30)))
+ SUMPRODUCT(('Form responses 1'!$C$2:$C1000 = A7) * ('Form responses 1'!$A$2:$A1000 &lt;= DATE(2024, 4, 30)))
+ SUMPRODUCT(('Form responses 1'!$D$2:$D1000 = A7) * ('Form responses 1'!$A$2:$A1000 &lt;= DATE(2024, 4, 30)))
+ SUMPRODUCT(('Form responses 1'!$E$2:$E1000 = A7) * ('Form responses 1'!$A$2:$A1000 &lt;= DATE(2024, 4, 30)))
+ SUMPRODUCT(('Form responses 1'!$F$2:$F1000 = A7) * ('Form responses 1'!$A$2:$A1000 &lt;= DATE(2024, 4, 30)))
+ SUMPRODUCT(('Form responses 1'!$G$2:$G1000 = A7) * ('Form responses 1'!$A$2:$A1000 &lt;= DATE(2024, 4, 30)))), 2), "-")
</f>
        <v>6.24</v>
      </c>
      <c r="G7" s="2">
        <f>IFERROR(ROUND(Data!B7/(SUMPRODUCT(('Form responses 1'!$B$2:$B1000 = A7) * ('Form responses 1'!$A$2:$A1000 &lt;= DATE(2024, 5, 31)))
+ SUMPRODUCT(('Form responses 1'!$C$2:$C1000 = A7) * ('Form responses 1'!$A$2:$A1000 &lt;= DATE(2024, 5, 31)))
+ SUMPRODUCT(('Form responses 1'!$D$2:$D1000 = A7) * ('Form responses 1'!$A$2:$A1000 &lt;= DATE(2024, 5, 31)))
+ SUMPRODUCT(('Form responses 1'!$E$2:$E1000 = A7) * ('Form responses 1'!$A$2:$A1000 &lt;= DATE(2024, 5, 31)))
+ SUMPRODUCT(('Form responses 1'!$F$2:$F1000 = A7) * ('Form responses 1'!$A$2:$A1000 &lt;= DATE(2024, 5, 31)))
+ SUMPRODUCT(('Form responses 1'!$G$2:$G1000 = A7) * ('Form responses 1'!$A$2:$A1000 &lt;= DATE(2024, 5, 31)))), 2), "-")
</f>
        <v>3.33</v>
      </c>
      <c r="H7" s="2">
        <f>IFERROR(ROUND(Data!B7/(SUMPRODUCT(('Form responses 1'!$B$2:$B1000 = A7) * ('Form responses 1'!$A$2:$A1000 &lt;= DATE(2024, 6, 30)))
+ SUMPRODUCT(('Form responses 1'!$C$2:$C1000 = A7) * ('Form responses 1'!$A$2:$A1000 &lt;= DATE(2024, 6, 30)))
+ SUMPRODUCT(('Form responses 1'!$D$2:$D1000 = A7) * ('Form responses 1'!$A$2:$A1000 &lt;= DATE(2024, 6, 30)))
+ SUMPRODUCT(('Form responses 1'!$E$2:$E1000 = A7) * ('Form responses 1'!$A$2:$A1000 &lt;= DATE(2024, 6, 30)))
+ SUMPRODUCT(('Form responses 1'!$F$2:$F1000 = A7) * ('Form responses 1'!$A$2:$A1000 &lt;= DATE(2024, 6, 30)))
+ SUMPRODUCT(('Form responses 1'!$G$2:$G1000 = A7) * ('Form responses 1'!$A$2:$A1000 &lt;= DATE(2024, 6, 30)))), 2), "-")
</f>
        <v>3.12</v>
      </c>
      <c r="I7" s="2">
        <f>IFERROR(ROUND(Data!B7/(SUMPRODUCT(('Form responses 1'!$B$2:$B1000 = A7) * ('Form responses 1'!$A$2:$A1000 &lt;= DATE(2024, 7, 31)))
+ SUMPRODUCT(('Form responses 1'!$C$2:$C1000 = A7) * ('Form responses 1'!$A$2:$A1000 &lt;= DATE(2024, 7, 31)))
+ SUMPRODUCT(('Form responses 1'!$D$2:$D1000 = A7) * ('Form responses 1'!$A$2:$A1000 &lt;= DATE(2024, 7, 31)))
+ SUMPRODUCT(('Form responses 1'!$E$2:$E1000 = A7) * ('Form responses 1'!$A$2:$A1000 &lt;= DATE(2024, 7, 31)))
+ SUMPRODUCT(('Form responses 1'!$F$2:$F1000 = A7) * ('Form responses 1'!$A$2:$A1000 &lt;= DATE(2024, 7, 31)))
+ SUMPRODUCT(('Form responses 1'!$G$2:$G1000 = A7) * ('Form responses 1'!$A$2:$A1000 &lt;= DATE(2024, 7, 31)))), 2), "-")
</f>
        <v>2.27</v>
      </c>
      <c r="J7" s="2">
        <f>IFERROR(ROUND(Data!B7/(SUMPRODUCT(('Form responses 1'!$B$2:$B1000 = A7) * ('Form responses 1'!$A$2:$A1000 &lt;= DATE(2024, 8, 31)))
+ SUMPRODUCT(('Form responses 1'!$C$2:$C1000 = A7) * ('Form responses 1'!$A$2:$A1000 &lt;= DATE(2024, 8, 31)))
+ SUMPRODUCT(('Form responses 1'!$D$2:$D1000 = A7) * ('Form responses 1'!$A$2:$A1000 &lt;= DATE(2024, 8, 31)))
+ SUMPRODUCT(('Form responses 1'!$E$2:$E1000 = A7) * ('Form responses 1'!$A$2:$A1000 &lt;= DATE(2024, 8, 31)))
+ SUMPRODUCT(('Form responses 1'!$F$2:$F1000 = A7) * ('Form responses 1'!$A$2:$A1000 &lt;= DATE(2024, 8, 31)))
+ SUMPRODUCT(('Form responses 1'!$G$2:$G1000 = A7) * ('Form responses 1'!$A$2:$A1000 &lt;= DATE(2024, 8, 31)))), 2), "-")
</f>
        <v>1.66</v>
      </c>
      <c r="K7" s="2">
        <f>IFERROR(ROUND(Data!B7/(SUMPRODUCT(('Form responses 1'!$B$2:$B1000 = A7) * ('Form responses 1'!$A$2:$A1000 &lt;= DATE(2024, 9, 30)))
+ SUMPRODUCT(('Form responses 1'!$C$2:$C1000 = A7) * ('Form responses 1'!$A$2:$A1000 &lt;= DATE(2024, 9, 30)))
+ SUMPRODUCT(('Form responses 1'!$D$2:$D1000 = A7) * ('Form responses 1'!$A$2:$A1000 &lt;= DATE(2024, 9, 30)))
+ SUMPRODUCT(('Form responses 1'!$E$2:$E1000 = A7) * ('Form responses 1'!$A$2:$A1000 &lt;= DATE(2024, 9, 30)))
+ SUMPRODUCT(('Form responses 1'!$F$2:$F1000 = A7) * ('Form responses 1'!$A$2:$A1000 &lt;= DATE(2024, 9, 30)))
+ SUMPRODUCT(('Form responses 1'!$G$2:$G1000 = A7) * ('Form responses 1'!$A$2:$A1000 &lt;= DATE(2024, 9, 30)))), 2), "-")
</f>
        <v>1.56</v>
      </c>
      <c r="L7" s="2">
        <f>IFERROR(ROUND(Data!B7/(SUMPRODUCT(('Form responses 1'!$B$2:$B1000 = A7) * ('Form responses 1'!$A$2:$A1000 &lt;= DATE(2024, 10, 31)))
+ SUMPRODUCT(('Form responses 1'!$C$2:$C1000 = A7) * ('Form responses 1'!$A$2:$A1000 &lt;= DATE(2024, 10, 31)))
+ SUMPRODUCT(('Form responses 1'!$D$2:$D1000 = A7) * ('Form responses 1'!$A$2:$A1000 &lt;= DATE(2024, 10, 31)))
+ SUMPRODUCT(('Form responses 1'!$E$2:$E1000 = A7) * ('Form responses 1'!$A$2:$A1000 &lt;= DATE(2024, 10, 31)))
+ SUMPRODUCT(('Form responses 1'!$F$2:$F1000 = A7) * ('Form responses 1'!$A$2:$A1000 &lt;= DATE(2024, 10, 31)))
+ SUMPRODUCT(('Form responses 1'!$G$2:$G1000 = A7) * ('Form responses 1'!$A$2:$A1000 &lt;= DATE(2024, 10, 31)))), 2), "-")
</f>
        <v>1.43</v>
      </c>
      <c r="M7" s="2">
        <f>IFERROR(ROUND(Data!B7/(SUMPRODUCT(('Form responses 1'!$B$2:$B1000 = A7) * ('Form responses 1'!$A$2:$A1000 &lt;= DATE(2024, 11, 30)))
+ SUMPRODUCT(('Form responses 1'!$C$2:$C1000 = A7) * ('Form responses 1'!$A$2:$A1000 &lt;= DATE(2024, 11, 30)))
+ SUMPRODUCT(('Form responses 1'!$D$2:$D1000 = A7) * ('Form responses 1'!$A$2:$A1000 &lt;= DATE(2024, 11, 30)))
+ SUMPRODUCT(('Form responses 1'!$E$2:$E1000 = A7) * ('Form responses 1'!$A$2:$A1000 &lt;= DATE(2024, 11, 30)))
+ SUMPRODUCT(('Form responses 1'!$F$2:$F1000 = A7) * ('Form responses 1'!$A$2:$A1000 &lt;= DATE(2024, 11, 30)))
+ SUMPRODUCT(('Form responses 1'!$G$2:$G1000 = A7) * ('Form responses 1'!$A$2:$A1000 &lt;= DATE(2024, 11, 30)))), 2), "-")
</f>
        <v>1.43</v>
      </c>
      <c r="N7" s="2">
        <f>IFERROR(ROUND(Data!B7/(SUMPRODUCT(('Form responses 1'!$B$2:$B1000 = A7) * ('Form responses 1'!$A$2:$A1000 &lt;= DATE(2024, 12, 31)))
+ SUMPRODUCT(('Form responses 1'!$C$2:$C1000 = A7) * ('Form responses 1'!$A$2:$A1000 &lt;= DATE(2024, 12, 31)))
+ SUMPRODUCT(('Form responses 1'!$D$2:$D1000 = A7) * ('Form responses 1'!$A$2:$A1000 &lt;= DATE(2024, 12, 31)))
+ SUMPRODUCT(('Form responses 1'!$E$2:$E1000 = A7) * ('Form responses 1'!$A$2:$A1000 &lt;= DATE(2024, 12, 31)))
+ SUMPRODUCT(('Form responses 1'!$F$2:$F1000 = A7) * ('Form responses 1'!$A$2:$A1000 &lt;= DATE(2024, 12, 31)))
+ SUMPRODUCT(('Form responses 1'!$G$2:$G1000 = A7) * ('Form responses 1'!$A$2:$A1000 &lt;= DATE(2024, 12, 31)))), 2), "-")
</f>
        <v>1.43</v>
      </c>
      <c r="O7" s="2">
        <f>IFERROR(ROUND(Data!B7/(SUMPRODUCT(('Form responses 1'!$B$2:$B1000 = A7) * ('Form responses 1'!$A$2:$A1000 &lt;= DATE(2025, 1, 31)))
+ SUMPRODUCT(('Form responses 1'!$C$2:$C1000 = A7) * ('Form responses 1'!$A$2:$A1000 &lt;= DATE(2025, 1, 31)))
+ SUMPRODUCT(('Form responses 1'!$D$2:$D1000 = A7) * ('Form responses 1'!$A$2:$A1000 &lt;= DATE(2025, 1, 31)))
+ SUMPRODUCT(('Form responses 1'!$E$2:$E1000 = A7) * ('Form responses 1'!$A$2:$A1000 &lt;= DATE(2025, 1, 31)))
+ SUMPRODUCT(('Form responses 1'!$F$2:$F1000 = A7) * ('Form responses 1'!$A$2:$A1000 &lt;= DATE(2025, 1, 31)))
+ SUMPRODUCT(('Form responses 1'!$G$2:$G1000 = A7) * ('Form responses 1'!$A$2:$A1000 &lt;= DATE(2025, 1, 31)))), 2), "-")
</f>
        <v>1.43</v>
      </c>
      <c r="P7" s="2">
        <f>IFERROR(ROUND(Data!B7/(SUMPRODUCT(('Form responses 1'!$B$2:$B1000 = A7) * ('Form responses 1'!$A$2:$A1000 &lt;= DATE(2025, 2, 28)))
+ SUMPRODUCT(('Form responses 1'!$C$2:$C1000 = A7) * ('Form responses 1'!$A$2:$A1000 &lt;= DATE(2025, 2, 28)))
+ SUMPRODUCT(('Form responses 1'!$D$2:$D1000 = A7) * ('Form responses 1'!$A$2:$A1000 &lt;= DATE(2025, 2, 28)))
+ SUMPRODUCT(('Form responses 1'!$E$2:$E1000 = A7) * ('Form responses 1'!$A$2:$A1000 &lt;= DATE(2025, 2, 28)))
+ SUMPRODUCT(('Form responses 1'!$F$2:$F1000 = A7) * ('Form responses 1'!$A$2:$A1000 &lt;= DATE(2025, 2, 28)))
+ SUMPRODUCT(('Form responses 1'!$G$2:$G1000 = A7) * ('Form responses 1'!$A$2:$A1000 &lt;= DATE(2025, 2, 28)))), 2), "-")
</f>
        <v>1.43</v>
      </c>
      <c r="Q7" s="2">
        <f>IFERROR(ROUND(Data!B7/(SUMPRODUCT(('Form responses 1'!$B$2:$B1000 = A7) * ('Form responses 1'!$A$2:$A1000 &lt;= DATE(2025, 3, 31)))
+ SUMPRODUCT(('Form responses 1'!$C$2:$C1000 = A7) * ('Form responses 1'!$A$2:$A1000 &lt;= DATE(2025, 3, 31)))
+ SUMPRODUCT(('Form responses 1'!$D$2:$D1000 = A7) * ('Form responses 1'!$A$2:$A1000 &lt;= DATE(2025, 3, 31)))
+ SUMPRODUCT(('Form responses 1'!$E$2:$E1000 = A7) * ('Form responses 1'!$A$2:$A1000 &lt;= DATE(2025, 3, 31)))
+ SUMPRODUCT(('Form responses 1'!$F$2:$F1000 = A7) * ('Form responses 1'!$A$2:$A1000 &lt;= DATE(2025, 3, 31)))
+ SUMPRODUCT(('Form responses 1'!$G$2:$G1000 = A7) * ('Form responses 1'!$A$2:$A1000 &lt;= DATE(2025, 3, 31)))),2),"-")</f>
        <v>1.43</v>
      </c>
      <c r="R7" s="2">
        <f>IFERROR(ROUND(Data!B7/(SUMPRODUCT(('Form responses 1'!$B$2:$B1000 = A7) * ('Form responses 1'!$A$2:$A1000 &lt;= DATE(2025, 4, 30)))
+ SUMPRODUCT(('Form responses 1'!$C$2:$C1000 = A7) * ('Form responses 1'!$A$2:$A1000 &lt;= DATE(2025, 4, 30)))
+ SUMPRODUCT(('Form responses 1'!$D$2:$D1000 = A7) * ('Form responses 1'!$A$2:$A1000 &lt;= DATE(2025, 4, 30)))
+ SUMPRODUCT(('Form responses 1'!$E$2:$E1000 = A7) * ('Form responses 1'!$A$2:$A1000 &lt;= DATE(2025, 4, 30)))
+ SUMPRODUCT(('Form responses 1'!$F$2:$F1000 = A7) * ('Form responses 1'!$A$2:$A1000 &lt;= DATE(2025, 4, 30)))
+ SUMPRODUCT(('Form responses 1'!$G$2:$G1000 = A7) * ('Form responses 1'!$A$2:$A1000 &lt;= DATE(2025, 4, 30)))), 2), "-")
</f>
        <v>1.43</v>
      </c>
      <c r="S7" s="2">
        <f>IFERROR(ROUND(Data!B7/(SUMPRODUCT(('Form responses 1'!$B$2:$B1000 = A7) * ('Form responses 1'!$A$2:$A1000 &lt;= DATE(2025, 5, 31)))
+ SUMPRODUCT(('Form responses 1'!$C$2:$C1000 = A7) * ('Form responses 1'!$A$2:$A1000 &lt;= DATE(2025, 5, 31)))
+ SUMPRODUCT(('Form responses 1'!$D$2:$D1000 = A7) * ('Form responses 1'!$A$2:$A1000 &lt;= DATE(2025, 5, 31)))
+ SUMPRODUCT(('Form responses 1'!$E$2:$E1000 = A7) * ('Form responses 1'!$A$2:$A1000 &lt;= DATE(2025, 5, 31)))
+ SUMPRODUCT(('Form responses 1'!$F$2:$F1000 = A7) * ('Form responses 1'!$A$2:$A1000 &lt;= DATE(2025, 5, 31)))
+ SUMPRODUCT(('Form responses 1'!$G$2:$G1000 = A7) * ('Form responses 1'!$A$2:$A1000 &lt;= DATE(2025, 5, 31)))), 2), "-")
</f>
        <v>1.22</v>
      </c>
      <c r="T7" s="2">
        <f>IFERROR(ROUND(Data!B7/(SUMPRODUCT(('Form responses 1'!$B$2:$B1000 = A7) * ('Form responses 1'!$A$2:$A1000 &lt;= DATE(2025, 6, 30)))
+ SUMPRODUCT(('Form responses 1'!$C$2:$C1000 = A7) * ('Form responses 1'!$A$2:$A1000 &lt;= DATE(2025, 6, 30)))
+ SUMPRODUCT(('Form responses 1'!$D$2:$D1000 = A7) * ('Form responses 1'!$A$2:$A1000 &lt;= DATE(2025, 6, 30)))
+ SUMPRODUCT(('Form responses 1'!$E$2:$E1000 = A7) * ('Form responses 1'!$A$2:$A1000 &lt;= DATE(2025, 6, 30)))
+ SUMPRODUCT(('Form responses 1'!$F$2:$F1000 = A7) * ('Form responses 1'!$A$2:$A1000 &lt;= DATE(2025, 6, 30)))
+ SUMPRODUCT(('Form responses 1'!$G$2:$G1000 = A7) * ('Form responses 1'!$A$2:$A1000 &lt;= DATE(2025, 6, 30)))), 2), "-")
</f>
        <v>1.11</v>
      </c>
      <c r="U7" s="2">
        <f>IFERROR(ROUND(Data!B7/(SUMPRODUCT(('Form responses 1'!$B$2:$B1000 = A7) * ('Form responses 1'!$A$2:$A1000 &lt;= DATE(2025, 7, 31)))
+ SUMPRODUCT(('Form responses 1'!$C$2:$C1000 = A7) * ('Form responses 1'!$A$2:$A1000 &lt;= DATE(2025, 7, 31)))
+ SUMPRODUCT(('Form responses 1'!$D$2:$D1000 = A7) * ('Form responses 1'!$A$2:$A1000 &lt;= DATE(2025, 7, 31)))
+ SUMPRODUCT(('Form responses 1'!$E$2:$E1000 = A7) * ('Form responses 1'!$A$2:$A1000 &lt;= DATE(2025, 7, 31)))
+ SUMPRODUCT(('Form responses 1'!$F$2:$F1000 = A7) * ('Form responses 1'!$A$2:$A1000 &lt;= DATE(2025, 7, 31)))
+ SUMPRODUCT(('Form responses 1'!$G$2:$G1000 = A7) * ('Form responses 1'!$A$2:$A1000 &lt;= DATE(2025, 7, 31)))), 2), "-")
</f>
        <v>1.11</v>
      </c>
      <c r="V7" s="2">
        <f>IFERROR(ROUND(Data!B7/(SUMPRODUCT(('Form responses 1'!$B$2:$B1000 = A7) * ('Form responses 1'!$A$2:$A1000 &lt;= DATE(2025, 8, 31)))
+ SUMPRODUCT(('Form responses 1'!$C$2:$C1000 = A7) * ('Form responses 1'!$A$2:$A1000 &lt;= DATE(2025, 8, 31)))
+ SUMPRODUCT(('Form responses 1'!$D$2:$D1000 = A7) * ('Form responses 1'!$A$2:$A1000 &lt;= DATE(2025, 8, 31)))
+ SUMPRODUCT(('Form responses 1'!$E$2:$E1000 = A7) * ('Form responses 1'!$A$2:$A1000 &lt;= DATE(2025, 8, 31)))
+ SUMPRODUCT(('Form responses 1'!$F$2:$F1000 = A7) * ('Form responses 1'!$A$2:$A1000 &lt;= DATE(2025, 8, 31)))
+ SUMPRODUCT(('Form responses 1'!$G$2:$G1000 = A7) * ('Form responses 1'!$A$2:$A1000 &lt;= DATE(2025, 8, 31)))), 2), "-")
</f>
        <v>1.11</v>
      </c>
      <c r="W7" s="2">
        <f>IFERROR(ROUND(Data!B7/(SUMPRODUCT(('Form responses 1'!$B$2:$B1000 = A7) * ('Form responses 1'!$A$2:$A1000 &lt;= DATE(2025, 9, 30)))
+ SUMPRODUCT(('Form responses 1'!$C$2:$C1000 = A7) * ('Form responses 1'!$A$2:$A1000 &lt;= DATE(2025, 9, 30)))
+ SUMPRODUCT(('Form responses 1'!$D$2:$D1000 = A7) * ('Form responses 1'!$A$2:$A1000 &lt;= DATE(2025, 9, 30)))
+ SUMPRODUCT(('Form responses 1'!$E$2:$E1000 = A7) * ('Form responses 1'!$A$2:$A1000 &lt;= DATE(2025, 9, 30)))
+ SUMPRODUCT(('Form responses 1'!$F$2:$F1000 = A7) * ('Form responses 1'!$A$2:$A1000 &lt;= DATE(2025, 9, 30)))
+ SUMPRODUCT(('Form responses 1'!$G$2:$G1000 = A7) * ('Form responses 1'!$A$2:$A1000 &lt;= DATE(2025, 9, 30)))), 2), "-")
</f>
        <v>1.11</v>
      </c>
      <c r="X7" s="2">
        <f>IFERROR(ROUND(Data!B7/(SUMPRODUCT(('Form responses 1'!$B$2:$B1000 = A7) * ('Form responses 1'!$A$2:$A1000 &lt;= DATE(2025, 10, 31)))
+ SUMPRODUCT(('Form responses 1'!$C$2:$C1000 = A7) * ('Form responses 1'!$A$2:$A1000 &lt;= DATE(2025, 10, 31)))
+ SUMPRODUCT(('Form responses 1'!$D$2:$D1000 = A7) * ('Form responses 1'!$A$2:$A1000 &lt;= DATE(2025, 10, 31)))
+ SUMPRODUCT(('Form responses 1'!$E$2:$E1000 = A7) * ('Form responses 1'!$A$2:$A1000 &lt;= DATE(2025, 10, 31)))
+ SUMPRODUCT(('Form responses 1'!$F$2:$F1000 = A7) * ('Form responses 1'!$A$2:$A1000 &lt;= DATE(2025, 10, 31)))
+ SUMPRODUCT(('Form responses 1'!$G$2:$G1000 = A7) * ('Form responses 1'!$A$2:$A1000 &lt;= DATE(2025, 10, 31)))), 2), "-")
</f>
        <v>1.11</v>
      </c>
      <c r="Y7" s="2">
        <f>IFERROR(ROUND(Data!B7/(SUMPRODUCT(('Form responses 1'!$B$2:$B1000 = A7) * ('Form responses 1'!$A$2:$A1000 &lt;= DATE(2025, 11, 30)))
+ SUMPRODUCT(('Form responses 1'!$C$2:$C1000 = A7) * ('Form responses 1'!$A$2:$A1000 &lt;= DATE(2025, 11, 30)))
+ SUMPRODUCT(('Form responses 1'!$D$2:$D1000 = A7) * ('Form responses 1'!$A$2:$A1000 &lt;= DATE(2025, 11, 30)))
+ SUMPRODUCT(('Form responses 1'!$E$2:$E1000 = A7) * ('Form responses 1'!$A$2:$A1000 &lt;= DATE(2025, 11, 30)))
+ SUMPRODUCT(('Form responses 1'!$F$2:$F1000 = A7) * ('Form responses 1'!$A$2:$A1000 &lt;= DATE(2025, 11, 30)))
+ SUMPRODUCT(('Form responses 1'!$G$2:$G1000 = A7) * ('Form responses 1'!$A$2:$A1000 &lt;= DATE(2025, 11, 30)))), 2), "-")
</f>
        <v>1.11</v>
      </c>
      <c r="Z7" s="2">
        <f>IFERROR(ROUND(Data!B7/(SUMPRODUCT(('Form responses 1'!$B$2:$B1000 = A7) * ('Form responses 1'!$A$2:$A1000 &lt;= DATE(2025, 12, 31)))
+ SUMPRODUCT(('Form responses 1'!$C$2:$C1000 = A7) * ('Form responses 1'!$A$2:$A1000 &lt;= DATE(2025, 12, 31)))
+ SUMPRODUCT(('Form responses 1'!$D$2:$D1000 = A7) * ('Form responses 1'!$A$2:$A1000 &lt;= DATE(2025, 12, 31)))
+ SUMPRODUCT(('Form responses 1'!$E$2:$E1000 = A7) * ('Form responses 1'!$A$2:$A1000 &lt;= DATE(2025, 12, 31)))
+ SUMPRODUCT(('Form responses 1'!$F$2:$F1000 = A7) * ('Form responses 1'!$A$2:$A1000 &lt;= DATE(2025, 12, 31)))
+ SUMPRODUCT(('Form responses 1'!$G$2:$G1000 = A7) * ('Form responses 1'!$A$2:$A1000 &lt;= DATE(2025, 12, 31)))), 2), "-")
</f>
        <v>1.11</v>
      </c>
      <c r="AA7" s="2">
        <f>IFERROR(ROUND(Data!$B7/(
  SUMPRODUCT(('Form responses 1'!$B$2:$B1000=$A7)*('Form responses 1'!$A$2:$A1000&lt;=EOMONTH(DATEVALUE("1 "&amp;AA$1),0)))+
  SUMPRODUCT(('Form responses 1'!$C$2:$C1000=$A7)*('Form responses 1'!$A$2:$A1000&lt;=EOMONTH(DATEVALUE("1 "&amp;AA$1),0)))+
  SUMPRODUCT(('Form responses 1'!$D$2:$D1000=$A7)*('Form responses 1'!$A$2:$A1000&lt;=EOMONTH(DATEVALUE("1 "&amp;AA$1),0)))+
  SUMPRODUCT(('Form responses 1'!$E$2:$E1000=$A7)*('Form responses 1'!$A$2:$A1000&lt;=EOMONTH(DATEVALUE("1 "&amp;AA$1),0)))+
  SUMPRODUCT(('Form responses 1'!$F$2:$F1000=$A7)*('Form responses 1'!$A$2:$A1000&lt;=EOMONTH(DATEVALUE("1 "&amp;AA$1),0)))+
  SUMPRODUCT(('Form responses 1'!$G$2:$G1000=$A7)*('Form responses 1'!$A$2:$A1000&lt;=EOMONTH(DATEVALUE("1 "&amp;AA$1),0)))
),2),"-")</f>
        <v>1.11</v>
      </c>
      <c r="AB7" s="2">
        <f>IFERROR(ROUND(Data!$B7/(
  SUMPRODUCT(('Form responses 1'!$B$2:$B1000=$A7)*('Form responses 1'!$A$2:$A1000&lt;=EOMONTH(DATEVALUE("1 "&amp;AB$1),0)))+
  SUMPRODUCT(('Form responses 1'!$C$2:$C1000=$A7)*('Form responses 1'!$A$2:$A1000&lt;=EOMONTH(DATEVALUE("1 "&amp;AB$1),0)))+
  SUMPRODUCT(('Form responses 1'!$D$2:$D1000=$A7)*('Form responses 1'!$A$2:$A1000&lt;=EOMONTH(DATEVALUE("1 "&amp;AB$1),0)))+
  SUMPRODUCT(('Form responses 1'!$E$2:$E1000=$A7)*('Form responses 1'!$A$2:$A1000&lt;=EOMONTH(DATEVALUE("1 "&amp;AB$1),0)))+
  SUMPRODUCT(('Form responses 1'!$F$2:$F1000=$A7)*('Form responses 1'!$A$2:$A1000&lt;=EOMONTH(DATEVALUE("1 "&amp;AB$1),0)))+
  SUMPRODUCT(('Form responses 1'!$G$2:$G1000=$A7)*('Form responses 1'!$A$2:$A1000&lt;=EOMONTH(DATEVALUE("1 "&amp;AB$1),0)))
),2),"-")</f>
        <v>1.11</v>
      </c>
      <c r="AC7" s="2">
        <f>IFERROR(ROUND(Data!$B7/(
  SUMPRODUCT(('Form responses 1'!$B$2:$B1000=$A7)*('Form responses 1'!$A$2:$A1000&lt;=EOMONTH(DATEVALUE("1 "&amp;AC$1),0)))+
  SUMPRODUCT(('Form responses 1'!$C$2:$C1000=$A7)*('Form responses 1'!$A$2:$A1000&lt;=EOMONTH(DATEVALUE("1 "&amp;AC$1),0)))+
  SUMPRODUCT(('Form responses 1'!$D$2:$D1000=$A7)*('Form responses 1'!$A$2:$A1000&lt;=EOMONTH(DATEVALUE("1 "&amp;AC$1),0)))+
  SUMPRODUCT(('Form responses 1'!$E$2:$E1000=$A7)*('Form responses 1'!$A$2:$A1000&lt;=EOMONTH(DATEVALUE("1 "&amp;AC$1),0)))+
  SUMPRODUCT(('Form responses 1'!$F$2:$F1000=$A7)*('Form responses 1'!$A$2:$A1000&lt;=EOMONTH(DATEVALUE("1 "&amp;AC$1),0)))+
  SUMPRODUCT(('Form responses 1'!$G$2:$G1000=$A7)*('Form responses 1'!$A$2:$A1000&lt;=EOMONTH(DATEVALUE("1 "&amp;AC$1),0)))
),2),"-")</f>
        <v>1.11</v>
      </c>
      <c r="AD7" s="2" t="str">
        <f>IFERROR(ROUND(Data!$B7/(
  SUMPRODUCT(('Form responses 1'!$B$2:$B1000=$A7)*('Form responses 1'!$A$2:$A1000&lt;=EOMONTH(DATEVALUE("1 "&amp;AD$1),0)))+
  SUMPRODUCT(('Form responses 1'!$C$2:$C1000=$A7)*('Form responses 1'!$A$2:$A1000&lt;=EOMONTH(DATEVALUE("1 "&amp;AD$1),0)))+
  SUMPRODUCT(('Form responses 1'!$D$2:$D1000=$A7)*('Form responses 1'!$A$2:$A1000&lt;=EOMONTH(DATEVALUE("1 "&amp;AD$1),0)))+
  SUMPRODUCT(('Form responses 1'!$E$2:$E1000=$A7)*('Form responses 1'!$A$2:$A1000&lt;=EOMONTH(DATEVALUE("1 "&amp;AD$1),0)))+
  SUMPRODUCT(('Form responses 1'!$F$2:$F1000=$A7)*('Form responses 1'!$A$2:$A1000&lt;=EOMONTH(DATEVALUE("1 "&amp;AD$1),0)))+
  SUMPRODUCT(('Form responses 1'!$G$2:$G1000=$A7)*('Form responses 1'!$A$2:$A1000&lt;=EOMONTH(DATEVALUE("1 "&amp;AD$1),0)))
),2),"-")</f>
        <v>-</v>
      </c>
      <c r="AE7" s="2" t="str">
        <f>IFERROR(ROUND(Data!$B7/(
  SUMPRODUCT(('Form responses 1'!$B$2:$B1000=$A7)*('Form responses 1'!$A$2:$A1000&lt;=EOMONTH(DATEVALUE("1 "&amp;AE$1),0)))+
  SUMPRODUCT(('Form responses 1'!$C$2:$C1000=$A7)*('Form responses 1'!$A$2:$A1000&lt;=EOMONTH(DATEVALUE("1 "&amp;AE$1),0)))+
  SUMPRODUCT(('Form responses 1'!$D$2:$D1000=$A7)*('Form responses 1'!$A$2:$A1000&lt;=EOMONTH(DATEVALUE("1 "&amp;AE$1),0)))+
  SUMPRODUCT(('Form responses 1'!$E$2:$E1000=$A7)*('Form responses 1'!$A$2:$A1000&lt;=EOMONTH(DATEVALUE("1 "&amp;AE$1),0)))+
  SUMPRODUCT(('Form responses 1'!$F$2:$F1000=$A7)*('Form responses 1'!$A$2:$A1000&lt;=EOMONTH(DATEVALUE("1 "&amp;AE$1),0)))+
  SUMPRODUCT(('Form responses 1'!$G$2:$G1000=$A7)*('Form responses 1'!$A$2:$A1000&lt;=EOMONTH(DATEVALUE("1 "&amp;AE$1),0)))
),2),"-")</f>
        <v>-</v>
      </c>
      <c r="AF7" s="2" t="str">
        <f>IFERROR(ROUND(Data!$B7/(
  SUMPRODUCT(('Form responses 1'!$B$2:$B1000=$A7)*('Form responses 1'!$A$2:$A1000&lt;=EOMONTH(DATEVALUE("1 "&amp;AF$1),0)))+
  SUMPRODUCT(('Form responses 1'!$C$2:$C1000=$A7)*('Form responses 1'!$A$2:$A1000&lt;=EOMONTH(DATEVALUE("1 "&amp;AF$1),0)))+
  SUMPRODUCT(('Form responses 1'!$D$2:$D1000=$A7)*('Form responses 1'!$A$2:$A1000&lt;=EOMONTH(DATEVALUE("1 "&amp;AF$1),0)))+
  SUMPRODUCT(('Form responses 1'!$E$2:$E1000=$A7)*('Form responses 1'!$A$2:$A1000&lt;=EOMONTH(DATEVALUE("1 "&amp;AF$1),0)))+
  SUMPRODUCT(('Form responses 1'!$F$2:$F1000=$A7)*('Form responses 1'!$A$2:$A1000&lt;=EOMONTH(DATEVALUE("1 "&amp;AF$1),0)))+
  SUMPRODUCT(('Form responses 1'!$G$2:$G1000=$A7)*('Form responses 1'!$A$2:$A1000&lt;=EOMONTH(DATEVALUE("1 "&amp;AF$1),0)))
),2),"-")</f>
        <v>-</v>
      </c>
      <c r="AG7" s="2" t="str">
        <f>IFERROR(ROUND(Data!$B7/(
  SUMPRODUCT(('Form responses 1'!$B$2:$B1000=$A7)*('Form responses 1'!$A$2:$A1000&lt;=EOMONTH(DATEVALUE("1 "&amp;AG$1),0)))+
  SUMPRODUCT(('Form responses 1'!$C$2:$C1000=$A7)*('Form responses 1'!$A$2:$A1000&lt;=EOMONTH(DATEVALUE("1 "&amp;AG$1),0)))+
  SUMPRODUCT(('Form responses 1'!$D$2:$D1000=$A7)*('Form responses 1'!$A$2:$A1000&lt;=EOMONTH(DATEVALUE("1 "&amp;AG$1),0)))+
  SUMPRODUCT(('Form responses 1'!$E$2:$E1000=$A7)*('Form responses 1'!$A$2:$A1000&lt;=EOMONTH(DATEVALUE("1 "&amp;AG$1),0)))+
  SUMPRODUCT(('Form responses 1'!$F$2:$F1000=$A7)*('Form responses 1'!$A$2:$A1000&lt;=EOMONTH(DATEVALUE("1 "&amp;AG$1),0)))+
  SUMPRODUCT(('Form responses 1'!$G$2:$G1000=$A7)*('Form responses 1'!$A$2:$A1000&lt;=EOMONTH(DATEVALUE("1 "&amp;AG$1),0)))
),2),"-")</f>
        <v>-</v>
      </c>
      <c r="AH7" s="2" t="str">
        <f>IFERROR(ROUND(Data!$B7/(
  SUMPRODUCT(('Form responses 1'!$B$2:$B1000=$A7)*('Form responses 1'!$A$2:$A1000&lt;=EOMONTH(DATEVALUE("1 "&amp;AH$1),0)))+
  SUMPRODUCT(('Form responses 1'!$C$2:$C1000=$A7)*('Form responses 1'!$A$2:$A1000&lt;=EOMONTH(DATEVALUE("1 "&amp;AH$1),0)))+
  SUMPRODUCT(('Form responses 1'!$D$2:$D1000=$A7)*('Form responses 1'!$A$2:$A1000&lt;=EOMONTH(DATEVALUE("1 "&amp;AH$1),0)))+
  SUMPRODUCT(('Form responses 1'!$E$2:$E1000=$A7)*('Form responses 1'!$A$2:$A1000&lt;=EOMONTH(DATEVALUE("1 "&amp;AH$1),0)))+
  SUMPRODUCT(('Form responses 1'!$F$2:$F1000=$A7)*('Form responses 1'!$A$2:$A1000&lt;=EOMONTH(DATEVALUE("1 "&amp;AH$1),0)))+
  SUMPRODUCT(('Form responses 1'!$G$2:$G1000=$A7)*('Form responses 1'!$A$2:$A1000&lt;=EOMONTH(DATEVALUE("1 "&amp;AH$1),0)))
),2),"-")</f>
        <v>-</v>
      </c>
      <c r="AI7" s="2" t="str">
        <f>IFERROR(ROUND(Data!$B7/(
  SUMPRODUCT(('Form responses 1'!$B$2:$B1000=$A7)*('Form responses 1'!$A$2:$A1000&lt;=EOMONTH(DATEVALUE("1 "&amp;AI$1),0)))+
  SUMPRODUCT(('Form responses 1'!$C$2:$C1000=$A7)*('Form responses 1'!$A$2:$A1000&lt;=EOMONTH(DATEVALUE("1 "&amp;AI$1),0)))+
  SUMPRODUCT(('Form responses 1'!$D$2:$D1000=$A7)*('Form responses 1'!$A$2:$A1000&lt;=EOMONTH(DATEVALUE("1 "&amp;AI$1),0)))+
  SUMPRODUCT(('Form responses 1'!$E$2:$E1000=$A7)*('Form responses 1'!$A$2:$A1000&lt;=EOMONTH(DATEVALUE("1 "&amp;AI$1),0)))+
  SUMPRODUCT(('Form responses 1'!$F$2:$F1000=$A7)*('Form responses 1'!$A$2:$A1000&lt;=EOMONTH(DATEVALUE("1 "&amp;AI$1),0)))+
  SUMPRODUCT(('Form responses 1'!$G$2:$G1000=$A7)*('Form responses 1'!$A$2:$A1000&lt;=EOMONTH(DATEVALUE("1 "&amp;AI$1),0)))
),2),"-")</f>
        <v>-</v>
      </c>
      <c r="AJ7" s="2" t="str">
        <f>IFERROR(ROUND(Data!$B7/(
  SUMPRODUCT(('Form responses 1'!$B$2:$B1000=$A7)*('Form responses 1'!$A$2:$A1000&lt;=EOMONTH(DATEVALUE("1 "&amp;AJ$1),0)))+
  SUMPRODUCT(('Form responses 1'!$C$2:$C1000=$A7)*('Form responses 1'!$A$2:$A1000&lt;=EOMONTH(DATEVALUE("1 "&amp;AJ$1),0)))+
  SUMPRODUCT(('Form responses 1'!$D$2:$D1000=$A7)*('Form responses 1'!$A$2:$A1000&lt;=EOMONTH(DATEVALUE("1 "&amp;AJ$1),0)))+
  SUMPRODUCT(('Form responses 1'!$E$2:$E1000=$A7)*('Form responses 1'!$A$2:$A1000&lt;=EOMONTH(DATEVALUE("1 "&amp;AJ$1),0)))+
  SUMPRODUCT(('Form responses 1'!$F$2:$F1000=$A7)*('Form responses 1'!$A$2:$A1000&lt;=EOMONTH(DATEVALUE("1 "&amp;AJ$1),0)))+
  SUMPRODUCT(('Form responses 1'!$G$2:$G1000=$A7)*('Form responses 1'!$A$2:$A1000&lt;=EOMONTH(DATEVALUE("1 "&amp;AJ$1),0)))
),2),"-")</f>
        <v>-</v>
      </c>
      <c r="AK7" s="2" t="str">
        <f>IFERROR(ROUND(Data!$B7/(
  SUMPRODUCT(('Form responses 1'!$B$2:$B1000=$A7)*('Form responses 1'!$A$2:$A1000&lt;=EOMONTH(DATEVALUE("1 "&amp;AK$1),0)))+
  SUMPRODUCT(('Form responses 1'!$C$2:$C1000=$A7)*('Form responses 1'!$A$2:$A1000&lt;=EOMONTH(DATEVALUE("1 "&amp;AK$1),0)))+
  SUMPRODUCT(('Form responses 1'!$D$2:$D1000=$A7)*('Form responses 1'!$A$2:$A1000&lt;=EOMONTH(DATEVALUE("1 "&amp;AK$1),0)))+
  SUMPRODUCT(('Form responses 1'!$E$2:$E1000=$A7)*('Form responses 1'!$A$2:$A1000&lt;=EOMONTH(DATEVALUE("1 "&amp;AK$1),0)))+
  SUMPRODUCT(('Form responses 1'!$F$2:$F1000=$A7)*('Form responses 1'!$A$2:$A1000&lt;=EOMONTH(DATEVALUE("1 "&amp;AK$1),0)))+
  SUMPRODUCT(('Form responses 1'!$G$2:$G1000=$A7)*('Form responses 1'!$A$2:$A1000&lt;=EOMONTH(DATEVALUE("1 "&amp;AK$1),0)))
),2),"-")</f>
        <v>-</v>
      </c>
      <c r="AL7" s="2" t="str">
        <f>IFERROR(ROUND(Data!$B7/(
  SUMPRODUCT(('Form responses 1'!$B$2:$B1000=$A7)*('Form responses 1'!$A$2:$A1000&lt;=EOMONTH(DATEVALUE("1 "&amp;AL$1),0)))+
  SUMPRODUCT(('Form responses 1'!$C$2:$C1000=$A7)*('Form responses 1'!$A$2:$A1000&lt;=EOMONTH(DATEVALUE("1 "&amp;AL$1),0)))+
  SUMPRODUCT(('Form responses 1'!$D$2:$D1000=$A7)*('Form responses 1'!$A$2:$A1000&lt;=EOMONTH(DATEVALUE("1 "&amp;AL$1),0)))+
  SUMPRODUCT(('Form responses 1'!$E$2:$E1000=$A7)*('Form responses 1'!$A$2:$A1000&lt;=EOMONTH(DATEVALUE("1 "&amp;AL$1),0)))+
  SUMPRODUCT(('Form responses 1'!$F$2:$F1000=$A7)*('Form responses 1'!$A$2:$A1000&lt;=EOMONTH(DATEVALUE("1 "&amp;AL$1),0)))+
  SUMPRODUCT(('Form responses 1'!$G$2:$G1000=$A7)*('Form responses 1'!$A$2:$A1000&lt;=EOMONTH(DATEVALUE("1 "&amp;AL$1),0)))
),2),"-")</f>
        <v>-</v>
      </c>
    </row>
    <row r="8">
      <c r="A8" s="3" t="str">
        <f>IFERROR(__xludf.DUMMYFUNCTION("""COMPUTED_VALUE"""),"Spijkerbroek 20 euro")</f>
        <v>Spijkerbroek 20 euro</v>
      </c>
      <c r="B8" s="2">
        <f>Data!F8:F1000</f>
        <v>0.17</v>
      </c>
      <c r="C8" s="2">
        <f>IFERROR(ROUND(Data!B8/(SUMPRODUCT(('Form responses 1'!$B$2:$B1000 = A8) * ('Form responses 1'!$A$2:$A1000 &lt;= DATE(2024, 1, 31)))
+ SUMPRODUCT(('Form responses 1'!$C$2:$C1000 = A8) * ('Form responses 1'!$A$2:$A1000 &lt;= DATE(2024, 1, 31)))
+ SUMPRODUCT(('Form responses 1'!$D$2:$D1000 = A8) * ('Form responses 1'!$A$2:$A1000 &lt;= DATE(2024, 1, 31)))
+ SUMPRODUCT(('Form responses 1'!$E$2:$E1000 = A8) * ('Form responses 1'!$A$2:$A1000 &lt;= DATE(2024, 1, 31)))
+ SUMPRODUCT(('Form responses 1'!$F$2:$F1000 = A8) * ('Form responses 1'!$A$2:$A1000 &lt;= DATE(2024, 1, 31)))
+ SUMPRODUCT(('Form responses 1'!$G$2:$G1000 = A8) * ('Form responses 1'!$A$2:$A1000 &lt;= DATE(2024, 1, 31)))), 2), "-")
</f>
        <v>0.18</v>
      </c>
      <c r="D8" s="2">
        <f>IFERROR(ROUND(Data!B8/(SUMPRODUCT(('Form responses 1'!$B$2:$B1000 = A8) * ('Form responses 1'!$A$2:$A1000 &lt;= DATE(2024, 2, 29)))
+ SUMPRODUCT(('Form responses 1'!$C$2:$C1000 = A8) * ('Form responses 1'!$A$2:$A1000 &lt;= DATE(2024, 2, 29)))
+ SUMPRODUCT(('Form responses 1'!$D$2:$D1000 = A8) * ('Form responses 1'!$A$2:$A1000 &lt;= DATE(2024, 2, 29)))
+ SUMPRODUCT(('Form responses 1'!$E$2:$E1000 = A8) * ('Form responses 1'!$A$2:$A1000 &lt;= DATE(2024, 2, 29)))
+ SUMPRODUCT(('Form responses 1'!$F$2:$F1000 = A8) * ('Form responses 1'!$A$2:$A1000 &lt;= DATE(2024, 2, 29)))
+ SUMPRODUCT(('Form responses 1'!$G$2:$G1000 = A8) * ('Form responses 1'!$A$2:$A1000 &lt;= DATE(2024, 2, 29)))), 2), "-")
</f>
        <v>0.18</v>
      </c>
      <c r="E8" s="2">
        <f>IFERROR(ROUND(Data!B8/(SUMPRODUCT(('Form responses 1'!$B$2:$B1000 = A8) * ('Form responses 1'!$A$2:$A1000 &lt;= DATE(2024, 3, 31)))
+ SUMPRODUCT(('Form responses 1'!$C$2:$C1000 = A8) * ('Form responses 1'!$A$2:$A1000 &lt;= DATE(2024, 3, 31)))
+ SUMPRODUCT(('Form responses 1'!$D$2:$D1000 = A8) * ('Form responses 1'!$A$2:$A1000 &lt;= DATE(2024, 3, 31)))
+ SUMPRODUCT(('Form responses 1'!$E$2:$E1000 = A8) * ('Form responses 1'!$A$2:$A1000 &lt;= DATE(2024, 3, 31)))
+ SUMPRODUCT(('Form responses 1'!$F$2:$F1000 = A8) * ('Form responses 1'!$A$2:$A1000 &lt;= DATE(2024, 3, 31)))
+ SUMPRODUCT(('Form responses 1'!$G$2:$G1000 = A8) * ('Form responses 1'!$A$2:$A1000 &lt;= DATE(2024, 3, 31)))), 2), "-")
</f>
        <v>0.18</v>
      </c>
      <c r="F8" s="2">
        <f>IFERROR(ROUND(Data!B8/(SUMPRODUCT(('Form responses 1'!$B$2:$B1000 = A8) * ('Form responses 1'!$A$2:$A1000 &lt;= DATE(2024, 4, 30)))
+ SUMPRODUCT(('Form responses 1'!$C$2:$C1000 = A8) * ('Form responses 1'!$A$2:$A1000 &lt;= DATE(2024, 4, 30)))
+ SUMPRODUCT(('Form responses 1'!$D$2:$D1000 = A8) * ('Form responses 1'!$A$2:$A1000 &lt;= DATE(2024, 4, 30)))
+ SUMPRODUCT(('Form responses 1'!$E$2:$E1000 = A8) * ('Form responses 1'!$A$2:$A1000 &lt;= DATE(2024, 4, 30)))
+ SUMPRODUCT(('Form responses 1'!$F$2:$F1000 = A8) * ('Form responses 1'!$A$2:$A1000 &lt;= DATE(2024, 4, 30)))
+ SUMPRODUCT(('Form responses 1'!$G$2:$G1000 = A8) * ('Form responses 1'!$A$2:$A1000 &lt;= DATE(2024, 4, 30)))), 2), "-")
</f>
        <v>0.18</v>
      </c>
      <c r="G8" s="2">
        <f>IFERROR(ROUND(Data!B8/(SUMPRODUCT(('Form responses 1'!$B$2:$B1000 = A8) * ('Form responses 1'!$A$2:$A1000 &lt;= DATE(2024, 5, 31)))
+ SUMPRODUCT(('Form responses 1'!$C$2:$C1000 = A8) * ('Form responses 1'!$A$2:$A1000 &lt;= DATE(2024, 5, 31)))
+ SUMPRODUCT(('Form responses 1'!$D$2:$D1000 = A8) * ('Form responses 1'!$A$2:$A1000 &lt;= DATE(2024, 5, 31)))
+ SUMPRODUCT(('Form responses 1'!$E$2:$E1000 = A8) * ('Form responses 1'!$A$2:$A1000 &lt;= DATE(2024, 5, 31)))
+ SUMPRODUCT(('Form responses 1'!$F$2:$F1000 = A8) * ('Form responses 1'!$A$2:$A1000 &lt;= DATE(2024, 5, 31)))
+ SUMPRODUCT(('Form responses 1'!$G$2:$G1000 = A8) * ('Form responses 1'!$A$2:$A1000 &lt;= DATE(2024, 5, 31)))), 2), "-")
</f>
        <v>0.18</v>
      </c>
      <c r="H8" s="2">
        <f>IFERROR(ROUND(Data!B8/(SUMPRODUCT(('Form responses 1'!$B$2:$B1000 = A8) * ('Form responses 1'!$A$2:$A1000 &lt;= DATE(2024, 6, 30)))
+ SUMPRODUCT(('Form responses 1'!$C$2:$C1000 = A8) * ('Form responses 1'!$A$2:$A1000 &lt;= DATE(2024, 6, 30)))
+ SUMPRODUCT(('Form responses 1'!$D$2:$D1000 = A8) * ('Form responses 1'!$A$2:$A1000 &lt;= DATE(2024, 6, 30)))
+ SUMPRODUCT(('Form responses 1'!$E$2:$E1000 = A8) * ('Form responses 1'!$A$2:$A1000 &lt;= DATE(2024, 6, 30)))
+ SUMPRODUCT(('Form responses 1'!$F$2:$F1000 = A8) * ('Form responses 1'!$A$2:$A1000 &lt;= DATE(2024, 6, 30)))
+ SUMPRODUCT(('Form responses 1'!$G$2:$G1000 = A8) * ('Form responses 1'!$A$2:$A1000 &lt;= DATE(2024, 6, 30)))), 2), "-")
</f>
        <v>0.18</v>
      </c>
      <c r="I8" s="2">
        <f>IFERROR(ROUND(Data!B8/(SUMPRODUCT(('Form responses 1'!$B$2:$B1000 = A8) * ('Form responses 1'!$A$2:$A1000 &lt;= DATE(2024, 7, 31)))
+ SUMPRODUCT(('Form responses 1'!$C$2:$C1000 = A8) * ('Form responses 1'!$A$2:$A1000 &lt;= DATE(2024, 7, 31)))
+ SUMPRODUCT(('Form responses 1'!$D$2:$D1000 = A8) * ('Form responses 1'!$A$2:$A1000 &lt;= DATE(2024, 7, 31)))
+ SUMPRODUCT(('Form responses 1'!$E$2:$E1000 = A8) * ('Form responses 1'!$A$2:$A1000 &lt;= DATE(2024, 7, 31)))
+ SUMPRODUCT(('Form responses 1'!$F$2:$F1000 = A8) * ('Form responses 1'!$A$2:$A1000 &lt;= DATE(2024, 7, 31)))
+ SUMPRODUCT(('Form responses 1'!$G$2:$G1000 = A8) * ('Form responses 1'!$A$2:$A1000 &lt;= DATE(2024, 7, 31)))), 2), "-")
</f>
        <v>0.18</v>
      </c>
      <c r="J8" s="2">
        <f>IFERROR(ROUND(Data!B8/(SUMPRODUCT(('Form responses 1'!$B$2:$B1000 = A8) * ('Form responses 1'!$A$2:$A1000 &lt;= DATE(2024, 8, 31)))
+ SUMPRODUCT(('Form responses 1'!$C$2:$C1000 = A8) * ('Form responses 1'!$A$2:$A1000 &lt;= DATE(2024, 8, 31)))
+ SUMPRODUCT(('Form responses 1'!$D$2:$D1000 = A8) * ('Form responses 1'!$A$2:$A1000 &lt;= DATE(2024, 8, 31)))
+ SUMPRODUCT(('Form responses 1'!$E$2:$E1000 = A8) * ('Form responses 1'!$A$2:$A1000 &lt;= DATE(2024, 8, 31)))
+ SUMPRODUCT(('Form responses 1'!$F$2:$F1000 = A8) * ('Form responses 1'!$A$2:$A1000 &lt;= DATE(2024, 8, 31)))
+ SUMPRODUCT(('Form responses 1'!$G$2:$G1000 = A8) * ('Form responses 1'!$A$2:$A1000 &lt;= DATE(2024, 8, 31)))), 2), "-")
</f>
        <v>0.18</v>
      </c>
      <c r="K8" s="2">
        <f>IFERROR(ROUND(Data!B8/(SUMPRODUCT(('Form responses 1'!$B$2:$B1000 = A8) * ('Form responses 1'!$A$2:$A1000 &lt;= DATE(2024, 9, 30)))
+ SUMPRODUCT(('Form responses 1'!$C$2:$C1000 = A8) * ('Form responses 1'!$A$2:$A1000 &lt;= DATE(2024, 9, 30)))
+ SUMPRODUCT(('Form responses 1'!$D$2:$D1000 = A8) * ('Form responses 1'!$A$2:$A1000 &lt;= DATE(2024, 9, 30)))
+ SUMPRODUCT(('Form responses 1'!$E$2:$E1000 = A8) * ('Form responses 1'!$A$2:$A1000 &lt;= DATE(2024, 9, 30)))
+ SUMPRODUCT(('Form responses 1'!$F$2:$F1000 = A8) * ('Form responses 1'!$A$2:$A1000 &lt;= DATE(2024, 9, 30)))
+ SUMPRODUCT(('Form responses 1'!$G$2:$G1000 = A8) * ('Form responses 1'!$A$2:$A1000 &lt;= DATE(2024, 9, 30)))), 2), "-")
</f>
        <v>0.18</v>
      </c>
      <c r="L8" s="2">
        <f>IFERROR(ROUND(Data!B8/(SUMPRODUCT(('Form responses 1'!$B$2:$B1000 = A8) * ('Form responses 1'!$A$2:$A1000 &lt;= DATE(2024, 10, 31)))
+ SUMPRODUCT(('Form responses 1'!$C$2:$C1000 = A8) * ('Form responses 1'!$A$2:$A1000 &lt;= DATE(2024, 10, 31)))
+ SUMPRODUCT(('Form responses 1'!$D$2:$D1000 = A8) * ('Form responses 1'!$A$2:$A1000 &lt;= DATE(2024, 10, 31)))
+ SUMPRODUCT(('Form responses 1'!$E$2:$E1000 = A8) * ('Form responses 1'!$A$2:$A1000 &lt;= DATE(2024, 10, 31)))
+ SUMPRODUCT(('Form responses 1'!$F$2:$F1000 = A8) * ('Form responses 1'!$A$2:$A1000 &lt;= DATE(2024, 10, 31)))
+ SUMPRODUCT(('Form responses 1'!$G$2:$G1000 = A8) * ('Form responses 1'!$A$2:$A1000 &lt;= DATE(2024, 10, 31)))), 2), "-")
</f>
        <v>0.18</v>
      </c>
      <c r="M8" s="2">
        <f>IFERROR(ROUND(Data!B8/(SUMPRODUCT(('Form responses 1'!$B$2:$B1000 = A8) * ('Form responses 1'!$A$2:$A1000 &lt;= DATE(2024, 11, 30)))
+ SUMPRODUCT(('Form responses 1'!$C$2:$C1000 = A8) * ('Form responses 1'!$A$2:$A1000 &lt;= DATE(2024, 11, 30)))
+ SUMPRODUCT(('Form responses 1'!$D$2:$D1000 = A8) * ('Form responses 1'!$A$2:$A1000 &lt;= DATE(2024, 11, 30)))
+ SUMPRODUCT(('Form responses 1'!$E$2:$E1000 = A8) * ('Form responses 1'!$A$2:$A1000 &lt;= DATE(2024, 11, 30)))
+ SUMPRODUCT(('Form responses 1'!$F$2:$F1000 = A8) * ('Form responses 1'!$A$2:$A1000 &lt;= DATE(2024, 11, 30)))
+ SUMPRODUCT(('Form responses 1'!$G$2:$G1000 = A8) * ('Form responses 1'!$A$2:$A1000 &lt;= DATE(2024, 11, 30)))), 2), "-")
</f>
        <v>0.18</v>
      </c>
      <c r="N8" s="2">
        <f>IFERROR(ROUND(Data!B8/(SUMPRODUCT(('Form responses 1'!$B$2:$B1000 = A8) * ('Form responses 1'!$A$2:$A1000 &lt;= DATE(2024, 12, 31)))
+ SUMPRODUCT(('Form responses 1'!$C$2:$C1000 = A8) * ('Form responses 1'!$A$2:$A1000 &lt;= DATE(2024, 12, 31)))
+ SUMPRODUCT(('Form responses 1'!$D$2:$D1000 = A8) * ('Form responses 1'!$A$2:$A1000 &lt;= DATE(2024, 12, 31)))
+ SUMPRODUCT(('Form responses 1'!$E$2:$E1000 = A8) * ('Form responses 1'!$A$2:$A1000 &lt;= DATE(2024, 12, 31)))
+ SUMPRODUCT(('Form responses 1'!$F$2:$F1000 = A8) * ('Form responses 1'!$A$2:$A1000 &lt;= DATE(2024, 12, 31)))
+ SUMPRODUCT(('Form responses 1'!$G$2:$G1000 = A8) * ('Form responses 1'!$A$2:$A1000 &lt;= DATE(2024, 12, 31)))), 2), "-")
</f>
        <v>0.18</v>
      </c>
      <c r="O8" s="2">
        <f>IFERROR(ROUND(Data!B8/(SUMPRODUCT(('Form responses 1'!$B$2:$B1000 = A8) * ('Form responses 1'!$A$2:$A1000 &lt;= DATE(2025, 1, 31)))
+ SUMPRODUCT(('Form responses 1'!$C$2:$C1000 = A8) * ('Form responses 1'!$A$2:$A1000 &lt;= DATE(2025, 1, 31)))
+ SUMPRODUCT(('Form responses 1'!$D$2:$D1000 = A8) * ('Form responses 1'!$A$2:$A1000 &lt;= DATE(2025, 1, 31)))
+ SUMPRODUCT(('Form responses 1'!$E$2:$E1000 = A8) * ('Form responses 1'!$A$2:$A1000 &lt;= DATE(2025, 1, 31)))
+ SUMPRODUCT(('Form responses 1'!$F$2:$F1000 = A8) * ('Form responses 1'!$A$2:$A1000 &lt;= DATE(2025, 1, 31)))
+ SUMPRODUCT(('Form responses 1'!$G$2:$G1000 = A8) * ('Form responses 1'!$A$2:$A1000 &lt;= DATE(2025, 1, 31)))), 2), "-")
</f>
        <v>0.18</v>
      </c>
      <c r="P8" s="2">
        <f>IFERROR(ROUND(Data!B8/(SUMPRODUCT(('Form responses 1'!$B$2:$B1000 = A8) * ('Form responses 1'!$A$2:$A1000 &lt;= DATE(2025, 2, 28)))
+ SUMPRODUCT(('Form responses 1'!$C$2:$C1000 = A8) * ('Form responses 1'!$A$2:$A1000 &lt;= DATE(2025, 2, 28)))
+ SUMPRODUCT(('Form responses 1'!$D$2:$D1000 = A8) * ('Form responses 1'!$A$2:$A1000 &lt;= DATE(2025, 2, 28)))
+ SUMPRODUCT(('Form responses 1'!$E$2:$E1000 = A8) * ('Form responses 1'!$A$2:$A1000 &lt;= DATE(2025, 2, 28)))
+ SUMPRODUCT(('Form responses 1'!$F$2:$F1000 = A8) * ('Form responses 1'!$A$2:$A1000 &lt;= DATE(2025, 2, 28)))
+ SUMPRODUCT(('Form responses 1'!$G$2:$G1000 = A8) * ('Form responses 1'!$A$2:$A1000 &lt;= DATE(2025, 2, 28)))), 2), "-")
</f>
        <v>0.18</v>
      </c>
      <c r="Q8" s="2">
        <f>IFERROR(ROUND(Data!B8/(SUMPRODUCT(('Form responses 1'!$B$2:$B1000 = A8) * ('Form responses 1'!$A$2:$A1000 &lt;= DATE(2025, 3, 31)))
+ SUMPRODUCT(('Form responses 1'!$C$2:$C1000 = A8) * ('Form responses 1'!$A$2:$A1000 &lt;= DATE(2025, 3, 31)))
+ SUMPRODUCT(('Form responses 1'!$D$2:$D1000 = A8) * ('Form responses 1'!$A$2:$A1000 &lt;= DATE(2025, 3, 31)))
+ SUMPRODUCT(('Form responses 1'!$E$2:$E1000 = A8) * ('Form responses 1'!$A$2:$A1000 &lt;= DATE(2025, 3, 31)))
+ SUMPRODUCT(('Form responses 1'!$F$2:$F1000 = A8) * ('Form responses 1'!$A$2:$A1000 &lt;= DATE(2025, 3, 31)))
+ SUMPRODUCT(('Form responses 1'!$G$2:$G1000 = A8) * ('Form responses 1'!$A$2:$A1000 &lt;= DATE(2025, 3, 31)))),2),"-")</f>
        <v>0.18</v>
      </c>
      <c r="R8" s="2">
        <f>IFERROR(ROUND(Data!B8/(SUMPRODUCT(('Form responses 1'!$B$2:$B1000 = A8) * ('Form responses 1'!$A$2:$A1000 &lt;= DATE(2025, 4, 30)))
+ SUMPRODUCT(('Form responses 1'!$C$2:$C1000 = A8) * ('Form responses 1'!$A$2:$A1000 &lt;= DATE(2025, 4, 30)))
+ SUMPRODUCT(('Form responses 1'!$D$2:$D1000 = A8) * ('Form responses 1'!$A$2:$A1000 &lt;= DATE(2025, 4, 30)))
+ SUMPRODUCT(('Form responses 1'!$E$2:$E1000 = A8) * ('Form responses 1'!$A$2:$A1000 &lt;= DATE(2025, 4, 30)))
+ SUMPRODUCT(('Form responses 1'!$F$2:$F1000 = A8) * ('Form responses 1'!$A$2:$A1000 &lt;= DATE(2025, 4, 30)))
+ SUMPRODUCT(('Form responses 1'!$G$2:$G1000 = A8) * ('Form responses 1'!$A$2:$A1000 &lt;= DATE(2025, 4, 30)))), 2), "-")
</f>
        <v>0.18</v>
      </c>
      <c r="S8" s="2">
        <f>IFERROR(ROUND(Data!B8/(SUMPRODUCT(('Form responses 1'!$B$2:$B1000 = A8) * ('Form responses 1'!$A$2:$A1000 &lt;= DATE(2025, 5, 31)))
+ SUMPRODUCT(('Form responses 1'!$C$2:$C1000 = A8) * ('Form responses 1'!$A$2:$A1000 &lt;= DATE(2025, 5, 31)))
+ SUMPRODUCT(('Form responses 1'!$D$2:$D1000 = A8) * ('Form responses 1'!$A$2:$A1000 &lt;= DATE(2025, 5, 31)))
+ SUMPRODUCT(('Form responses 1'!$E$2:$E1000 = A8) * ('Form responses 1'!$A$2:$A1000 &lt;= DATE(2025, 5, 31)))
+ SUMPRODUCT(('Form responses 1'!$F$2:$F1000 = A8) * ('Form responses 1'!$A$2:$A1000 &lt;= DATE(2025, 5, 31)))
+ SUMPRODUCT(('Form responses 1'!$G$2:$G1000 = A8) * ('Form responses 1'!$A$2:$A1000 &lt;= DATE(2025, 5, 31)))), 2), "-")
</f>
        <v>0.18</v>
      </c>
      <c r="T8" s="2">
        <f>IFERROR(ROUND(Data!B8/(SUMPRODUCT(('Form responses 1'!$B$2:$B1000 = A8) * ('Form responses 1'!$A$2:$A1000 &lt;= DATE(2025, 6, 30)))
+ SUMPRODUCT(('Form responses 1'!$C$2:$C1000 = A8) * ('Form responses 1'!$A$2:$A1000 &lt;= DATE(2025, 6, 30)))
+ SUMPRODUCT(('Form responses 1'!$D$2:$D1000 = A8) * ('Form responses 1'!$A$2:$A1000 &lt;= DATE(2025, 6, 30)))
+ SUMPRODUCT(('Form responses 1'!$E$2:$E1000 = A8) * ('Form responses 1'!$A$2:$A1000 &lt;= DATE(2025, 6, 30)))
+ SUMPRODUCT(('Form responses 1'!$F$2:$F1000 = A8) * ('Form responses 1'!$A$2:$A1000 &lt;= DATE(2025, 6, 30)))
+ SUMPRODUCT(('Form responses 1'!$G$2:$G1000 = A8) * ('Form responses 1'!$A$2:$A1000 &lt;= DATE(2025, 6, 30)))), 2), "-")
</f>
        <v>0.18</v>
      </c>
      <c r="U8" s="2">
        <f>IFERROR(ROUND(Data!B8/(SUMPRODUCT(('Form responses 1'!$B$2:$B1000 = A8) * ('Form responses 1'!$A$2:$A1000 &lt;= DATE(2025, 7, 31)))
+ SUMPRODUCT(('Form responses 1'!$C$2:$C1000 = A8) * ('Form responses 1'!$A$2:$A1000 &lt;= DATE(2025, 7, 31)))
+ SUMPRODUCT(('Form responses 1'!$D$2:$D1000 = A8) * ('Form responses 1'!$A$2:$A1000 &lt;= DATE(2025, 7, 31)))
+ SUMPRODUCT(('Form responses 1'!$E$2:$E1000 = A8) * ('Form responses 1'!$A$2:$A1000 &lt;= DATE(2025, 7, 31)))
+ SUMPRODUCT(('Form responses 1'!$F$2:$F1000 = A8) * ('Form responses 1'!$A$2:$A1000 &lt;= DATE(2025, 7, 31)))
+ SUMPRODUCT(('Form responses 1'!$G$2:$G1000 = A8) * ('Form responses 1'!$A$2:$A1000 &lt;= DATE(2025, 7, 31)))), 2), "-")
</f>
        <v>0.18</v>
      </c>
      <c r="V8" s="2">
        <f>IFERROR(ROUND(Data!B8/(SUMPRODUCT(('Form responses 1'!$B$2:$B1000 = A8) * ('Form responses 1'!$A$2:$A1000 &lt;= DATE(2025, 8, 31)))
+ SUMPRODUCT(('Form responses 1'!$C$2:$C1000 = A8) * ('Form responses 1'!$A$2:$A1000 &lt;= DATE(2025, 8, 31)))
+ SUMPRODUCT(('Form responses 1'!$D$2:$D1000 = A8) * ('Form responses 1'!$A$2:$A1000 &lt;= DATE(2025, 8, 31)))
+ SUMPRODUCT(('Form responses 1'!$E$2:$E1000 = A8) * ('Form responses 1'!$A$2:$A1000 &lt;= DATE(2025, 8, 31)))
+ SUMPRODUCT(('Form responses 1'!$F$2:$F1000 = A8) * ('Form responses 1'!$A$2:$A1000 &lt;= DATE(2025, 8, 31)))
+ SUMPRODUCT(('Form responses 1'!$G$2:$G1000 = A8) * ('Form responses 1'!$A$2:$A1000 &lt;= DATE(2025, 8, 31)))), 2), "-")
</f>
        <v>0.18</v>
      </c>
      <c r="W8" s="2">
        <f>IFERROR(ROUND(Data!B8/(SUMPRODUCT(('Form responses 1'!$B$2:$B1000 = A8) * ('Form responses 1'!$A$2:$A1000 &lt;= DATE(2025, 9, 30)))
+ SUMPRODUCT(('Form responses 1'!$C$2:$C1000 = A8) * ('Form responses 1'!$A$2:$A1000 &lt;= DATE(2025, 9, 30)))
+ SUMPRODUCT(('Form responses 1'!$D$2:$D1000 = A8) * ('Form responses 1'!$A$2:$A1000 &lt;= DATE(2025, 9, 30)))
+ SUMPRODUCT(('Form responses 1'!$E$2:$E1000 = A8) * ('Form responses 1'!$A$2:$A1000 &lt;= DATE(2025, 9, 30)))
+ SUMPRODUCT(('Form responses 1'!$F$2:$F1000 = A8) * ('Form responses 1'!$A$2:$A1000 &lt;= DATE(2025, 9, 30)))
+ SUMPRODUCT(('Form responses 1'!$G$2:$G1000 = A8) * ('Form responses 1'!$A$2:$A1000 &lt;= DATE(2025, 9, 30)))), 2), "-")
</f>
        <v>0.18</v>
      </c>
      <c r="X8" s="2">
        <f>IFERROR(ROUND(Data!B8/(SUMPRODUCT(('Form responses 1'!$B$2:$B1000 = A8) * ('Form responses 1'!$A$2:$A1000 &lt;= DATE(2025, 10, 31)))
+ SUMPRODUCT(('Form responses 1'!$C$2:$C1000 = A8) * ('Form responses 1'!$A$2:$A1000 &lt;= DATE(2025, 10, 31)))
+ SUMPRODUCT(('Form responses 1'!$D$2:$D1000 = A8) * ('Form responses 1'!$A$2:$A1000 &lt;= DATE(2025, 10, 31)))
+ SUMPRODUCT(('Form responses 1'!$E$2:$E1000 = A8) * ('Form responses 1'!$A$2:$A1000 &lt;= DATE(2025, 10, 31)))
+ SUMPRODUCT(('Form responses 1'!$F$2:$F1000 = A8) * ('Form responses 1'!$A$2:$A1000 &lt;= DATE(2025, 10, 31)))
+ SUMPRODUCT(('Form responses 1'!$G$2:$G1000 = A8) * ('Form responses 1'!$A$2:$A1000 &lt;= DATE(2025, 10, 31)))), 2), "-")
</f>
        <v>0.18</v>
      </c>
      <c r="Y8" s="2">
        <f>IFERROR(ROUND(Data!B8/(SUMPRODUCT(('Form responses 1'!$B$2:$B1000 = A8) * ('Form responses 1'!$A$2:$A1000 &lt;= DATE(2025, 11, 30)))
+ SUMPRODUCT(('Form responses 1'!$C$2:$C1000 = A8) * ('Form responses 1'!$A$2:$A1000 &lt;= DATE(2025, 11, 30)))
+ SUMPRODUCT(('Form responses 1'!$D$2:$D1000 = A8) * ('Form responses 1'!$A$2:$A1000 &lt;= DATE(2025, 11, 30)))
+ SUMPRODUCT(('Form responses 1'!$E$2:$E1000 = A8) * ('Form responses 1'!$A$2:$A1000 &lt;= DATE(2025, 11, 30)))
+ SUMPRODUCT(('Form responses 1'!$F$2:$F1000 = A8) * ('Form responses 1'!$A$2:$A1000 &lt;= DATE(2025, 11, 30)))
+ SUMPRODUCT(('Form responses 1'!$G$2:$G1000 = A8) * ('Form responses 1'!$A$2:$A1000 &lt;= DATE(2025, 11, 30)))), 2), "-")
</f>
        <v>0.18</v>
      </c>
      <c r="Z8" s="2">
        <f>IFERROR(ROUND(Data!B8/(SUMPRODUCT(('Form responses 1'!$B$2:$B1000 = A8) * ('Form responses 1'!$A$2:$A1000 &lt;= DATE(2025, 12, 31)))
+ SUMPRODUCT(('Form responses 1'!$C$2:$C1000 = A8) * ('Form responses 1'!$A$2:$A1000 &lt;= DATE(2025, 12, 31)))
+ SUMPRODUCT(('Form responses 1'!$D$2:$D1000 = A8) * ('Form responses 1'!$A$2:$A1000 &lt;= DATE(2025, 12, 31)))
+ SUMPRODUCT(('Form responses 1'!$E$2:$E1000 = A8) * ('Form responses 1'!$A$2:$A1000 &lt;= DATE(2025, 12, 31)))
+ SUMPRODUCT(('Form responses 1'!$F$2:$F1000 = A8) * ('Form responses 1'!$A$2:$A1000 &lt;= DATE(2025, 12, 31)))
+ SUMPRODUCT(('Form responses 1'!$G$2:$G1000 = A8) * ('Form responses 1'!$A$2:$A1000 &lt;= DATE(2025, 12, 31)))), 2), "-")
</f>
        <v>0.18</v>
      </c>
      <c r="AA8" s="2">
        <f>IFERROR(ROUND(Data!$B8/(
  SUMPRODUCT(('Form responses 1'!$B$2:$B1000=$A8)*('Form responses 1'!$A$2:$A1000&lt;=EOMONTH(DATEVALUE("1 "&amp;AA$1),0)))+
  SUMPRODUCT(('Form responses 1'!$C$2:$C1000=$A8)*('Form responses 1'!$A$2:$A1000&lt;=EOMONTH(DATEVALUE("1 "&amp;AA$1),0)))+
  SUMPRODUCT(('Form responses 1'!$D$2:$D1000=$A8)*('Form responses 1'!$A$2:$A1000&lt;=EOMONTH(DATEVALUE("1 "&amp;AA$1),0)))+
  SUMPRODUCT(('Form responses 1'!$E$2:$E1000=$A8)*('Form responses 1'!$A$2:$A1000&lt;=EOMONTH(DATEVALUE("1 "&amp;AA$1),0)))+
  SUMPRODUCT(('Form responses 1'!$F$2:$F1000=$A8)*('Form responses 1'!$A$2:$A1000&lt;=EOMONTH(DATEVALUE("1 "&amp;AA$1),0)))+
  SUMPRODUCT(('Form responses 1'!$G$2:$G1000=$A8)*('Form responses 1'!$A$2:$A1000&lt;=EOMONTH(DATEVALUE("1 "&amp;AA$1),0)))
),2),"-")</f>
        <v>0.18</v>
      </c>
      <c r="AB8" s="2">
        <f>IFERROR(ROUND(Data!$B8/(
  SUMPRODUCT(('Form responses 1'!$B$2:$B1000=$A8)*('Form responses 1'!$A$2:$A1000&lt;=EOMONTH(DATEVALUE("1 "&amp;AB$1),0)))+
  SUMPRODUCT(('Form responses 1'!$C$2:$C1000=$A8)*('Form responses 1'!$A$2:$A1000&lt;=EOMONTH(DATEVALUE("1 "&amp;AB$1),0)))+
  SUMPRODUCT(('Form responses 1'!$D$2:$D1000=$A8)*('Form responses 1'!$A$2:$A1000&lt;=EOMONTH(DATEVALUE("1 "&amp;AB$1),0)))+
  SUMPRODUCT(('Form responses 1'!$E$2:$E1000=$A8)*('Form responses 1'!$A$2:$A1000&lt;=EOMONTH(DATEVALUE("1 "&amp;AB$1),0)))+
  SUMPRODUCT(('Form responses 1'!$F$2:$F1000=$A8)*('Form responses 1'!$A$2:$A1000&lt;=EOMONTH(DATEVALUE("1 "&amp;AB$1),0)))+
  SUMPRODUCT(('Form responses 1'!$G$2:$G1000=$A8)*('Form responses 1'!$A$2:$A1000&lt;=EOMONTH(DATEVALUE("1 "&amp;AB$1),0)))
),2),"-")</f>
        <v>0.18</v>
      </c>
      <c r="AC8" s="2">
        <f>IFERROR(ROUND(Data!$B8/(
  SUMPRODUCT(('Form responses 1'!$B$2:$B1000=$A8)*('Form responses 1'!$A$2:$A1000&lt;=EOMONTH(DATEVALUE("1 "&amp;AC$1),0)))+
  SUMPRODUCT(('Form responses 1'!$C$2:$C1000=$A8)*('Form responses 1'!$A$2:$A1000&lt;=EOMONTH(DATEVALUE("1 "&amp;AC$1),0)))+
  SUMPRODUCT(('Form responses 1'!$D$2:$D1000=$A8)*('Form responses 1'!$A$2:$A1000&lt;=EOMONTH(DATEVALUE("1 "&amp;AC$1),0)))+
  SUMPRODUCT(('Form responses 1'!$E$2:$E1000=$A8)*('Form responses 1'!$A$2:$A1000&lt;=EOMONTH(DATEVALUE("1 "&amp;AC$1),0)))+
  SUMPRODUCT(('Form responses 1'!$F$2:$F1000=$A8)*('Form responses 1'!$A$2:$A1000&lt;=EOMONTH(DATEVALUE("1 "&amp;AC$1),0)))+
  SUMPRODUCT(('Form responses 1'!$G$2:$G1000=$A8)*('Form responses 1'!$A$2:$A1000&lt;=EOMONTH(DATEVALUE("1 "&amp;AC$1),0)))
),2),"-")</f>
        <v>0.18</v>
      </c>
      <c r="AD8" s="2" t="str">
        <f>IFERROR(ROUND(Data!$B8/(
  SUMPRODUCT(('Form responses 1'!$B$2:$B1000=$A8)*('Form responses 1'!$A$2:$A1000&lt;=EOMONTH(DATEVALUE("1 "&amp;AD$1),0)))+
  SUMPRODUCT(('Form responses 1'!$C$2:$C1000=$A8)*('Form responses 1'!$A$2:$A1000&lt;=EOMONTH(DATEVALUE("1 "&amp;AD$1),0)))+
  SUMPRODUCT(('Form responses 1'!$D$2:$D1000=$A8)*('Form responses 1'!$A$2:$A1000&lt;=EOMONTH(DATEVALUE("1 "&amp;AD$1),0)))+
  SUMPRODUCT(('Form responses 1'!$E$2:$E1000=$A8)*('Form responses 1'!$A$2:$A1000&lt;=EOMONTH(DATEVALUE("1 "&amp;AD$1),0)))+
  SUMPRODUCT(('Form responses 1'!$F$2:$F1000=$A8)*('Form responses 1'!$A$2:$A1000&lt;=EOMONTH(DATEVALUE("1 "&amp;AD$1),0)))+
  SUMPRODUCT(('Form responses 1'!$G$2:$G1000=$A8)*('Form responses 1'!$A$2:$A1000&lt;=EOMONTH(DATEVALUE("1 "&amp;AD$1),0)))
),2),"-")</f>
        <v>-</v>
      </c>
      <c r="AE8" s="2" t="str">
        <f>IFERROR(ROUND(Data!$B8/(
  SUMPRODUCT(('Form responses 1'!$B$2:$B1000=$A8)*('Form responses 1'!$A$2:$A1000&lt;=EOMONTH(DATEVALUE("1 "&amp;AE$1),0)))+
  SUMPRODUCT(('Form responses 1'!$C$2:$C1000=$A8)*('Form responses 1'!$A$2:$A1000&lt;=EOMONTH(DATEVALUE("1 "&amp;AE$1),0)))+
  SUMPRODUCT(('Form responses 1'!$D$2:$D1000=$A8)*('Form responses 1'!$A$2:$A1000&lt;=EOMONTH(DATEVALUE("1 "&amp;AE$1),0)))+
  SUMPRODUCT(('Form responses 1'!$E$2:$E1000=$A8)*('Form responses 1'!$A$2:$A1000&lt;=EOMONTH(DATEVALUE("1 "&amp;AE$1),0)))+
  SUMPRODUCT(('Form responses 1'!$F$2:$F1000=$A8)*('Form responses 1'!$A$2:$A1000&lt;=EOMONTH(DATEVALUE("1 "&amp;AE$1),0)))+
  SUMPRODUCT(('Form responses 1'!$G$2:$G1000=$A8)*('Form responses 1'!$A$2:$A1000&lt;=EOMONTH(DATEVALUE("1 "&amp;AE$1),0)))
),2),"-")</f>
        <v>-</v>
      </c>
      <c r="AF8" s="2" t="str">
        <f>IFERROR(ROUND(Data!$B8/(
  SUMPRODUCT(('Form responses 1'!$B$2:$B1000=$A8)*('Form responses 1'!$A$2:$A1000&lt;=EOMONTH(DATEVALUE("1 "&amp;AF$1),0)))+
  SUMPRODUCT(('Form responses 1'!$C$2:$C1000=$A8)*('Form responses 1'!$A$2:$A1000&lt;=EOMONTH(DATEVALUE("1 "&amp;AF$1),0)))+
  SUMPRODUCT(('Form responses 1'!$D$2:$D1000=$A8)*('Form responses 1'!$A$2:$A1000&lt;=EOMONTH(DATEVALUE("1 "&amp;AF$1),0)))+
  SUMPRODUCT(('Form responses 1'!$E$2:$E1000=$A8)*('Form responses 1'!$A$2:$A1000&lt;=EOMONTH(DATEVALUE("1 "&amp;AF$1),0)))+
  SUMPRODUCT(('Form responses 1'!$F$2:$F1000=$A8)*('Form responses 1'!$A$2:$A1000&lt;=EOMONTH(DATEVALUE("1 "&amp;AF$1),0)))+
  SUMPRODUCT(('Form responses 1'!$G$2:$G1000=$A8)*('Form responses 1'!$A$2:$A1000&lt;=EOMONTH(DATEVALUE("1 "&amp;AF$1),0)))
),2),"-")</f>
        <v>-</v>
      </c>
      <c r="AG8" s="2" t="str">
        <f>IFERROR(ROUND(Data!$B8/(
  SUMPRODUCT(('Form responses 1'!$B$2:$B1000=$A8)*('Form responses 1'!$A$2:$A1000&lt;=EOMONTH(DATEVALUE("1 "&amp;AG$1),0)))+
  SUMPRODUCT(('Form responses 1'!$C$2:$C1000=$A8)*('Form responses 1'!$A$2:$A1000&lt;=EOMONTH(DATEVALUE("1 "&amp;AG$1),0)))+
  SUMPRODUCT(('Form responses 1'!$D$2:$D1000=$A8)*('Form responses 1'!$A$2:$A1000&lt;=EOMONTH(DATEVALUE("1 "&amp;AG$1),0)))+
  SUMPRODUCT(('Form responses 1'!$E$2:$E1000=$A8)*('Form responses 1'!$A$2:$A1000&lt;=EOMONTH(DATEVALUE("1 "&amp;AG$1),0)))+
  SUMPRODUCT(('Form responses 1'!$F$2:$F1000=$A8)*('Form responses 1'!$A$2:$A1000&lt;=EOMONTH(DATEVALUE("1 "&amp;AG$1),0)))+
  SUMPRODUCT(('Form responses 1'!$G$2:$G1000=$A8)*('Form responses 1'!$A$2:$A1000&lt;=EOMONTH(DATEVALUE("1 "&amp;AG$1),0)))
),2),"-")</f>
        <v>-</v>
      </c>
      <c r="AH8" s="2" t="str">
        <f>IFERROR(ROUND(Data!$B8/(
  SUMPRODUCT(('Form responses 1'!$B$2:$B1000=$A8)*('Form responses 1'!$A$2:$A1000&lt;=EOMONTH(DATEVALUE("1 "&amp;AH$1),0)))+
  SUMPRODUCT(('Form responses 1'!$C$2:$C1000=$A8)*('Form responses 1'!$A$2:$A1000&lt;=EOMONTH(DATEVALUE("1 "&amp;AH$1),0)))+
  SUMPRODUCT(('Form responses 1'!$D$2:$D1000=$A8)*('Form responses 1'!$A$2:$A1000&lt;=EOMONTH(DATEVALUE("1 "&amp;AH$1),0)))+
  SUMPRODUCT(('Form responses 1'!$E$2:$E1000=$A8)*('Form responses 1'!$A$2:$A1000&lt;=EOMONTH(DATEVALUE("1 "&amp;AH$1),0)))+
  SUMPRODUCT(('Form responses 1'!$F$2:$F1000=$A8)*('Form responses 1'!$A$2:$A1000&lt;=EOMONTH(DATEVALUE("1 "&amp;AH$1),0)))+
  SUMPRODUCT(('Form responses 1'!$G$2:$G1000=$A8)*('Form responses 1'!$A$2:$A1000&lt;=EOMONTH(DATEVALUE("1 "&amp;AH$1),0)))
),2),"-")</f>
        <v>-</v>
      </c>
      <c r="AI8" s="2" t="str">
        <f>IFERROR(ROUND(Data!$B8/(
  SUMPRODUCT(('Form responses 1'!$B$2:$B1000=$A8)*('Form responses 1'!$A$2:$A1000&lt;=EOMONTH(DATEVALUE("1 "&amp;AI$1),0)))+
  SUMPRODUCT(('Form responses 1'!$C$2:$C1000=$A8)*('Form responses 1'!$A$2:$A1000&lt;=EOMONTH(DATEVALUE("1 "&amp;AI$1),0)))+
  SUMPRODUCT(('Form responses 1'!$D$2:$D1000=$A8)*('Form responses 1'!$A$2:$A1000&lt;=EOMONTH(DATEVALUE("1 "&amp;AI$1),0)))+
  SUMPRODUCT(('Form responses 1'!$E$2:$E1000=$A8)*('Form responses 1'!$A$2:$A1000&lt;=EOMONTH(DATEVALUE("1 "&amp;AI$1),0)))+
  SUMPRODUCT(('Form responses 1'!$F$2:$F1000=$A8)*('Form responses 1'!$A$2:$A1000&lt;=EOMONTH(DATEVALUE("1 "&amp;AI$1),0)))+
  SUMPRODUCT(('Form responses 1'!$G$2:$G1000=$A8)*('Form responses 1'!$A$2:$A1000&lt;=EOMONTH(DATEVALUE("1 "&amp;AI$1),0)))
),2),"-")</f>
        <v>-</v>
      </c>
      <c r="AJ8" s="2" t="str">
        <f>IFERROR(ROUND(Data!$B8/(
  SUMPRODUCT(('Form responses 1'!$B$2:$B1000=$A8)*('Form responses 1'!$A$2:$A1000&lt;=EOMONTH(DATEVALUE("1 "&amp;AJ$1),0)))+
  SUMPRODUCT(('Form responses 1'!$C$2:$C1000=$A8)*('Form responses 1'!$A$2:$A1000&lt;=EOMONTH(DATEVALUE("1 "&amp;AJ$1),0)))+
  SUMPRODUCT(('Form responses 1'!$D$2:$D1000=$A8)*('Form responses 1'!$A$2:$A1000&lt;=EOMONTH(DATEVALUE("1 "&amp;AJ$1),0)))+
  SUMPRODUCT(('Form responses 1'!$E$2:$E1000=$A8)*('Form responses 1'!$A$2:$A1000&lt;=EOMONTH(DATEVALUE("1 "&amp;AJ$1),0)))+
  SUMPRODUCT(('Form responses 1'!$F$2:$F1000=$A8)*('Form responses 1'!$A$2:$A1000&lt;=EOMONTH(DATEVALUE("1 "&amp;AJ$1),0)))+
  SUMPRODUCT(('Form responses 1'!$G$2:$G1000=$A8)*('Form responses 1'!$A$2:$A1000&lt;=EOMONTH(DATEVALUE("1 "&amp;AJ$1),0)))
),2),"-")</f>
        <v>-</v>
      </c>
      <c r="AK8" s="2" t="str">
        <f>IFERROR(ROUND(Data!$B8/(
  SUMPRODUCT(('Form responses 1'!$B$2:$B1000=$A8)*('Form responses 1'!$A$2:$A1000&lt;=EOMONTH(DATEVALUE("1 "&amp;AK$1),0)))+
  SUMPRODUCT(('Form responses 1'!$C$2:$C1000=$A8)*('Form responses 1'!$A$2:$A1000&lt;=EOMONTH(DATEVALUE("1 "&amp;AK$1),0)))+
  SUMPRODUCT(('Form responses 1'!$D$2:$D1000=$A8)*('Form responses 1'!$A$2:$A1000&lt;=EOMONTH(DATEVALUE("1 "&amp;AK$1),0)))+
  SUMPRODUCT(('Form responses 1'!$E$2:$E1000=$A8)*('Form responses 1'!$A$2:$A1000&lt;=EOMONTH(DATEVALUE("1 "&amp;AK$1),0)))+
  SUMPRODUCT(('Form responses 1'!$F$2:$F1000=$A8)*('Form responses 1'!$A$2:$A1000&lt;=EOMONTH(DATEVALUE("1 "&amp;AK$1),0)))+
  SUMPRODUCT(('Form responses 1'!$G$2:$G1000=$A8)*('Form responses 1'!$A$2:$A1000&lt;=EOMONTH(DATEVALUE("1 "&amp;AK$1),0)))
),2),"-")</f>
        <v>-</v>
      </c>
      <c r="AL8" s="2" t="str">
        <f>IFERROR(ROUND(Data!$B8/(
  SUMPRODUCT(('Form responses 1'!$B$2:$B1000=$A8)*('Form responses 1'!$A$2:$A1000&lt;=EOMONTH(DATEVALUE("1 "&amp;AL$1),0)))+
  SUMPRODUCT(('Form responses 1'!$C$2:$C1000=$A8)*('Form responses 1'!$A$2:$A1000&lt;=EOMONTH(DATEVALUE("1 "&amp;AL$1),0)))+
  SUMPRODUCT(('Form responses 1'!$D$2:$D1000=$A8)*('Form responses 1'!$A$2:$A1000&lt;=EOMONTH(DATEVALUE("1 "&amp;AL$1),0)))+
  SUMPRODUCT(('Form responses 1'!$E$2:$E1000=$A8)*('Form responses 1'!$A$2:$A1000&lt;=EOMONTH(DATEVALUE("1 "&amp;AL$1),0)))+
  SUMPRODUCT(('Form responses 1'!$F$2:$F1000=$A8)*('Form responses 1'!$A$2:$A1000&lt;=EOMONTH(DATEVALUE("1 "&amp;AL$1),0)))+
  SUMPRODUCT(('Form responses 1'!$G$2:$G1000=$A8)*('Form responses 1'!$A$2:$A1000&lt;=EOMONTH(DATEVALUE("1 "&amp;AL$1),0)))
),2),"-")</f>
        <v>-</v>
      </c>
    </row>
    <row r="9">
      <c r="A9" s="3" t="str">
        <f>IFERROR(__xludf.DUMMYFUNCTION("""COMPUTED_VALUE"""),"Spijkerbroek lichtblauw papa")</f>
        <v>Spijkerbroek lichtblauw papa</v>
      </c>
      <c r="B9" s="2">
        <f>Data!F9:F1000</f>
        <v>0</v>
      </c>
      <c r="C9" s="2">
        <f>IFERROR(ROUND(Data!B9/(SUMPRODUCT(('Form responses 1'!$B$2:$B1000 = A9) * ('Form responses 1'!$A$2:$A1000 &lt;= DATE(2024, 1, 31)))
+ SUMPRODUCT(('Form responses 1'!$C$2:$C1000 = A9) * ('Form responses 1'!$A$2:$A1000 &lt;= DATE(2024, 1, 31)))
+ SUMPRODUCT(('Form responses 1'!$D$2:$D1000 = A9) * ('Form responses 1'!$A$2:$A1000 &lt;= DATE(2024, 1, 31)))
+ SUMPRODUCT(('Form responses 1'!$E$2:$E1000 = A9) * ('Form responses 1'!$A$2:$A1000 &lt;= DATE(2024, 1, 31)))
+ SUMPRODUCT(('Form responses 1'!$F$2:$F1000 = A9) * ('Form responses 1'!$A$2:$A1000 &lt;= DATE(2024, 1, 31)))
+ SUMPRODUCT(('Form responses 1'!$G$2:$G1000 = A9) * ('Form responses 1'!$A$2:$A1000 &lt;= DATE(2024, 1, 31)))), 2), "-")
</f>
        <v>0</v>
      </c>
      <c r="D9" s="2">
        <f>IFERROR(ROUND(Data!B9/(SUMPRODUCT(('Form responses 1'!$B$2:$B1000 = A9) * ('Form responses 1'!$A$2:$A1000 &lt;= DATE(2024, 2, 29)))
+ SUMPRODUCT(('Form responses 1'!$C$2:$C1000 = A9) * ('Form responses 1'!$A$2:$A1000 &lt;= DATE(2024, 2, 29)))
+ SUMPRODUCT(('Form responses 1'!$D$2:$D1000 = A9) * ('Form responses 1'!$A$2:$A1000 &lt;= DATE(2024, 2, 29)))
+ SUMPRODUCT(('Form responses 1'!$E$2:$E1000 = A9) * ('Form responses 1'!$A$2:$A1000 &lt;= DATE(2024, 2, 29)))
+ SUMPRODUCT(('Form responses 1'!$F$2:$F1000 = A9) * ('Form responses 1'!$A$2:$A1000 &lt;= DATE(2024, 2, 29)))
+ SUMPRODUCT(('Form responses 1'!$G$2:$G1000 = A9) * ('Form responses 1'!$A$2:$A1000 &lt;= DATE(2024, 2, 29)))), 2), "-")
</f>
        <v>0</v>
      </c>
      <c r="E9" s="2">
        <f>IFERROR(ROUND(Data!B9/(SUMPRODUCT(('Form responses 1'!$B$2:$B1000 = A9) * ('Form responses 1'!$A$2:$A1000 &lt;= DATE(2024, 3, 31)))
+ SUMPRODUCT(('Form responses 1'!$C$2:$C1000 = A9) * ('Form responses 1'!$A$2:$A1000 &lt;= DATE(2024, 3, 31)))
+ SUMPRODUCT(('Form responses 1'!$D$2:$D1000 = A9) * ('Form responses 1'!$A$2:$A1000 &lt;= DATE(2024, 3, 31)))
+ SUMPRODUCT(('Form responses 1'!$E$2:$E1000 = A9) * ('Form responses 1'!$A$2:$A1000 &lt;= DATE(2024, 3, 31)))
+ SUMPRODUCT(('Form responses 1'!$F$2:$F1000 = A9) * ('Form responses 1'!$A$2:$A1000 &lt;= DATE(2024, 3, 31)))
+ SUMPRODUCT(('Form responses 1'!$G$2:$G1000 = A9) * ('Form responses 1'!$A$2:$A1000 &lt;= DATE(2024, 3, 31)))), 2), "-")
</f>
        <v>0</v>
      </c>
      <c r="F9" s="2">
        <f>IFERROR(ROUND(Data!B9/(SUMPRODUCT(('Form responses 1'!$B$2:$B1000 = A9) * ('Form responses 1'!$A$2:$A1000 &lt;= DATE(2024, 4, 30)))
+ SUMPRODUCT(('Form responses 1'!$C$2:$C1000 = A9) * ('Form responses 1'!$A$2:$A1000 &lt;= DATE(2024, 4, 30)))
+ SUMPRODUCT(('Form responses 1'!$D$2:$D1000 = A9) * ('Form responses 1'!$A$2:$A1000 &lt;= DATE(2024, 4, 30)))
+ SUMPRODUCT(('Form responses 1'!$E$2:$E1000 = A9) * ('Form responses 1'!$A$2:$A1000 &lt;= DATE(2024, 4, 30)))
+ SUMPRODUCT(('Form responses 1'!$F$2:$F1000 = A9) * ('Form responses 1'!$A$2:$A1000 &lt;= DATE(2024, 4, 30)))
+ SUMPRODUCT(('Form responses 1'!$G$2:$G1000 = A9) * ('Form responses 1'!$A$2:$A1000 &lt;= DATE(2024, 4, 30)))), 2), "-")
</f>
        <v>0</v>
      </c>
      <c r="G9" s="2">
        <f>IFERROR(ROUND(Data!B9/(SUMPRODUCT(('Form responses 1'!$B$2:$B1000 = A9) * ('Form responses 1'!$A$2:$A1000 &lt;= DATE(2024, 5, 31)))
+ SUMPRODUCT(('Form responses 1'!$C$2:$C1000 = A9) * ('Form responses 1'!$A$2:$A1000 &lt;= DATE(2024, 5, 31)))
+ SUMPRODUCT(('Form responses 1'!$D$2:$D1000 = A9) * ('Form responses 1'!$A$2:$A1000 &lt;= DATE(2024, 5, 31)))
+ SUMPRODUCT(('Form responses 1'!$E$2:$E1000 = A9) * ('Form responses 1'!$A$2:$A1000 &lt;= DATE(2024, 5, 31)))
+ SUMPRODUCT(('Form responses 1'!$F$2:$F1000 = A9) * ('Form responses 1'!$A$2:$A1000 &lt;= DATE(2024, 5, 31)))
+ SUMPRODUCT(('Form responses 1'!$G$2:$G1000 = A9) * ('Form responses 1'!$A$2:$A1000 &lt;= DATE(2024, 5, 31)))), 2), "-")
</f>
        <v>0</v>
      </c>
      <c r="H9" s="2">
        <f>IFERROR(ROUND(Data!B9/(SUMPRODUCT(('Form responses 1'!$B$2:$B1000 = A9) * ('Form responses 1'!$A$2:$A1000 &lt;= DATE(2024, 6, 30)))
+ SUMPRODUCT(('Form responses 1'!$C$2:$C1000 = A9) * ('Form responses 1'!$A$2:$A1000 &lt;= DATE(2024, 6, 30)))
+ SUMPRODUCT(('Form responses 1'!$D$2:$D1000 = A9) * ('Form responses 1'!$A$2:$A1000 &lt;= DATE(2024, 6, 30)))
+ SUMPRODUCT(('Form responses 1'!$E$2:$E1000 = A9) * ('Form responses 1'!$A$2:$A1000 &lt;= DATE(2024, 6, 30)))
+ SUMPRODUCT(('Form responses 1'!$F$2:$F1000 = A9) * ('Form responses 1'!$A$2:$A1000 &lt;= DATE(2024, 6, 30)))
+ SUMPRODUCT(('Form responses 1'!$G$2:$G1000 = A9) * ('Form responses 1'!$A$2:$A1000 &lt;= DATE(2024, 6, 30)))), 2), "-")
</f>
        <v>0</v>
      </c>
      <c r="I9" s="2">
        <f>IFERROR(ROUND(Data!B9/(SUMPRODUCT(('Form responses 1'!$B$2:$B1000 = A9) * ('Form responses 1'!$A$2:$A1000 &lt;= DATE(2024, 7, 31)))
+ SUMPRODUCT(('Form responses 1'!$C$2:$C1000 = A9) * ('Form responses 1'!$A$2:$A1000 &lt;= DATE(2024, 7, 31)))
+ SUMPRODUCT(('Form responses 1'!$D$2:$D1000 = A9) * ('Form responses 1'!$A$2:$A1000 &lt;= DATE(2024, 7, 31)))
+ SUMPRODUCT(('Form responses 1'!$E$2:$E1000 = A9) * ('Form responses 1'!$A$2:$A1000 &lt;= DATE(2024, 7, 31)))
+ SUMPRODUCT(('Form responses 1'!$F$2:$F1000 = A9) * ('Form responses 1'!$A$2:$A1000 &lt;= DATE(2024, 7, 31)))
+ SUMPRODUCT(('Form responses 1'!$G$2:$G1000 = A9) * ('Form responses 1'!$A$2:$A1000 &lt;= DATE(2024, 7, 31)))), 2), "-")
</f>
        <v>0</v>
      </c>
      <c r="J9" s="2">
        <f>IFERROR(ROUND(Data!B9/(SUMPRODUCT(('Form responses 1'!$B$2:$B1000 = A9) * ('Form responses 1'!$A$2:$A1000 &lt;= DATE(2024, 8, 31)))
+ SUMPRODUCT(('Form responses 1'!$C$2:$C1000 = A9) * ('Form responses 1'!$A$2:$A1000 &lt;= DATE(2024, 8, 31)))
+ SUMPRODUCT(('Form responses 1'!$D$2:$D1000 = A9) * ('Form responses 1'!$A$2:$A1000 &lt;= DATE(2024, 8, 31)))
+ SUMPRODUCT(('Form responses 1'!$E$2:$E1000 = A9) * ('Form responses 1'!$A$2:$A1000 &lt;= DATE(2024, 8, 31)))
+ SUMPRODUCT(('Form responses 1'!$F$2:$F1000 = A9) * ('Form responses 1'!$A$2:$A1000 &lt;= DATE(2024, 8, 31)))
+ SUMPRODUCT(('Form responses 1'!$G$2:$G1000 = A9) * ('Form responses 1'!$A$2:$A1000 &lt;= DATE(2024, 8, 31)))), 2), "-")
</f>
        <v>0</v>
      </c>
      <c r="K9" s="2">
        <f>IFERROR(ROUND(Data!B9/(SUMPRODUCT(('Form responses 1'!$B$2:$B1000 = A9) * ('Form responses 1'!$A$2:$A1000 &lt;= DATE(2024, 9, 30)))
+ SUMPRODUCT(('Form responses 1'!$C$2:$C1000 = A9) * ('Form responses 1'!$A$2:$A1000 &lt;= DATE(2024, 9, 30)))
+ SUMPRODUCT(('Form responses 1'!$D$2:$D1000 = A9) * ('Form responses 1'!$A$2:$A1000 &lt;= DATE(2024, 9, 30)))
+ SUMPRODUCT(('Form responses 1'!$E$2:$E1000 = A9) * ('Form responses 1'!$A$2:$A1000 &lt;= DATE(2024, 9, 30)))
+ SUMPRODUCT(('Form responses 1'!$F$2:$F1000 = A9) * ('Form responses 1'!$A$2:$A1000 &lt;= DATE(2024, 9, 30)))
+ SUMPRODUCT(('Form responses 1'!$G$2:$G1000 = A9) * ('Form responses 1'!$A$2:$A1000 &lt;= DATE(2024, 9, 30)))), 2), "-")
</f>
        <v>0</v>
      </c>
      <c r="L9" s="2">
        <f>IFERROR(ROUND(Data!B9/(SUMPRODUCT(('Form responses 1'!$B$2:$B1000 = A9) * ('Form responses 1'!$A$2:$A1000 &lt;= DATE(2024, 10, 31)))
+ SUMPRODUCT(('Form responses 1'!$C$2:$C1000 = A9) * ('Form responses 1'!$A$2:$A1000 &lt;= DATE(2024, 10, 31)))
+ SUMPRODUCT(('Form responses 1'!$D$2:$D1000 = A9) * ('Form responses 1'!$A$2:$A1000 &lt;= DATE(2024, 10, 31)))
+ SUMPRODUCT(('Form responses 1'!$E$2:$E1000 = A9) * ('Form responses 1'!$A$2:$A1000 &lt;= DATE(2024, 10, 31)))
+ SUMPRODUCT(('Form responses 1'!$F$2:$F1000 = A9) * ('Form responses 1'!$A$2:$A1000 &lt;= DATE(2024, 10, 31)))
+ SUMPRODUCT(('Form responses 1'!$G$2:$G1000 = A9) * ('Form responses 1'!$A$2:$A1000 &lt;= DATE(2024, 10, 31)))), 2), "-")
</f>
        <v>0</v>
      </c>
      <c r="M9" s="2">
        <f>IFERROR(ROUND(Data!B9/(SUMPRODUCT(('Form responses 1'!$B$2:$B1000 = A9) * ('Form responses 1'!$A$2:$A1000 &lt;= DATE(2024, 11, 30)))
+ SUMPRODUCT(('Form responses 1'!$C$2:$C1000 = A9) * ('Form responses 1'!$A$2:$A1000 &lt;= DATE(2024, 11, 30)))
+ SUMPRODUCT(('Form responses 1'!$D$2:$D1000 = A9) * ('Form responses 1'!$A$2:$A1000 &lt;= DATE(2024, 11, 30)))
+ SUMPRODUCT(('Form responses 1'!$E$2:$E1000 = A9) * ('Form responses 1'!$A$2:$A1000 &lt;= DATE(2024, 11, 30)))
+ SUMPRODUCT(('Form responses 1'!$F$2:$F1000 = A9) * ('Form responses 1'!$A$2:$A1000 &lt;= DATE(2024, 11, 30)))
+ SUMPRODUCT(('Form responses 1'!$G$2:$G1000 = A9) * ('Form responses 1'!$A$2:$A1000 &lt;= DATE(2024, 11, 30)))), 2), "-")
</f>
        <v>0</v>
      </c>
      <c r="N9" s="2">
        <f>IFERROR(ROUND(Data!B9/(SUMPRODUCT(('Form responses 1'!$B$2:$B1000 = A9) * ('Form responses 1'!$A$2:$A1000 &lt;= DATE(2024, 12, 31)))
+ SUMPRODUCT(('Form responses 1'!$C$2:$C1000 = A9) * ('Form responses 1'!$A$2:$A1000 &lt;= DATE(2024, 12, 31)))
+ SUMPRODUCT(('Form responses 1'!$D$2:$D1000 = A9) * ('Form responses 1'!$A$2:$A1000 &lt;= DATE(2024, 12, 31)))
+ SUMPRODUCT(('Form responses 1'!$E$2:$E1000 = A9) * ('Form responses 1'!$A$2:$A1000 &lt;= DATE(2024, 12, 31)))
+ SUMPRODUCT(('Form responses 1'!$F$2:$F1000 = A9) * ('Form responses 1'!$A$2:$A1000 &lt;= DATE(2024, 12, 31)))
+ SUMPRODUCT(('Form responses 1'!$G$2:$G1000 = A9) * ('Form responses 1'!$A$2:$A1000 &lt;= DATE(2024, 12, 31)))), 2), "-")
</f>
        <v>0</v>
      </c>
      <c r="O9" s="2">
        <f>IFERROR(ROUND(Data!B9/(SUMPRODUCT(('Form responses 1'!$B$2:$B1000 = A9) * ('Form responses 1'!$A$2:$A1000 &lt;= DATE(2025, 1, 31)))
+ SUMPRODUCT(('Form responses 1'!$C$2:$C1000 = A9) * ('Form responses 1'!$A$2:$A1000 &lt;= DATE(2025, 1, 31)))
+ SUMPRODUCT(('Form responses 1'!$D$2:$D1000 = A9) * ('Form responses 1'!$A$2:$A1000 &lt;= DATE(2025, 1, 31)))
+ SUMPRODUCT(('Form responses 1'!$E$2:$E1000 = A9) * ('Form responses 1'!$A$2:$A1000 &lt;= DATE(2025, 1, 31)))
+ SUMPRODUCT(('Form responses 1'!$F$2:$F1000 = A9) * ('Form responses 1'!$A$2:$A1000 &lt;= DATE(2025, 1, 31)))
+ SUMPRODUCT(('Form responses 1'!$G$2:$G1000 = A9) * ('Form responses 1'!$A$2:$A1000 &lt;= DATE(2025, 1, 31)))), 2), "-")
</f>
        <v>0</v>
      </c>
      <c r="P9" s="2">
        <f>IFERROR(ROUND(Data!B9/(SUMPRODUCT(('Form responses 1'!$B$2:$B1000 = A9) * ('Form responses 1'!$A$2:$A1000 &lt;= DATE(2025, 2, 28)))
+ SUMPRODUCT(('Form responses 1'!$C$2:$C1000 = A9) * ('Form responses 1'!$A$2:$A1000 &lt;= DATE(2025, 2, 28)))
+ SUMPRODUCT(('Form responses 1'!$D$2:$D1000 = A9) * ('Form responses 1'!$A$2:$A1000 &lt;= DATE(2025, 2, 28)))
+ SUMPRODUCT(('Form responses 1'!$E$2:$E1000 = A9) * ('Form responses 1'!$A$2:$A1000 &lt;= DATE(2025, 2, 28)))
+ SUMPRODUCT(('Form responses 1'!$F$2:$F1000 = A9) * ('Form responses 1'!$A$2:$A1000 &lt;= DATE(2025, 2, 28)))
+ SUMPRODUCT(('Form responses 1'!$G$2:$G1000 = A9) * ('Form responses 1'!$A$2:$A1000 &lt;= DATE(2025, 2, 28)))), 2), "-")
</f>
        <v>0</v>
      </c>
      <c r="Q9" s="2">
        <f>IFERROR(ROUND(Data!B9/(SUMPRODUCT(('Form responses 1'!$B$2:$B1000 = A9) * ('Form responses 1'!$A$2:$A1000 &lt;= DATE(2025, 3, 31)))
+ SUMPRODUCT(('Form responses 1'!$C$2:$C1000 = A9) * ('Form responses 1'!$A$2:$A1000 &lt;= DATE(2025, 3, 31)))
+ SUMPRODUCT(('Form responses 1'!$D$2:$D1000 = A9) * ('Form responses 1'!$A$2:$A1000 &lt;= DATE(2025, 3, 31)))
+ SUMPRODUCT(('Form responses 1'!$E$2:$E1000 = A9) * ('Form responses 1'!$A$2:$A1000 &lt;= DATE(2025, 3, 31)))
+ SUMPRODUCT(('Form responses 1'!$F$2:$F1000 = A9) * ('Form responses 1'!$A$2:$A1000 &lt;= DATE(2025, 3, 31)))
+ SUMPRODUCT(('Form responses 1'!$G$2:$G1000 = A9) * ('Form responses 1'!$A$2:$A1000 &lt;= DATE(2025, 3, 31)))),2),"-")</f>
        <v>0</v>
      </c>
      <c r="R9" s="2">
        <f>IFERROR(ROUND(Data!B9/(SUMPRODUCT(('Form responses 1'!$B$2:$B1000 = A9) * ('Form responses 1'!$A$2:$A1000 &lt;= DATE(2025, 4, 30)))
+ SUMPRODUCT(('Form responses 1'!$C$2:$C1000 = A9) * ('Form responses 1'!$A$2:$A1000 &lt;= DATE(2025, 4, 30)))
+ SUMPRODUCT(('Form responses 1'!$D$2:$D1000 = A9) * ('Form responses 1'!$A$2:$A1000 &lt;= DATE(2025, 4, 30)))
+ SUMPRODUCT(('Form responses 1'!$E$2:$E1000 = A9) * ('Form responses 1'!$A$2:$A1000 &lt;= DATE(2025, 4, 30)))
+ SUMPRODUCT(('Form responses 1'!$F$2:$F1000 = A9) * ('Form responses 1'!$A$2:$A1000 &lt;= DATE(2025, 4, 30)))
+ SUMPRODUCT(('Form responses 1'!$G$2:$G1000 = A9) * ('Form responses 1'!$A$2:$A1000 &lt;= DATE(2025, 4, 30)))), 2), "-")
</f>
        <v>0</v>
      </c>
      <c r="S9" s="2">
        <f>IFERROR(ROUND(Data!B9/(SUMPRODUCT(('Form responses 1'!$B$2:$B1000 = A9) * ('Form responses 1'!$A$2:$A1000 &lt;= DATE(2025, 5, 31)))
+ SUMPRODUCT(('Form responses 1'!$C$2:$C1000 = A9) * ('Form responses 1'!$A$2:$A1000 &lt;= DATE(2025, 5, 31)))
+ SUMPRODUCT(('Form responses 1'!$D$2:$D1000 = A9) * ('Form responses 1'!$A$2:$A1000 &lt;= DATE(2025, 5, 31)))
+ SUMPRODUCT(('Form responses 1'!$E$2:$E1000 = A9) * ('Form responses 1'!$A$2:$A1000 &lt;= DATE(2025, 5, 31)))
+ SUMPRODUCT(('Form responses 1'!$F$2:$F1000 = A9) * ('Form responses 1'!$A$2:$A1000 &lt;= DATE(2025, 5, 31)))
+ SUMPRODUCT(('Form responses 1'!$G$2:$G1000 = A9) * ('Form responses 1'!$A$2:$A1000 &lt;= DATE(2025, 5, 31)))), 2), "-")
</f>
        <v>0</v>
      </c>
      <c r="T9" s="2">
        <f>IFERROR(ROUND(Data!B9/(SUMPRODUCT(('Form responses 1'!$B$2:$B1000 = A9) * ('Form responses 1'!$A$2:$A1000 &lt;= DATE(2025, 6, 30)))
+ SUMPRODUCT(('Form responses 1'!$C$2:$C1000 = A9) * ('Form responses 1'!$A$2:$A1000 &lt;= DATE(2025, 6, 30)))
+ SUMPRODUCT(('Form responses 1'!$D$2:$D1000 = A9) * ('Form responses 1'!$A$2:$A1000 &lt;= DATE(2025, 6, 30)))
+ SUMPRODUCT(('Form responses 1'!$E$2:$E1000 = A9) * ('Form responses 1'!$A$2:$A1000 &lt;= DATE(2025, 6, 30)))
+ SUMPRODUCT(('Form responses 1'!$F$2:$F1000 = A9) * ('Form responses 1'!$A$2:$A1000 &lt;= DATE(2025, 6, 30)))
+ SUMPRODUCT(('Form responses 1'!$G$2:$G1000 = A9) * ('Form responses 1'!$A$2:$A1000 &lt;= DATE(2025, 6, 30)))), 2), "-")
</f>
        <v>0</v>
      </c>
      <c r="U9" s="2">
        <f>IFERROR(ROUND(Data!B9/(SUMPRODUCT(('Form responses 1'!$B$2:$B1000 = A9) * ('Form responses 1'!$A$2:$A1000 &lt;= DATE(2025, 7, 31)))
+ SUMPRODUCT(('Form responses 1'!$C$2:$C1000 = A9) * ('Form responses 1'!$A$2:$A1000 &lt;= DATE(2025, 7, 31)))
+ SUMPRODUCT(('Form responses 1'!$D$2:$D1000 = A9) * ('Form responses 1'!$A$2:$A1000 &lt;= DATE(2025, 7, 31)))
+ SUMPRODUCT(('Form responses 1'!$E$2:$E1000 = A9) * ('Form responses 1'!$A$2:$A1000 &lt;= DATE(2025, 7, 31)))
+ SUMPRODUCT(('Form responses 1'!$F$2:$F1000 = A9) * ('Form responses 1'!$A$2:$A1000 &lt;= DATE(2025, 7, 31)))
+ SUMPRODUCT(('Form responses 1'!$G$2:$G1000 = A9) * ('Form responses 1'!$A$2:$A1000 &lt;= DATE(2025, 7, 31)))), 2), "-")
</f>
        <v>0</v>
      </c>
      <c r="V9" s="2">
        <f>IFERROR(ROUND(Data!B9/(SUMPRODUCT(('Form responses 1'!$B$2:$B1000 = A9) * ('Form responses 1'!$A$2:$A1000 &lt;= DATE(2025, 8, 31)))
+ SUMPRODUCT(('Form responses 1'!$C$2:$C1000 = A9) * ('Form responses 1'!$A$2:$A1000 &lt;= DATE(2025, 8, 31)))
+ SUMPRODUCT(('Form responses 1'!$D$2:$D1000 = A9) * ('Form responses 1'!$A$2:$A1000 &lt;= DATE(2025, 8, 31)))
+ SUMPRODUCT(('Form responses 1'!$E$2:$E1000 = A9) * ('Form responses 1'!$A$2:$A1000 &lt;= DATE(2025, 8, 31)))
+ SUMPRODUCT(('Form responses 1'!$F$2:$F1000 = A9) * ('Form responses 1'!$A$2:$A1000 &lt;= DATE(2025, 8, 31)))
+ SUMPRODUCT(('Form responses 1'!$G$2:$G1000 = A9) * ('Form responses 1'!$A$2:$A1000 &lt;= DATE(2025, 8, 31)))), 2), "-")
</f>
        <v>0</v>
      </c>
      <c r="W9" s="2">
        <f>IFERROR(ROUND(Data!B9/(SUMPRODUCT(('Form responses 1'!$B$2:$B1000 = A9) * ('Form responses 1'!$A$2:$A1000 &lt;= DATE(2025, 9, 30)))
+ SUMPRODUCT(('Form responses 1'!$C$2:$C1000 = A9) * ('Form responses 1'!$A$2:$A1000 &lt;= DATE(2025, 9, 30)))
+ SUMPRODUCT(('Form responses 1'!$D$2:$D1000 = A9) * ('Form responses 1'!$A$2:$A1000 &lt;= DATE(2025, 9, 30)))
+ SUMPRODUCT(('Form responses 1'!$E$2:$E1000 = A9) * ('Form responses 1'!$A$2:$A1000 &lt;= DATE(2025, 9, 30)))
+ SUMPRODUCT(('Form responses 1'!$F$2:$F1000 = A9) * ('Form responses 1'!$A$2:$A1000 &lt;= DATE(2025, 9, 30)))
+ SUMPRODUCT(('Form responses 1'!$G$2:$G1000 = A9) * ('Form responses 1'!$A$2:$A1000 &lt;= DATE(2025, 9, 30)))), 2), "-")
</f>
        <v>0</v>
      </c>
      <c r="X9" s="2">
        <f>IFERROR(ROUND(Data!B9/(SUMPRODUCT(('Form responses 1'!$B$2:$B1000 = A9) * ('Form responses 1'!$A$2:$A1000 &lt;= DATE(2025, 10, 31)))
+ SUMPRODUCT(('Form responses 1'!$C$2:$C1000 = A9) * ('Form responses 1'!$A$2:$A1000 &lt;= DATE(2025, 10, 31)))
+ SUMPRODUCT(('Form responses 1'!$D$2:$D1000 = A9) * ('Form responses 1'!$A$2:$A1000 &lt;= DATE(2025, 10, 31)))
+ SUMPRODUCT(('Form responses 1'!$E$2:$E1000 = A9) * ('Form responses 1'!$A$2:$A1000 &lt;= DATE(2025, 10, 31)))
+ SUMPRODUCT(('Form responses 1'!$F$2:$F1000 = A9) * ('Form responses 1'!$A$2:$A1000 &lt;= DATE(2025, 10, 31)))
+ SUMPRODUCT(('Form responses 1'!$G$2:$G1000 = A9) * ('Form responses 1'!$A$2:$A1000 &lt;= DATE(2025, 10, 31)))), 2), "-")
</f>
        <v>0</v>
      </c>
      <c r="Y9" s="2">
        <f>IFERROR(ROUND(Data!B9/(SUMPRODUCT(('Form responses 1'!$B$2:$B1000 = A9) * ('Form responses 1'!$A$2:$A1000 &lt;= DATE(2025, 11, 30)))
+ SUMPRODUCT(('Form responses 1'!$C$2:$C1000 = A9) * ('Form responses 1'!$A$2:$A1000 &lt;= DATE(2025, 11, 30)))
+ SUMPRODUCT(('Form responses 1'!$D$2:$D1000 = A9) * ('Form responses 1'!$A$2:$A1000 &lt;= DATE(2025, 11, 30)))
+ SUMPRODUCT(('Form responses 1'!$E$2:$E1000 = A9) * ('Form responses 1'!$A$2:$A1000 &lt;= DATE(2025, 11, 30)))
+ SUMPRODUCT(('Form responses 1'!$F$2:$F1000 = A9) * ('Form responses 1'!$A$2:$A1000 &lt;= DATE(2025, 11, 30)))
+ SUMPRODUCT(('Form responses 1'!$G$2:$G1000 = A9) * ('Form responses 1'!$A$2:$A1000 &lt;= DATE(2025, 11, 30)))), 2), "-")
</f>
        <v>0</v>
      </c>
      <c r="Z9" s="2">
        <f>IFERROR(ROUND(Data!B9/(SUMPRODUCT(('Form responses 1'!$B$2:$B1000 = A9) * ('Form responses 1'!$A$2:$A1000 &lt;= DATE(2025, 12, 31)))
+ SUMPRODUCT(('Form responses 1'!$C$2:$C1000 = A9) * ('Form responses 1'!$A$2:$A1000 &lt;= DATE(2025, 12, 31)))
+ SUMPRODUCT(('Form responses 1'!$D$2:$D1000 = A9) * ('Form responses 1'!$A$2:$A1000 &lt;= DATE(2025, 12, 31)))
+ SUMPRODUCT(('Form responses 1'!$E$2:$E1000 = A9) * ('Form responses 1'!$A$2:$A1000 &lt;= DATE(2025, 12, 31)))
+ SUMPRODUCT(('Form responses 1'!$F$2:$F1000 = A9) * ('Form responses 1'!$A$2:$A1000 &lt;= DATE(2025, 12, 31)))
+ SUMPRODUCT(('Form responses 1'!$G$2:$G1000 = A9) * ('Form responses 1'!$A$2:$A1000 &lt;= DATE(2025, 12, 31)))), 2), "-")
</f>
        <v>0</v>
      </c>
      <c r="AA9" s="2">
        <f>IFERROR(ROUND(Data!$B9/(
  SUMPRODUCT(('Form responses 1'!$B$2:$B1000=$A9)*('Form responses 1'!$A$2:$A1000&lt;=EOMONTH(DATEVALUE("1 "&amp;AA$1),0)))+
  SUMPRODUCT(('Form responses 1'!$C$2:$C1000=$A9)*('Form responses 1'!$A$2:$A1000&lt;=EOMONTH(DATEVALUE("1 "&amp;AA$1),0)))+
  SUMPRODUCT(('Form responses 1'!$D$2:$D1000=$A9)*('Form responses 1'!$A$2:$A1000&lt;=EOMONTH(DATEVALUE("1 "&amp;AA$1),0)))+
  SUMPRODUCT(('Form responses 1'!$E$2:$E1000=$A9)*('Form responses 1'!$A$2:$A1000&lt;=EOMONTH(DATEVALUE("1 "&amp;AA$1),0)))+
  SUMPRODUCT(('Form responses 1'!$F$2:$F1000=$A9)*('Form responses 1'!$A$2:$A1000&lt;=EOMONTH(DATEVALUE("1 "&amp;AA$1),0)))+
  SUMPRODUCT(('Form responses 1'!$G$2:$G1000=$A9)*('Form responses 1'!$A$2:$A1000&lt;=EOMONTH(DATEVALUE("1 "&amp;AA$1),0)))
),2),"-")</f>
        <v>0</v>
      </c>
      <c r="AB9" s="2">
        <f>IFERROR(ROUND(Data!$B9/(
  SUMPRODUCT(('Form responses 1'!$B$2:$B1000=$A9)*('Form responses 1'!$A$2:$A1000&lt;=EOMONTH(DATEVALUE("1 "&amp;AB$1),0)))+
  SUMPRODUCT(('Form responses 1'!$C$2:$C1000=$A9)*('Form responses 1'!$A$2:$A1000&lt;=EOMONTH(DATEVALUE("1 "&amp;AB$1),0)))+
  SUMPRODUCT(('Form responses 1'!$D$2:$D1000=$A9)*('Form responses 1'!$A$2:$A1000&lt;=EOMONTH(DATEVALUE("1 "&amp;AB$1),0)))+
  SUMPRODUCT(('Form responses 1'!$E$2:$E1000=$A9)*('Form responses 1'!$A$2:$A1000&lt;=EOMONTH(DATEVALUE("1 "&amp;AB$1),0)))+
  SUMPRODUCT(('Form responses 1'!$F$2:$F1000=$A9)*('Form responses 1'!$A$2:$A1000&lt;=EOMONTH(DATEVALUE("1 "&amp;AB$1),0)))+
  SUMPRODUCT(('Form responses 1'!$G$2:$G1000=$A9)*('Form responses 1'!$A$2:$A1000&lt;=EOMONTH(DATEVALUE("1 "&amp;AB$1),0)))
),2),"-")</f>
        <v>0</v>
      </c>
      <c r="AC9" s="2">
        <f>IFERROR(ROUND(Data!$B9/(
  SUMPRODUCT(('Form responses 1'!$B$2:$B1000=$A9)*('Form responses 1'!$A$2:$A1000&lt;=EOMONTH(DATEVALUE("1 "&amp;AC$1),0)))+
  SUMPRODUCT(('Form responses 1'!$C$2:$C1000=$A9)*('Form responses 1'!$A$2:$A1000&lt;=EOMONTH(DATEVALUE("1 "&amp;AC$1),0)))+
  SUMPRODUCT(('Form responses 1'!$D$2:$D1000=$A9)*('Form responses 1'!$A$2:$A1000&lt;=EOMONTH(DATEVALUE("1 "&amp;AC$1),0)))+
  SUMPRODUCT(('Form responses 1'!$E$2:$E1000=$A9)*('Form responses 1'!$A$2:$A1000&lt;=EOMONTH(DATEVALUE("1 "&amp;AC$1),0)))+
  SUMPRODUCT(('Form responses 1'!$F$2:$F1000=$A9)*('Form responses 1'!$A$2:$A1000&lt;=EOMONTH(DATEVALUE("1 "&amp;AC$1),0)))+
  SUMPRODUCT(('Form responses 1'!$G$2:$G1000=$A9)*('Form responses 1'!$A$2:$A1000&lt;=EOMONTH(DATEVALUE("1 "&amp;AC$1),0)))
),2),"-")</f>
        <v>0</v>
      </c>
      <c r="AD9" s="2" t="str">
        <f>IFERROR(ROUND(Data!$B9/(
  SUMPRODUCT(('Form responses 1'!$B$2:$B1000=$A9)*('Form responses 1'!$A$2:$A1000&lt;=EOMONTH(DATEVALUE("1 "&amp;AD$1),0)))+
  SUMPRODUCT(('Form responses 1'!$C$2:$C1000=$A9)*('Form responses 1'!$A$2:$A1000&lt;=EOMONTH(DATEVALUE("1 "&amp;AD$1),0)))+
  SUMPRODUCT(('Form responses 1'!$D$2:$D1000=$A9)*('Form responses 1'!$A$2:$A1000&lt;=EOMONTH(DATEVALUE("1 "&amp;AD$1),0)))+
  SUMPRODUCT(('Form responses 1'!$E$2:$E1000=$A9)*('Form responses 1'!$A$2:$A1000&lt;=EOMONTH(DATEVALUE("1 "&amp;AD$1),0)))+
  SUMPRODUCT(('Form responses 1'!$F$2:$F1000=$A9)*('Form responses 1'!$A$2:$A1000&lt;=EOMONTH(DATEVALUE("1 "&amp;AD$1),0)))+
  SUMPRODUCT(('Form responses 1'!$G$2:$G1000=$A9)*('Form responses 1'!$A$2:$A1000&lt;=EOMONTH(DATEVALUE("1 "&amp;AD$1),0)))
),2),"-")</f>
        <v>-</v>
      </c>
      <c r="AE9" s="2" t="str">
        <f>IFERROR(ROUND(Data!$B9/(
  SUMPRODUCT(('Form responses 1'!$B$2:$B1000=$A9)*('Form responses 1'!$A$2:$A1000&lt;=EOMONTH(DATEVALUE("1 "&amp;AE$1),0)))+
  SUMPRODUCT(('Form responses 1'!$C$2:$C1000=$A9)*('Form responses 1'!$A$2:$A1000&lt;=EOMONTH(DATEVALUE("1 "&amp;AE$1),0)))+
  SUMPRODUCT(('Form responses 1'!$D$2:$D1000=$A9)*('Form responses 1'!$A$2:$A1000&lt;=EOMONTH(DATEVALUE("1 "&amp;AE$1),0)))+
  SUMPRODUCT(('Form responses 1'!$E$2:$E1000=$A9)*('Form responses 1'!$A$2:$A1000&lt;=EOMONTH(DATEVALUE("1 "&amp;AE$1),0)))+
  SUMPRODUCT(('Form responses 1'!$F$2:$F1000=$A9)*('Form responses 1'!$A$2:$A1000&lt;=EOMONTH(DATEVALUE("1 "&amp;AE$1),0)))+
  SUMPRODUCT(('Form responses 1'!$G$2:$G1000=$A9)*('Form responses 1'!$A$2:$A1000&lt;=EOMONTH(DATEVALUE("1 "&amp;AE$1),0)))
),2),"-")</f>
        <v>-</v>
      </c>
      <c r="AF9" s="2" t="str">
        <f>IFERROR(ROUND(Data!$B9/(
  SUMPRODUCT(('Form responses 1'!$B$2:$B1000=$A9)*('Form responses 1'!$A$2:$A1000&lt;=EOMONTH(DATEVALUE("1 "&amp;AF$1),0)))+
  SUMPRODUCT(('Form responses 1'!$C$2:$C1000=$A9)*('Form responses 1'!$A$2:$A1000&lt;=EOMONTH(DATEVALUE("1 "&amp;AF$1),0)))+
  SUMPRODUCT(('Form responses 1'!$D$2:$D1000=$A9)*('Form responses 1'!$A$2:$A1000&lt;=EOMONTH(DATEVALUE("1 "&amp;AF$1),0)))+
  SUMPRODUCT(('Form responses 1'!$E$2:$E1000=$A9)*('Form responses 1'!$A$2:$A1000&lt;=EOMONTH(DATEVALUE("1 "&amp;AF$1),0)))+
  SUMPRODUCT(('Form responses 1'!$F$2:$F1000=$A9)*('Form responses 1'!$A$2:$A1000&lt;=EOMONTH(DATEVALUE("1 "&amp;AF$1),0)))+
  SUMPRODUCT(('Form responses 1'!$G$2:$G1000=$A9)*('Form responses 1'!$A$2:$A1000&lt;=EOMONTH(DATEVALUE("1 "&amp;AF$1),0)))
),2),"-")</f>
        <v>-</v>
      </c>
      <c r="AG9" s="2" t="str">
        <f>IFERROR(ROUND(Data!$B9/(
  SUMPRODUCT(('Form responses 1'!$B$2:$B1000=$A9)*('Form responses 1'!$A$2:$A1000&lt;=EOMONTH(DATEVALUE("1 "&amp;AG$1),0)))+
  SUMPRODUCT(('Form responses 1'!$C$2:$C1000=$A9)*('Form responses 1'!$A$2:$A1000&lt;=EOMONTH(DATEVALUE("1 "&amp;AG$1),0)))+
  SUMPRODUCT(('Form responses 1'!$D$2:$D1000=$A9)*('Form responses 1'!$A$2:$A1000&lt;=EOMONTH(DATEVALUE("1 "&amp;AG$1),0)))+
  SUMPRODUCT(('Form responses 1'!$E$2:$E1000=$A9)*('Form responses 1'!$A$2:$A1000&lt;=EOMONTH(DATEVALUE("1 "&amp;AG$1),0)))+
  SUMPRODUCT(('Form responses 1'!$F$2:$F1000=$A9)*('Form responses 1'!$A$2:$A1000&lt;=EOMONTH(DATEVALUE("1 "&amp;AG$1),0)))+
  SUMPRODUCT(('Form responses 1'!$G$2:$G1000=$A9)*('Form responses 1'!$A$2:$A1000&lt;=EOMONTH(DATEVALUE("1 "&amp;AG$1),0)))
),2),"-")</f>
        <v>-</v>
      </c>
      <c r="AH9" s="2" t="str">
        <f>IFERROR(ROUND(Data!$B9/(
  SUMPRODUCT(('Form responses 1'!$B$2:$B1000=$A9)*('Form responses 1'!$A$2:$A1000&lt;=EOMONTH(DATEVALUE("1 "&amp;AH$1),0)))+
  SUMPRODUCT(('Form responses 1'!$C$2:$C1000=$A9)*('Form responses 1'!$A$2:$A1000&lt;=EOMONTH(DATEVALUE("1 "&amp;AH$1),0)))+
  SUMPRODUCT(('Form responses 1'!$D$2:$D1000=$A9)*('Form responses 1'!$A$2:$A1000&lt;=EOMONTH(DATEVALUE("1 "&amp;AH$1),0)))+
  SUMPRODUCT(('Form responses 1'!$E$2:$E1000=$A9)*('Form responses 1'!$A$2:$A1000&lt;=EOMONTH(DATEVALUE("1 "&amp;AH$1),0)))+
  SUMPRODUCT(('Form responses 1'!$F$2:$F1000=$A9)*('Form responses 1'!$A$2:$A1000&lt;=EOMONTH(DATEVALUE("1 "&amp;AH$1),0)))+
  SUMPRODUCT(('Form responses 1'!$G$2:$G1000=$A9)*('Form responses 1'!$A$2:$A1000&lt;=EOMONTH(DATEVALUE("1 "&amp;AH$1),0)))
),2),"-")</f>
        <v>-</v>
      </c>
      <c r="AI9" s="2" t="str">
        <f>IFERROR(ROUND(Data!$B9/(
  SUMPRODUCT(('Form responses 1'!$B$2:$B1000=$A9)*('Form responses 1'!$A$2:$A1000&lt;=EOMONTH(DATEVALUE("1 "&amp;AI$1),0)))+
  SUMPRODUCT(('Form responses 1'!$C$2:$C1000=$A9)*('Form responses 1'!$A$2:$A1000&lt;=EOMONTH(DATEVALUE("1 "&amp;AI$1),0)))+
  SUMPRODUCT(('Form responses 1'!$D$2:$D1000=$A9)*('Form responses 1'!$A$2:$A1000&lt;=EOMONTH(DATEVALUE("1 "&amp;AI$1),0)))+
  SUMPRODUCT(('Form responses 1'!$E$2:$E1000=$A9)*('Form responses 1'!$A$2:$A1000&lt;=EOMONTH(DATEVALUE("1 "&amp;AI$1),0)))+
  SUMPRODUCT(('Form responses 1'!$F$2:$F1000=$A9)*('Form responses 1'!$A$2:$A1000&lt;=EOMONTH(DATEVALUE("1 "&amp;AI$1),0)))+
  SUMPRODUCT(('Form responses 1'!$G$2:$G1000=$A9)*('Form responses 1'!$A$2:$A1000&lt;=EOMONTH(DATEVALUE("1 "&amp;AI$1),0)))
),2),"-")</f>
        <v>-</v>
      </c>
      <c r="AJ9" s="2" t="str">
        <f>IFERROR(ROUND(Data!$B9/(
  SUMPRODUCT(('Form responses 1'!$B$2:$B1000=$A9)*('Form responses 1'!$A$2:$A1000&lt;=EOMONTH(DATEVALUE("1 "&amp;AJ$1),0)))+
  SUMPRODUCT(('Form responses 1'!$C$2:$C1000=$A9)*('Form responses 1'!$A$2:$A1000&lt;=EOMONTH(DATEVALUE("1 "&amp;AJ$1),0)))+
  SUMPRODUCT(('Form responses 1'!$D$2:$D1000=$A9)*('Form responses 1'!$A$2:$A1000&lt;=EOMONTH(DATEVALUE("1 "&amp;AJ$1),0)))+
  SUMPRODUCT(('Form responses 1'!$E$2:$E1000=$A9)*('Form responses 1'!$A$2:$A1000&lt;=EOMONTH(DATEVALUE("1 "&amp;AJ$1),0)))+
  SUMPRODUCT(('Form responses 1'!$F$2:$F1000=$A9)*('Form responses 1'!$A$2:$A1000&lt;=EOMONTH(DATEVALUE("1 "&amp;AJ$1),0)))+
  SUMPRODUCT(('Form responses 1'!$G$2:$G1000=$A9)*('Form responses 1'!$A$2:$A1000&lt;=EOMONTH(DATEVALUE("1 "&amp;AJ$1),0)))
),2),"-")</f>
        <v>-</v>
      </c>
      <c r="AK9" s="2" t="str">
        <f>IFERROR(ROUND(Data!$B9/(
  SUMPRODUCT(('Form responses 1'!$B$2:$B1000=$A9)*('Form responses 1'!$A$2:$A1000&lt;=EOMONTH(DATEVALUE("1 "&amp;AK$1),0)))+
  SUMPRODUCT(('Form responses 1'!$C$2:$C1000=$A9)*('Form responses 1'!$A$2:$A1000&lt;=EOMONTH(DATEVALUE("1 "&amp;AK$1),0)))+
  SUMPRODUCT(('Form responses 1'!$D$2:$D1000=$A9)*('Form responses 1'!$A$2:$A1000&lt;=EOMONTH(DATEVALUE("1 "&amp;AK$1),0)))+
  SUMPRODUCT(('Form responses 1'!$E$2:$E1000=$A9)*('Form responses 1'!$A$2:$A1000&lt;=EOMONTH(DATEVALUE("1 "&amp;AK$1),0)))+
  SUMPRODUCT(('Form responses 1'!$F$2:$F1000=$A9)*('Form responses 1'!$A$2:$A1000&lt;=EOMONTH(DATEVALUE("1 "&amp;AK$1),0)))+
  SUMPRODUCT(('Form responses 1'!$G$2:$G1000=$A9)*('Form responses 1'!$A$2:$A1000&lt;=EOMONTH(DATEVALUE("1 "&amp;AK$1),0)))
),2),"-")</f>
        <v>-</v>
      </c>
      <c r="AL9" s="2" t="str">
        <f>IFERROR(ROUND(Data!$B9/(
  SUMPRODUCT(('Form responses 1'!$B$2:$B1000=$A9)*('Form responses 1'!$A$2:$A1000&lt;=EOMONTH(DATEVALUE("1 "&amp;AL$1),0)))+
  SUMPRODUCT(('Form responses 1'!$C$2:$C1000=$A9)*('Form responses 1'!$A$2:$A1000&lt;=EOMONTH(DATEVALUE("1 "&amp;AL$1),0)))+
  SUMPRODUCT(('Form responses 1'!$D$2:$D1000=$A9)*('Form responses 1'!$A$2:$A1000&lt;=EOMONTH(DATEVALUE("1 "&amp;AL$1),0)))+
  SUMPRODUCT(('Form responses 1'!$E$2:$E1000=$A9)*('Form responses 1'!$A$2:$A1000&lt;=EOMONTH(DATEVALUE("1 "&amp;AL$1),0)))+
  SUMPRODUCT(('Form responses 1'!$F$2:$F1000=$A9)*('Form responses 1'!$A$2:$A1000&lt;=EOMONTH(DATEVALUE("1 "&amp;AL$1),0)))+
  SUMPRODUCT(('Form responses 1'!$G$2:$G1000=$A9)*('Form responses 1'!$A$2:$A1000&lt;=EOMONTH(DATEVALUE("1 "&amp;AL$1),0)))
),2),"-")</f>
        <v>-</v>
      </c>
    </row>
    <row r="10">
      <c r="A10" s="6" t="str">
        <f>IFERROR(__xludf.DUMMYFUNCTION("""COMPUTED_VALUE"""),"Spijkerbroek levi's")</f>
        <v>Spijkerbroek levi's</v>
      </c>
      <c r="B10" s="2">
        <f>Data!F10:F1000</f>
        <v>0.17</v>
      </c>
      <c r="C10" s="2">
        <f>IFERROR(ROUND(Data!B10/(SUMPRODUCT(('Form responses 1'!$B$2:$B1000 = A10) * ('Form responses 1'!$A$2:$A1000 &lt;= DATE(2024, 1, 31)))
+ SUMPRODUCT(('Form responses 1'!$C$2:$C1000 = A10) * ('Form responses 1'!$A$2:$A1000 &lt;= DATE(2024, 1, 31)))
+ SUMPRODUCT(('Form responses 1'!$D$2:$D1000 = A10) * ('Form responses 1'!$A$2:$A1000 &lt;= DATE(2024, 1, 31)))
+ SUMPRODUCT(('Form responses 1'!$E$2:$E1000 = A10) * ('Form responses 1'!$A$2:$A1000 &lt;= DATE(2024, 1, 31)))
+ SUMPRODUCT(('Form responses 1'!$F$2:$F1000 = A10) * ('Form responses 1'!$A$2:$A1000 &lt;= DATE(2024, 1, 31)))
+ SUMPRODUCT(('Form responses 1'!$G$2:$G1000 = A10) * ('Form responses 1'!$A$2:$A1000 &lt;= DATE(2024, 1, 31)))), 2), "-")
</f>
        <v>0.57</v>
      </c>
      <c r="D10" s="2">
        <f>IFERROR(ROUND(Data!B10/(SUMPRODUCT(('Form responses 1'!$B$2:$B1000 = A10) * ('Form responses 1'!$A$2:$A1000 &lt;= DATE(2024, 2, 29)))
+ SUMPRODUCT(('Form responses 1'!$C$2:$C1000 = A10) * ('Form responses 1'!$A$2:$A1000 &lt;= DATE(2024, 2, 29)))
+ SUMPRODUCT(('Form responses 1'!$D$2:$D1000 = A10) * ('Form responses 1'!$A$2:$A1000 &lt;= DATE(2024, 2, 29)))
+ SUMPRODUCT(('Form responses 1'!$E$2:$E1000 = A10) * ('Form responses 1'!$A$2:$A1000 &lt;= DATE(2024, 2, 29)))
+ SUMPRODUCT(('Form responses 1'!$F$2:$F1000 = A10) * ('Form responses 1'!$A$2:$A1000 &lt;= DATE(2024, 2, 29)))
+ SUMPRODUCT(('Form responses 1'!$G$2:$G1000 = A10) * ('Form responses 1'!$A$2:$A1000 &lt;= DATE(2024, 2, 29)))), 2), "-")
</f>
        <v>0.53</v>
      </c>
      <c r="E10" s="2">
        <f>IFERROR(ROUND(Data!B10/(SUMPRODUCT(('Form responses 1'!$B$2:$B1000 = A10) * ('Form responses 1'!$A$2:$A1000 &lt;= DATE(2024, 3, 31)))
+ SUMPRODUCT(('Form responses 1'!$C$2:$C1000 = A10) * ('Form responses 1'!$A$2:$A1000 &lt;= DATE(2024, 3, 31)))
+ SUMPRODUCT(('Form responses 1'!$D$2:$D1000 = A10) * ('Form responses 1'!$A$2:$A1000 &lt;= DATE(2024, 3, 31)))
+ SUMPRODUCT(('Form responses 1'!$E$2:$E1000 = A10) * ('Form responses 1'!$A$2:$A1000 &lt;= DATE(2024, 3, 31)))
+ SUMPRODUCT(('Form responses 1'!$F$2:$F1000 = A10) * ('Form responses 1'!$A$2:$A1000 &lt;= DATE(2024, 3, 31)))
+ SUMPRODUCT(('Form responses 1'!$G$2:$G1000 = A10) * ('Form responses 1'!$A$2:$A1000 &lt;= DATE(2024, 3, 31)))), 2), "-")
</f>
        <v>0.5</v>
      </c>
      <c r="F10" s="2">
        <f>IFERROR(ROUND(Data!B10/(SUMPRODUCT(('Form responses 1'!$B$2:$B1000 = A10) * ('Form responses 1'!$A$2:$A1000 &lt;= DATE(2024, 4, 30)))
+ SUMPRODUCT(('Form responses 1'!$C$2:$C1000 = A10) * ('Form responses 1'!$A$2:$A1000 &lt;= DATE(2024, 4, 30)))
+ SUMPRODUCT(('Form responses 1'!$D$2:$D1000 = A10) * ('Form responses 1'!$A$2:$A1000 &lt;= DATE(2024, 4, 30)))
+ SUMPRODUCT(('Form responses 1'!$E$2:$E1000 = A10) * ('Form responses 1'!$A$2:$A1000 &lt;= DATE(2024, 4, 30)))
+ SUMPRODUCT(('Form responses 1'!$F$2:$F1000 = A10) * ('Form responses 1'!$A$2:$A1000 &lt;= DATE(2024, 4, 30)))
+ SUMPRODUCT(('Form responses 1'!$G$2:$G1000 = A10) * ('Form responses 1'!$A$2:$A1000 &lt;= DATE(2024, 4, 30)))), 2), "-")
</f>
        <v>0.47</v>
      </c>
      <c r="G10" s="2">
        <f>IFERROR(ROUND(Data!B10/(SUMPRODUCT(('Form responses 1'!$B$2:$B1000 = A10) * ('Form responses 1'!$A$2:$A1000 &lt;= DATE(2024, 5, 31)))
+ SUMPRODUCT(('Form responses 1'!$C$2:$C1000 = A10) * ('Form responses 1'!$A$2:$A1000 &lt;= DATE(2024, 5, 31)))
+ SUMPRODUCT(('Form responses 1'!$D$2:$D1000 = A10) * ('Form responses 1'!$A$2:$A1000 &lt;= DATE(2024, 5, 31)))
+ SUMPRODUCT(('Form responses 1'!$E$2:$E1000 = A10) * ('Form responses 1'!$A$2:$A1000 &lt;= DATE(2024, 5, 31)))
+ SUMPRODUCT(('Form responses 1'!$F$2:$F1000 = A10) * ('Form responses 1'!$A$2:$A1000 &lt;= DATE(2024, 5, 31)))
+ SUMPRODUCT(('Form responses 1'!$G$2:$G1000 = A10) * ('Form responses 1'!$A$2:$A1000 &lt;= DATE(2024, 5, 31)))), 2), "-")
</f>
        <v>0.45</v>
      </c>
      <c r="H10" s="2">
        <f>IFERROR(ROUND(Data!B10/(SUMPRODUCT(('Form responses 1'!$B$2:$B1000 = A10) * ('Form responses 1'!$A$2:$A1000 &lt;= DATE(2024, 6, 30)))
+ SUMPRODUCT(('Form responses 1'!$C$2:$C1000 = A10) * ('Form responses 1'!$A$2:$A1000 &lt;= DATE(2024, 6, 30)))
+ SUMPRODUCT(('Form responses 1'!$D$2:$D1000 = A10) * ('Form responses 1'!$A$2:$A1000 &lt;= DATE(2024, 6, 30)))
+ SUMPRODUCT(('Form responses 1'!$E$2:$E1000 = A10) * ('Form responses 1'!$A$2:$A1000 &lt;= DATE(2024, 6, 30)))
+ SUMPRODUCT(('Form responses 1'!$F$2:$F1000 = A10) * ('Form responses 1'!$A$2:$A1000 &lt;= DATE(2024, 6, 30)))
+ SUMPRODUCT(('Form responses 1'!$G$2:$G1000 = A10) * ('Form responses 1'!$A$2:$A1000 &lt;= DATE(2024, 6, 30)))), 2), "-")
</f>
        <v>0.42</v>
      </c>
      <c r="I10" s="2">
        <f>IFERROR(ROUND(Data!B10/(SUMPRODUCT(('Form responses 1'!$B$2:$B1000 = A10) * ('Form responses 1'!$A$2:$A1000 &lt;= DATE(2024, 7, 31)))
+ SUMPRODUCT(('Form responses 1'!$C$2:$C1000 = A10) * ('Form responses 1'!$A$2:$A1000 &lt;= DATE(2024, 7, 31)))
+ SUMPRODUCT(('Form responses 1'!$D$2:$D1000 = A10) * ('Form responses 1'!$A$2:$A1000 &lt;= DATE(2024, 7, 31)))
+ SUMPRODUCT(('Form responses 1'!$E$2:$E1000 = A10) * ('Form responses 1'!$A$2:$A1000 &lt;= DATE(2024, 7, 31)))
+ SUMPRODUCT(('Form responses 1'!$F$2:$F1000 = A10) * ('Form responses 1'!$A$2:$A1000 &lt;= DATE(2024, 7, 31)))
+ SUMPRODUCT(('Form responses 1'!$G$2:$G1000 = A10) * ('Form responses 1'!$A$2:$A1000 &lt;= DATE(2024, 7, 31)))), 2), "-")
</f>
        <v>0.4</v>
      </c>
      <c r="J10" s="2">
        <f>IFERROR(ROUND(Data!B10/(SUMPRODUCT(('Form responses 1'!$B$2:$B1000 = A10) * ('Form responses 1'!$A$2:$A1000 &lt;= DATE(2024, 8, 31)))
+ SUMPRODUCT(('Form responses 1'!$C$2:$C1000 = A10) * ('Form responses 1'!$A$2:$A1000 &lt;= DATE(2024, 8, 31)))
+ SUMPRODUCT(('Form responses 1'!$D$2:$D1000 = A10) * ('Form responses 1'!$A$2:$A1000 &lt;= DATE(2024, 8, 31)))
+ SUMPRODUCT(('Form responses 1'!$E$2:$E1000 = A10) * ('Form responses 1'!$A$2:$A1000 &lt;= DATE(2024, 8, 31)))
+ SUMPRODUCT(('Form responses 1'!$F$2:$F1000 = A10) * ('Form responses 1'!$A$2:$A1000 &lt;= DATE(2024, 8, 31)))
+ SUMPRODUCT(('Form responses 1'!$G$2:$G1000 = A10) * ('Form responses 1'!$A$2:$A1000 &lt;= DATE(2024, 8, 31)))), 2), "-")
</f>
        <v>0.39</v>
      </c>
      <c r="K10" s="2">
        <f>IFERROR(ROUND(Data!B10/(SUMPRODUCT(('Form responses 1'!$B$2:$B1000 = A10) * ('Form responses 1'!$A$2:$A1000 &lt;= DATE(2024, 9, 30)))
+ SUMPRODUCT(('Form responses 1'!$C$2:$C1000 = A10) * ('Form responses 1'!$A$2:$A1000 &lt;= DATE(2024, 9, 30)))
+ SUMPRODUCT(('Form responses 1'!$D$2:$D1000 = A10) * ('Form responses 1'!$A$2:$A1000 &lt;= DATE(2024, 9, 30)))
+ SUMPRODUCT(('Form responses 1'!$E$2:$E1000 = A10) * ('Form responses 1'!$A$2:$A1000 &lt;= DATE(2024, 9, 30)))
+ SUMPRODUCT(('Form responses 1'!$F$2:$F1000 = A10) * ('Form responses 1'!$A$2:$A1000 &lt;= DATE(2024, 9, 30)))
+ SUMPRODUCT(('Form responses 1'!$G$2:$G1000 = A10) * ('Form responses 1'!$A$2:$A1000 &lt;= DATE(2024, 9, 30)))), 2), "-")
</f>
        <v>0.37</v>
      </c>
      <c r="L10" s="2">
        <f>IFERROR(ROUND(Data!B10/(SUMPRODUCT(('Form responses 1'!$B$2:$B1000 = A10) * ('Form responses 1'!$A$2:$A1000 &lt;= DATE(2024, 10, 31)))
+ SUMPRODUCT(('Form responses 1'!$C$2:$C1000 = A10) * ('Form responses 1'!$A$2:$A1000 &lt;= DATE(2024, 10, 31)))
+ SUMPRODUCT(('Form responses 1'!$D$2:$D1000 = A10) * ('Form responses 1'!$A$2:$A1000 &lt;= DATE(2024, 10, 31)))
+ SUMPRODUCT(('Form responses 1'!$E$2:$E1000 = A10) * ('Form responses 1'!$A$2:$A1000 &lt;= DATE(2024, 10, 31)))
+ SUMPRODUCT(('Form responses 1'!$F$2:$F1000 = A10) * ('Form responses 1'!$A$2:$A1000 &lt;= DATE(2024, 10, 31)))
+ SUMPRODUCT(('Form responses 1'!$G$2:$G1000 = A10) * ('Form responses 1'!$A$2:$A1000 &lt;= DATE(2024, 10, 31)))), 2), "-")
</f>
        <v>0.37</v>
      </c>
      <c r="M10" s="2">
        <f>IFERROR(ROUND(Data!B10/(SUMPRODUCT(('Form responses 1'!$B$2:$B1000 = A10) * ('Form responses 1'!$A$2:$A1000 &lt;= DATE(2024, 11, 30)))
+ SUMPRODUCT(('Form responses 1'!$C$2:$C1000 = A10) * ('Form responses 1'!$A$2:$A1000 &lt;= DATE(2024, 11, 30)))
+ SUMPRODUCT(('Form responses 1'!$D$2:$D1000 = A10) * ('Form responses 1'!$A$2:$A1000 &lt;= DATE(2024, 11, 30)))
+ SUMPRODUCT(('Form responses 1'!$E$2:$E1000 = A10) * ('Form responses 1'!$A$2:$A1000 &lt;= DATE(2024, 11, 30)))
+ SUMPRODUCT(('Form responses 1'!$F$2:$F1000 = A10) * ('Form responses 1'!$A$2:$A1000 &lt;= DATE(2024, 11, 30)))
+ SUMPRODUCT(('Form responses 1'!$G$2:$G1000 = A10) * ('Form responses 1'!$A$2:$A1000 &lt;= DATE(2024, 11, 30)))), 2), "-")
</f>
        <v>0.36</v>
      </c>
      <c r="N10" s="2">
        <f>IFERROR(ROUND(Data!B10/(SUMPRODUCT(('Form responses 1'!$B$2:$B1000 = A10) * ('Form responses 1'!$A$2:$A1000 &lt;= DATE(2024, 12, 31)))
+ SUMPRODUCT(('Form responses 1'!$C$2:$C1000 = A10) * ('Form responses 1'!$A$2:$A1000 &lt;= DATE(2024, 12, 31)))
+ SUMPRODUCT(('Form responses 1'!$D$2:$D1000 = A10) * ('Form responses 1'!$A$2:$A1000 &lt;= DATE(2024, 12, 31)))
+ SUMPRODUCT(('Form responses 1'!$E$2:$E1000 = A10) * ('Form responses 1'!$A$2:$A1000 &lt;= DATE(2024, 12, 31)))
+ SUMPRODUCT(('Form responses 1'!$F$2:$F1000 = A10) * ('Form responses 1'!$A$2:$A1000 &lt;= DATE(2024, 12, 31)))
+ SUMPRODUCT(('Form responses 1'!$G$2:$G1000 = A10) * ('Form responses 1'!$A$2:$A1000 &lt;= DATE(2024, 12, 31)))), 2), "-")
</f>
        <v>0.35</v>
      </c>
      <c r="O10" s="2">
        <f>IFERROR(ROUND(Data!B10/(SUMPRODUCT(('Form responses 1'!$B$2:$B1000 = A10) * ('Form responses 1'!$A$2:$A1000 &lt;= DATE(2025, 1, 31)))
+ SUMPRODUCT(('Form responses 1'!$C$2:$C1000 = A10) * ('Form responses 1'!$A$2:$A1000 &lt;= DATE(2025, 1, 31)))
+ SUMPRODUCT(('Form responses 1'!$D$2:$D1000 = A10) * ('Form responses 1'!$A$2:$A1000 &lt;= DATE(2025, 1, 31)))
+ SUMPRODUCT(('Form responses 1'!$E$2:$E1000 = A10) * ('Form responses 1'!$A$2:$A1000 &lt;= DATE(2025, 1, 31)))
+ SUMPRODUCT(('Form responses 1'!$F$2:$F1000 = A10) * ('Form responses 1'!$A$2:$A1000 &lt;= DATE(2025, 1, 31)))
+ SUMPRODUCT(('Form responses 1'!$G$2:$G1000 = A10) * ('Form responses 1'!$A$2:$A1000 &lt;= DATE(2025, 1, 31)))), 2), "-")
</f>
        <v>0.31</v>
      </c>
      <c r="P10" s="2">
        <f>IFERROR(ROUND(Data!B10/(SUMPRODUCT(('Form responses 1'!$B$2:$B1000 = A10) * ('Form responses 1'!$A$2:$A1000 &lt;= DATE(2025, 2, 28)))
+ SUMPRODUCT(('Form responses 1'!$C$2:$C1000 = A10) * ('Form responses 1'!$A$2:$A1000 &lt;= DATE(2025, 2, 28)))
+ SUMPRODUCT(('Form responses 1'!$D$2:$D1000 = A10) * ('Form responses 1'!$A$2:$A1000 &lt;= DATE(2025, 2, 28)))
+ SUMPRODUCT(('Form responses 1'!$E$2:$E1000 = A10) * ('Form responses 1'!$A$2:$A1000 &lt;= DATE(2025, 2, 28)))
+ SUMPRODUCT(('Form responses 1'!$F$2:$F1000 = A10) * ('Form responses 1'!$A$2:$A1000 &lt;= DATE(2025, 2, 28)))
+ SUMPRODUCT(('Form responses 1'!$G$2:$G1000 = A10) * ('Form responses 1'!$A$2:$A1000 &lt;= DATE(2025, 2, 28)))), 2), "-")
</f>
        <v>0.29</v>
      </c>
      <c r="Q10" s="2">
        <f>IFERROR(ROUND(Data!B10/(SUMPRODUCT(('Form responses 1'!$B$2:$B1000 = A10) * ('Form responses 1'!$A$2:$A1000 &lt;= DATE(2025, 3, 31)))
+ SUMPRODUCT(('Form responses 1'!$C$2:$C1000 = A10) * ('Form responses 1'!$A$2:$A1000 &lt;= DATE(2025, 3, 31)))
+ SUMPRODUCT(('Form responses 1'!$D$2:$D1000 = A10) * ('Form responses 1'!$A$2:$A1000 &lt;= DATE(2025, 3, 31)))
+ SUMPRODUCT(('Form responses 1'!$E$2:$E1000 = A10) * ('Form responses 1'!$A$2:$A1000 &lt;= DATE(2025, 3, 31)))
+ SUMPRODUCT(('Form responses 1'!$F$2:$F1000 = A10) * ('Form responses 1'!$A$2:$A1000 &lt;= DATE(2025, 3, 31)))
+ SUMPRODUCT(('Form responses 1'!$G$2:$G1000 = A10) * ('Form responses 1'!$A$2:$A1000 &lt;= DATE(2025, 3, 31)))),2),"-")</f>
        <v>0.27</v>
      </c>
      <c r="R10" s="2">
        <f>IFERROR(ROUND(Data!B10/(SUMPRODUCT(('Form responses 1'!$B$2:$B1000 = A10) * ('Form responses 1'!$A$2:$A1000 &lt;= DATE(2025, 4, 30)))
+ SUMPRODUCT(('Form responses 1'!$C$2:$C1000 = A10) * ('Form responses 1'!$A$2:$A1000 &lt;= DATE(2025, 4, 30)))
+ SUMPRODUCT(('Form responses 1'!$D$2:$D1000 = A10) * ('Form responses 1'!$A$2:$A1000 &lt;= DATE(2025, 4, 30)))
+ SUMPRODUCT(('Form responses 1'!$E$2:$E1000 = A10) * ('Form responses 1'!$A$2:$A1000 &lt;= DATE(2025, 4, 30)))
+ SUMPRODUCT(('Form responses 1'!$F$2:$F1000 = A10) * ('Form responses 1'!$A$2:$A1000 &lt;= DATE(2025, 4, 30)))
+ SUMPRODUCT(('Form responses 1'!$G$2:$G1000 = A10) * ('Form responses 1'!$A$2:$A1000 &lt;= DATE(2025, 4, 30)))), 2), "-")
</f>
        <v>0.26</v>
      </c>
      <c r="S10" s="2">
        <f>IFERROR(ROUND(Data!B10/(SUMPRODUCT(('Form responses 1'!$B$2:$B1000 = A10) * ('Form responses 1'!$A$2:$A1000 &lt;= DATE(2025, 5, 31)))
+ SUMPRODUCT(('Form responses 1'!$C$2:$C1000 = A10) * ('Form responses 1'!$A$2:$A1000 &lt;= DATE(2025, 5, 31)))
+ SUMPRODUCT(('Form responses 1'!$D$2:$D1000 = A10) * ('Form responses 1'!$A$2:$A1000 &lt;= DATE(2025, 5, 31)))
+ SUMPRODUCT(('Form responses 1'!$E$2:$E1000 = A10) * ('Form responses 1'!$A$2:$A1000 &lt;= DATE(2025, 5, 31)))
+ SUMPRODUCT(('Form responses 1'!$F$2:$F1000 = A10) * ('Form responses 1'!$A$2:$A1000 &lt;= DATE(2025, 5, 31)))
+ SUMPRODUCT(('Form responses 1'!$G$2:$G1000 = A10) * ('Form responses 1'!$A$2:$A1000 &lt;= DATE(2025, 5, 31)))), 2), "-")
</f>
        <v>0.25</v>
      </c>
      <c r="T10" s="2">
        <f>IFERROR(ROUND(Data!B10/(SUMPRODUCT(('Form responses 1'!$B$2:$B1000 = A10) * ('Form responses 1'!$A$2:$A1000 &lt;= DATE(2025, 6, 30)))
+ SUMPRODUCT(('Form responses 1'!$C$2:$C1000 = A10) * ('Form responses 1'!$A$2:$A1000 &lt;= DATE(2025, 6, 30)))
+ SUMPRODUCT(('Form responses 1'!$D$2:$D1000 = A10) * ('Form responses 1'!$A$2:$A1000 &lt;= DATE(2025, 6, 30)))
+ SUMPRODUCT(('Form responses 1'!$E$2:$E1000 = A10) * ('Form responses 1'!$A$2:$A1000 &lt;= DATE(2025, 6, 30)))
+ SUMPRODUCT(('Form responses 1'!$F$2:$F1000 = A10) * ('Form responses 1'!$A$2:$A1000 &lt;= DATE(2025, 6, 30)))
+ SUMPRODUCT(('Form responses 1'!$G$2:$G1000 = A10) * ('Form responses 1'!$A$2:$A1000 &lt;= DATE(2025, 6, 30)))), 2), "-")
</f>
        <v>0.25</v>
      </c>
      <c r="U10" s="2">
        <f>IFERROR(ROUND(Data!B10/(SUMPRODUCT(('Form responses 1'!$B$2:$B1000 = A10) * ('Form responses 1'!$A$2:$A1000 &lt;= DATE(2025, 7, 31)))
+ SUMPRODUCT(('Form responses 1'!$C$2:$C1000 = A10) * ('Form responses 1'!$A$2:$A1000 &lt;= DATE(2025, 7, 31)))
+ SUMPRODUCT(('Form responses 1'!$D$2:$D1000 = A10) * ('Form responses 1'!$A$2:$A1000 &lt;= DATE(2025, 7, 31)))
+ SUMPRODUCT(('Form responses 1'!$E$2:$E1000 = A10) * ('Form responses 1'!$A$2:$A1000 &lt;= DATE(2025, 7, 31)))
+ SUMPRODUCT(('Form responses 1'!$F$2:$F1000 = A10) * ('Form responses 1'!$A$2:$A1000 &lt;= DATE(2025, 7, 31)))
+ SUMPRODUCT(('Form responses 1'!$G$2:$G1000 = A10) * ('Form responses 1'!$A$2:$A1000 &lt;= DATE(2025, 7, 31)))), 2), "-")
</f>
        <v>0.25</v>
      </c>
      <c r="V10" s="2">
        <f>IFERROR(ROUND(Data!B10/(SUMPRODUCT(('Form responses 1'!$B$2:$B1000 = A10) * ('Form responses 1'!$A$2:$A1000 &lt;= DATE(2025, 8, 31)))
+ SUMPRODUCT(('Form responses 1'!$C$2:$C1000 = A10) * ('Form responses 1'!$A$2:$A1000 &lt;= DATE(2025, 8, 31)))
+ SUMPRODUCT(('Form responses 1'!$D$2:$D1000 = A10) * ('Form responses 1'!$A$2:$A1000 &lt;= DATE(2025, 8, 31)))
+ SUMPRODUCT(('Form responses 1'!$E$2:$E1000 = A10) * ('Form responses 1'!$A$2:$A1000 &lt;= DATE(2025, 8, 31)))
+ SUMPRODUCT(('Form responses 1'!$F$2:$F1000 = A10) * ('Form responses 1'!$A$2:$A1000 &lt;= DATE(2025, 8, 31)))
+ SUMPRODUCT(('Form responses 1'!$G$2:$G1000 = A10) * ('Form responses 1'!$A$2:$A1000 &lt;= DATE(2025, 8, 31)))), 2), "-")
</f>
        <v>0.24</v>
      </c>
      <c r="W10" s="2">
        <f>IFERROR(ROUND(Data!B10/(SUMPRODUCT(('Form responses 1'!$B$2:$B1000 = A10) * ('Form responses 1'!$A$2:$A1000 &lt;= DATE(2025, 9, 30)))
+ SUMPRODUCT(('Form responses 1'!$C$2:$C1000 = A10) * ('Form responses 1'!$A$2:$A1000 &lt;= DATE(2025, 9, 30)))
+ SUMPRODUCT(('Form responses 1'!$D$2:$D1000 = A10) * ('Form responses 1'!$A$2:$A1000 &lt;= DATE(2025, 9, 30)))
+ SUMPRODUCT(('Form responses 1'!$E$2:$E1000 = A10) * ('Form responses 1'!$A$2:$A1000 &lt;= DATE(2025, 9, 30)))
+ SUMPRODUCT(('Form responses 1'!$F$2:$F1000 = A10) * ('Form responses 1'!$A$2:$A1000 &lt;= DATE(2025, 9, 30)))
+ SUMPRODUCT(('Form responses 1'!$G$2:$G1000 = A10) * ('Form responses 1'!$A$2:$A1000 &lt;= DATE(2025, 9, 30)))), 2), "-")
</f>
        <v>0.24</v>
      </c>
      <c r="X10" s="2">
        <f>IFERROR(ROUND(Data!B10/(SUMPRODUCT(('Form responses 1'!$B$2:$B1000 = A10) * ('Form responses 1'!$A$2:$A1000 &lt;= DATE(2025, 10, 31)))
+ SUMPRODUCT(('Form responses 1'!$C$2:$C1000 = A10) * ('Form responses 1'!$A$2:$A1000 &lt;= DATE(2025, 10, 31)))
+ SUMPRODUCT(('Form responses 1'!$D$2:$D1000 = A10) * ('Form responses 1'!$A$2:$A1000 &lt;= DATE(2025, 10, 31)))
+ SUMPRODUCT(('Form responses 1'!$E$2:$E1000 = A10) * ('Form responses 1'!$A$2:$A1000 &lt;= DATE(2025, 10, 31)))
+ SUMPRODUCT(('Form responses 1'!$F$2:$F1000 = A10) * ('Form responses 1'!$A$2:$A1000 &lt;= DATE(2025, 10, 31)))
+ SUMPRODUCT(('Form responses 1'!$G$2:$G1000 = A10) * ('Form responses 1'!$A$2:$A1000 &lt;= DATE(2025, 10, 31)))), 2), "-")
</f>
        <v>0.23</v>
      </c>
      <c r="Y10" s="2">
        <f>IFERROR(ROUND(Data!B10/(SUMPRODUCT(('Form responses 1'!$B$2:$B1000 = A10) * ('Form responses 1'!$A$2:$A1000 &lt;= DATE(2025, 11, 30)))
+ SUMPRODUCT(('Form responses 1'!$C$2:$C1000 = A10) * ('Form responses 1'!$A$2:$A1000 &lt;= DATE(2025, 11, 30)))
+ SUMPRODUCT(('Form responses 1'!$D$2:$D1000 = A10) * ('Form responses 1'!$A$2:$A1000 &lt;= DATE(2025, 11, 30)))
+ SUMPRODUCT(('Form responses 1'!$E$2:$E1000 = A10) * ('Form responses 1'!$A$2:$A1000 &lt;= DATE(2025, 11, 30)))
+ SUMPRODUCT(('Form responses 1'!$F$2:$F1000 = A10) * ('Form responses 1'!$A$2:$A1000 &lt;= DATE(2025, 11, 30)))
+ SUMPRODUCT(('Form responses 1'!$G$2:$G1000 = A10) * ('Form responses 1'!$A$2:$A1000 &lt;= DATE(2025, 11, 30)))), 2), "-")
</f>
        <v>0.22</v>
      </c>
      <c r="Z10" s="2">
        <f>IFERROR(ROUND(Data!B10/(SUMPRODUCT(('Form responses 1'!$B$2:$B1000 = A10) * ('Form responses 1'!$A$2:$A1000 &lt;= DATE(2025, 12, 31)))
+ SUMPRODUCT(('Form responses 1'!$C$2:$C1000 = A10) * ('Form responses 1'!$A$2:$A1000 &lt;= DATE(2025, 12, 31)))
+ SUMPRODUCT(('Form responses 1'!$D$2:$D1000 = A10) * ('Form responses 1'!$A$2:$A1000 &lt;= DATE(2025, 12, 31)))
+ SUMPRODUCT(('Form responses 1'!$E$2:$E1000 = A10) * ('Form responses 1'!$A$2:$A1000 &lt;= DATE(2025, 12, 31)))
+ SUMPRODUCT(('Form responses 1'!$F$2:$F1000 = A10) * ('Form responses 1'!$A$2:$A1000 &lt;= DATE(2025, 12, 31)))
+ SUMPRODUCT(('Form responses 1'!$G$2:$G1000 = A10) * ('Form responses 1'!$A$2:$A1000 &lt;= DATE(2025, 12, 31)))), 2), "-")
</f>
        <v>0.2</v>
      </c>
      <c r="AA10" s="2">
        <f>IFERROR(ROUND(Data!$B10/(
  SUMPRODUCT(('Form responses 1'!$B$2:$B1000=$A10)*('Form responses 1'!$A$2:$A1000&lt;=EOMONTH(DATEVALUE("1 "&amp;AA$1),0)))+
  SUMPRODUCT(('Form responses 1'!$C$2:$C1000=$A10)*('Form responses 1'!$A$2:$A1000&lt;=EOMONTH(DATEVALUE("1 "&amp;AA$1),0)))+
  SUMPRODUCT(('Form responses 1'!$D$2:$D1000=$A10)*('Form responses 1'!$A$2:$A1000&lt;=EOMONTH(DATEVALUE("1 "&amp;AA$1),0)))+
  SUMPRODUCT(('Form responses 1'!$E$2:$E1000=$A10)*('Form responses 1'!$A$2:$A1000&lt;=EOMONTH(DATEVALUE("1 "&amp;AA$1),0)))+
  SUMPRODUCT(('Form responses 1'!$F$2:$F1000=$A10)*('Form responses 1'!$A$2:$A1000&lt;=EOMONTH(DATEVALUE("1 "&amp;AA$1),0)))+
  SUMPRODUCT(('Form responses 1'!$G$2:$G1000=$A10)*('Form responses 1'!$A$2:$A1000&lt;=EOMONTH(DATEVALUE("1 "&amp;AA$1),0)))
),2),"-")</f>
        <v>0.19</v>
      </c>
      <c r="AB10" s="2">
        <f>IFERROR(ROUND(Data!$B10/(
  SUMPRODUCT(('Form responses 1'!$B$2:$B1000=$A10)*('Form responses 1'!$A$2:$A1000&lt;=EOMONTH(DATEVALUE("1 "&amp;AB$1),0)))+
  SUMPRODUCT(('Form responses 1'!$C$2:$C1000=$A10)*('Form responses 1'!$A$2:$A1000&lt;=EOMONTH(DATEVALUE("1 "&amp;AB$1),0)))+
  SUMPRODUCT(('Form responses 1'!$D$2:$D1000=$A10)*('Form responses 1'!$A$2:$A1000&lt;=EOMONTH(DATEVALUE("1 "&amp;AB$1),0)))+
  SUMPRODUCT(('Form responses 1'!$E$2:$E1000=$A10)*('Form responses 1'!$A$2:$A1000&lt;=EOMONTH(DATEVALUE("1 "&amp;AB$1),0)))+
  SUMPRODUCT(('Form responses 1'!$F$2:$F1000=$A10)*('Form responses 1'!$A$2:$A1000&lt;=EOMONTH(DATEVALUE("1 "&amp;AB$1),0)))+
  SUMPRODUCT(('Form responses 1'!$G$2:$G1000=$A10)*('Form responses 1'!$A$2:$A1000&lt;=EOMONTH(DATEVALUE("1 "&amp;AB$1),0)))
),2),"-")</f>
        <v>0.18</v>
      </c>
      <c r="AC10" s="2">
        <f>IFERROR(ROUND(Data!$B10/(
  SUMPRODUCT(('Form responses 1'!$B$2:$B1000=$A10)*('Form responses 1'!$A$2:$A1000&lt;=EOMONTH(DATEVALUE("1 "&amp;AC$1),0)))+
  SUMPRODUCT(('Form responses 1'!$C$2:$C1000=$A10)*('Form responses 1'!$A$2:$A1000&lt;=EOMONTH(DATEVALUE("1 "&amp;AC$1),0)))+
  SUMPRODUCT(('Form responses 1'!$D$2:$D1000=$A10)*('Form responses 1'!$A$2:$A1000&lt;=EOMONTH(DATEVALUE("1 "&amp;AC$1),0)))+
  SUMPRODUCT(('Form responses 1'!$E$2:$E1000=$A10)*('Form responses 1'!$A$2:$A1000&lt;=EOMONTH(DATEVALUE("1 "&amp;AC$1),0)))+
  SUMPRODUCT(('Form responses 1'!$F$2:$F1000=$A10)*('Form responses 1'!$A$2:$A1000&lt;=EOMONTH(DATEVALUE("1 "&amp;AC$1),0)))+
  SUMPRODUCT(('Form responses 1'!$G$2:$G1000=$A10)*('Form responses 1'!$A$2:$A1000&lt;=EOMONTH(DATEVALUE("1 "&amp;AC$1),0)))
),2),"-")</f>
        <v>0.18</v>
      </c>
      <c r="AD10" s="2" t="str">
        <f>IFERROR(ROUND(Data!$B10/(
  SUMPRODUCT(('Form responses 1'!$B$2:$B1000=$A10)*('Form responses 1'!$A$2:$A1000&lt;=EOMONTH(DATEVALUE("1 "&amp;AD$1),0)))+
  SUMPRODUCT(('Form responses 1'!$C$2:$C1000=$A10)*('Form responses 1'!$A$2:$A1000&lt;=EOMONTH(DATEVALUE("1 "&amp;AD$1),0)))+
  SUMPRODUCT(('Form responses 1'!$D$2:$D1000=$A10)*('Form responses 1'!$A$2:$A1000&lt;=EOMONTH(DATEVALUE("1 "&amp;AD$1),0)))+
  SUMPRODUCT(('Form responses 1'!$E$2:$E1000=$A10)*('Form responses 1'!$A$2:$A1000&lt;=EOMONTH(DATEVALUE("1 "&amp;AD$1),0)))+
  SUMPRODUCT(('Form responses 1'!$F$2:$F1000=$A10)*('Form responses 1'!$A$2:$A1000&lt;=EOMONTH(DATEVALUE("1 "&amp;AD$1),0)))+
  SUMPRODUCT(('Form responses 1'!$G$2:$G1000=$A10)*('Form responses 1'!$A$2:$A1000&lt;=EOMONTH(DATEVALUE("1 "&amp;AD$1),0)))
),2),"-")</f>
        <v>-</v>
      </c>
      <c r="AE10" s="2" t="str">
        <f>IFERROR(ROUND(Data!$B10/(
  SUMPRODUCT(('Form responses 1'!$B$2:$B1000=$A10)*('Form responses 1'!$A$2:$A1000&lt;=EOMONTH(DATEVALUE("1 "&amp;AE$1),0)))+
  SUMPRODUCT(('Form responses 1'!$C$2:$C1000=$A10)*('Form responses 1'!$A$2:$A1000&lt;=EOMONTH(DATEVALUE("1 "&amp;AE$1),0)))+
  SUMPRODUCT(('Form responses 1'!$D$2:$D1000=$A10)*('Form responses 1'!$A$2:$A1000&lt;=EOMONTH(DATEVALUE("1 "&amp;AE$1),0)))+
  SUMPRODUCT(('Form responses 1'!$E$2:$E1000=$A10)*('Form responses 1'!$A$2:$A1000&lt;=EOMONTH(DATEVALUE("1 "&amp;AE$1),0)))+
  SUMPRODUCT(('Form responses 1'!$F$2:$F1000=$A10)*('Form responses 1'!$A$2:$A1000&lt;=EOMONTH(DATEVALUE("1 "&amp;AE$1),0)))+
  SUMPRODUCT(('Form responses 1'!$G$2:$G1000=$A10)*('Form responses 1'!$A$2:$A1000&lt;=EOMONTH(DATEVALUE("1 "&amp;AE$1),0)))
),2),"-")</f>
        <v>-</v>
      </c>
      <c r="AF10" s="2" t="str">
        <f>IFERROR(ROUND(Data!$B10/(
  SUMPRODUCT(('Form responses 1'!$B$2:$B1000=$A10)*('Form responses 1'!$A$2:$A1000&lt;=EOMONTH(DATEVALUE("1 "&amp;AF$1),0)))+
  SUMPRODUCT(('Form responses 1'!$C$2:$C1000=$A10)*('Form responses 1'!$A$2:$A1000&lt;=EOMONTH(DATEVALUE("1 "&amp;AF$1),0)))+
  SUMPRODUCT(('Form responses 1'!$D$2:$D1000=$A10)*('Form responses 1'!$A$2:$A1000&lt;=EOMONTH(DATEVALUE("1 "&amp;AF$1),0)))+
  SUMPRODUCT(('Form responses 1'!$E$2:$E1000=$A10)*('Form responses 1'!$A$2:$A1000&lt;=EOMONTH(DATEVALUE("1 "&amp;AF$1),0)))+
  SUMPRODUCT(('Form responses 1'!$F$2:$F1000=$A10)*('Form responses 1'!$A$2:$A1000&lt;=EOMONTH(DATEVALUE("1 "&amp;AF$1),0)))+
  SUMPRODUCT(('Form responses 1'!$G$2:$G1000=$A10)*('Form responses 1'!$A$2:$A1000&lt;=EOMONTH(DATEVALUE("1 "&amp;AF$1),0)))
),2),"-")</f>
        <v>-</v>
      </c>
      <c r="AG10" s="2" t="str">
        <f>IFERROR(ROUND(Data!$B10/(
  SUMPRODUCT(('Form responses 1'!$B$2:$B1000=$A10)*('Form responses 1'!$A$2:$A1000&lt;=EOMONTH(DATEVALUE("1 "&amp;AG$1),0)))+
  SUMPRODUCT(('Form responses 1'!$C$2:$C1000=$A10)*('Form responses 1'!$A$2:$A1000&lt;=EOMONTH(DATEVALUE("1 "&amp;AG$1),0)))+
  SUMPRODUCT(('Form responses 1'!$D$2:$D1000=$A10)*('Form responses 1'!$A$2:$A1000&lt;=EOMONTH(DATEVALUE("1 "&amp;AG$1),0)))+
  SUMPRODUCT(('Form responses 1'!$E$2:$E1000=$A10)*('Form responses 1'!$A$2:$A1000&lt;=EOMONTH(DATEVALUE("1 "&amp;AG$1),0)))+
  SUMPRODUCT(('Form responses 1'!$F$2:$F1000=$A10)*('Form responses 1'!$A$2:$A1000&lt;=EOMONTH(DATEVALUE("1 "&amp;AG$1),0)))+
  SUMPRODUCT(('Form responses 1'!$G$2:$G1000=$A10)*('Form responses 1'!$A$2:$A1000&lt;=EOMONTH(DATEVALUE("1 "&amp;AG$1),0)))
),2),"-")</f>
        <v>-</v>
      </c>
      <c r="AH10" s="2" t="str">
        <f>IFERROR(ROUND(Data!$B10/(
  SUMPRODUCT(('Form responses 1'!$B$2:$B1000=$A10)*('Form responses 1'!$A$2:$A1000&lt;=EOMONTH(DATEVALUE("1 "&amp;AH$1),0)))+
  SUMPRODUCT(('Form responses 1'!$C$2:$C1000=$A10)*('Form responses 1'!$A$2:$A1000&lt;=EOMONTH(DATEVALUE("1 "&amp;AH$1),0)))+
  SUMPRODUCT(('Form responses 1'!$D$2:$D1000=$A10)*('Form responses 1'!$A$2:$A1000&lt;=EOMONTH(DATEVALUE("1 "&amp;AH$1),0)))+
  SUMPRODUCT(('Form responses 1'!$E$2:$E1000=$A10)*('Form responses 1'!$A$2:$A1000&lt;=EOMONTH(DATEVALUE("1 "&amp;AH$1),0)))+
  SUMPRODUCT(('Form responses 1'!$F$2:$F1000=$A10)*('Form responses 1'!$A$2:$A1000&lt;=EOMONTH(DATEVALUE("1 "&amp;AH$1),0)))+
  SUMPRODUCT(('Form responses 1'!$G$2:$G1000=$A10)*('Form responses 1'!$A$2:$A1000&lt;=EOMONTH(DATEVALUE("1 "&amp;AH$1),0)))
),2),"-")</f>
        <v>-</v>
      </c>
      <c r="AI10" s="2" t="str">
        <f>IFERROR(ROUND(Data!$B10/(
  SUMPRODUCT(('Form responses 1'!$B$2:$B1000=$A10)*('Form responses 1'!$A$2:$A1000&lt;=EOMONTH(DATEVALUE("1 "&amp;AI$1),0)))+
  SUMPRODUCT(('Form responses 1'!$C$2:$C1000=$A10)*('Form responses 1'!$A$2:$A1000&lt;=EOMONTH(DATEVALUE("1 "&amp;AI$1),0)))+
  SUMPRODUCT(('Form responses 1'!$D$2:$D1000=$A10)*('Form responses 1'!$A$2:$A1000&lt;=EOMONTH(DATEVALUE("1 "&amp;AI$1),0)))+
  SUMPRODUCT(('Form responses 1'!$E$2:$E1000=$A10)*('Form responses 1'!$A$2:$A1000&lt;=EOMONTH(DATEVALUE("1 "&amp;AI$1),0)))+
  SUMPRODUCT(('Form responses 1'!$F$2:$F1000=$A10)*('Form responses 1'!$A$2:$A1000&lt;=EOMONTH(DATEVALUE("1 "&amp;AI$1),0)))+
  SUMPRODUCT(('Form responses 1'!$G$2:$G1000=$A10)*('Form responses 1'!$A$2:$A1000&lt;=EOMONTH(DATEVALUE("1 "&amp;AI$1),0)))
),2),"-")</f>
        <v>-</v>
      </c>
      <c r="AJ10" s="2" t="str">
        <f>IFERROR(ROUND(Data!$B10/(
  SUMPRODUCT(('Form responses 1'!$B$2:$B1000=$A10)*('Form responses 1'!$A$2:$A1000&lt;=EOMONTH(DATEVALUE("1 "&amp;AJ$1),0)))+
  SUMPRODUCT(('Form responses 1'!$C$2:$C1000=$A10)*('Form responses 1'!$A$2:$A1000&lt;=EOMONTH(DATEVALUE("1 "&amp;AJ$1),0)))+
  SUMPRODUCT(('Form responses 1'!$D$2:$D1000=$A10)*('Form responses 1'!$A$2:$A1000&lt;=EOMONTH(DATEVALUE("1 "&amp;AJ$1),0)))+
  SUMPRODUCT(('Form responses 1'!$E$2:$E1000=$A10)*('Form responses 1'!$A$2:$A1000&lt;=EOMONTH(DATEVALUE("1 "&amp;AJ$1),0)))+
  SUMPRODUCT(('Form responses 1'!$F$2:$F1000=$A10)*('Form responses 1'!$A$2:$A1000&lt;=EOMONTH(DATEVALUE("1 "&amp;AJ$1),0)))+
  SUMPRODUCT(('Form responses 1'!$G$2:$G1000=$A10)*('Form responses 1'!$A$2:$A1000&lt;=EOMONTH(DATEVALUE("1 "&amp;AJ$1),0)))
),2),"-")</f>
        <v>-</v>
      </c>
      <c r="AK10" s="2" t="str">
        <f>IFERROR(ROUND(Data!$B10/(
  SUMPRODUCT(('Form responses 1'!$B$2:$B1000=$A10)*('Form responses 1'!$A$2:$A1000&lt;=EOMONTH(DATEVALUE("1 "&amp;AK$1),0)))+
  SUMPRODUCT(('Form responses 1'!$C$2:$C1000=$A10)*('Form responses 1'!$A$2:$A1000&lt;=EOMONTH(DATEVALUE("1 "&amp;AK$1),0)))+
  SUMPRODUCT(('Form responses 1'!$D$2:$D1000=$A10)*('Form responses 1'!$A$2:$A1000&lt;=EOMONTH(DATEVALUE("1 "&amp;AK$1),0)))+
  SUMPRODUCT(('Form responses 1'!$E$2:$E1000=$A10)*('Form responses 1'!$A$2:$A1000&lt;=EOMONTH(DATEVALUE("1 "&amp;AK$1),0)))+
  SUMPRODUCT(('Form responses 1'!$F$2:$F1000=$A10)*('Form responses 1'!$A$2:$A1000&lt;=EOMONTH(DATEVALUE("1 "&amp;AK$1),0)))+
  SUMPRODUCT(('Form responses 1'!$G$2:$G1000=$A10)*('Form responses 1'!$A$2:$A1000&lt;=EOMONTH(DATEVALUE("1 "&amp;AK$1),0)))
),2),"-")</f>
        <v>-</v>
      </c>
      <c r="AL10" s="2" t="str">
        <f>IFERROR(ROUND(Data!$B10/(
  SUMPRODUCT(('Form responses 1'!$B$2:$B1000=$A10)*('Form responses 1'!$A$2:$A1000&lt;=EOMONTH(DATEVALUE("1 "&amp;AL$1),0)))+
  SUMPRODUCT(('Form responses 1'!$C$2:$C1000=$A10)*('Form responses 1'!$A$2:$A1000&lt;=EOMONTH(DATEVALUE("1 "&amp;AL$1),0)))+
  SUMPRODUCT(('Form responses 1'!$D$2:$D1000=$A10)*('Form responses 1'!$A$2:$A1000&lt;=EOMONTH(DATEVALUE("1 "&amp;AL$1),0)))+
  SUMPRODUCT(('Form responses 1'!$E$2:$E1000=$A10)*('Form responses 1'!$A$2:$A1000&lt;=EOMONTH(DATEVALUE("1 "&amp;AL$1),0)))+
  SUMPRODUCT(('Form responses 1'!$F$2:$F1000=$A10)*('Form responses 1'!$A$2:$A1000&lt;=EOMONTH(DATEVALUE("1 "&amp;AL$1),0)))+
  SUMPRODUCT(('Form responses 1'!$G$2:$G1000=$A10)*('Form responses 1'!$A$2:$A1000&lt;=EOMONTH(DATEVALUE("1 "&amp;AL$1),0)))
),2),"-")</f>
        <v>-</v>
      </c>
    </row>
    <row r="11">
      <c r="A11" s="3" t="str">
        <f>IFERROR(__xludf.DUMMYFUNCTION("""COMPUTED_VALUE"""),"Donkerblauwe spijkerbroek levi's")</f>
        <v>Donkerblauwe spijkerbroek levi's</v>
      </c>
      <c r="B11" s="2">
        <f>Data!F11:F1000</f>
        <v>0.81</v>
      </c>
      <c r="C11" s="2">
        <f>IFERROR(ROUND(Data!B11/(SUMPRODUCT(('Form responses 1'!$B$2:$B1000 = A11) * ('Form responses 1'!$A$2:$A1000 &lt;= DATE(2024, 1, 31)))
+ SUMPRODUCT(('Form responses 1'!$C$2:$C1000 = A11) * ('Form responses 1'!$A$2:$A1000 &lt;= DATE(2024, 1, 31)))
+ SUMPRODUCT(('Form responses 1'!$D$2:$D1000 = A11) * ('Form responses 1'!$A$2:$A1000 &lt;= DATE(2024, 1, 31)))
+ SUMPRODUCT(('Form responses 1'!$E$2:$E1000 = A11) * ('Form responses 1'!$A$2:$A1000 &lt;= DATE(2024, 1, 31)))
+ SUMPRODUCT(('Form responses 1'!$F$2:$F1000 = A11) * ('Form responses 1'!$A$2:$A1000 &lt;= DATE(2024, 1, 31)))
+ SUMPRODUCT(('Form responses 1'!$G$2:$G1000 = A11) * ('Form responses 1'!$A$2:$A1000 &lt;= DATE(2024, 1, 31)))), 2), "-")
</f>
        <v>2.62</v>
      </c>
      <c r="D11" s="2">
        <f>IFERROR(ROUND(Data!B11/(SUMPRODUCT(('Form responses 1'!$B$2:$B1000 = A11) * ('Form responses 1'!$A$2:$A1000 &lt;= DATE(2024, 2, 29)))
+ SUMPRODUCT(('Form responses 1'!$C$2:$C1000 = A11) * ('Form responses 1'!$A$2:$A1000 &lt;= DATE(2024, 2, 29)))
+ SUMPRODUCT(('Form responses 1'!$D$2:$D1000 = A11) * ('Form responses 1'!$A$2:$A1000 &lt;= DATE(2024, 2, 29)))
+ SUMPRODUCT(('Form responses 1'!$E$2:$E1000 = A11) * ('Form responses 1'!$A$2:$A1000 &lt;= DATE(2024, 2, 29)))
+ SUMPRODUCT(('Form responses 1'!$F$2:$F1000 = A11) * ('Form responses 1'!$A$2:$A1000 &lt;= DATE(2024, 2, 29)))
+ SUMPRODUCT(('Form responses 1'!$G$2:$G1000 = A11) * ('Form responses 1'!$A$2:$A1000 &lt;= DATE(2024, 2, 29)))), 2), "-")
</f>
        <v>1.89</v>
      </c>
      <c r="E11" s="2">
        <f>IFERROR(ROUND(Data!B11/(SUMPRODUCT(('Form responses 1'!$B$2:$B1000 = A11) * ('Form responses 1'!$A$2:$A1000 &lt;= DATE(2024, 3, 31)))
+ SUMPRODUCT(('Form responses 1'!$C$2:$C1000 = A11) * ('Form responses 1'!$A$2:$A1000 &lt;= DATE(2024, 3, 31)))
+ SUMPRODUCT(('Form responses 1'!$D$2:$D1000 = A11) * ('Form responses 1'!$A$2:$A1000 &lt;= DATE(2024, 3, 31)))
+ SUMPRODUCT(('Form responses 1'!$E$2:$E1000 = A11) * ('Form responses 1'!$A$2:$A1000 &lt;= DATE(2024, 3, 31)))
+ SUMPRODUCT(('Form responses 1'!$F$2:$F1000 = A11) * ('Form responses 1'!$A$2:$A1000 &lt;= DATE(2024, 3, 31)))
+ SUMPRODUCT(('Form responses 1'!$G$2:$G1000 = A11) * ('Form responses 1'!$A$2:$A1000 &lt;= DATE(2024, 3, 31)))), 2), "-")
</f>
        <v>1.48</v>
      </c>
      <c r="F11" s="2">
        <f>IFERROR(ROUND(Data!B11/(SUMPRODUCT(('Form responses 1'!$B$2:$B1000 = A11) * ('Form responses 1'!$A$2:$A1000 &lt;= DATE(2024, 4, 30)))
+ SUMPRODUCT(('Form responses 1'!$C$2:$C1000 = A11) * ('Form responses 1'!$A$2:$A1000 &lt;= DATE(2024, 4, 30)))
+ SUMPRODUCT(('Form responses 1'!$D$2:$D1000 = A11) * ('Form responses 1'!$A$2:$A1000 &lt;= DATE(2024, 4, 30)))
+ SUMPRODUCT(('Form responses 1'!$E$2:$E1000 = A11) * ('Form responses 1'!$A$2:$A1000 &lt;= DATE(2024, 4, 30)))
+ SUMPRODUCT(('Form responses 1'!$F$2:$F1000 = A11) * ('Form responses 1'!$A$2:$A1000 &lt;= DATE(2024, 4, 30)))
+ SUMPRODUCT(('Form responses 1'!$G$2:$G1000 = A11) * ('Form responses 1'!$A$2:$A1000 &lt;= DATE(2024, 4, 30)))), 2), "-")
</f>
        <v>1.26</v>
      </c>
      <c r="G11" s="2">
        <f>IFERROR(ROUND(Data!B11/(SUMPRODUCT(('Form responses 1'!$B$2:$B1000 = A11) * ('Form responses 1'!$A$2:$A1000 &lt;= DATE(2024, 5, 31)))
+ SUMPRODUCT(('Form responses 1'!$C$2:$C1000 = A11) * ('Form responses 1'!$A$2:$A1000 &lt;= DATE(2024, 5, 31)))
+ SUMPRODUCT(('Form responses 1'!$D$2:$D1000 = A11) * ('Form responses 1'!$A$2:$A1000 &lt;= DATE(2024, 5, 31)))
+ SUMPRODUCT(('Form responses 1'!$E$2:$E1000 = A11) * ('Form responses 1'!$A$2:$A1000 &lt;= DATE(2024, 5, 31)))
+ SUMPRODUCT(('Form responses 1'!$F$2:$F1000 = A11) * ('Form responses 1'!$A$2:$A1000 &lt;= DATE(2024, 5, 31)))
+ SUMPRODUCT(('Form responses 1'!$G$2:$G1000 = A11) * ('Form responses 1'!$A$2:$A1000 &lt;= DATE(2024, 5, 31)))), 2), "-")
</f>
        <v>1.22</v>
      </c>
      <c r="H11" s="2">
        <f>IFERROR(ROUND(Data!B11/(SUMPRODUCT(('Form responses 1'!$B$2:$B1000 = A11) * ('Form responses 1'!$A$2:$A1000 &lt;= DATE(2024, 6, 30)))
+ SUMPRODUCT(('Form responses 1'!$C$2:$C1000 = A11) * ('Form responses 1'!$A$2:$A1000 &lt;= DATE(2024, 6, 30)))
+ SUMPRODUCT(('Form responses 1'!$D$2:$D1000 = A11) * ('Form responses 1'!$A$2:$A1000 &lt;= DATE(2024, 6, 30)))
+ SUMPRODUCT(('Form responses 1'!$E$2:$E1000 = A11) * ('Form responses 1'!$A$2:$A1000 &lt;= DATE(2024, 6, 30)))
+ SUMPRODUCT(('Form responses 1'!$F$2:$F1000 = A11) * ('Form responses 1'!$A$2:$A1000 &lt;= DATE(2024, 6, 30)))
+ SUMPRODUCT(('Form responses 1'!$G$2:$G1000 = A11) * ('Form responses 1'!$A$2:$A1000 &lt;= DATE(2024, 6, 30)))), 2), "-")
</f>
        <v>1.03</v>
      </c>
      <c r="I11" s="2">
        <f>IFERROR(ROUND(Data!B11/(SUMPRODUCT(('Form responses 1'!$B$2:$B1000 = A11) * ('Form responses 1'!$A$2:$A1000 &lt;= DATE(2024, 7, 31)))
+ SUMPRODUCT(('Form responses 1'!$C$2:$C1000 = A11) * ('Form responses 1'!$A$2:$A1000 &lt;= DATE(2024, 7, 31)))
+ SUMPRODUCT(('Form responses 1'!$D$2:$D1000 = A11) * ('Form responses 1'!$A$2:$A1000 &lt;= DATE(2024, 7, 31)))
+ SUMPRODUCT(('Form responses 1'!$E$2:$E1000 = A11) * ('Form responses 1'!$A$2:$A1000 &lt;= DATE(2024, 7, 31)))
+ SUMPRODUCT(('Form responses 1'!$F$2:$F1000 = A11) * ('Form responses 1'!$A$2:$A1000 &lt;= DATE(2024, 7, 31)))
+ SUMPRODUCT(('Form responses 1'!$G$2:$G1000 = A11) * ('Form responses 1'!$A$2:$A1000 &lt;= DATE(2024, 7, 31)))), 2), "-")
</f>
        <v>0.95</v>
      </c>
      <c r="J11" s="2">
        <f>IFERROR(ROUND(Data!B11/(SUMPRODUCT(('Form responses 1'!$B$2:$B1000 = A11) * ('Form responses 1'!$A$2:$A1000 &lt;= DATE(2024, 8, 31)))
+ SUMPRODUCT(('Form responses 1'!$C$2:$C1000 = A11) * ('Form responses 1'!$A$2:$A1000 &lt;= DATE(2024, 8, 31)))
+ SUMPRODUCT(('Form responses 1'!$D$2:$D1000 = A11) * ('Form responses 1'!$A$2:$A1000 &lt;= DATE(2024, 8, 31)))
+ SUMPRODUCT(('Form responses 1'!$E$2:$E1000 = A11) * ('Form responses 1'!$A$2:$A1000 &lt;= DATE(2024, 8, 31)))
+ SUMPRODUCT(('Form responses 1'!$F$2:$F1000 = A11) * ('Form responses 1'!$A$2:$A1000 &lt;= DATE(2024, 8, 31)))
+ SUMPRODUCT(('Form responses 1'!$G$2:$G1000 = A11) * ('Form responses 1'!$A$2:$A1000 &lt;= DATE(2024, 8, 31)))), 2), "-")
</f>
        <v>0.95</v>
      </c>
      <c r="K11" s="2">
        <f>IFERROR(ROUND(Data!B11/(SUMPRODUCT(('Form responses 1'!$B$2:$B1000 = A11) * ('Form responses 1'!$A$2:$A1000 &lt;= DATE(2024, 9, 30)))
+ SUMPRODUCT(('Form responses 1'!$C$2:$C1000 = A11) * ('Form responses 1'!$A$2:$A1000 &lt;= DATE(2024, 9, 30)))
+ SUMPRODUCT(('Form responses 1'!$D$2:$D1000 = A11) * ('Form responses 1'!$A$2:$A1000 &lt;= DATE(2024, 9, 30)))
+ SUMPRODUCT(('Form responses 1'!$E$2:$E1000 = A11) * ('Form responses 1'!$A$2:$A1000 &lt;= DATE(2024, 9, 30)))
+ SUMPRODUCT(('Form responses 1'!$F$2:$F1000 = A11) * ('Form responses 1'!$A$2:$A1000 &lt;= DATE(2024, 9, 30)))
+ SUMPRODUCT(('Form responses 1'!$G$2:$G1000 = A11) * ('Form responses 1'!$A$2:$A1000 &lt;= DATE(2024, 9, 30)))), 2), "-")
</f>
        <v>0.9</v>
      </c>
      <c r="L11" s="2">
        <f>IFERROR(ROUND(Data!B11/(SUMPRODUCT(('Form responses 1'!$B$2:$B1000 = A11) * ('Form responses 1'!$A$2:$A1000 &lt;= DATE(2024, 10, 31)))
+ SUMPRODUCT(('Form responses 1'!$C$2:$C1000 = A11) * ('Form responses 1'!$A$2:$A1000 &lt;= DATE(2024, 10, 31)))
+ SUMPRODUCT(('Form responses 1'!$D$2:$D1000 = A11) * ('Form responses 1'!$A$2:$A1000 &lt;= DATE(2024, 10, 31)))
+ SUMPRODUCT(('Form responses 1'!$E$2:$E1000 = A11) * ('Form responses 1'!$A$2:$A1000 &lt;= DATE(2024, 10, 31)))
+ SUMPRODUCT(('Form responses 1'!$F$2:$F1000 = A11) * ('Form responses 1'!$A$2:$A1000 &lt;= DATE(2024, 10, 31)))
+ SUMPRODUCT(('Form responses 1'!$G$2:$G1000 = A11) * ('Form responses 1'!$A$2:$A1000 &lt;= DATE(2024, 10, 31)))), 2), "-")
</f>
        <v>0.9</v>
      </c>
      <c r="M11" s="2">
        <f>IFERROR(ROUND(Data!B11/(SUMPRODUCT(('Form responses 1'!$B$2:$B1000 = A11) * ('Form responses 1'!$A$2:$A1000 &lt;= DATE(2024, 11, 30)))
+ SUMPRODUCT(('Form responses 1'!$C$2:$C1000 = A11) * ('Form responses 1'!$A$2:$A1000 &lt;= DATE(2024, 11, 30)))
+ SUMPRODUCT(('Form responses 1'!$D$2:$D1000 = A11) * ('Form responses 1'!$A$2:$A1000 &lt;= DATE(2024, 11, 30)))
+ SUMPRODUCT(('Form responses 1'!$E$2:$E1000 = A11) * ('Form responses 1'!$A$2:$A1000 &lt;= DATE(2024, 11, 30)))
+ SUMPRODUCT(('Form responses 1'!$F$2:$F1000 = A11) * ('Form responses 1'!$A$2:$A1000 &lt;= DATE(2024, 11, 30)))
+ SUMPRODUCT(('Form responses 1'!$G$2:$G1000 = A11) * ('Form responses 1'!$A$2:$A1000 &lt;= DATE(2024, 11, 30)))), 2), "-")
</f>
        <v>0.9</v>
      </c>
      <c r="N11" s="2">
        <f>IFERROR(ROUND(Data!B11/(SUMPRODUCT(('Form responses 1'!$B$2:$B1000 = A11) * ('Form responses 1'!$A$2:$A1000 &lt;= DATE(2024, 12, 31)))
+ SUMPRODUCT(('Form responses 1'!$C$2:$C1000 = A11) * ('Form responses 1'!$A$2:$A1000 &lt;= DATE(2024, 12, 31)))
+ SUMPRODUCT(('Form responses 1'!$D$2:$D1000 = A11) * ('Form responses 1'!$A$2:$A1000 &lt;= DATE(2024, 12, 31)))
+ SUMPRODUCT(('Form responses 1'!$E$2:$E1000 = A11) * ('Form responses 1'!$A$2:$A1000 &lt;= DATE(2024, 12, 31)))
+ SUMPRODUCT(('Form responses 1'!$F$2:$F1000 = A11) * ('Form responses 1'!$A$2:$A1000 &lt;= DATE(2024, 12, 31)))
+ SUMPRODUCT(('Form responses 1'!$G$2:$G1000 = A11) * ('Form responses 1'!$A$2:$A1000 &lt;= DATE(2024, 12, 31)))), 2), "-")
</f>
        <v>0.9</v>
      </c>
      <c r="O11" s="2">
        <f>IFERROR(ROUND(Data!B11/(SUMPRODUCT(('Form responses 1'!$B$2:$B1000 = A11) * ('Form responses 1'!$A$2:$A1000 &lt;= DATE(2025, 1, 31)))
+ SUMPRODUCT(('Form responses 1'!$C$2:$C1000 = A11) * ('Form responses 1'!$A$2:$A1000 &lt;= DATE(2025, 1, 31)))
+ SUMPRODUCT(('Form responses 1'!$D$2:$D1000 = A11) * ('Form responses 1'!$A$2:$A1000 &lt;= DATE(2025, 1, 31)))
+ SUMPRODUCT(('Form responses 1'!$E$2:$E1000 = A11) * ('Form responses 1'!$A$2:$A1000 &lt;= DATE(2025, 1, 31)))
+ SUMPRODUCT(('Form responses 1'!$F$2:$F1000 = A11) * ('Form responses 1'!$A$2:$A1000 &lt;= DATE(2025, 1, 31)))
+ SUMPRODUCT(('Form responses 1'!$G$2:$G1000 = A11) * ('Form responses 1'!$A$2:$A1000 &lt;= DATE(2025, 1, 31)))), 2), "-")
</f>
        <v>0.9</v>
      </c>
      <c r="P11" s="2">
        <f>IFERROR(ROUND(Data!B11/(SUMPRODUCT(('Form responses 1'!$B$2:$B1000 = A11) * ('Form responses 1'!$A$2:$A1000 &lt;= DATE(2025, 2, 28)))
+ SUMPRODUCT(('Form responses 1'!$C$2:$C1000 = A11) * ('Form responses 1'!$A$2:$A1000 &lt;= DATE(2025, 2, 28)))
+ SUMPRODUCT(('Form responses 1'!$D$2:$D1000 = A11) * ('Form responses 1'!$A$2:$A1000 &lt;= DATE(2025, 2, 28)))
+ SUMPRODUCT(('Form responses 1'!$E$2:$E1000 = A11) * ('Form responses 1'!$A$2:$A1000 &lt;= DATE(2025, 2, 28)))
+ SUMPRODUCT(('Form responses 1'!$F$2:$F1000 = A11) * ('Form responses 1'!$A$2:$A1000 &lt;= DATE(2025, 2, 28)))
+ SUMPRODUCT(('Form responses 1'!$G$2:$G1000 = A11) * ('Form responses 1'!$A$2:$A1000 &lt;= DATE(2025, 2, 28)))), 2), "-")
</f>
        <v>0.9</v>
      </c>
      <c r="Q11" s="2">
        <f>IFERROR(ROUND(Data!B11/(SUMPRODUCT(('Form responses 1'!$B$2:$B1000 = A11) * ('Form responses 1'!$A$2:$A1000 &lt;= DATE(2025, 3, 31)))
+ SUMPRODUCT(('Form responses 1'!$C$2:$C1000 = A11) * ('Form responses 1'!$A$2:$A1000 &lt;= DATE(2025, 3, 31)))
+ SUMPRODUCT(('Form responses 1'!$D$2:$D1000 = A11) * ('Form responses 1'!$A$2:$A1000 &lt;= DATE(2025, 3, 31)))
+ SUMPRODUCT(('Form responses 1'!$E$2:$E1000 = A11) * ('Form responses 1'!$A$2:$A1000 &lt;= DATE(2025, 3, 31)))
+ SUMPRODUCT(('Form responses 1'!$F$2:$F1000 = A11) * ('Form responses 1'!$A$2:$A1000 &lt;= DATE(2025, 3, 31)))
+ SUMPRODUCT(('Form responses 1'!$G$2:$G1000 = A11) * ('Form responses 1'!$A$2:$A1000 &lt;= DATE(2025, 3, 31)))),2),"-")</f>
        <v>0.9</v>
      </c>
      <c r="R11" s="2">
        <f>IFERROR(ROUND(Data!B11/(SUMPRODUCT(('Form responses 1'!$B$2:$B1000 = A11) * ('Form responses 1'!$A$2:$A1000 &lt;= DATE(2025, 4, 30)))
+ SUMPRODUCT(('Form responses 1'!$C$2:$C1000 = A11) * ('Form responses 1'!$A$2:$A1000 &lt;= DATE(2025, 4, 30)))
+ SUMPRODUCT(('Form responses 1'!$D$2:$D1000 = A11) * ('Form responses 1'!$A$2:$A1000 &lt;= DATE(2025, 4, 30)))
+ SUMPRODUCT(('Form responses 1'!$E$2:$E1000 = A11) * ('Form responses 1'!$A$2:$A1000 &lt;= DATE(2025, 4, 30)))
+ SUMPRODUCT(('Form responses 1'!$F$2:$F1000 = A11) * ('Form responses 1'!$A$2:$A1000 &lt;= DATE(2025, 4, 30)))
+ SUMPRODUCT(('Form responses 1'!$G$2:$G1000 = A11) * ('Form responses 1'!$A$2:$A1000 &lt;= DATE(2025, 4, 30)))), 2), "-")
</f>
        <v>0.87</v>
      </c>
      <c r="S11" s="2">
        <f>IFERROR(ROUND(Data!B11/(SUMPRODUCT(('Form responses 1'!$B$2:$B1000 = A11) * ('Form responses 1'!$A$2:$A1000 &lt;= DATE(2025, 5, 31)))
+ SUMPRODUCT(('Form responses 1'!$C$2:$C1000 = A11) * ('Form responses 1'!$A$2:$A1000 &lt;= DATE(2025, 5, 31)))
+ SUMPRODUCT(('Form responses 1'!$D$2:$D1000 = A11) * ('Form responses 1'!$A$2:$A1000 &lt;= DATE(2025, 5, 31)))
+ SUMPRODUCT(('Form responses 1'!$E$2:$E1000 = A11) * ('Form responses 1'!$A$2:$A1000 &lt;= DATE(2025, 5, 31)))
+ SUMPRODUCT(('Form responses 1'!$F$2:$F1000 = A11) * ('Form responses 1'!$A$2:$A1000 &lt;= DATE(2025, 5, 31)))
+ SUMPRODUCT(('Form responses 1'!$G$2:$G1000 = A11) * ('Form responses 1'!$A$2:$A1000 &lt;= DATE(2025, 5, 31)))), 2), "-")
</f>
        <v>0.87</v>
      </c>
      <c r="T11" s="2">
        <f>IFERROR(ROUND(Data!B11/(SUMPRODUCT(('Form responses 1'!$B$2:$B1000 = A11) * ('Form responses 1'!$A$2:$A1000 &lt;= DATE(2025, 6, 30)))
+ SUMPRODUCT(('Form responses 1'!$C$2:$C1000 = A11) * ('Form responses 1'!$A$2:$A1000 &lt;= DATE(2025, 6, 30)))
+ SUMPRODUCT(('Form responses 1'!$D$2:$D1000 = A11) * ('Form responses 1'!$A$2:$A1000 &lt;= DATE(2025, 6, 30)))
+ SUMPRODUCT(('Form responses 1'!$E$2:$E1000 = A11) * ('Form responses 1'!$A$2:$A1000 &lt;= DATE(2025, 6, 30)))
+ SUMPRODUCT(('Form responses 1'!$F$2:$F1000 = A11) * ('Form responses 1'!$A$2:$A1000 &lt;= DATE(2025, 6, 30)))
+ SUMPRODUCT(('Form responses 1'!$G$2:$G1000 = A11) * ('Form responses 1'!$A$2:$A1000 &lt;= DATE(2025, 6, 30)))), 2), "-")
</f>
        <v>0.81</v>
      </c>
      <c r="U11" s="2">
        <f>IFERROR(ROUND(Data!B11/(SUMPRODUCT(('Form responses 1'!$B$2:$B1000 = A11) * ('Form responses 1'!$A$2:$A1000 &lt;= DATE(2025, 7, 31)))
+ SUMPRODUCT(('Form responses 1'!$C$2:$C1000 = A11) * ('Form responses 1'!$A$2:$A1000 &lt;= DATE(2025, 7, 31)))
+ SUMPRODUCT(('Form responses 1'!$D$2:$D1000 = A11) * ('Form responses 1'!$A$2:$A1000 &lt;= DATE(2025, 7, 31)))
+ SUMPRODUCT(('Form responses 1'!$E$2:$E1000 = A11) * ('Form responses 1'!$A$2:$A1000 &lt;= DATE(2025, 7, 31)))
+ SUMPRODUCT(('Form responses 1'!$F$2:$F1000 = A11) * ('Form responses 1'!$A$2:$A1000 &lt;= DATE(2025, 7, 31)))
+ SUMPRODUCT(('Form responses 1'!$G$2:$G1000 = A11) * ('Form responses 1'!$A$2:$A1000 &lt;= DATE(2025, 7, 31)))), 2), "-")
</f>
        <v>0.81</v>
      </c>
      <c r="V11" s="2">
        <f>IFERROR(ROUND(Data!B11/(SUMPRODUCT(('Form responses 1'!$B$2:$B1000 = A11) * ('Form responses 1'!$A$2:$A1000 &lt;= DATE(2025, 8, 31)))
+ SUMPRODUCT(('Form responses 1'!$C$2:$C1000 = A11) * ('Form responses 1'!$A$2:$A1000 &lt;= DATE(2025, 8, 31)))
+ SUMPRODUCT(('Form responses 1'!$D$2:$D1000 = A11) * ('Form responses 1'!$A$2:$A1000 &lt;= DATE(2025, 8, 31)))
+ SUMPRODUCT(('Form responses 1'!$E$2:$E1000 = A11) * ('Form responses 1'!$A$2:$A1000 &lt;= DATE(2025, 8, 31)))
+ SUMPRODUCT(('Form responses 1'!$F$2:$F1000 = A11) * ('Form responses 1'!$A$2:$A1000 &lt;= DATE(2025, 8, 31)))
+ SUMPRODUCT(('Form responses 1'!$G$2:$G1000 = A11) * ('Form responses 1'!$A$2:$A1000 &lt;= DATE(2025, 8, 31)))), 2), "-")
</f>
        <v>0.81</v>
      </c>
      <c r="W11" s="2">
        <f>IFERROR(ROUND(Data!B11/(SUMPRODUCT(('Form responses 1'!$B$2:$B1000 = A11) * ('Form responses 1'!$A$2:$A1000 &lt;= DATE(2025, 9, 30)))
+ SUMPRODUCT(('Form responses 1'!$C$2:$C1000 = A11) * ('Form responses 1'!$A$2:$A1000 &lt;= DATE(2025, 9, 30)))
+ SUMPRODUCT(('Form responses 1'!$D$2:$D1000 = A11) * ('Form responses 1'!$A$2:$A1000 &lt;= DATE(2025, 9, 30)))
+ SUMPRODUCT(('Form responses 1'!$E$2:$E1000 = A11) * ('Form responses 1'!$A$2:$A1000 &lt;= DATE(2025, 9, 30)))
+ SUMPRODUCT(('Form responses 1'!$F$2:$F1000 = A11) * ('Form responses 1'!$A$2:$A1000 &lt;= DATE(2025, 9, 30)))
+ SUMPRODUCT(('Form responses 1'!$G$2:$G1000 = A11) * ('Form responses 1'!$A$2:$A1000 &lt;= DATE(2025, 9, 30)))), 2), "-")
</f>
        <v>0.81</v>
      </c>
      <c r="X11" s="2">
        <f>IFERROR(ROUND(Data!B11/(SUMPRODUCT(('Form responses 1'!$B$2:$B1000 = A11) * ('Form responses 1'!$A$2:$A1000 &lt;= DATE(2025, 10, 31)))
+ SUMPRODUCT(('Form responses 1'!$C$2:$C1000 = A11) * ('Form responses 1'!$A$2:$A1000 &lt;= DATE(2025, 10, 31)))
+ SUMPRODUCT(('Form responses 1'!$D$2:$D1000 = A11) * ('Form responses 1'!$A$2:$A1000 &lt;= DATE(2025, 10, 31)))
+ SUMPRODUCT(('Form responses 1'!$E$2:$E1000 = A11) * ('Form responses 1'!$A$2:$A1000 &lt;= DATE(2025, 10, 31)))
+ SUMPRODUCT(('Form responses 1'!$F$2:$F1000 = A11) * ('Form responses 1'!$A$2:$A1000 &lt;= DATE(2025, 10, 31)))
+ SUMPRODUCT(('Form responses 1'!$G$2:$G1000 = A11) * ('Form responses 1'!$A$2:$A1000 &lt;= DATE(2025, 10, 31)))), 2), "-")
</f>
        <v>0.81</v>
      </c>
      <c r="Y11" s="2">
        <f>IFERROR(ROUND(Data!B11/(SUMPRODUCT(('Form responses 1'!$B$2:$B1000 = A11) * ('Form responses 1'!$A$2:$A1000 &lt;= DATE(2025, 11, 30)))
+ SUMPRODUCT(('Form responses 1'!$C$2:$C1000 = A11) * ('Form responses 1'!$A$2:$A1000 &lt;= DATE(2025, 11, 30)))
+ SUMPRODUCT(('Form responses 1'!$D$2:$D1000 = A11) * ('Form responses 1'!$A$2:$A1000 &lt;= DATE(2025, 11, 30)))
+ SUMPRODUCT(('Form responses 1'!$E$2:$E1000 = A11) * ('Form responses 1'!$A$2:$A1000 &lt;= DATE(2025, 11, 30)))
+ SUMPRODUCT(('Form responses 1'!$F$2:$F1000 = A11) * ('Form responses 1'!$A$2:$A1000 &lt;= DATE(2025, 11, 30)))
+ SUMPRODUCT(('Form responses 1'!$G$2:$G1000 = A11) * ('Form responses 1'!$A$2:$A1000 &lt;= DATE(2025, 11, 30)))), 2), "-")
</f>
        <v>0.81</v>
      </c>
      <c r="Z11" s="2">
        <f>IFERROR(ROUND(Data!B11/(SUMPRODUCT(('Form responses 1'!$B$2:$B1000 = A11) * ('Form responses 1'!$A$2:$A1000 &lt;= DATE(2025, 12, 31)))
+ SUMPRODUCT(('Form responses 1'!$C$2:$C1000 = A11) * ('Form responses 1'!$A$2:$A1000 &lt;= DATE(2025, 12, 31)))
+ SUMPRODUCT(('Form responses 1'!$D$2:$D1000 = A11) * ('Form responses 1'!$A$2:$A1000 &lt;= DATE(2025, 12, 31)))
+ SUMPRODUCT(('Form responses 1'!$E$2:$E1000 = A11) * ('Form responses 1'!$A$2:$A1000 &lt;= DATE(2025, 12, 31)))
+ SUMPRODUCT(('Form responses 1'!$F$2:$F1000 = A11) * ('Form responses 1'!$A$2:$A1000 &lt;= DATE(2025, 12, 31)))
+ SUMPRODUCT(('Form responses 1'!$G$2:$G1000 = A11) * ('Form responses 1'!$A$2:$A1000 &lt;= DATE(2025, 12, 31)))), 2), "-")
</f>
        <v>0.81</v>
      </c>
      <c r="AA11" s="2">
        <f>IFERROR(ROUND(Data!$B11/(
  SUMPRODUCT(('Form responses 1'!$B$2:$B1000=$A11)*('Form responses 1'!$A$2:$A1000&lt;=EOMONTH(DATEVALUE("1 "&amp;AA$1),0)))+
  SUMPRODUCT(('Form responses 1'!$C$2:$C1000=$A11)*('Form responses 1'!$A$2:$A1000&lt;=EOMONTH(DATEVALUE("1 "&amp;AA$1),0)))+
  SUMPRODUCT(('Form responses 1'!$D$2:$D1000=$A11)*('Form responses 1'!$A$2:$A1000&lt;=EOMONTH(DATEVALUE("1 "&amp;AA$1),0)))+
  SUMPRODUCT(('Form responses 1'!$E$2:$E1000=$A11)*('Form responses 1'!$A$2:$A1000&lt;=EOMONTH(DATEVALUE("1 "&amp;AA$1),0)))+
  SUMPRODUCT(('Form responses 1'!$F$2:$F1000=$A11)*('Form responses 1'!$A$2:$A1000&lt;=EOMONTH(DATEVALUE("1 "&amp;AA$1),0)))+
  SUMPRODUCT(('Form responses 1'!$G$2:$G1000=$A11)*('Form responses 1'!$A$2:$A1000&lt;=EOMONTH(DATEVALUE("1 "&amp;AA$1),0)))
),2),"-")</f>
        <v>0.81</v>
      </c>
      <c r="AB11" s="2">
        <f>IFERROR(ROUND(Data!$B11/(
  SUMPRODUCT(('Form responses 1'!$B$2:$B1000=$A11)*('Form responses 1'!$A$2:$A1000&lt;=EOMONTH(DATEVALUE("1 "&amp;AB$1),0)))+
  SUMPRODUCT(('Form responses 1'!$C$2:$C1000=$A11)*('Form responses 1'!$A$2:$A1000&lt;=EOMONTH(DATEVALUE("1 "&amp;AB$1),0)))+
  SUMPRODUCT(('Form responses 1'!$D$2:$D1000=$A11)*('Form responses 1'!$A$2:$A1000&lt;=EOMONTH(DATEVALUE("1 "&amp;AB$1),0)))+
  SUMPRODUCT(('Form responses 1'!$E$2:$E1000=$A11)*('Form responses 1'!$A$2:$A1000&lt;=EOMONTH(DATEVALUE("1 "&amp;AB$1),0)))+
  SUMPRODUCT(('Form responses 1'!$F$2:$F1000=$A11)*('Form responses 1'!$A$2:$A1000&lt;=EOMONTH(DATEVALUE("1 "&amp;AB$1),0)))+
  SUMPRODUCT(('Form responses 1'!$G$2:$G1000=$A11)*('Form responses 1'!$A$2:$A1000&lt;=EOMONTH(DATEVALUE("1 "&amp;AB$1),0)))
),2),"-")</f>
        <v>0.81</v>
      </c>
      <c r="AC11" s="2">
        <f>IFERROR(ROUND(Data!$B11/(
  SUMPRODUCT(('Form responses 1'!$B$2:$B1000=$A11)*('Form responses 1'!$A$2:$A1000&lt;=EOMONTH(DATEVALUE("1 "&amp;AC$1),0)))+
  SUMPRODUCT(('Form responses 1'!$C$2:$C1000=$A11)*('Form responses 1'!$A$2:$A1000&lt;=EOMONTH(DATEVALUE("1 "&amp;AC$1),0)))+
  SUMPRODUCT(('Form responses 1'!$D$2:$D1000=$A11)*('Form responses 1'!$A$2:$A1000&lt;=EOMONTH(DATEVALUE("1 "&amp;AC$1),0)))+
  SUMPRODUCT(('Form responses 1'!$E$2:$E1000=$A11)*('Form responses 1'!$A$2:$A1000&lt;=EOMONTH(DATEVALUE("1 "&amp;AC$1),0)))+
  SUMPRODUCT(('Form responses 1'!$F$2:$F1000=$A11)*('Form responses 1'!$A$2:$A1000&lt;=EOMONTH(DATEVALUE("1 "&amp;AC$1),0)))+
  SUMPRODUCT(('Form responses 1'!$G$2:$G1000=$A11)*('Form responses 1'!$A$2:$A1000&lt;=EOMONTH(DATEVALUE("1 "&amp;AC$1),0)))
),2),"-")</f>
        <v>0.81</v>
      </c>
      <c r="AD11" s="2" t="str">
        <f>IFERROR(ROUND(Data!$B11/(
  SUMPRODUCT(('Form responses 1'!$B$2:$B1000=$A11)*('Form responses 1'!$A$2:$A1000&lt;=EOMONTH(DATEVALUE("1 "&amp;AD$1),0)))+
  SUMPRODUCT(('Form responses 1'!$C$2:$C1000=$A11)*('Form responses 1'!$A$2:$A1000&lt;=EOMONTH(DATEVALUE("1 "&amp;AD$1),0)))+
  SUMPRODUCT(('Form responses 1'!$D$2:$D1000=$A11)*('Form responses 1'!$A$2:$A1000&lt;=EOMONTH(DATEVALUE("1 "&amp;AD$1),0)))+
  SUMPRODUCT(('Form responses 1'!$E$2:$E1000=$A11)*('Form responses 1'!$A$2:$A1000&lt;=EOMONTH(DATEVALUE("1 "&amp;AD$1),0)))+
  SUMPRODUCT(('Form responses 1'!$F$2:$F1000=$A11)*('Form responses 1'!$A$2:$A1000&lt;=EOMONTH(DATEVALUE("1 "&amp;AD$1),0)))+
  SUMPRODUCT(('Form responses 1'!$G$2:$G1000=$A11)*('Form responses 1'!$A$2:$A1000&lt;=EOMONTH(DATEVALUE("1 "&amp;AD$1),0)))
),2),"-")</f>
        <v>-</v>
      </c>
      <c r="AE11" s="2" t="str">
        <f>IFERROR(ROUND(Data!$B11/(
  SUMPRODUCT(('Form responses 1'!$B$2:$B1000=$A11)*('Form responses 1'!$A$2:$A1000&lt;=EOMONTH(DATEVALUE("1 "&amp;AE$1),0)))+
  SUMPRODUCT(('Form responses 1'!$C$2:$C1000=$A11)*('Form responses 1'!$A$2:$A1000&lt;=EOMONTH(DATEVALUE("1 "&amp;AE$1),0)))+
  SUMPRODUCT(('Form responses 1'!$D$2:$D1000=$A11)*('Form responses 1'!$A$2:$A1000&lt;=EOMONTH(DATEVALUE("1 "&amp;AE$1),0)))+
  SUMPRODUCT(('Form responses 1'!$E$2:$E1000=$A11)*('Form responses 1'!$A$2:$A1000&lt;=EOMONTH(DATEVALUE("1 "&amp;AE$1),0)))+
  SUMPRODUCT(('Form responses 1'!$F$2:$F1000=$A11)*('Form responses 1'!$A$2:$A1000&lt;=EOMONTH(DATEVALUE("1 "&amp;AE$1),0)))+
  SUMPRODUCT(('Form responses 1'!$G$2:$G1000=$A11)*('Form responses 1'!$A$2:$A1000&lt;=EOMONTH(DATEVALUE("1 "&amp;AE$1),0)))
),2),"-")</f>
        <v>-</v>
      </c>
      <c r="AF11" s="2" t="str">
        <f>IFERROR(ROUND(Data!$B11/(
  SUMPRODUCT(('Form responses 1'!$B$2:$B1000=$A11)*('Form responses 1'!$A$2:$A1000&lt;=EOMONTH(DATEVALUE("1 "&amp;AF$1),0)))+
  SUMPRODUCT(('Form responses 1'!$C$2:$C1000=$A11)*('Form responses 1'!$A$2:$A1000&lt;=EOMONTH(DATEVALUE("1 "&amp;AF$1),0)))+
  SUMPRODUCT(('Form responses 1'!$D$2:$D1000=$A11)*('Form responses 1'!$A$2:$A1000&lt;=EOMONTH(DATEVALUE("1 "&amp;AF$1),0)))+
  SUMPRODUCT(('Form responses 1'!$E$2:$E1000=$A11)*('Form responses 1'!$A$2:$A1000&lt;=EOMONTH(DATEVALUE("1 "&amp;AF$1),0)))+
  SUMPRODUCT(('Form responses 1'!$F$2:$F1000=$A11)*('Form responses 1'!$A$2:$A1000&lt;=EOMONTH(DATEVALUE("1 "&amp;AF$1),0)))+
  SUMPRODUCT(('Form responses 1'!$G$2:$G1000=$A11)*('Form responses 1'!$A$2:$A1000&lt;=EOMONTH(DATEVALUE("1 "&amp;AF$1),0)))
),2),"-")</f>
        <v>-</v>
      </c>
      <c r="AG11" s="2" t="str">
        <f>IFERROR(ROUND(Data!$B11/(
  SUMPRODUCT(('Form responses 1'!$B$2:$B1000=$A11)*('Form responses 1'!$A$2:$A1000&lt;=EOMONTH(DATEVALUE("1 "&amp;AG$1),0)))+
  SUMPRODUCT(('Form responses 1'!$C$2:$C1000=$A11)*('Form responses 1'!$A$2:$A1000&lt;=EOMONTH(DATEVALUE("1 "&amp;AG$1),0)))+
  SUMPRODUCT(('Form responses 1'!$D$2:$D1000=$A11)*('Form responses 1'!$A$2:$A1000&lt;=EOMONTH(DATEVALUE("1 "&amp;AG$1),0)))+
  SUMPRODUCT(('Form responses 1'!$E$2:$E1000=$A11)*('Form responses 1'!$A$2:$A1000&lt;=EOMONTH(DATEVALUE("1 "&amp;AG$1),0)))+
  SUMPRODUCT(('Form responses 1'!$F$2:$F1000=$A11)*('Form responses 1'!$A$2:$A1000&lt;=EOMONTH(DATEVALUE("1 "&amp;AG$1),0)))+
  SUMPRODUCT(('Form responses 1'!$G$2:$G1000=$A11)*('Form responses 1'!$A$2:$A1000&lt;=EOMONTH(DATEVALUE("1 "&amp;AG$1),0)))
),2),"-")</f>
        <v>-</v>
      </c>
      <c r="AH11" s="2" t="str">
        <f>IFERROR(ROUND(Data!$B11/(
  SUMPRODUCT(('Form responses 1'!$B$2:$B1000=$A11)*('Form responses 1'!$A$2:$A1000&lt;=EOMONTH(DATEVALUE("1 "&amp;AH$1),0)))+
  SUMPRODUCT(('Form responses 1'!$C$2:$C1000=$A11)*('Form responses 1'!$A$2:$A1000&lt;=EOMONTH(DATEVALUE("1 "&amp;AH$1),0)))+
  SUMPRODUCT(('Form responses 1'!$D$2:$D1000=$A11)*('Form responses 1'!$A$2:$A1000&lt;=EOMONTH(DATEVALUE("1 "&amp;AH$1),0)))+
  SUMPRODUCT(('Form responses 1'!$E$2:$E1000=$A11)*('Form responses 1'!$A$2:$A1000&lt;=EOMONTH(DATEVALUE("1 "&amp;AH$1),0)))+
  SUMPRODUCT(('Form responses 1'!$F$2:$F1000=$A11)*('Form responses 1'!$A$2:$A1000&lt;=EOMONTH(DATEVALUE("1 "&amp;AH$1),0)))+
  SUMPRODUCT(('Form responses 1'!$G$2:$G1000=$A11)*('Form responses 1'!$A$2:$A1000&lt;=EOMONTH(DATEVALUE("1 "&amp;AH$1),0)))
),2),"-")</f>
        <v>-</v>
      </c>
      <c r="AI11" s="2" t="str">
        <f>IFERROR(ROUND(Data!$B11/(
  SUMPRODUCT(('Form responses 1'!$B$2:$B1000=$A11)*('Form responses 1'!$A$2:$A1000&lt;=EOMONTH(DATEVALUE("1 "&amp;AI$1),0)))+
  SUMPRODUCT(('Form responses 1'!$C$2:$C1000=$A11)*('Form responses 1'!$A$2:$A1000&lt;=EOMONTH(DATEVALUE("1 "&amp;AI$1),0)))+
  SUMPRODUCT(('Form responses 1'!$D$2:$D1000=$A11)*('Form responses 1'!$A$2:$A1000&lt;=EOMONTH(DATEVALUE("1 "&amp;AI$1),0)))+
  SUMPRODUCT(('Form responses 1'!$E$2:$E1000=$A11)*('Form responses 1'!$A$2:$A1000&lt;=EOMONTH(DATEVALUE("1 "&amp;AI$1),0)))+
  SUMPRODUCT(('Form responses 1'!$F$2:$F1000=$A11)*('Form responses 1'!$A$2:$A1000&lt;=EOMONTH(DATEVALUE("1 "&amp;AI$1),0)))+
  SUMPRODUCT(('Form responses 1'!$G$2:$G1000=$A11)*('Form responses 1'!$A$2:$A1000&lt;=EOMONTH(DATEVALUE("1 "&amp;AI$1),0)))
),2),"-")</f>
        <v>-</v>
      </c>
      <c r="AJ11" s="2" t="str">
        <f>IFERROR(ROUND(Data!$B11/(
  SUMPRODUCT(('Form responses 1'!$B$2:$B1000=$A11)*('Form responses 1'!$A$2:$A1000&lt;=EOMONTH(DATEVALUE("1 "&amp;AJ$1),0)))+
  SUMPRODUCT(('Form responses 1'!$C$2:$C1000=$A11)*('Form responses 1'!$A$2:$A1000&lt;=EOMONTH(DATEVALUE("1 "&amp;AJ$1),0)))+
  SUMPRODUCT(('Form responses 1'!$D$2:$D1000=$A11)*('Form responses 1'!$A$2:$A1000&lt;=EOMONTH(DATEVALUE("1 "&amp;AJ$1),0)))+
  SUMPRODUCT(('Form responses 1'!$E$2:$E1000=$A11)*('Form responses 1'!$A$2:$A1000&lt;=EOMONTH(DATEVALUE("1 "&amp;AJ$1),0)))+
  SUMPRODUCT(('Form responses 1'!$F$2:$F1000=$A11)*('Form responses 1'!$A$2:$A1000&lt;=EOMONTH(DATEVALUE("1 "&amp;AJ$1),0)))+
  SUMPRODUCT(('Form responses 1'!$G$2:$G1000=$A11)*('Form responses 1'!$A$2:$A1000&lt;=EOMONTH(DATEVALUE("1 "&amp;AJ$1),0)))
),2),"-")</f>
        <v>-</v>
      </c>
      <c r="AK11" s="2" t="str">
        <f>IFERROR(ROUND(Data!$B11/(
  SUMPRODUCT(('Form responses 1'!$B$2:$B1000=$A11)*('Form responses 1'!$A$2:$A1000&lt;=EOMONTH(DATEVALUE("1 "&amp;AK$1),0)))+
  SUMPRODUCT(('Form responses 1'!$C$2:$C1000=$A11)*('Form responses 1'!$A$2:$A1000&lt;=EOMONTH(DATEVALUE("1 "&amp;AK$1),0)))+
  SUMPRODUCT(('Form responses 1'!$D$2:$D1000=$A11)*('Form responses 1'!$A$2:$A1000&lt;=EOMONTH(DATEVALUE("1 "&amp;AK$1),0)))+
  SUMPRODUCT(('Form responses 1'!$E$2:$E1000=$A11)*('Form responses 1'!$A$2:$A1000&lt;=EOMONTH(DATEVALUE("1 "&amp;AK$1),0)))+
  SUMPRODUCT(('Form responses 1'!$F$2:$F1000=$A11)*('Form responses 1'!$A$2:$A1000&lt;=EOMONTH(DATEVALUE("1 "&amp;AK$1),0)))+
  SUMPRODUCT(('Form responses 1'!$G$2:$G1000=$A11)*('Form responses 1'!$A$2:$A1000&lt;=EOMONTH(DATEVALUE("1 "&amp;AK$1),0)))
),2),"-")</f>
        <v>-</v>
      </c>
      <c r="AL11" s="2" t="str">
        <f>IFERROR(ROUND(Data!$B11/(
  SUMPRODUCT(('Form responses 1'!$B$2:$B1000=$A11)*('Form responses 1'!$A$2:$A1000&lt;=EOMONTH(DATEVALUE("1 "&amp;AL$1),0)))+
  SUMPRODUCT(('Form responses 1'!$C$2:$C1000=$A11)*('Form responses 1'!$A$2:$A1000&lt;=EOMONTH(DATEVALUE("1 "&amp;AL$1),0)))+
  SUMPRODUCT(('Form responses 1'!$D$2:$D1000=$A11)*('Form responses 1'!$A$2:$A1000&lt;=EOMONTH(DATEVALUE("1 "&amp;AL$1),0)))+
  SUMPRODUCT(('Form responses 1'!$E$2:$E1000=$A11)*('Form responses 1'!$A$2:$A1000&lt;=EOMONTH(DATEVALUE("1 "&amp;AL$1),0)))+
  SUMPRODUCT(('Form responses 1'!$F$2:$F1000=$A11)*('Form responses 1'!$A$2:$A1000&lt;=EOMONTH(DATEVALUE("1 "&amp;AL$1),0)))+
  SUMPRODUCT(('Form responses 1'!$G$2:$G1000=$A11)*('Form responses 1'!$A$2:$A1000&lt;=EOMONTH(DATEVALUE("1 "&amp;AL$1),0)))
),2),"-")</f>
        <v>-</v>
      </c>
    </row>
    <row r="12">
      <c r="A12" s="3" t="str">
        <f>IFERROR(__xludf.DUMMYFUNCTION("""COMPUTED_VALUE"""),"Beige levi's")</f>
        <v>Beige levi's</v>
      </c>
      <c r="B12" s="2">
        <f>Data!F12:F1000</f>
        <v>0.21</v>
      </c>
      <c r="C12" s="2">
        <f>IFERROR(ROUND(Data!B12/(SUMPRODUCT(('Form responses 1'!$B$2:$B1000 = A12) * ('Form responses 1'!$A$2:$A1000 &lt;= DATE(2024, 1, 31)))
+ SUMPRODUCT(('Form responses 1'!$C$2:$C1000 = A12) * ('Form responses 1'!$A$2:$A1000 &lt;= DATE(2024, 1, 31)))
+ SUMPRODUCT(('Form responses 1'!$D$2:$D1000 = A12) * ('Form responses 1'!$A$2:$A1000 &lt;= DATE(2024, 1, 31)))
+ SUMPRODUCT(('Form responses 1'!$E$2:$E1000 = A12) * ('Form responses 1'!$A$2:$A1000 &lt;= DATE(2024, 1, 31)))
+ SUMPRODUCT(('Form responses 1'!$F$2:$F1000 = A12) * ('Form responses 1'!$A$2:$A1000 &lt;= DATE(2024, 1, 31)))
+ SUMPRODUCT(('Form responses 1'!$G$2:$G1000 = A12) * ('Form responses 1'!$A$2:$A1000 &lt;= DATE(2024, 1, 31)))), 2), "-")
</f>
        <v>4.69</v>
      </c>
      <c r="D12" s="2">
        <f>IFERROR(ROUND(Data!B12/(SUMPRODUCT(('Form responses 1'!$B$2:$B1000 = A12) * ('Form responses 1'!$A$2:$A1000 &lt;= DATE(2024, 2, 29)))
+ SUMPRODUCT(('Form responses 1'!$C$2:$C1000 = A12) * ('Form responses 1'!$A$2:$A1000 &lt;= DATE(2024, 2, 29)))
+ SUMPRODUCT(('Form responses 1'!$D$2:$D1000 = A12) * ('Form responses 1'!$A$2:$A1000 &lt;= DATE(2024, 2, 29)))
+ SUMPRODUCT(('Form responses 1'!$E$2:$E1000 = A12) * ('Form responses 1'!$A$2:$A1000 &lt;= DATE(2024, 2, 29)))
+ SUMPRODUCT(('Form responses 1'!$F$2:$F1000 = A12) * ('Form responses 1'!$A$2:$A1000 &lt;= DATE(2024, 2, 29)))
+ SUMPRODUCT(('Form responses 1'!$G$2:$G1000 = A12) * ('Form responses 1'!$A$2:$A1000 &lt;= DATE(2024, 2, 29)))), 2), "-")
</f>
        <v>2.56</v>
      </c>
      <c r="E12" s="2">
        <f>IFERROR(ROUND(Data!B12/(SUMPRODUCT(('Form responses 1'!$B$2:$B1000 = A12) * ('Form responses 1'!$A$2:$A1000 &lt;= DATE(2024, 3, 31)))
+ SUMPRODUCT(('Form responses 1'!$C$2:$C1000 = A12) * ('Form responses 1'!$A$2:$A1000 &lt;= DATE(2024, 3, 31)))
+ SUMPRODUCT(('Form responses 1'!$D$2:$D1000 = A12) * ('Form responses 1'!$A$2:$A1000 &lt;= DATE(2024, 3, 31)))
+ SUMPRODUCT(('Form responses 1'!$E$2:$E1000 = A12) * ('Form responses 1'!$A$2:$A1000 &lt;= DATE(2024, 3, 31)))
+ SUMPRODUCT(('Form responses 1'!$F$2:$F1000 = A12) * ('Form responses 1'!$A$2:$A1000 &lt;= DATE(2024, 3, 31)))
+ SUMPRODUCT(('Form responses 1'!$G$2:$G1000 = A12) * ('Form responses 1'!$A$2:$A1000 &lt;= DATE(2024, 3, 31)))), 2), "-")
</f>
        <v>1.22</v>
      </c>
      <c r="F12" s="2">
        <f>IFERROR(ROUND(Data!B12/(SUMPRODUCT(('Form responses 1'!$B$2:$B1000 = A12) * ('Form responses 1'!$A$2:$A1000 &lt;= DATE(2024, 4, 30)))
+ SUMPRODUCT(('Form responses 1'!$C$2:$C1000 = A12) * ('Form responses 1'!$A$2:$A1000 &lt;= DATE(2024, 4, 30)))
+ SUMPRODUCT(('Form responses 1'!$D$2:$D1000 = A12) * ('Form responses 1'!$A$2:$A1000 &lt;= DATE(2024, 4, 30)))
+ SUMPRODUCT(('Form responses 1'!$E$2:$E1000 = A12) * ('Form responses 1'!$A$2:$A1000 &lt;= DATE(2024, 4, 30)))
+ SUMPRODUCT(('Form responses 1'!$F$2:$F1000 = A12) * ('Form responses 1'!$A$2:$A1000 &lt;= DATE(2024, 4, 30)))
+ SUMPRODUCT(('Form responses 1'!$G$2:$G1000 = A12) * ('Form responses 1'!$A$2:$A1000 &lt;= DATE(2024, 4, 30)))), 2), "-")
</f>
        <v>1.04</v>
      </c>
      <c r="G12" s="2">
        <f>IFERROR(ROUND(Data!B12/(SUMPRODUCT(('Form responses 1'!$B$2:$B1000 = A12) * ('Form responses 1'!$A$2:$A1000 &lt;= DATE(2024, 5, 31)))
+ SUMPRODUCT(('Form responses 1'!$C$2:$C1000 = A12) * ('Form responses 1'!$A$2:$A1000 &lt;= DATE(2024, 5, 31)))
+ SUMPRODUCT(('Form responses 1'!$D$2:$D1000 = A12) * ('Form responses 1'!$A$2:$A1000 &lt;= DATE(2024, 5, 31)))
+ SUMPRODUCT(('Form responses 1'!$E$2:$E1000 = A12) * ('Form responses 1'!$A$2:$A1000 &lt;= DATE(2024, 5, 31)))
+ SUMPRODUCT(('Form responses 1'!$F$2:$F1000 = A12) * ('Form responses 1'!$A$2:$A1000 &lt;= DATE(2024, 5, 31)))
+ SUMPRODUCT(('Form responses 1'!$G$2:$G1000 = A12) * ('Form responses 1'!$A$2:$A1000 &lt;= DATE(2024, 5, 31)))), 2), "-")
</f>
        <v>0.76</v>
      </c>
      <c r="H12" s="2">
        <f>IFERROR(ROUND(Data!B12/(SUMPRODUCT(('Form responses 1'!$B$2:$B1000 = A12) * ('Form responses 1'!$A$2:$A1000 &lt;= DATE(2024, 6, 30)))
+ SUMPRODUCT(('Form responses 1'!$C$2:$C1000 = A12) * ('Form responses 1'!$A$2:$A1000 &lt;= DATE(2024, 6, 30)))
+ SUMPRODUCT(('Form responses 1'!$D$2:$D1000 = A12) * ('Form responses 1'!$A$2:$A1000 &lt;= DATE(2024, 6, 30)))
+ SUMPRODUCT(('Form responses 1'!$E$2:$E1000 = A12) * ('Form responses 1'!$A$2:$A1000 &lt;= DATE(2024, 6, 30)))
+ SUMPRODUCT(('Form responses 1'!$F$2:$F1000 = A12) * ('Form responses 1'!$A$2:$A1000 &lt;= DATE(2024, 6, 30)))
+ SUMPRODUCT(('Form responses 1'!$G$2:$G1000 = A12) * ('Form responses 1'!$A$2:$A1000 &lt;= DATE(2024, 6, 30)))), 2), "-")
</f>
        <v>0.7</v>
      </c>
      <c r="I12" s="2">
        <f>IFERROR(ROUND(Data!B12/(SUMPRODUCT(('Form responses 1'!$B$2:$B1000 = A12) * ('Form responses 1'!$A$2:$A1000 &lt;= DATE(2024, 7, 31)))
+ SUMPRODUCT(('Form responses 1'!$C$2:$C1000 = A12) * ('Form responses 1'!$A$2:$A1000 &lt;= DATE(2024, 7, 31)))
+ SUMPRODUCT(('Form responses 1'!$D$2:$D1000 = A12) * ('Form responses 1'!$A$2:$A1000 &lt;= DATE(2024, 7, 31)))
+ SUMPRODUCT(('Form responses 1'!$E$2:$E1000 = A12) * ('Form responses 1'!$A$2:$A1000 &lt;= DATE(2024, 7, 31)))
+ SUMPRODUCT(('Form responses 1'!$F$2:$F1000 = A12) * ('Form responses 1'!$A$2:$A1000 &lt;= DATE(2024, 7, 31)))
+ SUMPRODUCT(('Form responses 1'!$G$2:$G1000 = A12) * ('Form responses 1'!$A$2:$A1000 &lt;= DATE(2024, 7, 31)))), 2), "-")
</f>
        <v>0.67</v>
      </c>
      <c r="J12" s="2">
        <f>IFERROR(ROUND(Data!B12/(SUMPRODUCT(('Form responses 1'!$B$2:$B1000 = A12) * ('Form responses 1'!$A$2:$A1000 &lt;= DATE(2024, 8, 31)))
+ SUMPRODUCT(('Form responses 1'!$C$2:$C1000 = A12) * ('Form responses 1'!$A$2:$A1000 &lt;= DATE(2024, 8, 31)))
+ SUMPRODUCT(('Form responses 1'!$D$2:$D1000 = A12) * ('Form responses 1'!$A$2:$A1000 &lt;= DATE(2024, 8, 31)))
+ SUMPRODUCT(('Form responses 1'!$E$2:$E1000 = A12) * ('Form responses 1'!$A$2:$A1000 &lt;= DATE(2024, 8, 31)))
+ SUMPRODUCT(('Form responses 1'!$F$2:$F1000 = A12) * ('Form responses 1'!$A$2:$A1000 &lt;= DATE(2024, 8, 31)))
+ SUMPRODUCT(('Form responses 1'!$G$2:$G1000 = A12) * ('Form responses 1'!$A$2:$A1000 &lt;= DATE(2024, 8, 31)))), 2), "-")
</f>
        <v>0.67</v>
      </c>
      <c r="K12" s="2">
        <f>IFERROR(ROUND(Data!B12/(SUMPRODUCT(('Form responses 1'!$B$2:$B1000 = A12) * ('Form responses 1'!$A$2:$A1000 &lt;= DATE(2024, 9, 30)))
+ SUMPRODUCT(('Form responses 1'!$C$2:$C1000 = A12) * ('Form responses 1'!$A$2:$A1000 &lt;= DATE(2024, 9, 30)))
+ SUMPRODUCT(('Form responses 1'!$D$2:$D1000 = A12) * ('Form responses 1'!$A$2:$A1000 &lt;= DATE(2024, 9, 30)))
+ SUMPRODUCT(('Form responses 1'!$E$2:$E1000 = A12) * ('Form responses 1'!$A$2:$A1000 &lt;= DATE(2024, 9, 30)))
+ SUMPRODUCT(('Form responses 1'!$F$2:$F1000 = A12) * ('Form responses 1'!$A$2:$A1000 &lt;= DATE(2024, 9, 30)))
+ SUMPRODUCT(('Form responses 1'!$G$2:$G1000 = A12) * ('Form responses 1'!$A$2:$A1000 &lt;= DATE(2024, 9, 30)))), 2), "-")
</f>
        <v>0.62</v>
      </c>
      <c r="L12" s="2">
        <f>IFERROR(ROUND(Data!B12/(SUMPRODUCT(('Form responses 1'!$B$2:$B1000 = A12) * ('Form responses 1'!$A$2:$A1000 &lt;= DATE(2024, 10, 31)))
+ SUMPRODUCT(('Form responses 1'!$C$2:$C1000 = A12) * ('Form responses 1'!$A$2:$A1000 &lt;= DATE(2024, 10, 31)))
+ SUMPRODUCT(('Form responses 1'!$D$2:$D1000 = A12) * ('Form responses 1'!$A$2:$A1000 &lt;= DATE(2024, 10, 31)))
+ SUMPRODUCT(('Form responses 1'!$E$2:$E1000 = A12) * ('Form responses 1'!$A$2:$A1000 &lt;= DATE(2024, 10, 31)))
+ SUMPRODUCT(('Form responses 1'!$F$2:$F1000 = A12) * ('Form responses 1'!$A$2:$A1000 &lt;= DATE(2024, 10, 31)))
+ SUMPRODUCT(('Form responses 1'!$G$2:$G1000 = A12) * ('Form responses 1'!$A$2:$A1000 &lt;= DATE(2024, 10, 31)))), 2), "-")
</f>
        <v>0.55</v>
      </c>
      <c r="M12" s="2">
        <f>IFERROR(ROUND(Data!B12/(SUMPRODUCT(('Form responses 1'!$B$2:$B1000 = A12) * ('Form responses 1'!$A$2:$A1000 &lt;= DATE(2024, 11, 30)))
+ SUMPRODUCT(('Form responses 1'!$C$2:$C1000 = A12) * ('Form responses 1'!$A$2:$A1000 &lt;= DATE(2024, 11, 30)))
+ SUMPRODUCT(('Form responses 1'!$D$2:$D1000 = A12) * ('Form responses 1'!$A$2:$A1000 &lt;= DATE(2024, 11, 30)))
+ SUMPRODUCT(('Form responses 1'!$E$2:$E1000 = A12) * ('Form responses 1'!$A$2:$A1000 &lt;= DATE(2024, 11, 30)))
+ SUMPRODUCT(('Form responses 1'!$F$2:$F1000 = A12) * ('Form responses 1'!$A$2:$A1000 &lt;= DATE(2024, 11, 30)))
+ SUMPRODUCT(('Form responses 1'!$G$2:$G1000 = A12) * ('Form responses 1'!$A$2:$A1000 &lt;= DATE(2024, 11, 30)))), 2), "-")
</f>
        <v>0.53</v>
      </c>
      <c r="N12" s="2">
        <f>IFERROR(ROUND(Data!B12/(SUMPRODUCT(('Form responses 1'!$B$2:$B1000 = A12) * ('Form responses 1'!$A$2:$A1000 &lt;= DATE(2024, 12, 31)))
+ SUMPRODUCT(('Form responses 1'!$C$2:$C1000 = A12) * ('Form responses 1'!$A$2:$A1000 &lt;= DATE(2024, 12, 31)))
+ SUMPRODUCT(('Form responses 1'!$D$2:$D1000 = A12) * ('Form responses 1'!$A$2:$A1000 &lt;= DATE(2024, 12, 31)))
+ SUMPRODUCT(('Form responses 1'!$E$2:$E1000 = A12) * ('Form responses 1'!$A$2:$A1000 &lt;= DATE(2024, 12, 31)))
+ SUMPRODUCT(('Form responses 1'!$F$2:$F1000 = A12) * ('Form responses 1'!$A$2:$A1000 &lt;= DATE(2024, 12, 31)))
+ SUMPRODUCT(('Form responses 1'!$G$2:$G1000 = A12) * ('Form responses 1'!$A$2:$A1000 &lt;= DATE(2024, 12, 31)))), 2), "-")
</f>
        <v>0.48</v>
      </c>
      <c r="O12" s="2">
        <f>IFERROR(ROUND(Data!B12/(SUMPRODUCT(('Form responses 1'!$B$2:$B1000 = A12) * ('Form responses 1'!$A$2:$A1000 &lt;= DATE(2025, 1, 31)))
+ SUMPRODUCT(('Form responses 1'!$C$2:$C1000 = A12) * ('Form responses 1'!$A$2:$A1000 &lt;= DATE(2025, 1, 31)))
+ SUMPRODUCT(('Form responses 1'!$D$2:$D1000 = A12) * ('Form responses 1'!$A$2:$A1000 &lt;= DATE(2025, 1, 31)))
+ SUMPRODUCT(('Form responses 1'!$E$2:$E1000 = A12) * ('Form responses 1'!$A$2:$A1000 &lt;= DATE(2025, 1, 31)))
+ SUMPRODUCT(('Form responses 1'!$F$2:$F1000 = A12) * ('Form responses 1'!$A$2:$A1000 &lt;= DATE(2025, 1, 31)))
+ SUMPRODUCT(('Form responses 1'!$G$2:$G1000 = A12) * ('Form responses 1'!$A$2:$A1000 &lt;= DATE(2025, 1, 31)))), 2), "-")
</f>
        <v>0.46</v>
      </c>
      <c r="P12" s="2">
        <f>IFERROR(ROUND(Data!B12/(SUMPRODUCT(('Form responses 1'!$B$2:$B1000 = A12) * ('Form responses 1'!$A$2:$A1000 &lt;= DATE(2025, 2, 28)))
+ SUMPRODUCT(('Form responses 1'!$C$2:$C1000 = A12) * ('Form responses 1'!$A$2:$A1000 &lt;= DATE(2025, 2, 28)))
+ SUMPRODUCT(('Form responses 1'!$D$2:$D1000 = A12) * ('Form responses 1'!$A$2:$A1000 &lt;= DATE(2025, 2, 28)))
+ SUMPRODUCT(('Form responses 1'!$E$2:$E1000 = A12) * ('Form responses 1'!$A$2:$A1000 &lt;= DATE(2025, 2, 28)))
+ SUMPRODUCT(('Form responses 1'!$F$2:$F1000 = A12) * ('Form responses 1'!$A$2:$A1000 &lt;= DATE(2025, 2, 28)))
+ SUMPRODUCT(('Form responses 1'!$G$2:$G1000 = A12) * ('Form responses 1'!$A$2:$A1000 &lt;= DATE(2025, 2, 28)))), 2), "-")
</f>
        <v>0.43</v>
      </c>
      <c r="Q12" s="2">
        <f>IFERROR(ROUND(Data!B12/(SUMPRODUCT(('Form responses 1'!$B$2:$B1000 = A12) * ('Form responses 1'!$A$2:$A1000 &lt;= DATE(2025, 3, 31)))
+ SUMPRODUCT(('Form responses 1'!$C$2:$C1000 = A12) * ('Form responses 1'!$A$2:$A1000 &lt;= DATE(2025, 3, 31)))
+ SUMPRODUCT(('Form responses 1'!$D$2:$D1000 = A12) * ('Form responses 1'!$A$2:$A1000 &lt;= DATE(2025, 3, 31)))
+ SUMPRODUCT(('Form responses 1'!$E$2:$E1000 = A12) * ('Form responses 1'!$A$2:$A1000 &lt;= DATE(2025, 3, 31)))
+ SUMPRODUCT(('Form responses 1'!$F$2:$F1000 = A12) * ('Form responses 1'!$A$2:$A1000 &lt;= DATE(2025, 3, 31)))
+ SUMPRODUCT(('Form responses 1'!$G$2:$G1000 = A12) * ('Form responses 1'!$A$2:$A1000 &lt;= DATE(2025, 3, 31)))),2),"-")</f>
        <v>0.39</v>
      </c>
      <c r="R12" s="2">
        <f>IFERROR(ROUND(Data!B12/(SUMPRODUCT(('Form responses 1'!$B$2:$B1000 = A12) * ('Form responses 1'!$A$2:$A1000 &lt;= DATE(2025, 4, 30)))
+ SUMPRODUCT(('Form responses 1'!$C$2:$C1000 = A12) * ('Form responses 1'!$A$2:$A1000 &lt;= DATE(2025, 4, 30)))
+ SUMPRODUCT(('Form responses 1'!$D$2:$D1000 = A12) * ('Form responses 1'!$A$2:$A1000 &lt;= DATE(2025, 4, 30)))
+ SUMPRODUCT(('Form responses 1'!$E$2:$E1000 = A12) * ('Form responses 1'!$A$2:$A1000 &lt;= DATE(2025, 4, 30)))
+ SUMPRODUCT(('Form responses 1'!$F$2:$F1000 = A12) * ('Form responses 1'!$A$2:$A1000 &lt;= DATE(2025, 4, 30)))
+ SUMPRODUCT(('Form responses 1'!$G$2:$G1000 = A12) * ('Form responses 1'!$A$2:$A1000 &lt;= DATE(2025, 4, 30)))), 2), "-")
</f>
        <v>0.39</v>
      </c>
      <c r="S12" s="2">
        <f>IFERROR(ROUND(Data!B12/(SUMPRODUCT(('Form responses 1'!$B$2:$B1000 = A12) * ('Form responses 1'!$A$2:$A1000 &lt;= DATE(2025, 5, 31)))
+ SUMPRODUCT(('Form responses 1'!$C$2:$C1000 = A12) * ('Form responses 1'!$A$2:$A1000 &lt;= DATE(2025, 5, 31)))
+ SUMPRODUCT(('Form responses 1'!$D$2:$D1000 = A12) * ('Form responses 1'!$A$2:$A1000 &lt;= DATE(2025, 5, 31)))
+ SUMPRODUCT(('Form responses 1'!$E$2:$E1000 = A12) * ('Form responses 1'!$A$2:$A1000 &lt;= DATE(2025, 5, 31)))
+ SUMPRODUCT(('Form responses 1'!$F$2:$F1000 = A12) * ('Form responses 1'!$A$2:$A1000 &lt;= DATE(2025, 5, 31)))
+ SUMPRODUCT(('Form responses 1'!$G$2:$G1000 = A12) * ('Form responses 1'!$A$2:$A1000 &lt;= DATE(2025, 5, 31)))), 2), "-")
</f>
        <v>0.36</v>
      </c>
      <c r="T12" s="2">
        <f>IFERROR(ROUND(Data!B12/(SUMPRODUCT(('Form responses 1'!$B$2:$B1000 = A12) * ('Form responses 1'!$A$2:$A1000 &lt;= DATE(2025, 6, 30)))
+ SUMPRODUCT(('Form responses 1'!$C$2:$C1000 = A12) * ('Form responses 1'!$A$2:$A1000 &lt;= DATE(2025, 6, 30)))
+ SUMPRODUCT(('Form responses 1'!$D$2:$D1000 = A12) * ('Form responses 1'!$A$2:$A1000 &lt;= DATE(2025, 6, 30)))
+ SUMPRODUCT(('Form responses 1'!$E$2:$E1000 = A12) * ('Form responses 1'!$A$2:$A1000 &lt;= DATE(2025, 6, 30)))
+ SUMPRODUCT(('Form responses 1'!$F$2:$F1000 = A12) * ('Form responses 1'!$A$2:$A1000 &lt;= DATE(2025, 6, 30)))
+ SUMPRODUCT(('Form responses 1'!$G$2:$G1000 = A12) * ('Form responses 1'!$A$2:$A1000 &lt;= DATE(2025, 6, 30)))), 2), "-")
</f>
        <v>0.35</v>
      </c>
      <c r="U12" s="2">
        <f>IFERROR(ROUND(Data!B12/(SUMPRODUCT(('Form responses 1'!$B$2:$B1000 = A12) * ('Form responses 1'!$A$2:$A1000 &lt;= DATE(2025, 7, 31)))
+ SUMPRODUCT(('Form responses 1'!$C$2:$C1000 = A12) * ('Form responses 1'!$A$2:$A1000 &lt;= DATE(2025, 7, 31)))
+ SUMPRODUCT(('Form responses 1'!$D$2:$D1000 = A12) * ('Form responses 1'!$A$2:$A1000 &lt;= DATE(2025, 7, 31)))
+ SUMPRODUCT(('Form responses 1'!$E$2:$E1000 = A12) * ('Form responses 1'!$A$2:$A1000 &lt;= DATE(2025, 7, 31)))
+ SUMPRODUCT(('Form responses 1'!$F$2:$F1000 = A12) * ('Form responses 1'!$A$2:$A1000 &lt;= DATE(2025, 7, 31)))
+ SUMPRODUCT(('Form responses 1'!$G$2:$G1000 = A12) * ('Form responses 1'!$A$2:$A1000 &lt;= DATE(2025, 7, 31)))), 2), "-")
</f>
        <v>0.34</v>
      </c>
      <c r="V12" s="2">
        <f>IFERROR(ROUND(Data!B12/(SUMPRODUCT(('Form responses 1'!$B$2:$B1000 = A12) * ('Form responses 1'!$A$2:$A1000 &lt;= DATE(2025, 8, 31)))
+ SUMPRODUCT(('Form responses 1'!$C$2:$C1000 = A12) * ('Form responses 1'!$A$2:$A1000 &lt;= DATE(2025, 8, 31)))
+ SUMPRODUCT(('Form responses 1'!$D$2:$D1000 = A12) * ('Form responses 1'!$A$2:$A1000 &lt;= DATE(2025, 8, 31)))
+ SUMPRODUCT(('Form responses 1'!$E$2:$E1000 = A12) * ('Form responses 1'!$A$2:$A1000 &lt;= DATE(2025, 8, 31)))
+ SUMPRODUCT(('Form responses 1'!$F$2:$F1000 = A12) * ('Form responses 1'!$A$2:$A1000 &lt;= DATE(2025, 8, 31)))
+ SUMPRODUCT(('Form responses 1'!$G$2:$G1000 = A12) * ('Form responses 1'!$A$2:$A1000 &lt;= DATE(2025, 8, 31)))), 2), "-")
</f>
        <v>0.34</v>
      </c>
      <c r="W12" s="2">
        <f>IFERROR(ROUND(Data!B12/(SUMPRODUCT(('Form responses 1'!$B$2:$B1000 = A12) * ('Form responses 1'!$A$2:$A1000 &lt;= DATE(2025, 9, 30)))
+ SUMPRODUCT(('Form responses 1'!$C$2:$C1000 = A12) * ('Form responses 1'!$A$2:$A1000 &lt;= DATE(2025, 9, 30)))
+ SUMPRODUCT(('Form responses 1'!$D$2:$D1000 = A12) * ('Form responses 1'!$A$2:$A1000 &lt;= DATE(2025, 9, 30)))
+ SUMPRODUCT(('Form responses 1'!$E$2:$E1000 = A12) * ('Form responses 1'!$A$2:$A1000 &lt;= DATE(2025, 9, 30)))
+ SUMPRODUCT(('Form responses 1'!$F$2:$F1000 = A12) * ('Form responses 1'!$A$2:$A1000 &lt;= DATE(2025, 9, 30)))
+ SUMPRODUCT(('Form responses 1'!$G$2:$G1000 = A12) * ('Form responses 1'!$A$2:$A1000 &lt;= DATE(2025, 9, 30)))), 2), "-")
</f>
        <v>0.34</v>
      </c>
      <c r="X12" s="2">
        <f>IFERROR(ROUND(Data!B12/(SUMPRODUCT(('Form responses 1'!$B$2:$B1000 = A12) * ('Form responses 1'!$A$2:$A1000 &lt;= DATE(2025, 10, 31)))
+ SUMPRODUCT(('Form responses 1'!$C$2:$C1000 = A12) * ('Form responses 1'!$A$2:$A1000 &lt;= DATE(2025, 10, 31)))
+ SUMPRODUCT(('Form responses 1'!$D$2:$D1000 = A12) * ('Form responses 1'!$A$2:$A1000 &lt;= DATE(2025, 10, 31)))
+ SUMPRODUCT(('Form responses 1'!$E$2:$E1000 = A12) * ('Form responses 1'!$A$2:$A1000 &lt;= DATE(2025, 10, 31)))
+ SUMPRODUCT(('Form responses 1'!$F$2:$F1000 = A12) * ('Form responses 1'!$A$2:$A1000 &lt;= DATE(2025, 10, 31)))
+ SUMPRODUCT(('Form responses 1'!$G$2:$G1000 = A12) * ('Form responses 1'!$A$2:$A1000 &lt;= DATE(2025, 10, 31)))), 2), "-")
</f>
        <v>0.31</v>
      </c>
      <c r="Y12" s="2">
        <f>IFERROR(ROUND(Data!B12/(SUMPRODUCT(('Form responses 1'!$B$2:$B1000 = A12) * ('Form responses 1'!$A$2:$A1000 &lt;= DATE(2025, 11, 30)))
+ SUMPRODUCT(('Form responses 1'!$C$2:$C1000 = A12) * ('Form responses 1'!$A$2:$A1000 &lt;= DATE(2025, 11, 30)))
+ SUMPRODUCT(('Form responses 1'!$D$2:$D1000 = A12) * ('Form responses 1'!$A$2:$A1000 &lt;= DATE(2025, 11, 30)))
+ SUMPRODUCT(('Form responses 1'!$E$2:$E1000 = A12) * ('Form responses 1'!$A$2:$A1000 &lt;= DATE(2025, 11, 30)))
+ SUMPRODUCT(('Form responses 1'!$F$2:$F1000 = A12) * ('Form responses 1'!$A$2:$A1000 &lt;= DATE(2025, 11, 30)))
+ SUMPRODUCT(('Form responses 1'!$G$2:$G1000 = A12) * ('Form responses 1'!$A$2:$A1000 &lt;= DATE(2025, 11, 30)))), 2), "-")
</f>
        <v>0.3</v>
      </c>
      <c r="Z12" s="2">
        <f>IFERROR(ROUND(Data!B12/(SUMPRODUCT(('Form responses 1'!$B$2:$B1000 = A12) * ('Form responses 1'!$A$2:$A1000 &lt;= DATE(2025, 12, 31)))
+ SUMPRODUCT(('Form responses 1'!$C$2:$C1000 = A12) * ('Form responses 1'!$A$2:$A1000 &lt;= DATE(2025, 12, 31)))
+ SUMPRODUCT(('Form responses 1'!$D$2:$D1000 = A12) * ('Form responses 1'!$A$2:$A1000 &lt;= DATE(2025, 12, 31)))
+ SUMPRODUCT(('Form responses 1'!$E$2:$E1000 = A12) * ('Form responses 1'!$A$2:$A1000 &lt;= DATE(2025, 12, 31)))
+ SUMPRODUCT(('Form responses 1'!$F$2:$F1000 = A12) * ('Form responses 1'!$A$2:$A1000 &lt;= DATE(2025, 12, 31)))
+ SUMPRODUCT(('Form responses 1'!$G$2:$G1000 = A12) * ('Form responses 1'!$A$2:$A1000 &lt;= DATE(2025, 12, 31)))), 2), "-")
</f>
        <v>0.3</v>
      </c>
      <c r="AA12" s="2">
        <f>IFERROR(ROUND(Data!$B12/(
  SUMPRODUCT(('Form responses 1'!$B$2:$B1000=$A12)*('Form responses 1'!$A$2:$A1000&lt;=EOMONTH(DATEVALUE("1 "&amp;AA$1),0)))+
  SUMPRODUCT(('Form responses 1'!$C$2:$C1000=$A12)*('Form responses 1'!$A$2:$A1000&lt;=EOMONTH(DATEVALUE("1 "&amp;AA$1),0)))+
  SUMPRODUCT(('Form responses 1'!$D$2:$D1000=$A12)*('Form responses 1'!$A$2:$A1000&lt;=EOMONTH(DATEVALUE("1 "&amp;AA$1),0)))+
  SUMPRODUCT(('Form responses 1'!$E$2:$E1000=$A12)*('Form responses 1'!$A$2:$A1000&lt;=EOMONTH(DATEVALUE("1 "&amp;AA$1),0)))+
  SUMPRODUCT(('Form responses 1'!$F$2:$F1000=$A12)*('Form responses 1'!$A$2:$A1000&lt;=EOMONTH(DATEVALUE("1 "&amp;AA$1),0)))+
  SUMPRODUCT(('Form responses 1'!$G$2:$G1000=$A12)*('Form responses 1'!$A$2:$A1000&lt;=EOMONTH(DATEVALUE("1 "&amp;AA$1),0)))
),2),"-")</f>
        <v>0.29</v>
      </c>
      <c r="AB12" s="2">
        <f>IFERROR(ROUND(Data!$B12/(
  SUMPRODUCT(('Form responses 1'!$B$2:$B1000=$A12)*('Form responses 1'!$A$2:$A1000&lt;=EOMONTH(DATEVALUE("1 "&amp;AB$1),0)))+
  SUMPRODUCT(('Form responses 1'!$C$2:$C1000=$A12)*('Form responses 1'!$A$2:$A1000&lt;=EOMONTH(DATEVALUE("1 "&amp;AB$1),0)))+
  SUMPRODUCT(('Form responses 1'!$D$2:$D1000=$A12)*('Form responses 1'!$A$2:$A1000&lt;=EOMONTH(DATEVALUE("1 "&amp;AB$1),0)))+
  SUMPRODUCT(('Form responses 1'!$E$2:$E1000=$A12)*('Form responses 1'!$A$2:$A1000&lt;=EOMONTH(DATEVALUE("1 "&amp;AB$1),0)))+
  SUMPRODUCT(('Form responses 1'!$F$2:$F1000=$A12)*('Form responses 1'!$A$2:$A1000&lt;=EOMONTH(DATEVALUE("1 "&amp;AB$1),0)))+
  SUMPRODUCT(('Form responses 1'!$G$2:$G1000=$A12)*('Form responses 1'!$A$2:$A1000&lt;=EOMONTH(DATEVALUE("1 "&amp;AB$1),0)))
),2),"-")</f>
        <v>0.27</v>
      </c>
      <c r="AC12" s="2">
        <f>IFERROR(ROUND(Data!$B12/(
  SUMPRODUCT(('Form responses 1'!$B$2:$B1000=$A12)*('Form responses 1'!$A$2:$A1000&lt;=EOMONTH(DATEVALUE("1 "&amp;AC$1),0)))+
  SUMPRODUCT(('Form responses 1'!$C$2:$C1000=$A12)*('Form responses 1'!$A$2:$A1000&lt;=EOMONTH(DATEVALUE("1 "&amp;AC$1),0)))+
  SUMPRODUCT(('Form responses 1'!$D$2:$D1000=$A12)*('Form responses 1'!$A$2:$A1000&lt;=EOMONTH(DATEVALUE("1 "&amp;AC$1),0)))+
  SUMPRODUCT(('Form responses 1'!$E$2:$E1000=$A12)*('Form responses 1'!$A$2:$A1000&lt;=EOMONTH(DATEVALUE("1 "&amp;AC$1),0)))+
  SUMPRODUCT(('Form responses 1'!$F$2:$F1000=$A12)*('Form responses 1'!$A$2:$A1000&lt;=EOMONTH(DATEVALUE("1 "&amp;AC$1),0)))+
  SUMPRODUCT(('Form responses 1'!$G$2:$G1000=$A12)*('Form responses 1'!$A$2:$A1000&lt;=EOMONTH(DATEVALUE("1 "&amp;AC$1),0)))
),2),"-")</f>
        <v>0.26</v>
      </c>
      <c r="AD12" s="2" t="str">
        <f>IFERROR(ROUND(Data!$B12/(
  SUMPRODUCT(('Form responses 1'!$B$2:$B1000=$A12)*('Form responses 1'!$A$2:$A1000&lt;=EOMONTH(DATEVALUE("1 "&amp;AD$1),0)))+
  SUMPRODUCT(('Form responses 1'!$C$2:$C1000=$A12)*('Form responses 1'!$A$2:$A1000&lt;=EOMONTH(DATEVALUE("1 "&amp;AD$1),0)))+
  SUMPRODUCT(('Form responses 1'!$D$2:$D1000=$A12)*('Form responses 1'!$A$2:$A1000&lt;=EOMONTH(DATEVALUE("1 "&amp;AD$1),0)))+
  SUMPRODUCT(('Form responses 1'!$E$2:$E1000=$A12)*('Form responses 1'!$A$2:$A1000&lt;=EOMONTH(DATEVALUE("1 "&amp;AD$1),0)))+
  SUMPRODUCT(('Form responses 1'!$F$2:$F1000=$A12)*('Form responses 1'!$A$2:$A1000&lt;=EOMONTH(DATEVALUE("1 "&amp;AD$1),0)))+
  SUMPRODUCT(('Form responses 1'!$G$2:$G1000=$A12)*('Form responses 1'!$A$2:$A1000&lt;=EOMONTH(DATEVALUE("1 "&amp;AD$1),0)))
),2),"-")</f>
        <v>-</v>
      </c>
      <c r="AE12" s="2" t="str">
        <f>IFERROR(ROUND(Data!$B12/(
  SUMPRODUCT(('Form responses 1'!$B$2:$B1000=$A12)*('Form responses 1'!$A$2:$A1000&lt;=EOMONTH(DATEVALUE("1 "&amp;AE$1),0)))+
  SUMPRODUCT(('Form responses 1'!$C$2:$C1000=$A12)*('Form responses 1'!$A$2:$A1000&lt;=EOMONTH(DATEVALUE("1 "&amp;AE$1),0)))+
  SUMPRODUCT(('Form responses 1'!$D$2:$D1000=$A12)*('Form responses 1'!$A$2:$A1000&lt;=EOMONTH(DATEVALUE("1 "&amp;AE$1),0)))+
  SUMPRODUCT(('Form responses 1'!$E$2:$E1000=$A12)*('Form responses 1'!$A$2:$A1000&lt;=EOMONTH(DATEVALUE("1 "&amp;AE$1),0)))+
  SUMPRODUCT(('Form responses 1'!$F$2:$F1000=$A12)*('Form responses 1'!$A$2:$A1000&lt;=EOMONTH(DATEVALUE("1 "&amp;AE$1),0)))+
  SUMPRODUCT(('Form responses 1'!$G$2:$G1000=$A12)*('Form responses 1'!$A$2:$A1000&lt;=EOMONTH(DATEVALUE("1 "&amp;AE$1),0)))
),2),"-")</f>
        <v>-</v>
      </c>
      <c r="AF12" s="2" t="str">
        <f>IFERROR(ROUND(Data!$B12/(
  SUMPRODUCT(('Form responses 1'!$B$2:$B1000=$A12)*('Form responses 1'!$A$2:$A1000&lt;=EOMONTH(DATEVALUE("1 "&amp;AF$1),0)))+
  SUMPRODUCT(('Form responses 1'!$C$2:$C1000=$A12)*('Form responses 1'!$A$2:$A1000&lt;=EOMONTH(DATEVALUE("1 "&amp;AF$1),0)))+
  SUMPRODUCT(('Form responses 1'!$D$2:$D1000=$A12)*('Form responses 1'!$A$2:$A1000&lt;=EOMONTH(DATEVALUE("1 "&amp;AF$1),0)))+
  SUMPRODUCT(('Form responses 1'!$E$2:$E1000=$A12)*('Form responses 1'!$A$2:$A1000&lt;=EOMONTH(DATEVALUE("1 "&amp;AF$1),0)))+
  SUMPRODUCT(('Form responses 1'!$F$2:$F1000=$A12)*('Form responses 1'!$A$2:$A1000&lt;=EOMONTH(DATEVALUE("1 "&amp;AF$1),0)))+
  SUMPRODUCT(('Form responses 1'!$G$2:$G1000=$A12)*('Form responses 1'!$A$2:$A1000&lt;=EOMONTH(DATEVALUE("1 "&amp;AF$1),0)))
),2),"-")</f>
        <v>-</v>
      </c>
      <c r="AG12" s="2" t="str">
        <f>IFERROR(ROUND(Data!$B12/(
  SUMPRODUCT(('Form responses 1'!$B$2:$B1000=$A12)*('Form responses 1'!$A$2:$A1000&lt;=EOMONTH(DATEVALUE("1 "&amp;AG$1),0)))+
  SUMPRODUCT(('Form responses 1'!$C$2:$C1000=$A12)*('Form responses 1'!$A$2:$A1000&lt;=EOMONTH(DATEVALUE("1 "&amp;AG$1),0)))+
  SUMPRODUCT(('Form responses 1'!$D$2:$D1000=$A12)*('Form responses 1'!$A$2:$A1000&lt;=EOMONTH(DATEVALUE("1 "&amp;AG$1),0)))+
  SUMPRODUCT(('Form responses 1'!$E$2:$E1000=$A12)*('Form responses 1'!$A$2:$A1000&lt;=EOMONTH(DATEVALUE("1 "&amp;AG$1),0)))+
  SUMPRODUCT(('Form responses 1'!$F$2:$F1000=$A12)*('Form responses 1'!$A$2:$A1000&lt;=EOMONTH(DATEVALUE("1 "&amp;AG$1),0)))+
  SUMPRODUCT(('Form responses 1'!$G$2:$G1000=$A12)*('Form responses 1'!$A$2:$A1000&lt;=EOMONTH(DATEVALUE("1 "&amp;AG$1),0)))
),2),"-")</f>
        <v>-</v>
      </c>
      <c r="AH12" s="2" t="str">
        <f>IFERROR(ROUND(Data!$B12/(
  SUMPRODUCT(('Form responses 1'!$B$2:$B1000=$A12)*('Form responses 1'!$A$2:$A1000&lt;=EOMONTH(DATEVALUE("1 "&amp;AH$1),0)))+
  SUMPRODUCT(('Form responses 1'!$C$2:$C1000=$A12)*('Form responses 1'!$A$2:$A1000&lt;=EOMONTH(DATEVALUE("1 "&amp;AH$1),0)))+
  SUMPRODUCT(('Form responses 1'!$D$2:$D1000=$A12)*('Form responses 1'!$A$2:$A1000&lt;=EOMONTH(DATEVALUE("1 "&amp;AH$1),0)))+
  SUMPRODUCT(('Form responses 1'!$E$2:$E1000=$A12)*('Form responses 1'!$A$2:$A1000&lt;=EOMONTH(DATEVALUE("1 "&amp;AH$1),0)))+
  SUMPRODUCT(('Form responses 1'!$F$2:$F1000=$A12)*('Form responses 1'!$A$2:$A1000&lt;=EOMONTH(DATEVALUE("1 "&amp;AH$1),0)))+
  SUMPRODUCT(('Form responses 1'!$G$2:$G1000=$A12)*('Form responses 1'!$A$2:$A1000&lt;=EOMONTH(DATEVALUE("1 "&amp;AH$1),0)))
),2),"-")</f>
        <v>-</v>
      </c>
      <c r="AI12" s="2" t="str">
        <f>IFERROR(ROUND(Data!$B12/(
  SUMPRODUCT(('Form responses 1'!$B$2:$B1000=$A12)*('Form responses 1'!$A$2:$A1000&lt;=EOMONTH(DATEVALUE("1 "&amp;AI$1),0)))+
  SUMPRODUCT(('Form responses 1'!$C$2:$C1000=$A12)*('Form responses 1'!$A$2:$A1000&lt;=EOMONTH(DATEVALUE("1 "&amp;AI$1),0)))+
  SUMPRODUCT(('Form responses 1'!$D$2:$D1000=$A12)*('Form responses 1'!$A$2:$A1000&lt;=EOMONTH(DATEVALUE("1 "&amp;AI$1),0)))+
  SUMPRODUCT(('Form responses 1'!$E$2:$E1000=$A12)*('Form responses 1'!$A$2:$A1000&lt;=EOMONTH(DATEVALUE("1 "&amp;AI$1),0)))+
  SUMPRODUCT(('Form responses 1'!$F$2:$F1000=$A12)*('Form responses 1'!$A$2:$A1000&lt;=EOMONTH(DATEVALUE("1 "&amp;AI$1),0)))+
  SUMPRODUCT(('Form responses 1'!$G$2:$G1000=$A12)*('Form responses 1'!$A$2:$A1000&lt;=EOMONTH(DATEVALUE("1 "&amp;AI$1),0)))
),2),"-")</f>
        <v>-</v>
      </c>
      <c r="AJ12" s="2" t="str">
        <f>IFERROR(ROUND(Data!$B12/(
  SUMPRODUCT(('Form responses 1'!$B$2:$B1000=$A12)*('Form responses 1'!$A$2:$A1000&lt;=EOMONTH(DATEVALUE("1 "&amp;AJ$1),0)))+
  SUMPRODUCT(('Form responses 1'!$C$2:$C1000=$A12)*('Form responses 1'!$A$2:$A1000&lt;=EOMONTH(DATEVALUE("1 "&amp;AJ$1),0)))+
  SUMPRODUCT(('Form responses 1'!$D$2:$D1000=$A12)*('Form responses 1'!$A$2:$A1000&lt;=EOMONTH(DATEVALUE("1 "&amp;AJ$1),0)))+
  SUMPRODUCT(('Form responses 1'!$E$2:$E1000=$A12)*('Form responses 1'!$A$2:$A1000&lt;=EOMONTH(DATEVALUE("1 "&amp;AJ$1),0)))+
  SUMPRODUCT(('Form responses 1'!$F$2:$F1000=$A12)*('Form responses 1'!$A$2:$A1000&lt;=EOMONTH(DATEVALUE("1 "&amp;AJ$1),0)))+
  SUMPRODUCT(('Form responses 1'!$G$2:$G1000=$A12)*('Form responses 1'!$A$2:$A1000&lt;=EOMONTH(DATEVALUE("1 "&amp;AJ$1),0)))
),2),"-")</f>
        <v>-</v>
      </c>
      <c r="AK12" s="2" t="str">
        <f>IFERROR(ROUND(Data!$B12/(
  SUMPRODUCT(('Form responses 1'!$B$2:$B1000=$A12)*('Form responses 1'!$A$2:$A1000&lt;=EOMONTH(DATEVALUE("1 "&amp;AK$1),0)))+
  SUMPRODUCT(('Form responses 1'!$C$2:$C1000=$A12)*('Form responses 1'!$A$2:$A1000&lt;=EOMONTH(DATEVALUE("1 "&amp;AK$1),0)))+
  SUMPRODUCT(('Form responses 1'!$D$2:$D1000=$A12)*('Form responses 1'!$A$2:$A1000&lt;=EOMONTH(DATEVALUE("1 "&amp;AK$1),0)))+
  SUMPRODUCT(('Form responses 1'!$E$2:$E1000=$A12)*('Form responses 1'!$A$2:$A1000&lt;=EOMONTH(DATEVALUE("1 "&amp;AK$1),0)))+
  SUMPRODUCT(('Form responses 1'!$F$2:$F1000=$A12)*('Form responses 1'!$A$2:$A1000&lt;=EOMONTH(DATEVALUE("1 "&amp;AK$1),0)))+
  SUMPRODUCT(('Form responses 1'!$G$2:$G1000=$A12)*('Form responses 1'!$A$2:$A1000&lt;=EOMONTH(DATEVALUE("1 "&amp;AK$1),0)))
),2),"-")</f>
        <v>-</v>
      </c>
      <c r="AL12" s="2" t="str">
        <f>IFERROR(ROUND(Data!$B12/(
  SUMPRODUCT(('Form responses 1'!$B$2:$B1000=$A12)*('Form responses 1'!$A$2:$A1000&lt;=EOMONTH(DATEVALUE("1 "&amp;AL$1),0)))+
  SUMPRODUCT(('Form responses 1'!$C$2:$C1000=$A12)*('Form responses 1'!$A$2:$A1000&lt;=EOMONTH(DATEVALUE("1 "&amp;AL$1),0)))+
  SUMPRODUCT(('Form responses 1'!$D$2:$D1000=$A12)*('Form responses 1'!$A$2:$A1000&lt;=EOMONTH(DATEVALUE("1 "&amp;AL$1),0)))+
  SUMPRODUCT(('Form responses 1'!$E$2:$E1000=$A12)*('Form responses 1'!$A$2:$A1000&lt;=EOMONTH(DATEVALUE("1 "&amp;AL$1),0)))+
  SUMPRODUCT(('Form responses 1'!$F$2:$F1000=$A12)*('Form responses 1'!$A$2:$A1000&lt;=EOMONTH(DATEVALUE("1 "&amp;AL$1),0)))+
  SUMPRODUCT(('Form responses 1'!$G$2:$G1000=$A12)*('Form responses 1'!$A$2:$A1000&lt;=EOMONTH(DATEVALUE("1 "&amp;AL$1),0)))
),2),"-")</f>
        <v>-</v>
      </c>
    </row>
    <row r="13">
      <c r="A13" s="3" t="str">
        <f>IFERROR(__xludf.DUMMYFUNCTION("""COMPUTED_VALUE"""),"Groene vintage levi's")</f>
        <v>Groene vintage levi's</v>
      </c>
      <c r="B13" s="2">
        <f>Data!F13:F1000</f>
        <v>7.5</v>
      </c>
      <c r="C13" s="2" t="str">
        <f>IFERROR(ROUND(Data!B13/(SUMPRODUCT(('Form responses 1'!$B$2:$B1000 = A13) * ('Form responses 1'!$A$2:$A1000 &lt;= DATE(2024, 1, 31)))
+ SUMPRODUCT(('Form responses 1'!$C$2:$C1000 = A13) * ('Form responses 1'!$A$2:$A1000 &lt;= DATE(2024, 1, 31)))
+ SUMPRODUCT(('Form responses 1'!$D$2:$D1000 = A13) * ('Form responses 1'!$A$2:$A1000 &lt;= DATE(2024, 1, 31)))
+ SUMPRODUCT(('Form responses 1'!$E$2:$E1000 = A13) * ('Form responses 1'!$A$2:$A1000 &lt;= DATE(2024, 1, 31)))
+ SUMPRODUCT(('Form responses 1'!$F$2:$F1000 = A13) * ('Form responses 1'!$A$2:$A1000 &lt;= DATE(2024, 1, 31)))
+ SUMPRODUCT(('Form responses 1'!$G$2:$G1000 = A13) * ('Form responses 1'!$A$2:$A1000 &lt;= DATE(2024, 1, 31)))), 2), "-")
</f>
        <v>-</v>
      </c>
      <c r="D13" s="2" t="str">
        <f>IFERROR(ROUND(Data!B13/(SUMPRODUCT(('Form responses 1'!$B$2:$B1000 = A13) * ('Form responses 1'!$A$2:$A1000 &lt;= DATE(2024, 2, 29)))
+ SUMPRODUCT(('Form responses 1'!$C$2:$C1000 = A13) * ('Form responses 1'!$A$2:$A1000 &lt;= DATE(2024, 2, 29)))
+ SUMPRODUCT(('Form responses 1'!$D$2:$D1000 = A13) * ('Form responses 1'!$A$2:$A1000 &lt;= DATE(2024, 2, 29)))
+ SUMPRODUCT(('Form responses 1'!$E$2:$E1000 = A13) * ('Form responses 1'!$A$2:$A1000 &lt;= DATE(2024, 2, 29)))
+ SUMPRODUCT(('Form responses 1'!$F$2:$F1000 = A13) * ('Form responses 1'!$A$2:$A1000 &lt;= DATE(2024, 2, 29)))
+ SUMPRODUCT(('Form responses 1'!$G$2:$G1000 = A13) * ('Form responses 1'!$A$2:$A1000 &lt;= DATE(2024, 2, 29)))), 2), "-")
</f>
        <v>-</v>
      </c>
      <c r="E13" s="2" t="str">
        <f>IFERROR(ROUND(Data!B13/(SUMPRODUCT(('Form responses 1'!$B$2:$B1000 = A13) * ('Form responses 1'!$A$2:$A1000 &lt;= DATE(2024, 3, 31)))
+ SUMPRODUCT(('Form responses 1'!$C$2:$C1000 = A13) * ('Form responses 1'!$A$2:$A1000 &lt;= DATE(2024, 3, 31)))
+ SUMPRODUCT(('Form responses 1'!$D$2:$D1000 = A13) * ('Form responses 1'!$A$2:$A1000 &lt;= DATE(2024, 3, 31)))
+ SUMPRODUCT(('Form responses 1'!$E$2:$E1000 = A13) * ('Form responses 1'!$A$2:$A1000 &lt;= DATE(2024, 3, 31)))
+ SUMPRODUCT(('Form responses 1'!$F$2:$F1000 = A13) * ('Form responses 1'!$A$2:$A1000 &lt;= DATE(2024, 3, 31)))
+ SUMPRODUCT(('Form responses 1'!$G$2:$G1000 = A13) * ('Form responses 1'!$A$2:$A1000 &lt;= DATE(2024, 3, 31)))), 2), "-")
</f>
        <v>-</v>
      </c>
      <c r="F13" s="2" t="str">
        <f>IFERROR(ROUND(Data!B13/(SUMPRODUCT(('Form responses 1'!$B$2:$B1000 = A13) * ('Form responses 1'!$A$2:$A1000 &lt;= DATE(2024, 4, 30)))
+ SUMPRODUCT(('Form responses 1'!$C$2:$C1000 = A13) * ('Form responses 1'!$A$2:$A1000 &lt;= DATE(2024, 4, 30)))
+ SUMPRODUCT(('Form responses 1'!$D$2:$D1000 = A13) * ('Form responses 1'!$A$2:$A1000 &lt;= DATE(2024, 4, 30)))
+ SUMPRODUCT(('Form responses 1'!$E$2:$E1000 = A13) * ('Form responses 1'!$A$2:$A1000 &lt;= DATE(2024, 4, 30)))
+ SUMPRODUCT(('Form responses 1'!$F$2:$F1000 = A13) * ('Form responses 1'!$A$2:$A1000 &lt;= DATE(2024, 4, 30)))
+ SUMPRODUCT(('Form responses 1'!$G$2:$G1000 = A13) * ('Form responses 1'!$A$2:$A1000 &lt;= DATE(2024, 4, 30)))), 2), "-")
</f>
        <v>-</v>
      </c>
      <c r="G13" s="2" t="str">
        <f>IFERROR(ROUND(Data!B13/(SUMPRODUCT(('Form responses 1'!$B$2:$B1000 = A13) * ('Form responses 1'!$A$2:$A1000 &lt;= DATE(2024, 5, 31)))
+ SUMPRODUCT(('Form responses 1'!$C$2:$C1000 = A13) * ('Form responses 1'!$A$2:$A1000 &lt;= DATE(2024, 5, 31)))
+ SUMPRODUCT(('Form responses 1'!$D$2:$D1000 = A13) * ('Form responses 1'!$A$2:$A1000 &lt;= DATE(2024, 5, 31)))
+ SUMPRODUCT(('Form responses 1'!$E$2:$E1000 = A13) * ('Form responses 1'!$A$2:$A1000 &lt;= DATE(2024, 5, 31)))
+ SUMPRODUCT(('Form responses 1'!$F$2:$F1000 = A13) * ('Form responses 1'!$A$2:$A1000 &lt;= DATE(2024, 5, 31)))
+ SUMPRODUCT(('Form responses 1'!$G$2:$G1000 = A13) * ('Form responses 1'!$A$2:$A1000 &lt;= DATE(2024, 5, 31)))), 2), "-")
</f>
        <v>-</v>
      </c>
      <c r="H13" s="2" t="str">
        <f>IFERROR(ROUND(Data!B13/(SUMPRODUCT(('Form responses 1'!$B$2:$B1000 = A13) * ('Form responses 1'!$A$2:$A1000 &lt;= DATE(2024, 6, 30)))
+ SUMPRODUCT(('Form responses 1'!$C$2:$C1000 = A13) * ('Form responses 1'!$A$2:$A1000 &lt;= DATE(2024, 6, 30)))
+ SUMPRODUCT(('Form responses 1'!$D$2:$D1000 = A13) * ('Form responses 1'!$A$2:$A1000 &lt;= DATE(2024, 6, 30)))
+ SUMPRODUCT(('Form responses 1'!$E$2:$E1000 = A13) * ('Form responses 1'!$A$2:$A1000 &lt;= DATE(2024, 6, 30)))
+ SUMPRODUCT(('Form responses 1'!$F$2:$F1000 = A13) * ('Form responses 1'!$A$2:$A1000 &lt;= DATE(2024, 6, 30)))
+ SUMPRODUCT(('Form responses 1'!$G$2:$G1000 = A13) * ('Form responses 1'!$A$2:$A1000 &lt;= DATE(2024, 6, 30)))), 2), "-")
</f>
        <v>-</v>
      </c>
      <c r="I13" s="2" t="str">
        <f>IFERROR(ROUND(Data!B13/(SUMPRODUCT(('Form responses 1'!$B$2:$B1000 = A13) * ('Form responses 1'!$A$2:$A1000 &lt;= DATE(2024, 7, 31)))
+ SUMPRODUCT(('Form responses 1'!$C$2:$C1000 = A13) * ('Form responses 1'!$A$2:$A1000 &lt;= DATE(2024, 7, 31)))
+ SUMPRODUCT(('Form responses 1'!$D$2:$D1000 = A13) * ('Form responses 1'!$A$2:$A1000 &lt;= DATE(2024, 7, 31)))
+ SUMPRODUCT(('Form responses 1'!$E$2:$E1000 = A13) * ('Form responses 1'!$A$2:$A1000 &lt;= DATE(2024, 7, 31)))
+ SUMPRODUCT(('Form responses 1'!$F$2:$F1000 = A13) * ('Form responses 1'!$A$2:$A1000 &lt;= DATE(2024, 7, 31)))
+ SUMPRODUCT(('Form responses 1'!$G$2:$G1000 = A13) * ('Form responses 1'!$A$2:$A1000 &lt;= DATE(2024, 7, 31)))), 2), "-")
</f>
        <v>-</v>
      </c>
      <c r="J13" s="2" t="str">
        <f>IFERROR(ROUND(Data!B13/(SUMPRODUCT(('Form responses 1'!$B$2:$B1000 = A13) * ('Form responses 1'!$A$2:$A1000 &lt;= DATE(2024, 8, 31)))
+ SUMPRODUCT(('Form responses 1'!$C$2:$C1000 = A13) * ('Form responses 1'!$A$2:$A1000 &lt;= DATE(2024, 8, 31)))
+ SUMPRODUCT(('Form responses 1'!$D$2:$D1000 = A13) * ('Form responses 1'!$A$2:$A1000 &lt;= DATE(2024, 8, 31)))
+ SUMPRODUCT(('Form responses 1'!$E$2:$E1000 = A13) * ('Form responses 1'!$A$2:$A1000 &lt;= DATE(2024, 8, 31)))
+ SUMPRODUCT(('Form responses 1'!$F$2:$F1000 = A13) * ('Form responses 1'!$A$2:$A1000 &lt;= DATE(2024, 8, 31)))
+ SUMPRODUCT(('Form responses 1'!$G$2:$G1000 = A13) * ('Form responses 1'!$A$2:$A1000 &lt;= DATE(2024, 8, 31)))), 2), "-")
</f>
        <v>-</v>
      </c>
      <c r="K13" s="2" t="str">
        <f>IFERROR(ROUND(Data!B13/(SUMPRODUCT(('Form responses 1'!$B$2:$B1000 = A13) * ('Form responses 1'!$A$2:$A1000 &lt;= DATE(2024, 9, 30)))
+ SUMPRODUCT(('Form responses 1'!$C$2:$C1000 = A13) * ('Form responses 1'!$A$2:$A1000 &lt;= DATE(2024, 9, 30)))
+ SUMPRODUCT(('Form responses 1'!$D$2:$D1000 = A13) * ('Form responses 1'!$A$2:$A1000 &lt;= DATE(2024, 9, 30)))
+ SUMPRODUCT(('Form responses 1'!$E$2:$E1000 = A13) * ('Form responses 1'!$A$2:$A1000 &lt;= DATE(2024, 9, 30)))
+ SUMPRODUCT(('Form responses 1'!$F$2:$F1000 = A13) * ('Form responses 1'!$A$2:$A1000 &lt;= DATE(2024, 9, 30)))
+ SUMPRODUCT(('Form responses 1'!$G$2:$G1000 = A13) * ('Form responses 1'!$A$2:$A1000 &lt;= DATE(2024, 9, 30)))), 2), "-")
</f>
        <v>-</v>
      </c>
      <c r="L13" s="2" t="str">
        <f>IFERROR(ROUND(Data!B13/(SUMPRODUCT(('Form responses 1'!$B$2:$B1000 = A13) * ('Form responses 1'!$A$2:$A1000 &lt;= DATE(2024, 10, 31)))
+ SUMPRODUCT(('Form responses 1'!$C$2:$C1000 = A13) * ('Form responses 1'!$A$2:$A1000 &lt;= DATE(2024, 10, 31)))
+ SUMPRODUCT(('Form responses 1'!$D$2:$D1000 = A13) * ('Form responses 1'!$A$2:$A1000 &lt;= DATE(2024, 10, 31)))
+ SUMPRODUCT(('Form responses 1'!$E$2:$E1000 = A13) * ('Form responses 1'!$A$2:$A1000 &lt;= DATE(2024, 10, 31)))
+ SUMPRODUCT(('Form responses 1'!$F$2:$F1000 = A13) * ('Form responses 1'!$A$2:$A1000 &lt;= DATE(2024, 10, 31)))
+ SUMPRODUCT(('Form responses 1'!$G$2:$G1000 = A13) * ('Form responses 1'!$A$2:$A1000 &lt;= DATE(2024, 10, 31)))), 2), "-")
</f>
        <v>-</v>
      </c>
      <c r="M13" s="2" t="str">
        <f>IFERROR(ROUND(Data!B13/(SUMPRODUCT(('Form responses 1'!$B$2:$B1000 = A13) * ('Form responses 1'!$A$2:$A1000 &lt;= DATE(2024, 11, 30)))
+ SUMPRODUCT(('Form responses 1'!$C$2:$C1000 = A13) * ('Form responses 1'!$A$2:$A1000 &lt;= DATE(2024, 11, 30)))
+ SUMPRODUCT(('Form responses 1'!$D$2:$D1000 = A13) * ('Form responses 1'!$A$2:$A1000 &lt;= DATE(2024, 11, 30)))
+ SUMPRODUCT(('Form responses 1'!$E$2:$E1000 = A13) * ('Form responses 1'!$A$2:$A1000 &lt;= DATE(2024, 11, 30)))
+ SUMPRODUCT(('Form responses 1'!$F$2:$F1000 = A13) * ('Form responses 1'!$A$2:$A1000 &lt;= DATE(2024, 11, 30)))
+ SUMPRODUCT(('Form responses 1'!$G$2:$G1000 = A13) * ('Form responses 1'!$A$2:$A1000 &lt;= DATE(2024, 11, 30)))), 2), "-")
</f>
        <v>-</v>
      </c>
      <c r="N13" s="2" t="str">
        <f>IFERROR(ROUND(Data!B13/(SUMPRODUCT(('Form responses 1'!$B$2:$B1000 = A13) * ('Form responses 1'!$A$2:$A1000 &lt;= DATE(2024, 12, 31)))
+ SUMPRODUCT(('Form responses 1'!$C$2:$C1000 = A13) * ('Form responses 1'!$A$2:$A1000 &lt;= DATE(2024, 12, 31)))
+ SUMPRODUCT(('Form responses 1'!$D$2:$D1000 = A13) * ('Form responses 1'!$A$2:$A1000 &lt;= DATE(2024, 12, 31)))
+ SUMPRODUCT(('Form responses 1'!$E$2:$E1000 = A13) * ('Form responses 1'!$A$2:$A1000 &lt;= DATE(2024, 12, 31)))
+ SUMPRODUCT(('Form responses 1'!$F$2:$F1000 = A13) * ('Form responses 1'!$A$2:$A1000 &lt;= DATE(2024, 12, 31)))
+ SUMPRODUCT(('Form responses 1'!$G$2:$G1000 = A13) * ('Form responses 1'!$A$2:$A1000 &lt;= DATE(2024, 12, 31)))), 2), "-")
</f>
        <v>-</v>
      </c>
      <c r="O13" s="2" t="str">
        <f>IFERROR(ROUND(Data!B13/(SUMPRODUCT(('Form responses 1'!$B$2:$B1000 = A13) * ('Form responses 1'!$A$2:$A1000 &lt;= DATE(2025, 1, 31)))
+ SUMPRODUCT(('Form responses 1'!$C$2:$C1000 = A13) * ('Form responses 1'!$A$2:$A1000 &lt;= DATE(2025, 1, 31)))
+ SUMPRODUCT(('Form responses 1'!$D$2:$D1000 = A13) * ('Form responses 1'!$A$2:$A1000 &lt;= DATE(2025, 1, 31)))
+ SUMPRODUCT(('Form responses 1'!$E$2:$E1000 = A13) * ('Form responses 1'!$A$2:$A1000 &lt;= DATE(2025, 1, 31)))
+ SUMPRODUCT(('Form responses 1'!$F$2:$F1000 = A13) * ('Form responses 1'!$A$2:$A1000 &lt;= DATE(2025, 1, 31)))
+ SUMPRODUCT(('Form responses 1'!$G$2:$G1000 = A13) * ('Form responses 1'!$A$2:$A1000 &lt;= DATE(2025, 1, 31)))), 2), "-")
</f>
        <v>-</v>
      </c>
      <c r="P13" s="2" t="str">
        <f>IFERROR(ROUND(Data!B13/(SUMPRODUCT(('Form responses 1'!$B$2:$B1000 = A13) * ('Form responses 1'!$A$2:$A1000 &lt;= DATE(2025, 2, 28)))
+ SUMPRODUCT(('Form responses 1'!$C$2:$C1000 = A13) * ('Form responses 1'!$A$2:$A1000 &lt;= DATE(2025, 2, 28)))
+ SUMPRODUCT(('Form responses 1'!$D$2:$D1000 = A13) * ('Form responses 1'!$A$2:$A1000 &lt;= DATE(2025, 2, 28)))
+ SUMPRODUCT(('Form responses 1'!$E$2:$E1000 = A13) * ('Form responses 1'!$A$2:$A1000 &lt;= DATE(2025, 2, 28)))
+ SUMPRODUCT(('Form responses 1'!$F$2:$F1000 = A13) * ('Form responses 1'!$A$2:$A1000 &lt;= DATE(2025, 2, 28)))
+ SUMPRODUCT(('Form responses 1'!$G$2:$G1000 = A13) * ('Form responses 1'!$A$2:$A1000 &lt;= DATE(2025, 2, 28)))), 2), "-")
</f>
        <v>-</v>
      </c>
      <c r="Q13" s="2" t="str">
        <f>IFERROR(ROUND(Data!B13/(SUMPRODUCT(('Form responses 1'!$B$2:$B1000 = A13) * ('Form responses 1'!$A$2:$A1000 &lt;= DATE(2025, 3, 31)))
+ SUMPRODUCT(('Form responses 1'!$C$2:$C1000 = A13) * ('Form responses 1'!$A$2:$A1000 &lt;= DATE(2025, 3, 31)))
+ SUMPRODUCT(('Form responses 1'!$D$2:$D1000 = A13) * ('Form responses 1'!$A$2:$A1000 &lt;= DATE(2025, 3, 31)))
+ SUMPRODUCT(('Form responses 1'!$E$2:$E1000 = A13) * ('Form responses 1'!$A$2:$A1000 &lt;= DATE(2025, 3, 31)))
+ SUMPRODUCT(('Form responses 1'!$F$2:$F1000 = A13) * ('Form responses 1'!$A$2:$A1000 &lt;= DATE(2025, 3, 31)))
+ SUMPRODUCT(('Form responses 1'!$G$2:$G1000 = A13) * ('Form responses 1'!$A$2:$A1000 &lt;= DATE(2025, 3, 31)))),2),"-")</f>
        <v>-</v>
      </c>
      <c r="R13" s="2">
        <f>IFERROR(ROUND(Data!B13/(SUMPRODUCT(('Form responses 1'!$B$2:$B1000 = A13) * ('Form responses 1'!$A$2:$A1000 &lt;= DATE(2025, 4, 30)))
+ SUMPRODUCT(('Form responses 1'!$C$2:$C1000 = A13) * ('Form responses 1'!$A$2:$A1000 &lt;= DATE(2025, 4, 30)))
+ SUMPRODUCT(('Form responses 1'!$D$2:$D1000 = A13) * ('Form responses 1'!$A$2:$A1000 &lt;= DATE(2025, 4, 30)))
+ SUMPRODUCT(('Form responses 1'!$E$2:$E1000 = A13) * ('Form responses 1'!$A$2:$A1000 &lt;= DATE(2025, 4, 30)))
+ SUMPRODUCT(('Form responses 1'!$F$2:$F1000 = A13) * ('Form responses 1'!$A$2:$A1000 &lt;= DATE(2025, 4, 30)))
+ SUMPRODUCT(('Form responses 1'!$G$2:$G1000 = A13) * ('Form responses 1'!$A$2:$A1000 &lt;= DATE(2025, 4, 30)))), 2), "-")
</f>
        <v>15</v>
      </c>
      <c r="S13" s="2">
        <f>IFERROR(ROUND(Data!B13/(SUMPRODUCT(('Form responses 1'!$B$2:$B1000 = A13) * ('Form responses 1'!$A$2:$A1000 &lt;= DATE(2025, 5, 31)))
+ SUMPRODUCT(('Form responses 1'!$C$2:$C1000 = A13) * ('Form responses 1'!$A$2:$A1000 &lt;= DATE(2025, 5, 31)))
+ SUMPRODUCT(('Form responses 1'!$D$2:$D1000 = A13) * ('Form responses 1'!$A$2:$A1000 &lt;= DATE(2025, 5, 31)))
+ SUMPRODUCT(('Form responses 1'!$E$2:$E1000 = A13) * ('Form responses 1'!$A$2:$A1000 &lt;= DATE(2025, 5, 31)))
+ SUMPRODUCT(('Form responses 1'!$F$2:$F1000 = A13) * ('Form responses 1'!$A$2:$A1000 &lt;= DATE(2025, 5, 31)))
+ SUMPRODUCT(('Form responses 1'!$G$2:$G1000 = A13) * ('Form responses 1'!$A$2:$A1000 &lt;= DATE(2025, 5, 31)))), 2), "-")
</f>
        <v>15</v>
      </c>
      <c r="T13" s="2">
        <f>IFERROR(ROUND(Data!B13/(SUMPRODUCT(('Form responses 1'!$B$2:$B1000 = A13) * ('Form responses 1'!$A$2:$A1000 &lt;= DATE(2025, 6, 30)))
+ SUMPRODUCT(('Form responses 1'!$C$2:$C1000 = A13) * ('Form responses 1'!$A$2:$A1000 &lt;= DATE(2025, 6, 30)))
+ SUMPRODUCT(('Form responses 1'!$D$2:$D1000 = A13) * ('Form responses 1'!$A$2:$A1000 &lt;= DATE(2025, 6, 30)))
+ SUMPRODUCT(('Form responses 1'!$E$2:$E1000 = A13) * ('Form responses 1'!$A$2:$A1000 &lt;= DATE(2025, 6, 30)))
+ SUMPRODUCT(('Form responses 1'!$F$2:$F1000 = A13) * ('Form responses 1'!$A$2:$A1000 &lt;= DATE(2025, 6, 30)))
+ SUMPRODUCT(('Form responses 1'!$G$2:$G1000 = A13) * ('Form responses 1'!$A$2:$A1000 &lt;= DATE(2025, 6, 30)))), 2), "-")
</f>
        <v>8.57</v>
      </c>
      <c r="U13" s="2">
        <f>IFERROR(ROUND(Data!B13/(SUMPRODUCT(('Form responses 1'!$B$2:$B1000 = A13) * ('Form responses 1'!$A$2:$A1000 &lt;= DATE(2025, 7, 31)))
+ SUMPRODUCT(('Form responses 1'!$C$2:$C1000 = A13) * ('Form responses 1'!$A$2:$A1000 &lt;= DATE(2025, 7, 31)))
+ SUMPRODUCT(('Form responses 1'!$D$2:$D1000 = A13) * ('Form responses 1'!$A$2:$A1000 &lt;= DATE(2025, 7, 31)))
+ SUMPRODUCT(('Form responses 1'!$E$2:$E1000 = A13) * ('Form responses 1'!$A$2:$A1000 &lt;= DATE(2025, 7, 31)))
+ SUMPRODUCT(('Form responses 1'!$F$2:$F1000 = A13) * ('Form responses 1'!$A$2:$A1000 &lt;= DATE(2025, 7, 31)))
+ SUMPRODUCT(('Form responses 1'!$G$2:$G1000 = A13) * ('Form responses 1'!$A$2:$A1000 &lt;= DATE(2025, 7, 31)))), 2), "-")
</f>
        <v>7.5</v>
      </c>
      <c r="V13" s="2">
        <f>IFERROR(ROUND(Data!B13/(SUMPRODUCT(('Form responses 1'!$B$2:$B1000 = A13) * ('Form responses 1'!$A$2:$A1000 &lt;= DATE(2025, 8, 31)))
+ SUMPRODUCT(('Form responses 1'!$C$2:$C1000 = A13) * ('Form responses 1'!$A$2:$A1000 &lt;= DATE(2025, 8, 31)))
+ SUMPRODUCT(('Form responses 1'!$D$2:$D1000 = A13) * ('Form responses 1'!$A$2:$A1000 &lt;= DATE(2025, 8, 31)))
+ SUMPRODUCT(('Form responses 1'!$E$2:$E1000 = A13) * ('Form responses 1'!$A$2:$A1000 &lt;= DATE(2025, 8, 31)))
+ SUMPRODUCT(('Form responses 1'!$F$2:$F1000 = A13) * ('Form responses 1'!$A$2:$A1000 &lt;= DATE(2025, 8, 31)))
+ SUMPRODUCT(('Form responses 1'!$G$2:$G1000 = A13) * ('Form responses 1'!$A$2:$A1000 &lt;= DATE(2025, 8, 31)))), 2), "-")
</f>
        <v>7.5</v>
      </c>
      <c r="W13" s="2">
        <f>IFERROR(ROUND(Data!B13/(SUMPRODUCT(('Form responses 1'!$B$2:$B1000 = A13) * ('Form responses 1'!$A$2:$A1000 &lt;= DATE(2025, 9, 30)))
+ SUMPRODUCT(('Form responses 1'!$C$2:$C1000 = A13) * ('Form responses 1'!$A$2:$A1000 &lt;= DATE(2025, 9, 30)))
+ SUMPRODUCT(('Form responses 1'!$D$2:$D1000 = A13) * ('Form responses 1'!$A$2:$A1000 &lt;= DATE(2025, 9, 30)))
+ SUMPRODUCT(('Form responses 1'!$E$2:$E1000 = A13) * ('Form responses 1'!$A$2:$A1000 &lt;= DATE(2025, 9, 30)))
+ SUMPRODUCT(('Form responses 1'!$F$2:$F1000 = A13) * ('Form responses 1'!$A$2:$A1000 &lt;= DATE(2025, 9, 30)))
+ SUMPRODUCT(('Form responses 1'!$G$2:$G1000 = A13) * ('Form responses 1'!$A$2:$A1000 &lt;= DATE(2025, 9, 30)))), 2), "-")
</f>
        <v>7.5</v>
      </c>
      <c r="X13" s="2">
        <f>IFERROR(ROUND(Data!B13/(SUMPRODUCT(('Form responses 1'!$B$2:$B1000 = A13) * ('Form responses 1'!$A$2:$A1000 &lt;= DATE(2025, 10, 31)))
+ SUMPRODUCT(('Form responses 1'!$C$2:$C1000 = A13) * ('Form responses 1'!$A$2:$A1000 &lt;= DATE(2025, 10, 31)))
+ SUMPRODUCT(('Form responses 1'!$D$2:$D1000 = A13) * ('Form responses 1'!$A$2:$A1000 &lt;= DATE(2025, 10, 31)))
+ SUMPRODUCT(('Form responses 1'!$E$2:$E1000 = A13) * ('Form responses 1'!$A$2:$A1000 &lt;= DATE(2025, 10, 31)))
+ SUMPRODUCT(('Form responses 1'!$F$2:$F1000 = A13) * ('Form responses 1'!$A$2:$A1000 &lt;= DATE(2025, 10, 31)))
+ SUMPRODUCT(('Form responses 1'!$G$2:$G1000 = A13) * ('Form responses 1'!$A$2:$A1000 &lt;= DATE(2025, 10, 31)))), 2), "-")
</f>
        <v>7.5</v>
      </c>
      <c r="Y13" s="2">
        <f>IFERROR(ROUND(Data!B13/(SUMPRODUCT(('Form responses 1'!$B$2:$B1000 = A13) * ('Form responses 1'!$A$2:$A1000 &lt;= DATE(2025, 11, 30)))
+ SUMPRODUCT(('Form responses 1'!$C$2:$C1000 = A13) * ('Form responses 1'!$A$2:$A1000 &lt;= DATE(2025, 11, 30)))
+ SUMPRODUCT(('Form responses 1'!$D$2:$D1000 = A13) * ('Form responses 1'!$A$2:$A1000 &lt;= DATE(2025, 11, 30)))
+ SUMPRODUCT(('Form responses 1'!$E$2:$E1000 = A13) * ('Form responses 1'!$A$2:$A1000 &lt;= DATE(2025, 11, 30)))
+ SUMPRODUCT(('Form responses 1'!$F$2:$F1000 = A13) * ('Form responses 1'!$A$2:$A1000 &lt;= DATE(2025, 11, 30)))
+ SUMPRODUCT(('Form responses 1'!$G$2:$G1000 = A13) * ('Form responses 1'!$A$2:$A1000 &lt;= DATE(2025, 11, 30)))), 2), "-")
</f>
        <v>7.5</v>
      </c>
      <c r="Z13" s="2">
        <f>IFERROR(ROUND(Data!B13/(SUMPRODUCT(('Form responses 1'!$B$2:$B1000 = A13) * ('Form responses 1'!$A$2:$A1000 &lt;= DATE(2025, 12, 31)))
+ SUMPRODUCT(('Form responses 1'!$C$2:$C1000 = A13) * ('Form responses 1'!$A$2:$A1000 &lt;= DATE(2025, 12, 31)))
+ SUMPRODUCT(('Form responses 1'!$D$2:$D1000 = A13) * ('Form responses 1'!$A$2:$A1000 &lt;= DATE(2025, 12, 31)))
+ SUMPRODUCT(('Form responses 1'!$E$2:$E1000 = A13) * ('Form responses 1'!$A$2:$A1000 &lt;= DATE(2025, 12, 31)))
+ SUMPRODUCT(('Form responses 1'!$F$2:$F1000 = A13) * ('Form responses 1'!$A$2:$A1000 &lt;= DATE(2025, 12, 31)))
+ SUMPRODUCT(('Form responses 1'!$G$2:$G1000 = A13) * ('Form responses 1'!$A$2:$A1000 &lt;= DATE(2025, 12, 31)))), 2), "-")
</f>
        <v>7.5</v>
      </c>
      <c r="AA13" s="2">
        <f>IFERROR(ROUND(Data!$B13/(
  SUMPRODUCT(('Form responses 1'!$B$2:$B1000=$A13)*('Form responses 1'!$A$2:$A1000&lt;=EOMONTH(DATEVALUE("1 "&amp;AA$1),0)))+
  SUMPRODUCT(('Form responses 1'!$C$2:$C1000=$A13)*('Form responses 1'!$A$2:$A1000&lt;=EOMONTH(DATEVALUE("1 "&amp;AA$1),0)))+
  SUMPRODUCT(('Form responses 1'!$D$2:$D1000=$A13)*('Form responses 1'!$A$2:$A1000&lt;=EOMONTH(DATEVALUE("1 "&amp;AA$1),0)))+
  SUMPRODUCT(('Form responses 1'!$E$2:$E1000=$A13)*('Form responses 1'!$A$2:$A1000&lt;=EOMONTH(DATEVALUE("1 "&amp;AA$1),0)))+
  SUMPRODUCT(('Form responses 1'!$F$2:$F1000=$A13)*('Form responses 1'!$A$2:$A1000&lt;=EOMONTH(DATEVALUE("1 "&amp;AA$1),0)))+
  SUMPRODUCT(('Form responses 1'!$G$2:$G1000=$A13)*('Form responses 1'!$A$2:$A1000&lt;=EOMONTH(DATEVALUE("1 "&amp;AA$1),0)))
),2),"-")</f>
        <v>7.5</v>
      </c>
      <c r="AB13" s="2">
        <f>IFERROR(ROUND(Data!$B13/(
  SUMPRODUCT(('Form responses 1'!$B$2:$B1000=$A13)*('Form responses 1'!$A$2:$A1000&lt;=EOMONTH(DATEVALUE("1 "&amp;AB$1),0)))+
  SUMPRODUCT(('Form responses 1'!$C$2:$C1000=$A13)*('Form responses 1'!$A$2:$A1000&lt;=EOMONTH(DATEVALUE("1 "&amp;AB$1),0)))+
  SUMPRODUCT(('Form responses 1'!$D$2:$D1000=$A13)*('Form responses 1'!$A$2:$A1000&lt;=EOMONTH(DATEVALUE("1 "&amp;AB$1),0)))+
  SUMPRODUCT(('Form responses 1'!$E$2:$E1000=$A13)*('Form responses 1'!$A$2:$A1000&lt;=EOMONTH(DATEVALUE("1 "&amp;AB$1),0)))+
  SUMPRODUCT(('Form responses 1'!$F$2:$F1000=$A13)*('Form responses 1'!$A$2:$A1000&lt;=EOMONTH(DATEVALUE("1 "&amp;AB$1),0)))+
  SUMPRODUCT(('Form responses 1'!$G$2:$G1000=$A13)*('Form responses 1'!$A$2:$A1000&lt;=EOMONTH(DATEVALUE("1 "&amp;AB$1),0)))
),2),"-")</f>
        <v>7.5</v>
      </c>
      <c r="AC13" s="2">
        <f>IFERROR(ROUND(Data!$B13/(
  SUMPRODUCT(('Form responses 1'!$B$2:$B1000=$A13)*('Form responses 1'!$A$2:$A1000&lt;=EOMONTH(DATEVALUE("1 "&amp;AC$1),0)))+
  SUMPRODUCT(('Form responses 1'!$C$2:$C1000=$A13)*('Form responses 1'!$A$2:$A1000&lt;=EOMONTH(DATEVALUE("1 "&amp;AC$1),0)))+
  SUMPRODUCT(('Form responses 1'!$D$2:$D1000=$A13)*('Form responses 1'!$A$2:$A1000&lt;=EOMONTH(DATEVALUE("1 "&amp;AC$1),0)))+
  SUMPRODUCT(('Form responses 1'!$E$2:$E1000=$A13)*('Form responses 1'!$A$2:$A1000&lt;=EOMONTH(DATEVALUE("1 "&amp;AC$1),0)))+
  SUMPRODUCT(('Form responses 1'!$F$2:$F1000=$A13)*('Form responses 1'!$A$2:$A1000&lt;=EOMONTH(DATEVALUE("1 "&amp;AC$1),0)))+
  SUMPRODUCT(('Form responses 1'!$G$2:$G1000=$A13)*('Form responses 1'!$A$2:$A1000&lt;=EOMONTH(DATEVALUE("1 "&amp;AC$1),0)))
),2),"-")</f>
        <v>7.5</v>
      </c>
      <c r="AD13" s="2" t="str">
        <f>IFERROR(ROUND(Data!$B13/(
  SUMPRODUCT(('Form responses 1'!$B$2:$B1000=$A13)*('Form responses 1'!$A$2:$A1000&lt;=EOMONTH(DATEVALUE("1 "&amp;AD$1),0)))+
  SUMPRODUCT(('Form responses 1'!$C$2:$C1000=$A13)*('Form responses 1'!$A$2:$A1000&lt;=EOMONTH(DATEVALUE("1 "&amp;AD$1),0)))+
  SUMPRODUCT(('Form responses 1'!$D$2:$D1000=$A13)*('Form responses 1'!$A$2:$A1000&lt;=EOMONTH(DATEVALUE("1 "&amp;AD$1),0)))+
  SUMPRODUCT(('Form responses 1'!$E$2:$E1000=$A13)*('Form responses 1'!$A$2:$A1000&lt;=EOMONTH(DATEVALUE("1 "&amp;AD$1),0)))+
  SUMPRODUCT(('Form responses 1'!$F$2:$F1000=$A13)*('Form responses 1'!$A$2:$A1000&lt;=EOMONTH(DATEVALUE("1 "&amp;AD$1),0)))+
  SUMPRODUCT(('Form responses 1'!$G$2:$G1000=$A13)*('Form responses 1'!$A$2:$A1000&lt;=EOMONTH(DATEVALUE("1 "&amp;AD$1),0)))
),2),"-")</f>
        <v>-</v>
      </c>
      <c r="AE13" s="2" t="str">
        <f>IFERROR(ROUND(Data!$B13/(
  SUMPRODUCT(('Form responses 1'!$B$2:$B1000=$A13)*('Form responses 1'!$A$2:$A1000&lt;=EOMONTH(DATEVALUE("1 "&amp;AE$1),0)))+
  SUMPRODUCT(('Form responses 1'!$C$2:$C1000=$A13)*('Form responses 1'!$A$2:$A1000&lt;=EOMONTH(DATEVALUE("1 "&amp;AE$1),0)))+
  SUMPRODUCT(('Form responses 1'!$D$2:$D1000=$A13)*('Form responses 1'!$A$2:$A1000&lt;=EOMONTH(DATEVALUE("1 "&amp;AE$1),0)))+
  SUMPRODUCT(('Form responses 1'!$E$2:$E1000=$A13)*('Form responses 1'!$A$2:$A1000&lt;=EOMONTH(DATEVALUE("1 "&amp;AE$1),0)))+
  SUMPRODUCT(('Form responses 1'!$F$2:$F1000=$A13)*('Form responses 1'!$A$2:$A1000&lt;=EOMONTH(DATEVALUE("1 "&amp;AE$1),0)))+
  SUMPRODUCT(('Form responses 1'!$G$2:$G1000=$A13)*('Form responses 1'!$A$2:$A1000&lt;=EOMONTH(DATEVALUE("1 "&amp;AE$1),0)))
),2),"-")</f>
        <v>-</v>
      </c>
      <c r="AF13" s="2" t="str">
        <f>IFERROR(ROUND(Data!$B13/(
  SUMPRODUCT(('Form responses 1'!$B$2:$B1000=$A13)*('Form responses 1'!$A$2:$A1000&lt;=EOMONTH(DATEVALUE("1 "&amp;AF$1),0)))+
  SUMPRODUCT(('Form responses 1'!$C$2:$C1000=$A13)*('Form responses 1'!$A$2:$A1000&lt;=EOMONTH(DATEVALUE("1 "&amp;AF$1),0)))+
  SUMPRODUCT(('Form responses 1'!$D$2:$D1000=$A13)*('Form responses 1'!$A$2:$A1000&lt;=EOMONTH(DATEVALUE("1 "&amp;AF$1),0)))+
  SUMPRODUCT(('Form responses 1'!$E$2:$E1000=$A13)*('Form responses 1'!$A$2:$A1000&lt;=EOMONTH(DATEVALUE("1 "&amp;AF$1),0)))+
  SUMPRODUCT(('Form responses 1'!$F$2:$F1000=$A13)*('Form responses 1'!$A$2:$A1000&lt;=EOMONTH(DATEVALUE("1 "&amp;AF$1),0)))+
  SUMPRODUCT(('Form responses 1'!$G$2:$G1000=$A13)*('Form responses 1'!$A$2:$A1000&lt;=EOMONTH(DATEVALUE("1 "&amp;AF$1),0)))
),2),"-")</f>
        <v>-</v>
      </c>
      <c r="AG13" s="2" t="str">
        <f>IFERROR(ROUND(Data!$B13/(
  SUMPRODUCT(('Form responses 1'!$B$2:$B1000=$A13)*('Form responses 1'!$A$2:$A1000&lt;=EOMONTH(DATEVALUE("1 "&amp;AG$1),0)))+
  SUMPRODUCT(('Form responses 1'!$C$2:$C1000=$A13)*('Form responses 1'!$A$2:$A1000&lt;=EOMONTH(DATEVALUE("1 "&amp;AG$1),0)))+
  SUMPRODUCT(('Form responses 1'!$D$2:$D1000=$A13)*('Form responses 1'!$A$2:$A1000&lt;=EOMONTH(DATEVALUE("1 "&amp;AG$1),0)))+
  SUMPRODUCT(('Form responses 1'!$E$2:$E1000=$A13)*('Form responses 1'!$A$2:$A1000&lt;=EOMONTH(DATEVALUE("1 "&amp;AG$1),0)))+
  SUMPRODUCT(('Form responses 1'!$F$2:$F1000=$A13)*('Form responses 1'!$A$2:$A1000&lt;=EOMONTH(DATEVALUE("1 "&amp;AG$1),0)))+
  SUMPRODUCT(('Form responses 1'!$G$2:$G1000=$A13)*('Form responses 1'!$A$2:$A1000&lt;=EOMONTH(DATEVALUE("1 "&amp;AG$1),0)))
),2),"-")</f>
        <v>-</v>
      </c>
      <c r="AH13" s="2" t="str">
        <f>IFERROR(ROUND(Data!$B13/(
  SUMPRODUCT(('Form responses 1'!$B$2:$B1000=$A13)*('Form responses 1'!$A$2:$A1000&lt;=EOMONTH(DATEVALUE("1 "&amp;AH$1),0)))+
  SUMPRODUCT(('Form responses 1'!$C$2:$C1000=$A13)*('Form responses 1'!$A$2:$A1000&lt;=EOMONTH(DATEVALUE("1 "&amp;AH$1),0)))+
  SUMPRODUCT(('Form responses 1'!$D$2:$D1000=$A13)*('Form responses 1'!$A$2:$A1000&lt;=EOMONTH(DATEVALUE("1 "&amp;AH$1),0)))+
  SUMPRODUCT(('Form responses 1'!$E$2:$E1000=$A13)*('Form responses 1'!$A$2:$A1000&lt;=EOMONTH(DATEVALUE("1 "&amp;AH$1),0)))+
  SUMPRODUCT(('Form responses 1'!$F$2:$F1000=$A13)*('Form responses 1'!$A$2:$A1000&lt;=EOMONTH(DATEVALUE("1 "&amp;AH$1),0)))+
  SUMPRODUCT(('Form responses 1'!$G$2:$G1000=$A13)*('Form responses 1'!$A$2:$A1000&lt;=EOMONTH(DATEVALUE("1 "&amp;AH$1),0)))
),2),"-")</f>
        <v>-</v>
      </c>
      <c r="AI13" s="2" t="str">
        <f>IFERROR(ROUND(Data!$B13/(
  SUMPRODUCT(('Form responses 1'!$B$2:$B1000=$A13)*('Form responses 1'!$A$2:$A1000&lt;=EOMONTH(DATEVALUE("1 "&amp;AI$1),0)))+
  SUMPRODUCT(('Form responses 1'!$C$2:$C1000=$A13)*('Form responses 1'!$A$2:$A1000&lt;=EOMONTH(DATEVALUE("1 "&amp;AI$1),0)))+
  SUMPRODUCT(('Form responses 1'!$D$2:$D1000=$A13)*('Form responses 1'!$A$2:$A1000&lt;=EOMONTH(DATEVALUE("1 "&amp;AI$1),0)))+
  SUMPRODUCT(('Form responses 1'!$E$2:$E1000=$A13)*('Form responses 1'!$A$2:$A1000&lt;=EOMONTH(DATEVALUE("1 "&amp;AI$1),0)))+
  SUMPRODUCT(('Form responses 1'!$F$2:$F1000=$A13)*('Form responses 1'!$A$2:$A1000&lt;=EOMONTH(DATEVALUE("1 "&amp;AI$1),0)))+
  SUMPRODUCT(('Form responses 1'!$G$2:$G1000=$A13)*('Form responses 1'!$A$2:$A1000&lt;=EOMONTH(DATEVALUE("1 "&amp;AI$1),0)))
),2),"-")</f>
        <v>-</v>
      </c>
      <c r="AJ13" s="2" t="str">
        <f>IFERROR(ROUND(Data!$B13/(
  SUMPRODUCT(('Form responses 1'!$B$2:$B1000=$A13)*('Form responses 1'!$A$2:$A1000&lt;=EOMONTH(DATEVALUE("1 "&amp;AJ$1),0)))+
  SUMPRODUCT(('Form responses 1'!$C$2:$C1000=$A13)*('Form responses 1'!$A$2:$A1000&lt;=EOMONTH(DATEVALUE("1 "&amp;AJ$1),0)))+
  SUMPRODUCT(('Form responses 1'!$D$2:$D1000=$A13)*('Form responses 1'!$A$2:$A1000&lt;=EOMONTH(DATEVALUE("1 "&amp;AJ$1),0)))+
  SUMPRODUCT(('Form responses 1'!$E$2:$E1000=$A13)*('Form responses 1'!$A$2:$A1000&lt;=EOMONTH(DATEVALUE("1 "&amp;AJ$1),0)))+
  SUMPRODUCT(('Form responses 1'!$F$2:$F1000=$A13)*('Form responses 1'!$A$2:$A1000&lt;=EOMONTH(DATEVALUE("1 "&amp;AJ$1),0)))+
  SUMPRODUCT(('Form responses 1'!$G$2:$G1000=$A13)*('Form responses 1'!$A$2:$A1000&lt;=EOMONTH(DATEVALUE("1 "&amp;AJ$1),0)))
),2),"-")</f>
        <v>-</v>
      </c>
      <c r="AK13" s="2" t="str">
        <f>IFERROR(ROUND(Data!$B13/(
  SUMPRODUCT(('Form responses 1'!$B$2:$B1000=$A13)*('Form responses 1'!$A$2:$A1000&lt;=EOMONTH(DATEVALUE("1 "&amp;AK$1),0)))+
  SUMPRODUCT(('Form responses 1'!$C$2:$C1000=$A13)*('Form responses 1'!$A$2:$A1000&lt;=EOMONTH(DATEVALUE("1 "&amp;AK$1),0)))+
  SUMPRODUCT(('Form responses 1'!$D$2:$D1000=$A13)*('Form responses 1'!$A$2:$A1000&lt;=EOMONTH(DATEVALUE("1 "&amp;AK$1),0)))+
  SUMPRODUCT(('Form responses 1'!$E$2:$E1000=$A13)*('Form responses 1'!$A$2:$A1000&lt;=EOMONTH(DATEVALUE("1 "&amp;AK$1),0)))+
  SUMPRODUCT(('Form responses 1'!$F$2:$F1000=$A13)*('Form responses 1'!$A$2:$A1000&lt;=EOMONTH(DATEVALUE("1 "&amp;AK$1),0)))+
  SUMPRODUCT(('Form responses 1'!$G$2:$G1000=$A13)*('Form responses 1'!$A$2:$A1000&lt;=EOMONTH(DATEVALUE("1 "&amp;AK$1),0)))
),2),"-")</f>
        <v>-</v>
      </c>
      <c r="AL13" s="2" t="str">
        <f>IFERROR(ROUND(Data!$B13/(
  SUMPRODUCT(('Form responses 1'!$B$2:$B1000=$A13)*('Form responses 1'!$A$2:$A1000&lt;=EOMONTH(DATEVALUE("1 "&amp;AL$1),0)))+
  SUMPRODUCT(('Form responses 1'!$C$2:$C1000=$A13)*('Form responses 1'!$A$2:$A1000&lt;=EOMONTH(DATEVALUE("1 "&amp;AL$1),0)))+
  SUMPRODUCT(('Form responses 1'!$D$2:$D1000=$A13)*('Form responses 1'!$A$2:$A1000&lt;=EOMONTH(DATEVALUE("1 "&amp;AL$1),0)))+
  SUMPRODUCT(('Form responses 1'!$E$2:$E1000=$A13)*('Form responses 1'!$A$2:$A1000&lt;=EOMONTH(DATEVALUE("1 "&amp;AL$1),0)))+
  SUMPRODUCT(('Form responses 1'!$F$2:$F1000=$A13)*('Form responses 1'!$A$2:$A1000&lt;=EOMONTH(DATEVALUE("1 "&amp;AL$1),0)))+
  SUMPRODUCT(('Form responses 1'!$G$2:$G1000=$A13)*('Form responses 1'!$A$2:$A1000&lt;=EOMONTH(DATEVALUE("1 "&amp;AL$1),0)))
),2),"-")</f>
        <v>-</v>
      </c>
    </row>
    <row r="14">
      <c r="A14" s="6" t="str">
        <f>IFERROR(__xludf.DUMMYFUNCTION("""COMPUTED_VALUE"""),"Joggingbroek zwart/groene strepen")</f>
        <v>Joggingbroek zwart/groene strepen</v>
      </c>
      <c r="B14" s="2">
        <f>Data!F14:F1000</f>
        <v>1.19</v>
      </c>
      <c r="C14" s="2">
        <f>IFERROR(ROUND(Data!B14/(SUMPRODUCT(('Form responses 1'!$B$2:$B1000 = A14) * ('Form responses 1'!$A$2:$A1000 &lt;= DATE(2024, 1, 31)))
+ SUMPRODUCT(('Form responses 1'!$C$2:$C1000 = A14) * ('Form responses 1'!$A$2:$A1000 &lt;= DATE(2024, 1, 31)))
+ SUMPRODUCT(('Form responses 1'!$D$2:$D1000 = A14) * ('Form responses 1'!$A$2:$A1000 &lt;= DATE(2024, 1, 31)))
+ SUMPRODUCT(('Form responses 1'!$E$2:$E1000 = A14) * ('Form responses 1'!$A$2:$A1000 &lt;= DATE(2024, 1, 31)))
+ SUMPRODUCT(('Form responses 1'!$F$2:$F1000 = A14) * ('Form responses 1'!$A$2:$A1000 &lt;= DATE(2024, 1, 31)))
+ SUMPRODUCT(('Form responses 1'!$G$2:$G1000 = A14) * ('Form responses 1'!$A$2:$A1000 &lt;= DATE(2024, 1, 31)))), 2), "-")
</f>
        <v>1.19</v>
      </c>
      <c r="D14" s="2">
        <f>IFERROR(ROUND(Data!B14/(SUMPRODUCT(('Form responses 1'!$B$2:$B1000 = A14) * ('Form responses 1'!$A$2:$A1000 &lt;= DATE(2024, 2, 29)))
+ SUMPRODUCT(('Form responses 1'!$C$2:$C1000 = A14) * ('Form responses 1'!$A$2:$A1000 &lt;= DATE(2024, 2, 29)))
+ SUMPRODUCT(('Form responses 1'!$D$2:$D1000 = A14) * ('Form responses 1'!$A$2:$A1000 &lt;= DATE(2024, 2, 29)))
+ SUMPRODUCT(('Form responses 1'!$E$2:$E1000 = A14) * ('Form responses 1'!$A$2:$A1000 &lt;= DATE(2024, 2, 29)))
+ SUMPRODUCT(('Form responses 1'!$F$2:$F1000 = A14) * ('Form responses 1'!$A$2:$A1000 &lt;= DATE(2024, 2, 29)))
+ SUMPRODUCT(('Form responses 1'!$G$2:$G1000 = A14) * ('Form responses 1'!$A$2:$A1000 &lt;= DATE(2024, 2, 29)))), 2), "-")
</f>
        <v>1.19</v>
      </c>
      <c r="E14" s="2">
        <f>IFERROR(ROUND(Data!B14/(SUMPRODUCT(('Form responses 1'!$B$2:$B1000 = A14) * ('Form responses 1'!$A$2:$A1000 &lt;= DATE(2024, 3, 31)))
+ SUMPRODUCT(('Form responses 1'!$C$2:$C1000 = A14) * ('Form responses 1'!$A$2:$A1000 &lt;= DATE(2024, 3, 31)))
+ SUMPRODUCT(('Form responses 1'!$D$2:$D1000 = A14) * ('Form responses 1'!$A$2:$A1000 &lt;= DATE(2024, 3, 31)))
+ SUMPRODUCT(('Form responses 1'!$E$2:$E1000 = A14) * ('Form responses 1'!$A$2:$A1000 &lt;= DATE(2024, 3, 31)))
+ SUMPRODUCT(('Form responses 1'!$F$2:$F1000 = A14) * ('Form responses 1'!$A$2:$A1000 &lt;= DATE(2024, 3, 31)))
+ SUMPRODUCT(('Form responses 1'!$G$2:$G1000 = A14) * ('Form responses 1'!$A$2:$A1000 &lt;= DATE(2024, 3, 31)))), 2), "-")
</f>
        <v>1.19</v>
      </c>
      <c r="F14" s="2">
        <f>IFERROR(ROUND(Data!B14/(SUMPRODUCT(('Form responses 1'!$B$2:$B1000 = A14) * ('Form responses 1'!$A$2:$A1000 &lt;= DATE(2024, 4, 30)))
+ SUMPRODUCT(('Form responses 1'!$C$2:$C1000 = A14) * ('Form responses 1'!$A$2:$A1000 &lt;= DATE(2024, 4, 30)))
+ SUMPRODUCT(('Form responses 1'!$D$2:$D1000 = A14) * ('Form responses 1'!$A$2:$A1000 &lt;= DATE(2024, 4, 30)))
+ SUMPRODUCT(('Form responses 1'!$E$2:$E1000 = A14) * ('Form responses 1'!$A$2:$A1000 &lt;= DATE(2024, 4, 30)))
+ SUMPRODUCT(('Form responses 1'!$F$2:$F1000 = A14) * ('Form responses 1'!$A$2:$A1000 &lt;= DATE(2024, 4, 30)))
+ SUMPRODUCT(('Form responses 1'!$G$2:$G1000 = A14) * ('Form responses 1'!$A$2:$A1000 &lt;= DATE(2024, 4, 30)))), 2), "-")
</f>
        <v>1.19</v>
      </c>
      <c r="G14" s="2">
        <f>IFERROR(ROUND(Data!B14/(SUMPRODUCT(('Form responses 1'!$B$2:$B1000 = A14) * ('Form responses 1'!$A$2:$A1000 &lt;= DATE(2024, 5, 31)))
+ SUMPRODUCT(('Form responses 1'!$C$2:$C1000 = A14) * ('Form responses 1'!$A$2:$A1000 &lt;= DATE(2024, 5, 31)))
+ SUMPRODUCT(('Form responses 1'!$D$2:$D1000 = A14) * ('Form responses 1'!$A$2:$A1000 &lt;= DATE(2024, 5, 31)))
+ SUMPRODUCT(('Form responses 1'!$E$2:$E1000 = A14) * ('Form responses 1'!$A$2:$A1000 &lt;= DATE(2024, 5, 31)))
+ SUMPRODUCT(('Form responses 1'!$F$2:$F1000 = A14) * ('Form responses 1'!$A$2:$A1000 &lt;= DATE(2024, 5, 31)))
+ SUMPRODUCT(('Form responses 1'!$G$2:$G1000 = A14) * ('Form responses 1'!$A$2:$A1000 &lt;= DATE(2024, 5, 31)))), 2), "-")
</f>
        <v>1.19</v>
      </c>
      <c r="H14" s="2">
        <f>IFERROR(ROUND(Data!B14/(SUMPRODUCT(('Form responses 1'!$B$2:$B1000 = A14) * ('Form responses 1'!$A$2:$A1000 &lt;= DATE(2024, 6, 30)))
+ SUMPRODUCT(('Form responses 1'!$C$2:$C1000 = A14) * ('Form responses 1'!$A$2:$A1000 &lt;= DATE(2024, 6, 30)))
+ SUMPRODUCT(('Form responses 1'!$D$2:$D1000 = A14) * ('Form responses 1'!$A$2:$A1000 &lt;= DATE(2024, 6, 30)))
+ SUMPRODUCT(('Form responses 1'!$E$2:$E1000 = A14) * ('Form responses 1'!$A$2:$A1000 &lt;= DATE(2024, 6, 30)))
+ SUMPRODUCT(('Form responses 1'!$F$2:$F1000 = A14) * ('Form responses 1'!$A$2:$A1000 &lt;= DATE(2024, 6, 30)))
+ SUMPRODUCT(('Form responses 1'!$G$2:$G1000 = A14) * ('Form responses 1'!$A$2:$A1000 &lt;= DATE(2024, 6, 30)))), 2), "-")
</f>
        <v>1.19</v>
      </c>
      <c r="I14" s="2">
        <f>IFERROR(ROUND(Data!B14/(SUMPRODUCT(('Form responses 1'!$B$2:$B1000 = A14) * ('Form responses 1'!$A$2:$A1000 &lt;= DATE(2024, 7, 31)))
+ SUMPRODUCT(('Form responses 1'!$C$2:$C1000 = A14) * ('Form responses 1'!$A$2:$A1000 &lt;= DATE(2024, 7, 31)))
+ SUMPRODUCT(('Form responses 1'!$D$2:$D1000 = A14) * ('Form responses 1'!$A$2:$A1000 &lt;= DATE(2024, 7, 31)))
+ SUMPRODUCT(('Form responses 1'!$E$2:$E1000 = A14) * ('Form responses 1'!$A$2:$A1000 &lt;= DATE(2024, 7, 31)))
+ SUMPRODUCT(('Form responses 1'!$F$2:$F1000 = A14) * ('Form responses 1'!$A$2:$A1000 &lt;= DATE(2024, 7, 31)))
+ SUMPRODUCT(('Form responses 1'!$G$2:$G1000 = A14) * ('Form responses 1'!$A$2:$A1000 &lt;= DATE(2024, 7, 31)))), 2), "-")
</f>
        <v>1.19</v>
      </c>
      <c r="J14" s="2">
        <f>IFERROR(ROUND(Data!B14/(SUMPRODUCT(('Form responses 1'!$B$2:$B1000 = A14) * ('Form responses 1'!$A$2:$A1000 &lt;= DATE(2024, 8, 31)))
+ SUMPRODUCT(('Form responses 1'!$C$2:$C1000 = A14) * ('Form responses 1'!$A$2:$A1000 &lt;= DATE(2024, 8, 31)))
+ SUMPRODUCT(('Form responses 1'!$D$2:$D1000 = A14) * ('Form responses 1'!$A$2:$A1000 &lt;= DATE(2024, 8, 31)))
+ SUMPRODUCT(('Form responses 1'!$E$2:$E1000 = A14) * ('Form responses 1'!$A$2:$A1000 &lt;= DATE(2024, 8, 31)))
+ SUMPRODUCT(('Form responses 1'!$F$2:$F1000 = A14) * ('Form responses 1'!$A$2:$A1000 &lt;= DATE(2024, 8, 31)))
+ SUMPRODUCT(('Form responses 1'!$G$2:$G1000 = A14) * ('Form responses 1'!$A$2:$A1000 &lt;= DATE(2024, 8, 31)))), 2), "-")
</f>
        <v>1.19</v>
      </c>
      <c r="K14" s="2">
        <f>IFERROR(ROUND(Data!B14/(SUMPRODUCT(('Form responses 1'!$B$2:$B1000 = A14) * ('Form responses 1'!$A$2:$A1000 &lt;= DATE(2024, 9, 30)))
+ SUMPRODUCT(('Form responses 1'!$C$2:$C1000 = A14) * ('Form responses 1'!$A$2:$A1000 &lt;= DATE(2024, 9, 30)))
+ SUMPRODUCT(('Form responses 1'!$D$2:$D1000 = A14) * ('Form responses 1'!$A$2:$A1000 &lt;= DATE(2024, 9, 30)))
+ SUMPRODUCT(('Form responses 1'!$E$2:$E1000 = A14) * ('Form responses 1'!$A$2:$A1000 &lt;= DATE(2024, 9, 30)))
+ SUMPRODUCT(('Form responses 1'!$F$2:$F1000 = A14) * ('Form responses 1'!$A$2:$A1000 &lt;= DATE(2024, 9, 30)))
+ SUMPRODUCT(('Form responses 1'!$G$2:$G1000 = A14) * ('Form responses 1'!$A$2:$A1000 &lt;= DATE(2024, 9, 30)))), 2), "-")
</f>
        <v>1.19</v>
      </c>
      <c r="L14" s="2">
        <f>IFERROR(ROUND(Data!B14/(SUMPRODUCT(('Form responses 1'!$B$2:$B1000 = A14) * ('Form responses 1'!$A$2:$A1000 &lt;= DATE(2024, 10, 31)))
+ SUMPRODUCT(('Form responses 1'!$C$2:$C1000 = A14) * ('Form responses 1'!$A$2:$A1000 &lt;= DATE(2024, 10, 31)))
+ SUMPRODUCT(('Form responses 1'!$D$2:$D1000 = A14) * ('Form responses 1'!$A$2:$A1000 &lt;= DATE(2024, 10, 31)))
+ SUMPRODUCT(('Form responses 1'!$E$2:$E1000 = A14) * ('Form responses 1'!$A$2:$A1000 &lt;= DATE(2024, 10, 31)))
+ SUMPRODUCT(('Form responses 1'!$F$2:$F1000 = A14) * ('Form responses 1'!$A$2:$A1000 &lt;= DATE(2024, 10, 31)))
+ SUMPRODUCT(('Form responses 1'!$G$2:$G1000 = A14) * ('Form responses 1'!$A$2:$A1000 &lt;= DATE(2024, 10, 31)))), 2), "-")
</f>
        <v>1.19</v>
      </c>
      <c r="M14" s="2">
        <f>IFERROR(ROUND(Data!B14/(SUMPRODUCT(('Form responses 1'!$B$2:$B1000 = A14) * ('Form responses 1'!$A$2:$A1000 &lt;= DATE(2024, 11, 30)))
+ SUMPRODUCT(('Form responses 1'!$C$2:$C1000 = A14) * ('Form responses 1'!$A$2:$A1000 &lt;= DATE(2024, 11, 30)))
+ SUMPRODUCT(('Form responses 1'!$D$2:$D1000 = A14) * ('Form responses 1'!$A$2:$A1000 &lt;= DATE(2024, 11, 30)))
+ SUMPRODUCT(('Form responses 1'!$E$2:$E1000 = A14) * ('Form responses 1'!$A$2:$A1000 &lt;= DATE(2024, 11, 30)))
+ SUMPRODUCT(('Form responses 1'!$F$2:$F1000 = A14) * ('Form responses 1'!$A$2:$A1000 &lt;= DATE(2024, 11, 30)))
+ SUMPRODUCT(('Form responses 1'!$G$2:$G1000 = A14) * ('Form responses 1'!$A$2:$A1000 &lt;= DATE(2024, 11, 30)))), 2), "-")
</f>
        <v>1.19</v>
      </c>
      <c r="N14" s="2">
        <f>IFERROR(ROUND(Data!B14/(SUMPRODUCT(('Form responses 1'!$B$2:$B1000 = A14) * ('Form responses 1'!$A$2:$A1000 &lt;= DATE(2024, 12, 31)))
+ SUMPRODUCT(('Form responses 1'!$C$2:$C1000 = A14) * ('Form responses 1'!$A$2:$A1000 &lt;= DATE(2024, 12, 31)))
+ SUMPRODUCT(('Form responses 1'!$D$2:$D1000 = A14) * ('Form responses 1'!$A$2:$A1000 &lt;= DATE(2024, 12, 31)))
+ SUMPRODUCT(('Form responses 1'!$E$2:$E1000 = A14) * ('Form responses 1'!$A$2:$A1000 &lt;= DATE(2024, 12, 31)))
+ SUMPRODUCT(('Form responses 1'!$F$2:$F1000 = A14) * ('Form responses 1'!$A$2:$A1000 &lt;= DATE(2024, 12, 31)))
+ SUMPRODUCT(('Form responses 1'!$G$2:$G1000 = A14) * ('Form responses 1'!$A$2:$A1000 &lt;= DATE(2024, 12, 31)))), 2), "-")
</f>
        <v>1.19</v>
      </c>
      <c r="O14" s="2">
        <f>IFERROR(ROUND(Data!B14/(SUMPRODUCT(('Form responses 1'!$B$2:$B1000 = A14) * ('Form responses 1'!$A$2:$A1000 &lt;= DATE(2025, 1, 31)))
+ SUMPRODUCT(('Form responses 1'!$C$2:$C1000 = A14) * ('Form responses 1'!$A$2:$A1000 &lt;= DATE(2025, 1, 31)))
+ SUMPRODUCT(('Form responses 1'!$D$2:$D1000 = A14) * ('Form responses 1'!$A$2:$A1000 &lt;= DATE(2025, 1, 31)))
+ SUMPRODUCT(('Form responses 1'!$E$2:$E1000 = A14) * ('Form responses 1'!$A$2:$A1000 &lt;= DATE(2025, 1, 31)))
+ SUMPRODUCT(('Form responses 1'!$F$2:$F1000 = A14) * ('Form responses 1'!$A$2:$A1000 &lt;= DATE(2025, 1, 31)))
+ SUMPRODUCT(('Form responses 1'!$G$2:$G1000 = A14) * ('Form responses 1'!$A$2:$A1000 &lt;= DATE(2025, 1, 31)))), 2), "-")
</f>
        <v>1.19</v>
      </c>
      <c r="P14" s="2">
        <f>IFERROR(ROUND(Data!B14/(SUMPRODUCT(('Form responses 1'!$B$2:$B1000 = A14) * ('Form responses 1'!$A$2:$A1000 &lt;= DATE(2025, 2, 28)))
+ SUMPRODUCT(('Form responses 1'!$C$2:$C1000 = A14) * ('Form responses 1'!$A$2:$A1000 &lt;= DATE(2025, 2, 28)))
+ SUMPRODUCT(('Form responses 1'!$D$2:$D1000 = A14) * ('Form responses 1'!$A$2:$A1000 &lt;= DATE(2025, 2, 28)))
+ SUMPRODUCT(('Form responses 1'!$E$2:$E1000 = A14) * ('Form responses 1'!$A$2:$A1000 &lt;= DATE(2025, 2, 28)))
+ SUMPRODUCT(('Form responses 1'!$F$2:$F1000 = A14) * ('Form responses 1'!$A$2:$A1000 &lt;= DATE(2025, 2, 28)))
+ SUMPRODUCT(('Form responses 1'!$G$2:$G1000 = A14) * ('Form responses 1'!$A$2:$A1000 &lt;= DATE(2025, 2, 28)))), 2), "-")
</f>
        <v>1.19</v>
      </c>
      <c r="Q14" s="2">
        <f>IFERROR(ROUND(Data!B14/(SUMPRODUCT(('Form responses 1'!$B$2:$B1000 = A14) * ('Form responses 1'!$A$2:$A1000 &lt;= DATE(2025, 3, 31)))
+ SUMPRODUCT(('Form responses 1'!$C$2:$C1000 = A14) * ('Form responses 1'!$A$2:$A1000 &lt;= DATE(2025, 3, 31)))
+ SUMPRODUCT(('Form responses 1'!$D$2:$D1000 = A14) * ('Form responses 1'!$A$2:$A1000 &lt;= DATE(2025, 3, 31)))
+ SUMPRODUCT(('Form responses 1'!$E$2:$E1000 = A14) * ('Form responses 1'!$A$2:$A1000 &lt;= DATE(2025, 3, 31)))
+ SUMPRODUCT(('Form responses 1'!$F$2:$F1000 = A14) * ('Form responses 1'!$A$2:$A1000 &lt;= DATE(2025, 3, 31)))
+ SUMPRODUCT(('Form responses 1'!$G$2:$G1000 = A14) * ('Form responses 1'!$A$2:$A1000 &lt;= DATE(2025, 3, 31)))),2),"-")</f>
        <v>1.19</v>
      </c>
      <c r="R14" s="2">
        <f>IFERROR(ROUND(Data!B14/(SUMPRODUCT(('Form responses 1'!$B$2:$B1000 = A14) * ('Form responses 1'!$A$2:$A1000 &lt;= DATE(2025, 4, 30)))
+ SUMPRODUCT(('Form responses 1'!$C$2:$C1000 = A14) * ('Form responses 1'!$A$2:$A1000 &lt;= DATE(2025, 4, 30)))
+ SUMPRODUCT(('Form responses 1'!$D$2:$D1000 = A14) * ('Form responses 1'!$A$2:$A1000 &lt;= DATE(2025, 4, 30)))
+ SUMPRODUCT(('Form responses 1'!$E$2:$E1000 = A14) * ('Form responses 1'!$A$2:$A1000 &lt;= DATE(2025, 4, 30)))
+ SUMPRODUCT(('Form responses 1'!$F$2:$F1000 = A14) * ('Form responses 1'!$A$2:$A1000 &lt;= DATE(2025, 4, 30)))
+ SUMPRODUCT(('Form responses 1'!$G$2:$G1000 = A14) * ('Form responses 1'!$A$2:$A1000 &lt;= DATE(2025, 4, 30)))), 2), "-")
</f>
        <v>1.19</v>
      </c>
      <c r="S14" s="2">
        <f>IFERROR(ROUND(Data!B14/(SUMPRODUCT(('Form responses 1'!$B$2:$B1000 = A14) * ('Form responses 1'!$A$2:$A1000 &lt;= DATE(2025, 5, 31)))
+ SUMPRODUCT(('Form responses 1'!$C$2:$C1000 = A14) * ('Form responses 1'!$A$2:$A1000 &lt;= DATE(2025, 5, 31)))
+ SUMPRODUCT(('Form responses 1'!$D$2:$D1000 = A14) * ('Form responses 1'!$A$2:$A1000 &lt;= DATE(2025, 5, 31)))
+ SUMPRODUCT(('Form responses 1'!$E$2:$E1000 = A14) * ('Form responses 1'!$A$2:$A1000 &lt;= DATE(2025, 5, 31)))
+ SUMPRODUCT(('Form responses 1'!$F$2:$F1000 = A14) * ('Form responses 1'!$A$2:$A1000 &lt;= DATE(2025, 5, 31)))
+ SUMPRODUCT(('Form responses 1'!$G$2:$G1000 = A14) * ('Form responses 1'!$A$2:$A1000 &lt;= DATE(2025, 5, 31)))), 2), "-")
</f>
        <v>1.19</v>
      </c>
      <c r="T14" s="2">
        <f>IFERROR(ROUND(Data!B14/(SUMPRODUCT(('Form responses 1'!$B$2:$B1000 = A14) * ('Form responses 1'!$A$2:$A1000 &lt;= DATE(2025, 6, 30)))
+ SUMPRODUCT(('Form responses 1'!$C$2:$C1000 = A14) * ('Form responses 1'!$A$2:$A1000 &lt;= DATE(2025, 6, 30)))
+ SUMPRODUCT(('Form responses 1'!$D$2:$D1000 = A14) * ('Form responses 1'!$A$2:$A1000 &lt;= DATE(2025, 6, 30)))
+ SUMPRODUCT(('Form responses 1'!$E$2:$E1000 = A14) * ('Form responses 1'!$A$2:$A1000 &lt;= DATE(2025, 6, 30)))
+ SUMPRODUCT(('Form responses 1'!$F$2:$F1000 = A14) * ('Form responses 1'!$A$2:$A1000 &lt;= DATE(2025, 6, 30)))
+ SUMPRODUCT(('Form responses 1'!$G$2:$G1000 = A14) * ('Form responses 1'!$A$2:$A1000 &lt;= DATE(2025, 6, 30)))), 2), "-")
</f>
        <v>1.19</v>
      </c>
      <c r="U14" s="2">
        <f>IFERROR(ROUND(Data!B14/(SUMPRODUCT(('Form responses 1'!$B$2:$B1000 = A14) * ('Form responses 1'!$A$2:$A1000 &lt;= DATE(2025, 7, 31)))
+ SUMPRODUCT(('Form responses 1'!$C$2:$C1000 = A14) * ('Form responses 1'!$A$2:$A1000 &lt;= DATE(2025, 7, 31)))
+ SUMPRODUCT(('Form responses 1'!$D$2:$D1000 = A14) * ('Form responses 1'!$A$2:$A1000 &lt;= DATE(2025, 7, 31)))
+ SUMPRODUCT(('Form responses 1'!$E$2:$E1000 = A14) * ('Form responses 1'!$A$2:$A1000 &lt;= DATE(2025, 7, 31)))
+ SUMPRODUCT(('Form responses 1'!$F$2:$F1000 = A14) * ('Form responses 1'!$A$2:$A1000 &lt;= DATE(2025, 7, 31)))
+ SUMPRODUCT(('Form responses 1'!$G$2:$G1000 = A14) * ('Form responses 1'!$A$2:$A1000 &lt;= DATE(2025, 7, 31)))), 2), "-")
</f>
        <v>1.19</v>
      </c>
      <c r="V14" s="2">
        <f>IFERROR(ROUND(Data!B14/(SUMPRODUCT(('Form responses 1'!$B$2:$B1000 = A14) * ('Form responses 1'!$A$2:$A1000 &lt;= DATE(2025, 8, 31)))
+ SUMPRODUCT(('Form responses 1'!$C$2:$C1000 = A14) * ('Form responses 1'!$A$2:$A1000 &lt;= DATE(2025, 8, 31)))
+ SUMPRODUCT(('Form responses 1'!$D$2:$D1000 = A14) * ('Form responses 1'!$A$2:$A1000 &lt;= DATE(2025, 8, 31)))
+ SUMPRODUCT(('Form responses 1'!$E$2:$E1000 = A14) * ('Form responses 1'!$A$2:$A1000 &lt;= DATE(2025, 8, 31)))
+ SUMPRODUCT(('Form responses 1'!$F$2:$F1000 = A14) * ('Form responses 1'!$A$2:$A1000 &lt;= DATE(2025, 8, 31)))
+ SUMPRODUCT(('Form responses 1'!$G$2:$G1000 = A14) * ('Form responses 1'!$A$2:$A1000 &lt;= DATE(2025, 8, 31)))), 2), "-")
</f>
        <v>1.19</v>
      </c>
      <c r="W14" s="2">
        <f>IFERROR(ROUND(Data!B14/(SUMPRODUCT(('Form responses 1'!$B$2:$B1000 = A14) * ('Form responses 1'!$A$2:$A1000 &lt;= DATE(2025, 9, 30)))
+ SUMPRODUCT(('Form responses 1'!$C$2:$C1000 = A14) * ('Form responses 1'!$A$2:$A1000 &lt;= DATE(2025, 9, 30)))
+ SUMPRODUCT(('Form responses 1'!$D$2:$D1000 = A14) * ('Form responses 1'!$A$2:$A1000 &lt;= DATE(2025, 9, 30)))
+ SUMPRODUCT(('Form responses 1'!$E$2:$E1000 = A14) * ('Form responses 1'!$A$2:$A1000 &lt;= DATE(2025, 9, 30)))
+ SUMPRODUCT(('Form responses 1'!$F$2:$F1000 = A14) * ('Form responses 1'!$A$2:$A1000 &lt;= DATE(2025, 9, 30)))
+ SUMPRODUCT(('Form responses 1'!$G$2:$G1000 = A14) * ('Form responses 1'!$A$2:$A1000 &lt;= DATE(2025, 9, 30)))), 2), "-")
</f>
        <v>1.19</v>
      </c>
      <c r="X14" s="2">
        <f>IFERROR(ROUND(Data!B14/(SUMPRODUCT(('Form responses 1'!$B$2:$B1000 = A14) * ('Form responses 1'!$A$2:$A1000 &lt;= DATE(2025, 10, 31)))
+ SUMPRODUCT(('Form responses 1'!$C$2:$C1000 = A14) * ('Form responses 1'!$A$2:$A1000 &lt;= DATE(2025, 10, 31)))
+ SUMPRODUCT(('Form responses 1'!$D$2:$D1000 = A14) * ('Form responses 1'!$A$2:$A1000 &lt;= DATE(2025, 10, 31)))
+ SUMPRODUCT(('Form responses 1'!$E$2:$E1000 = A14) * ('Form responses 1'!$A$2:$A1000 &lt;= DATE(2025, 10, 31)))
+ SUMPRODUCT(('Form responses 1'!$F$2:$F1000 = A14) * ('Form responses 1'!$A$2:$A1000 &lt;= DATE(2025, 10, 31)))
+ SUMPRODUCT(('Form responses 1'!$G$2:$G1000 = A14) * ('Form responses 1'!$A$2:$A1000 &lt;= DATE(2025, 10, 31)))), 2), "-")
</f>
        <v>1.19</v>
      </c>
      <c r="Y14" s="2">
        <f>IFERROR(ROUND(Data!B14/(SUMPRODUCT(('Form responses 1'!$B$2:$B1000 = A14) * ('Form responses 1'!$A$2:$A1000 &lt;= DATE(2025, 11, 30)))
+ SUMPRODUCT(('Form responses 1'!$C$2:$C1000 = A14) * ('Form responses 1'!$A$2:$A1000 &lt;= DATE(2025, 11, 30)))
+ SUMPRODUCT(('Form responses 1'!$D$2:$D1000 = A14) * ('Form responses 1'!$A$2:$A1000 &lt;= DATE(2025, 11, 30)))
+ SUMPRODUCT(('Form responses 1'!$E$2:$E1000 = A14) * ('Form responses 1'!$A$2:$A1000 &lt;= DATE(2025, 11, 30)))
+ SUMPRODUCT(('Form responses 1'!$F$2:$F1000 = A14) * ('Form responses 1'!$A$2:$A1000 &lt;= DATE(2025, 11, 30)))
+ SUMPRODUCT(('Form responses 1'!$G$2:$G1000 = A14) * ('Form responses 1'!$A$2:$A1000 &lt;= DATE(2025, 11, 30)))), 2), "-")
</f>
        <v>1.19</v>
      </c>
      <c r="Z14" s="2">
        <f>IFERROR(ROUND(Data!B14/(SUMPRODUCT(('Form responses 1'!$B$2:$B1000 = A14) * ('Form responses 1'!$A$2:$A1000 &lt;= DATE(2025, 12, 31)))
+ SUMPRODUCT(('Form responses 1'!$C$2:$C1000 = A14) * ('Form responses 1'!$A$2:$A1000 &lt;= DATE(2025, 12, 31)))
+ SUMPRODUCT(('Form responses 1'!$D$2:$D1000 = A14) * ('Form responses 1'!$A$2:$A1000 &lt;= DATE(2025, 12, 31)))
+ SUMPRODUCT(('Form responses 1'!$E$2:$E1000 = A14) * ('Form responses 1'!$A$2:$A1000 &lt;= DATE(2025, 12, 31)))
+ SUMPRODUCT(('Form responses 1'!$F$2:$F1000 = A14) * ('Form responses 1'!$A$2:$A1000 &lt;= DATE(2025, 12, 31)))
+ SUMPRODUCT(('Form responses 1'!$G$2:$G1000 = A14) * ('Form responses 1'!$A$2:$A1000 &lt;= DATE(2025, 12, 31)))), 2), "-")
</f>
        <v>1.19</v>
      </c>
      <c r="AA14" s="2">
        <f>IFERROR(ROUND(Data!$B14/(
  SUMPRODUCT(('Form responses 1'!$B$2:$B1000=$A14)*('Form responses 1'!$A$2:$A1000&lt;=EOMONTH(DATEVALUE("1 "&amp;AA$1),0)))+
  SUMPRODUCT(('Form responses 1'!$C$2:$C1000=$A14)*('Form responses 1'!$A$2:$A1000&lt;=EOMONTH(DATEVALUE("1 "&amp;AA$1),0)))+
  SUMPRODUCT(('Form responses 1'!$D$2:$D1000=$A14)*('Form responses 1'!$A$2:$A1000&lt;=EOMONTH(DATEVALUE("1 "&amp;AA$1),0)))+
  SUMPRODUCT(('Form responses 1'!$E$2:$E1000=$A14)*('Form responses 1'!$A$2:$A1000&lt;=EOMONTH(DATEVALUE("1 "&amp;AA$1),0)))+
  SUMPRODUCT(('Form responses 1'!$F$2:$F1000=$A14)*('Form responses 1'!$A$2:$A1000&lt;=EOMONTH(DATEVALUE("1 "&amp;AA$1),0)))+
  SUMPRODUCT(('Form responses 1'!$G$2:$G1000=$A14)*('Form responses 1'!$A$2:$A1000&lt;=EOMONTH(DATEVALUE("1 "&amp;AA$1),0)))
),2),"-")</f>
        <v>1.19</v>
      </c>
      <c r="AB14" s="2">
        <f>IFERROR(ROUND(Data!$B14/(
  SUMPRODUCT(('Form responses 1'!$B$2:$B1000=$A14)*('Form responses 1'!$A$2:$A1000&lt;=EOMONTH(DATEVALUE("1 "&amp;AB$1),0)))+
  SUMPRODUCT(('Form responses 1'!$C$2:$C1000=$A14)*('Form responses 1'!$A$2:$A1000&lt;=EOMONTH(DATEVALUE("1 "&amp;AB$1),0)))+
  SUMPRODUCT(('Form responses 1'!$D$2:$D1000=$A14)*('Form responses 1'!$A$2:$A1000&lt;=EOMONTH(DATEVALUE("1 "&amp;AB$1),0)))+
  SUMPRODUCT(('Form responses 1'!$E$2:$E1000=$A14)*('Form responses 1'!$A$2:$A1000&lt;=EOMONTH(DATEVALUE("1 "&amp;AB$1),0)))+
  SUMPRODUCT(('Form responses 1'!$F$2:$F1000=$A14)*('Form responses 1'!$A$2:$A1000&lt;=EOMONTH(DATEVALUE("1 "&amp;AB$1),0)))+
  SUMPRODUCT(('Form responses 1'!$G$2:$G1000=$A14)*('Form responses 1'!$A$2:$A1000&lt;=EOMONTH(DATEVALUE("1 "&amp;AB$1),0)))
),2),"-")</f>
        <v>1.19</v>
      </c>
      <c r="AC14" s="2">
        <f>IFERROR(ROUND(Data!$B14/(
  SUMPRODUCT(('Form responses 1'!$B$2:$B1000=$A14)*('Form responses 1'!$A$2:$A1000&lt;=EOMONTH(DATEVALUE("1 "&amp;AC$1),0)))+
  SUMPRODUCT(('Form responses 1'!$C$2:$C1000=$A14)*('Form responses 1'!$A$2:$A1000&lt;=EOMONTH(DATEVALUE("1 "&amp;AC$1),0)))+
  SUMPRODUCT(('Form responses 1'!$D$2:$D1000=$A14)*('Form responses 1'!$A$2:$A1000&lt;=EOMONTH(DATEVALUE("1 "&amp;AC$1),0)))+
  SUMPRODUCT(('Form responses 1'!$E$2:$E1000=$A14)*('Form responses 1'!$A$2:$A1000&lt;=EOMONTH(DATEVALUE("1 "&amp;AC$1),0)))+
  SUMPRODUCT(('Form responses 1'!$F$2:$F1000=$A14)*('Form responses 1'!$A$2:$A1000&lt;=EOMONTH(DATEVALUE("1 "&amp;AC$1),0)))+
  SUMPRODUCT(('Form responses 1'!$G$2:$G1000=$A14)*('Form responses 1'!$A$2:$A1000&lt;=EOMONTH(DATEVALUE("1 "&amp;AC$1),0)))
),2),"-")</f>
        <v>1.19</v>
      </c>
      <c r="AD14" s="2" t="str">
        <f>IFERROR(ROUND(Data!$B14/(
  SUMPRODUCT(('Form responses 1'!$B$2:$B1000=$A14)*('Form responses 1'!$A$2:$A1000&lt;=EOMONTH(DATEVALUE("1 "&amp;AD$1),0)))+
  SUMPRODUCT(('Form responses 1'!$C$2:$C1000=$A14)*('Form responses 1'!$A$2:$A1000&lt;=EOMONTH(DATEVALUE("1 "&amp;AD$1),0)))+
  SUMPRODUCT(('Form responses 1'!$D$2:$D1000=$A14)*('Form responses 1'!$A$2:$A1000&lt;=EOMONTH(DATEVALUE("1 "&amp;AD$1),0)))+
  SUMPRODUCT(('Form responses 1'!$E$2:$E1000=$A14)*('Form responses 1'!$A$2:$A1000&lt;=EOMONTH(DATEVALUE("1 "&amp;AD$1),0)))+
  SUMPRODUCT(('Form responses 1'!$F$2:$F1000=$A14)*('Form responses 1'!$A$2:$A1000&lt;=EOMONTH(DATEVALUE("1 "&amp;AD$1),0)))+
  SUMPRODUCT(('Form responses 1'!$G$2:$G1000=$A14)*('Form responses 1'!$A$2:$A1000&lt;=EOMONTH(DATEVALUE("1 "&amp;AD$1),0)))
),2),"-")</f>
        <v>-</v>
      </c>
      <c r="AE14" s="2" t="str">
        <f>IFERROR(ROUND(Data!$B14/(
  SUMPRODUCT(('Form responses 1'!$B$2:$B1000=$A14)*('Form responses 1'!$A$2:$A1000&lt;=EOMONTH(DATEVALUE("1 "&amp;AE$1),0)))+
  SUMPRODUCT(('Form responses 1'!$C$2:$C1000=$A14)*('Form responses 1'!$A$2:$A1000&lt;=EOMONTH(DATEVALUE("1 "&amp;AE$1),0)))+
  SUMPRODUCT(('Form responses 1'!$D$2:$D1000=$A14)*('Form responses 1'!$A$2:$A1000&lt;=EOMONTH(DATEVALUE("1 "&amp;AE$1),0)))+
  SUMPRODUCT(('Form responses 1'!$E$2:$E1000=$A14)*('Form responses 1'!$A$2:$A1000&lt;=EOMONTH(DATEVALUE("1 "&amp;AE$1),0)))+
  SUMPRODUCT(('Form responses 1'!$F$2:$F1000=$A14)*('Form responses 1'!$A$2:$A1000&lt;=EOMONTH(DATEVALUE("1 "&amp;AE$1),0)))+
  SUMPRODUCT(('Form responses 1'!$G$2:$G1000=$A14)*('Form responses 1'!$A$2:$A1000&lt;=EOMONTH(DATEVALUE("1 "&amp;AE$1),0)))
),2),"-")</f>
        <v>-</v>
      </c>
      <c r="AF14" s="2" t="str">
        <f>IFERROR(ROUND(Data!$B14/(
  SUMPRODUCT(('Form responses 1'!$B$2:$B1000=$A14)*('Form responses 1'!$A$2:$A1000&lt;=EOMONTH(DATEVALUE("1 "&amp;AF$1),0)))+
  SUMPRODUCT(('Form responses 1'!$C$2:$C1000=$A14)*('Form responses 1'!$A$2:$A1000&lt;=EOMONTH(DATEVALUE("1 "&amp;AF$1),0)))+
  SUMPRODUCT(('Form responses 1'!$D$2:$D1000=$A14)*('Form responses 1'!$A$2:$A1000&lt;=EOMONTH(DATEVALUE("1 "&amp;AF$1),0)))+
  SUMPRODUCT(('Form responses 1'!$E$2:$E1000=$A14)*('Form responses 1'!$A$2:$A1000&lt;=EOMONTH(DATEVALUE("1 "&amp;AF$1),0)))+
  SUMPRODUCT(('Form responses 1'!$F$2:$F1000=$A14)*('Form responses 1'!$A$2:$A1000&lt;=EOMONTH(DATEVALUE("1 "&amp;AF$1),0)))+
  SUMPRODUCT(('Form responses 1'!$G$2:$G1000=$A14)*('Form responses 1'!$A$2:$A1000&lt;=EOMONTH(DATEVALUE("1 "&amp;AF$1),0)))
),2),"-")</f>
        <v>-</v>
      </c>
      <c r="AG14" s="2" t="str">
        <f>IFERROR(ROUND(Data!$B14/(
  SUMPRODUCT(('Form responses 1'!$B$2:$B1000=$A14)*('Form responses 1'!$A$2:$A1000&lt;=EOMONTH(DATEVALUE("1 "&amp;AG$1),0)))+
  SUMPRODUCT(('Form responses 1'!$C$2:$C1000=$A14)*('Form responses 1'!$A$2:$A1000&lt;=EOMONTH(DATEVALUE("1 "&amp;AG$1),0)))+
  SUMPRODUCT(('Form responses 1'!$D$2:$D1000=$A14)*('Form responses 1'!$A$2:$A1000&lt;=EOMONTH(DATEVALUE("1 "&amp;AG$1),0)))+
  SUMPRODUCT(('Form responses 1'!$E$2:$E1000=$A14)*('Form responses 1'!$A$2:$A1000&lt;=EOMONTH(DATEVALUE("1 "&amp;AG$1),0)))+
  SUMPRODUCT(('Form responses 1'!$F$2:$F1000=$A14)*('Form responses 1'!$A$2:$A1000&lt;=EOMONTH(DATEVALUE("1 "&amp;AG$1),0)))+
  SUMPRODUCT(('Form responses 1'!$G$2:$G1000=$A14)*('Form responses 1'!$A$2:$A1000&lt;=EOMONTH(DATEVALUE("1 "&amp;AG$1),0)))
),2),"-")</f>
        <v>-</v>
      </c>
      <c r="AH14" s="2" t="str">
        <f>IFERROR(ROUND(Data!$B14/(
  SUMPRODUCT(('Form responses 1'!$B$2:$B1000=$A14)*('Form responses 1'!$A$2:$A1000&lt;=EOMONTH(DATEVALUE("1 "&amp;AH$1),0)))+
  SUMPRODUCT(('Form responses 1'!$C$2:$C1000=$A14)*('Form responses 1'!$A$2:$A1000&lt;=EOMONTH(DATEVALUE("1 "&amp;AH$1),0)))+
  SUMPRODUCT(('Form responses 1'!$D$2:$D1000=$A14)*('Form responses 1'!$A$2:$A1000&lt;=EOMONTH(DATEVALUE("1 "&amp;AH$1),0)))+
  SUMPRODUCT(('Form responses 1'!$E$2:$E1000=$A14)*('Form responses 1'!$A$2:$A1000&lt;=EOMONTH(DATEVALUE("1 "&amp;AH$1),0)))+
  SUMPRODUCT(('Form responses 1'!$F$2:$F1000=$A14)*('Form responses 1'!$A$2:$A1000&lt;=EOMONTH(DATEVALUE("1 "&amp;AH$1),0)))+
  SUMPRODUCT(('Form responses 1'!$G$2:$G1000=$A14)*('Form responses 1'!$A$2:$A1000&lt;=EOMONTH(DATEVALUE("1 "&amp;AH$1),0)))
),2),"-")</f>
        <v>-</v>
      </c>
      <c r="AI14" s="2" t="str">
        <f>IFERROR(ROUND(Data!$B14/(
  SUMPRODUCT(('Form responses 1'!$B$2:$B1000=$A14)*('Form responses 1'!$A$2:$A1000&lt;=EOMONTH(DATEVALUE("1 "&amp;AI$1),0)))+
  SUMPRODUCT(('Form responses 1'!$C$2:$C1000=$A14)*('Form responses 1'!$A$2:$A1000&lt;=EOMONTH(DATEVALUE("1 "&amp;AI$1),0)))+
  SUMPRODUCT(('Form responses 1'!$D$2:$D1000=$A14)*('Form responses 1'!$A$2:$A1000&lt;=EOMONTH(DATEVALUE("1 "&amp;AI$1),0)))+
  SUMPRODUCT(('Form responses 1'!$E$2:$E1000=$A14)*('Form responses 1'!$A$2:$A1000&lt;=EOMONTH(DATEVALUE("1 "&amp;AI$1),0)))+
  SUMPRODUCT(('Form responses 1'!$F$2:$F1000=$A14)*('Form responses 1'!$A$2:$A1000&lt;=EOMONTH(DATEVALUE("1 "&amp;AI$1),0)))+
  SUMPRODUCT(('Form responses 1'!$G$2:$G1000=$A14)*('Form responses 1'!$A$2:$A1000&lt;=EOMONTH(DATEVALUE("1 "&amp;AI$1),0)))
),2),"-")</f>
        <v>-</v>
      </c>
      <c r="AJ14" s="2" t="str">
        <f>IFERROR(ROUND(Data!$B14/(
  SUMPRODUCT(('Form responses 1'!$B$2:$B1000=$A14)*('Form responses 1'!$A$2:$A1000&lt;=EOMONTH(DATEVALUE("1 "&amp;AJ$1),0)))+
  SUMPRODUCT(('Form responses 1'!$C$2:$C1000=$A14)*('Form responses 1'!$A$2:$A1000&lt;=EOMONTH(DATEVALUE("1 "&amp;AJ$1),0)))+
  SUMPRODUCT(('Form responses 1'!$D$2:$D1000=$A14)*('Form responses 1'!$A$2:$A1000&lt;=EOMONTH(DATEVALUE("1 "&amp;AJ$1),0)))+
  SUMPRODUCT(('Form responses 1'!$E$2:$E1000=$A14)*('Form responses 1'!$A$2:$A1000&lt;=EOMONTH(DATEVALUE("1 "&amp;AJ$1),0)))+
  SUMPRODUCT(('Form responses 1'!$F$2:$F1000=$A14)*('Form responses 1'!$A$2:$A1000&lt;=EOMONTH(DATEVALUE("1 "&amp;AJ$1),0)))+
  SUMPRODUCT(('Form responses 1'!$G$2:$G1000=$A14)*('Form responses 1'!$A$2:$A1000&lt;=EOMONTH(DATEVALUE("1 "&amp;AJ$1),0)))
),2),"-")</f>
        <v>-</v>
      </c>
      <c r="AK14" s="2" t="str">
        <f>IFERROR(ROUND(Data!$B14/(
  SUMPRODUCT(('Form responses 1'!$B$2:$B1000=$A14)*('Form responses 1'!$A$2:$A1000&lt;=EOMONTH(DATEVALUE("1 "&amp;AK$1),0)))+
  SUMPRODUCT(('Form responses 1'!$C$2:$C1000=$A14)*('Form responses 1'!$A$2:$A1000&lt;=EOMONTH(DATEVALUE("1 "&amp;AK$1),0)))+
  SUMPRODUCT(('Form responses 1'!$D$2:$D1000=$A14)*('Form responses 1'!$A$2:$A1000&lt;=EOMONTH(DATEVALUE("1 "&amp;AK$1),0)))+
  SUMPRODUCT(('Form responses 1'!$E$2:$E1000=$A14)*('Form responses 1'!$A$2:$A1000&lt;=EOMONTH(DATEVALUE("1 "&amp;AK$1),0)))+
  SUMPRODUCT(('Form responses 1'!$F$2:$F1000=$A14)*('Form responses 1'!$A$2:$A1000&lt;=EOMONTH(DATEVALUE("1 "&amp;AK$1),0)))+
  SUMPRODUCT(('Form responses 1'!$G$2:$G1000=$A14)*('Form responses 1'!$A$2:$A1000&lt;=EOMONTH(DATEVALUE("1 "&amp;AK$1),0)))
),2),"-")</f>
        <v>-</v>
      </c>
      <c r="AL14" s="2" t="str">
        <f>IFERROR(ROUND(Data!$B14/(
  SUMPRODUCT(('Form responses 1'!$B$2:$B1000=$A14)*('Form responses 1'!$A$2:$A1000&lt;=EOMONTH(DATEVALUE("1 "&amp;AL$1),0)))+
  SUMPRODUCT(('Form responses 1'!$C$2:$C1000=$A14)*('Form responses 1'!$A$2:$A1000&lt;=EOMONTH(DATEVALUE("1 "&amp;AL$1),0)))+
  SUMPRODUCT(('Form responses 1'!$D$2:$D1000=$A14)*('Form responses 1'!$A$2:$A1000&lt;=EOMONTH(DATEVALUE("1 "&amp;AL$1),0)))+
  SUMPRODUCT(('Form responses 1'!$E$2:$E1000=$A14)*('Form responses 1'!$A$2:$A1000&lt;=EOMONTH(DATEVALUE("1 "&amp;AL$1),0)))+
  SUMPRODUCT(('Form responses 1'!$F$2:$F1000=$A14)*('Form responses 1'!$A$2:$A1000&lt;=EOMONTH(DATEVALUE("1 "&amp;AL$1),0)))+
  SUMPRODUCT(('Form responses 1'!$G$2:$G1000=$A14)*('Form responses 1'!$A$2:$A1000&lt;=EOMONTH(DATEVALUE("1 "&amp;AL$1),0)))
),2),"-")</f>
        <v>-</v>
      </c>
    </row>
    <row r="15">
      <c r="A15" s="3" t="str">
        <f>IFERROR(__xludf.DUMMYFUNCTION("""COMPUTED_VALUE"""),"Pyjama' broek")</f>
        <v>Pyjama' broek</v>
      </c>
      <c r="B15" s="2">
        <f>Data!F15:F1000</f>
        <v>0.25</v>
      </c>
      <c r="C15" s="2">
        <f>IFERROR(ROUND(Data!B15/(SUMPRODUCT(('Form responses 1'!$B$2:$B1000 = A15) * ('Form responses 1'!$A$2:$A1000 &lt;= DATE(2024, 1, 31)))
+ SUMPRODUCT(('Form responses 1'!$C$2:$C1000 = A15) * ('Form responses 1'!$A$2:$A1000 &lt;= DATE(2024, 1, 31)))
+ SUMPRODUCT(('Form responses 1'!$D$2:$D1000 = A15) * ('Form responses 1'!$A$2:$A1000 &lt;= DATE(2024, 1, 31)))
+ SUMPRODUCT(('Form responses 1'!$E$2:$E1000 = A15) * ('Form responses 1'!$A$2:$A1000 &lt;= DATE(2024, 1, 31)))
+ SUMPRODUCT(('Form responses 1'!$F$2:$F1000 = A15) * ('Form responses 1'!$A$2:$A1000 &lt;= DATE(2024, 1, 31)))
+ SUMPRODUCT(('Form responses 1'!$G$2:$G1000 = A15) * ('Form responses 1'!$A$2:$A1000 &lt;= DATE(2024, 1, 31)))), 2), "-")
</f>
        <v>0.33</v>
      </c>
      <c r="D15" s="2">
        <f>IFERROR(ROUND(Data!B15/(SUMPRODUCT(('Form responses 1'!$B$2:$B1000 = A15) * ('Form responses 1'!$A$2:$A1000 &lt;= DATE(2024, 2, 29)))
+ SUMPRODUCT(('Form responses 1'!$C$2:$C1000 = A15) * ('Form responses 1'!$A$2:$A1000 &lt;= DATE(2024, 2, 29)))
+ SUMPRODUCT(('Form responses 1'!$D$2:$D1000 = A15) * ('Form responses 1'!$A$2:$A1000 &lt;= DATE(2024, 2, 29)))
+ SUMPRODUCT(('Form responses 1'!$E$2:$E1000 = A15) * ('Form responses 1'!$A$2:$A1000 &lt;= DATE(2024, 2, 29)))
+ SUMPRODUCT(('Form responses 1'!$F$2:$F1000 = A15) * ('Form responses 1'!$A$2:$A1000 &lt;= DATE(2024, 2, 29)))
+ SUMPRODUCT(('Form responses 1'!$G$2:$G1000 = A15) * ('Form responses 1'!$A$2:$A1000 &lt;= DATE(2024, 2, 29)))), 2), "-")
</f>
        <v>0.33</v>
      </c>
      <c r="E15" s="2">
        <f>IFERROR(ROUND(Data!B15/(SUMPRODUCT(('Form responses 1'!$B$2:$B1000 = A15) * ('Form responses 1'!$A$2:$A1000 &lt;= DATE(2024, 3, 31)))
+ SUMPRODUCT(('Form responses 1'!$C$2:$C1000 = A15) * ('Form responses 1'!$A$2:$A1000 &lt;= DATE(2024, 3, 31)))
+ SUMPRODUCT(('Form responses 1'!$D$2:$D1000 = A15) * ('Form responses 1'!$A$2:$A1000 &lt;= DATE(2024, 3, 31)))
+ SUMPRODUCT(('Form responses 1'!$E$2:$E1000 = A15) * ('Form responses 1'!$A$2:$A1000 &lt;= DATE(2024, 3, 31)))
+ SUMPRODUCT(('Form responses 1'!$F$2:$F1000 = A15) * ('Form responses 1'!$A$2:$A1000 &lt;= DATE(2024, 3, 31)))
+ SUMPRODUCT(('Form responses 1'!$G$2:$G1000 = A15) * ('Form responses 1'!$A$2:$A1000 &lt;= DATE(2024, 3, 31)))), 2), "-")
</f>
        <v>0.33</v>
      </c>
      <c r="F15" s="2">
        <f>IFERROR(ROUND(Data!B15/(SUMPRODUCT(('Form responses 1'!$B$2:$B1000 = A15) * ('Form responses 1'!$A$2:$A1000 &lt;= DATE(2024, 4, 30)))
+ SUMPRODUCT(('Form responses 1'!$C$2:$C1000 = A15) * ('Form responses 1'!$A$2:$A1000 &lt;= DATE(2024, 4, 30)))
+ SUMPRODUCT(('Form responses 1'!$D$2:$D1000 = A15) * ('Form responses 1'!$A$2:$A1000 &lt;= DATE(2024, 4, 30)))
+ SUMPRODUCT(('Form responses 1'!$E$2:$E1000 = A15) * ('Form responses 1'!$A$2:$A1000 &lt;= DATE(2024, 4, 30)))
+ SUMPRODUCT(('Form responses 1'!$F$2:$F1000 = A15) * ('Form responses 1'!$A$2:$A1000 &lt;= DATE(2024, 4, 30)))
+ SUMPRODUCT(('Form responses 1'!$G$2:$G1000 = A15) * ('Form responses 1'!$A$2:$A1000 &lt;= DATE(2024, 4, 30)))), 2), "-")
</f>
        <v>0.32</v>
      </c>
      <c r="G15" s="2">
        <f>IFERROR(ROUND(Data!B15/(SUMPRODUCT(('Form responses 1'!$B$2:$B1000 = A15) * ('Form responses 1'!$A$2:$A1000 &lt;= DATE(2024, 5, 31)))
+ SUMPRODUCT(('Form responses 1'!$C$2:$C1000 = A15) * ('Form responses 1'!$A$2:$A1000 &lt;= DATE(2024, 5, 31)))
+ SUMPRODUCT(('Form responses 1'!$D$2:$D1000 = A15) * ('Form responses 1'!$A$2:$A1000 &lt;= DATE(2024, 5, 31)))
+ SUMPRODUCT(('Form responses 1'!$E$2:$E1000 = A15) * ('Form responses 1'!$A$2:$A1000 &lt;= DATE(2024, 5, 31)))
+ SUMPRODUCT(('Form responses 1'!$F$2:$F1000 = A15) * ('Form responses 1'!$A$2:$A1000 &lt;= DATE(2024, 5, 31)))
+ SUMPRODUCT(('Form responses 1'!$G$2:$G1000 = A15) * ('Form responses 1'!$A$2:$A1000 &lt;= DATE(2024, 5, 31)))), 2), "-")
</f>
        <v>0.32</v>
      </c>
      <c r="H15" s="2">
        <f>IFERROR(ROUND(Data!B15/(SUMPRODUCT(('Form responses 1'!$B$2:$B1000 = A15) * ('Form responses 1'!$A$2:$A1000 &lt;= DATE(2024, 6, 30)))
+ SUMPRODUCT(('Form responses 1'!$C$2:$C1000 = A15) * ('Form responses 1'!$A$2:$A1000 &lt;= DATE(2024, 6, 30)))
+ SUMPRODUCT(('Form responses 1'!$D$2:$D1000 = A15) * ('Form responses 1'!$A$2:$A1000 &lt;= DATE(2024, 6, 30)))
+ SUMPRODUCT(('Form responses 1'!$E$2:$E1000 = A15) * ('Form responses 1'!$A$2:$A1000 &lt;= DATE(2024, 6, 30)))
+ SUMPRODUCT(('Form responses 1'!$F$2:$F1000 = A15) * ('Form responses 1'!$A$2:$A1000 &lt;= DATE(2024, 6, 30)))
+ SUMPRODUCT(('Form responses 1'!$G$2:$G1000 = A15) * ('Form responses 1'!$A$2:$A1000 &lt;= DATE(2024, 6, 30)))), 2), "-")
</f>
        <v>0.32</v>
      </c>
      <c r="I15" s="2">
        <f>IFERROR(ROUND(Data!B15/(SUMPRODUCT(('Form responses 1'!$B$2:$B1000 = A15) * ('Form responses 1'!$A$2:$A1000 &lt;= DATE(2024, 7, 31)))
+ SUMPRODUCT(('Form responses 1'!$C$2:$C1000 = A15) * ('Form responses 1'!$A$2:$A1000 &lt;= DATE(2024, 7, 31)))
+ SUMPRODUCT(('Form responses 1'!$D$2:$D1000 = A15) * ('Form responses 1'!$A$2:$A1000 &lt;= DATE(2024, 7, 31)))
+ SUMPRODUCT(('Form responses 1'!$E$2:$E1000 = A15) * ('Form responses 1'!$A$2:$A1000 &lt;= DATE(2024, 7, 31)))
+ SUMPRODUCT(('Form responses 1'!$F$2:$F1000 = A15) * ('Form responses 1'!$A$2:$A1000 &lt;= DATE(2024, 7, 31)))
+ SUMPRODUCT(('Form responses 1'!$G$2:$G1000 = A15) * ('Form responses 1'!$A$2:$A1000 &lt;= DATE(2024, 7, 31)))), 2), "-")
</f>
        <v>0.32</v>
      </c>
      <c r="J15" s="2">
        <f>IFERROR(ROUND(Data!B15/(SUMPRODUCT(('Form responses 1'!$B$2:$B1000 = A15) * ('Form responses 1'!$A$2:$A1000 &lt;= DATE(2024, 8, 31)))
+ SUMPRODUCT(('Form responses 1'!$C$2:$C1000 = A15) * ('Form responses 1'!$A$2:$A1000 &lt;= DATE(2024, 8, 31)))
+ SUMPRODUCT(('Form responses 1'!$D$2:$D1000 = A15) * ('Form responses 1'!$A$2:$A1000 &lt;= DATE(2024, 8, 31)))
+ SUMPRODUCT(('Form responses 1'!$E$2:$E1000 = A15) * ('Form responses 1'!$A$2:$A1000 &lt;= DATE(2024, 8, 31)))
+ SUMPRODUCT(('Form responses 1'!$F$2:$F1000 = A15) * ('Form responses 1'!$A$2:$A1000 &lt;= DATE(2024, 8, 31)))
+ SUMPRODUCT(('Form responses 1'!$G$2:$G1000 = A15) * ('Form responses 1'!$A$2:$A1000 &lt;= DATE(2024, 8, 31)))), 2), "-")
</f>
        <v>0.31</v>
      </c>
      <c r="K15" s="2">
        <f>IFERROR(ROUND(Data!B15/(SUMPRODUCT(('Form responses 1'!$B$2:$B1000 = A15) * ('Form responses 1'!$A$2:$A1000 &lt;= DATE(2024, 9, 30)))
+ SUMPRODUCT(('Form responses 1'!$C$2:$C1000 = A15) * ('Form responses 1'!$A$2:$A1000 &lt;= DATE(2024, 9, 30)))
+ SUMPRODUCT(('Form responses 1'!$D$2:$D1000 = A15) * ('Form responses 1'!$A$2:$A1000 &lt;= DATE(2024, 9, 30)))
+ SUMPRODUCT(('Form responses 1'!$E$2:$E1000 = A15) * ('Form responses 1'!$A$2:$A1000 &lt;= DATE(2024, 9, 30)))
+ SUMPRODUCT(('Form responses 1'!$F$2:$F1000 = A15) * ('Form responses 1'!$A$2:$A1000 &lt;= DATE(2024, 9, 30)))
+ SUMPRODUCT(('Form responses 1'!$G$2:$G1000 = A15) * ('Form responses 1'!$A$2:$A1000 &lt;= DATE(2024, 9, 30)))), 2), "-")
</f>
        <v>0.31</v>
      </c>
      <c r="L15" s="2">
        <f>IFERROR(ROUND(Data!B15/(SUMPRODUCT(('Form responses 1'!$B$2:$B1000 = A15) * ('Form responses 1'!$A$2:$A1000 &lt;= DATE(2024, 10, 31)))
+ SUMPRODUCT(('Form responses 1'!$C$2:$C1000 = A15) * ('Form responses 1'!$A$2:$A1000 &lt;= DATE(2024, 10, 31)))
+ SUMPRODUCT(('Form responses 1'!$D$2:$D1000 = A15) * ('Form responses 1'!$A$2:$A1000 &lt;= DATE(2024, 10, 31)))
+ SUMPRODUCT(('Form responses 1'!$E$2:$E1000 = A15) * ('Form responses 1'!$A$2:$A1000 &lt;= DATE(2024, 10, 31)))
+ SUMPRODUCT(('Form responses 1'!$F$2:$F1000 = A15) * ('Form responses 1'!$A$2:$A1000 &lt;= DATE(2024, 10, 31)))
+ SUMPRODUCT(('Form responses 1'!$G$2:$G1000 = A15) * ('Form responses 1'!$A$2:$A1000 &lt;= DATE(2024, 10, 31)))), 2), "-")
</f>
        <v>0.31</v>
      </c>
      <c r="M15" s="2">
        <f>IFERROR(ROUND(Data!B15/(SUMPRODUCT(('Form responses 1'!$B$2:$B1000 = A15) * ('Form responses 1'!$A$2:$A1000 &lt;= DATE(2024, 11, 30)))
+ SUMPRODUCT(('Form responses 1'!$C$2:$C1000 = A15) * ('Form responses 1'!$A$2:$A1000 &lt;= DATE(2024, 11, 30)))
+ SUMPRODUCT(('Form responses 1'!$D$2:$D1000 = A15) * ('Form responses 1'!$A$2:$A1000 &lt;= DATE(2024, 11, 30)))
+ SUMPRODUCT(('Form responses 1'!$E$2:$E1000 = A15) * ('Form responses 1'!$A$2:$A1000 &lt;= DATE(2024, 11, 30)))
+ SUMPRODUCT(('Form responses 1'!$F$2:$F1000 = A15) * ('Form responses 1'!$A$2:$A1000 &lt;= DATE(2024, 11, 30)))
+ SUMPRODUCT(('Form responses 1'!$G$2:$G1000 = A15) * ('Form responses 1'!$A$2:$A1000 &lt;= DATE(2024, 11, 30)))), 2), "-")
</f>
        <v>0.31</v>
      </c>
      <c r="N15" s="2">
        <f>IFERROR(ROUND(Data!B15/(SUMPRODUCT(('Form responses 1'!$B$2:$B1000 = A15) * ('Form responses 1'!$A$2:$A1000 &lt;= DATE(2024, 12, 31)))
+ SUMPRODUCT(('Form responses 1'!$C$2:$C1000 = A15) * ('Form responses 1'!$A$2:$A1000 &lt;= DATE(2024, 12, 31)))
+ SUMPRODUCT(('Form responses 1'!$D$2:$D1000 = A15) * ('Form responses 1'!$A$2:$A1000 &lt;= DATE(2024, 12, 31)))
+ SUMPRODUCT(('Form responses 1'!$E$2:$E1000 = A15) * ('Form responses 1'!$A$2:$A1000 &lt;= DATE(2024, 12, 31)))
+ SUMPRODUCT(('Form responses 1'!$F$2:$F1000 = A15) * ('Form responses 1'!$A$2:$A1000 &lt;= DATE(2024, 12, 31)))
+ SUMPRODUCT(('Form responses 1'!$G$2:$G1000 = A15) * ('Form responses 1'!$A$2:$A1000 &lt;= DATE(2024, 12, 31)))), 2), "-")
</f>
        <v>0.31</v>
      </c>
      <c r="O15" s="2">
        <f>IFERROR(ROUND(Data!B15/(SUMPRODUCT(('Form responses 1'!$B$2:$B1000 = A15) * ('Form responses 1'!$A$2:$A1000 &lt;= DATE(2025, 1, 31)))
+ SUMPRODUCT(('Form responses 1'!$C$2:$C1000 = A15) * ('Form responses 1'!$A$2:$A1000 &lt;= DATE(2025, 1, 31)))
+ SUMPRODUCT(('Form responses 1'!$D$2:$D1000 = A15) * ('Form responses 1'!$A$2:$A1000 &lt;= DATE(2025, 1, 31)))
+ SUMPRODUCT(('Form responses 1'!$E$2:$E1000 = A15) * ('Form responses 1'!$A$2:$A1000 &lt;= DATE(2025, 1, 31)))
+ SUMPRODUCT(('Form responses 1'!$F$2:$F1000 = A15) * ('Form responses 1'!$A$2:$A1000 &lt;= DATE(2025, 1, 31)))
+ SUMPRODUCT(('Form responses 1'!$G$2:$G1000 = A15) * ('Form responses 1'!$A$2:$A1000 &lt;= DATE(2025, 1, 31)))), 2), "-")
</f>
        <v>0.31</v>
      </c>
      <c r="P15" s="2">
        <f>IFERROR(ROUND(Data!B15/(SUMPRODUCT(('Form responses 1'!$B$2:$B1000 = A15) * ('Form responses 1'!$A$2:$A1000 &lt;= DATE(2025, 2, 28)))
+ SUMPRODUCT(('Form responses 1'!$C$2:$C1000 = A15) * ('Form responses 1'!$A$2:$A1000 &lt;= DATE(2025, 2, 28)))
+ SUMPRODUCT(('Form responses 1'!$D$2:$D1000 = A15) * ('Form responses 1'!$A$2:$A1000 &lt;= DATE(2025, 2, 28)))
+ SUMPRODUCT(('Form responses 1'!$E$2:$E1000 = A15) * ('Form responses 1'!$A$2:$A1000 &lt;= DATE(2025, 2, 28)))
+ SUMPRODUCT(('Form responses 1'!$F$2:$F1000 = A15) * ('Form responses 1'!$A$2:$A1000 &lt;= DATE(2025, 2, 28)))
+ SUMPRODUCT(('Form responses 1'!$G$2:$G1000 = A15) * ('Form responses 1'!$A$2:$A1000 &lt;= DATE(2025, 2, 28)))), 2), "-")
</f>
        <v>0.31</v>
      </c>
      <c r="Q15" s="2">
        <f>IFERROR(ROUND(Data!B15/(SUMPRODUCT(('Form responses 1'!$B$2:$B1000 = A15) * ('Form responses 1'!$A$2:$A1000 &lt;= DATE(2025, 3, 31)))
+ SUMPRODUCT(('Form responses 1'!$C$2:$C1000 = A15) * ('Form responses 1'!$A$2:$A1000 &lt;= DATE(2025, 3, 31)))
+ SUMPRODUCT(('Form responses 1'!$D$2:$D1000 = A15) * ('Form responses 1'!$A$2:$A1000 &lt;= DATE(2025, 3, 31)))
+ SUMPRODUCT(('Form responses 1'!$E$2:$E1000 = A15) * ('Form responses 1'!$A$2:$A1000 &lt;= DATE(2025, 3, 31)))
+ SUMPRODUCT(('Form responses 1'!$F$2:$F1000 = A15) * ('Form responses 1'!$A$2:$A1000 &lt;= DATE(2025, 3, 31)))
+ SUMPRODUCT(('Form responses 1'!$G$2:$G1000 = A15) * ('Form responses 1'!$A$2:$A1000 &lt;= DATE(2025, 3, 31)))),2),"-")</f>
        <v>0.31</v>
      </c>
      <c r="R15" s="2">
        <f>IFERROR(ROUND(Data!B15/(SUMPRODUCT(('Form responses 1'!$B$2:$B1000 = A15) * ('Form responses 1'!$A$2:$A1000 &lt;= DATE(2025, 4, 30)))
+ SUMPRODUCT(('Form responses 1'!$C$2:$C1000 = A15) * ('Form responses 1'!$A$2:$A1000 &lt;= DATE(2025, 4, 30)))
+ SUMPRODUCT(('Form responses 1'!$D$2:$D1000 = A15) * ('Form responses 1'!$A$2:$A1000 &lt;= DATE(2025, 4, 30)))
+ SUMPRODUCT(('Form responses 1'!$E$2:$E1000 = A15) * ('Form responses 1'!$A$2:$A1000 &lt;= DATE(2025, 4, 30)))
+ SUMPRODUCT(('Form responses 1'!$F$2:$F1000 = A15) * ('Form responses 1'!$A$2:$A1000 &lt;= DATE(2025, 4, 30)))
+ SUMPRODUCT(('Form responses 1'!$G$2:$G1000 = A15) * ('Form responses 1'!$A$2:$A1000 &lt;= DATE(2025, 4, 30)))), 2), "-")
</f>
        <v>0.31</v>
      </c>
      <c r="S15" s="2">
        <f>IFERROR(ROUND(Data!B15/(SUMPRODUCT(('Form responses 1'!$B$2:$B1000 = A15) * ('Form responses 1'!$A$2:$A1000 &lt;= DATE(2025, 5, 31)))
+ SUMPRODUCT(('Form responses 1'!$C$2:$C1000 = A15) * ('Form responses 1'!$A$2:$A1000 &lt;= DATE(2025, 5, 31)))
+ SUMPRODUCT(('Form responses 1'!$D$2:$D1000 = A15) * ('Form responses 1'!$A$2:$A1000 &lt;= DATE(2025, 5, 31)))
+ SUMPRODUCT(('Form responses 1'!$E$2:$E1000 = A15) * ('Form responses 1'!$A$2:$A1000 &lt;= DATE(2025, 5, 31)))
+ SUMPRODUCT(('Form responses 1'!$F$2:$F1000 = A15) * ('Form responses 1'!$A$2:$A1000 &lt;= DATE(2025, 5, 31)))
+ SUMPRODUCT(('Form responses 1'!$G$2:$G1000 = A15) * ('Form responses 1'!$A$2:$A1000 &lt;= DATE(2025, 5, 31)))), 2), "-")
</f>
        <v>0.3</v>
      </c>
      <c r="T15" s="2">
        <f>IFERROR(ROUND(Data!B15/(SUMPRODUCT(('Form responses 1'!$B$2:$B1000 = A15) * ('Form responses 1'!$A$2:$A1000 &lt;= DATE(2025, 6, 30)))
+ SUMPRODUCT(('Form responses 1'!$C$2:$C1000 = A15) * ('Form responses 1'!$A$2:$A1000 &lt;= DATE(2025, 6, 30)))
+ SUMPRODUCT(('Form responses 1'!$D$2:$D1000 = A15) * ('Form responses 1'!$A$2:$A1000 &lt;= DATE(2025, 6, 30)))
+ SUMPRODUCT(('Form responses 1'!$E$2:$E1000 = A15) * ('Form responses 1'!$A$2:$A1000 &lt;= DATE(2025, 6, 30)))
+ SUMPRODUCT(('Form responses 1'!$F$2:$F1000 = A15) * ('Form responses 1'!$A$2:$A1000 &lt;= DATE(2025, 6, 30)))
+ SUMPRODUCT(('Form responses 1'!$G$2:$G1000 = A15) * ('Form responses 1'!$A$2:$A1000 &lt;= DATE(2025, 6, 30)))), 2), "-")
</f>
        <v>0.3</v>
      </c>
      <c r="U15" s="2">
        <f>IFERROR(ROUND(Data!B15/(SUMPRODUCT(('Form responses 1'!$B$2:$B1000 = A15) * ('Form responses 1'!$A$2:$A1000 &lt;= DATE(2025, 7, 31)))
+ SUMPRODUCT(('Form responses 1'!$C$2:$C1000 = A15) * ('Form responses 1'!$A$2:$A1000 &lt;= DATE(2025, 7, 31)))
+ SUMPRODUCT(('Form responses 1'!$D$2:$D1000 = A15) * ('Form responses 1'!$A$2:$A1000 &lt;= DATE(2025, 7, 31)))
+ SUMPRODUCT(('Form responses 1'!$E$2:$E1000 = A15) * ('Form responses 1'!$A$2:$A1000 &lt;= DATE(2025, 7, 31)))
+ SUMPRODUCT(('Form responses 1'!$F$2:$F1000 = A15) * ('Form responses 1'!$A$2:$A1000 &lt;= DATE(2025, 7, 31)))
+ SUMPRODUCT(('Form responses 1'!$G$2:$G1000 = A15) * ('Form responses 1'!$A$2:$A1000 &lt;= DATE(2025, 7, 31)))), 2), "-")
</f>
        <v>0.29</v>
      </c>
      <c r="V15" s="2">
        <f>IFERROR(ROUND(Data!B15/(SUMPRODUCT(('Form responses 1'!$B$2:$B1000 = A15) * ('Form responses 1'!$A$2:$A1000 &lt;= DATE(2025, 8, 31)))
+ SUMPRODUCT(('Form responses 1'!$C$2:$C1000 = A15) * ('Form responses 1'!$A$2:$A1000 &lt;= DATE(2025, 8, 31)))
+ SUMPRODUCT(('Form responses 1'!$D$2:$D1000 = A15) * ('Form responses 1'!$A$2:$A1000 &lt;= DATE(2025, 8, 31)))
+ SUMPRODUCT(('Form responses 1'!$E$2:$E1000 = A15) * ('Form responses 1'!$A$2:$A1000 &lt;= DATE(2025, 8, 31)))
+ SUMPRODUCT(('Form responses 1'!$F$2:$F1000 = A15) * ('Form responses 1'!$A$2:$A1000 &lt;= DATE(2025, 8, 31)))
+ SUMPRODUCT(('Form responses 1'!$G$2:$G1000 = A15) * ('Form responses 1'!$A$2:$A1000 &lt;= DATE(2025, 8, 31)))), 2), "-")
</f>
        <v>0.29</v>
      </c>
      <c r="W15" s="2">
        <f>IFERROR(ROUND(Data!B15/(SUMPRODUCT(('Form responses 1'!$B$2:$B1000 = A15) * ('Form responses 1'!$A$2:$A1000 &lt;= DATE(2025, 9, 30)))
+ SUMPRODUCT(('Form responses 1'!$C$2:$C1000 = A15) * ('Form responses 1'!$A$2:$A1000 &lt;= DATE(2025, 9, 30)))
+ SUMPRODUCT(('Form responses 1'!$D$2:$D1000 = A15) * ('Form responses 1'!$A$2:$A1000 &lt;= DATE(2025, 9, 30)))
+ SUMPRODUCT(('Form responses 1'!$E$2:$E1000 = A15) * ('Form responses 1'!$A$2:$A1000 &lt;= DATE(2025, 9, 30)))
+ SUMPRODUCT(('Form responses 1'!$F$2:$F1000 = A15) * ('Form responses 1'!$A$2:$A1000 &lt;= DATE(2025, 9, 30)))
+ SUMPRODUCT(('Form responses 1'!$G$2:$G1000 = A15) * ('Form responses 1'!$A$2:$A1000 &lt;= DATE(2025, 9, 30)))), 2), "-")
</f>
        <v>0.28</v>
      </c>
      <c r="X15" s="2">
        <f>IFERROR(ROUND(Data!B15/(SUMPRODUCT(('Form responses 1'!$B$2:$B1000 = A15) * ('Form responses 1'!$A$2:$A1000 &lt;= DATE(2025, 10, 31)))
+ SUMPRODUCT(('Form responses 1'!$C$2:$C1000 = A15) * ('Form responses 1'!$A$2:$A1000 &lt;= DATE(2025, 10, 31)))
+ SUMPRODUCT(('Form responses 1'!$D$2:$D1000 = A15) * ('Form responses 1'!$A$2:$A1000 &lt;= DATE(2025, 10, 31)))
+ SUMPRODUCT(('Form responses 1'!$E$2:$E1000 = A15) * ('Form responses 1'!$A$2:$A1000 &lt;= DATE(2025, 10, 31)))
+ SUMPRODUCT(('Form responses 1'!$F$2:$F1000 = A15) * ('Form responses 1'!$A$2:$A1000 &lt;= DATE(2025, 10, 31)))
+ SUMPRODUCT(('Form responses 1'!$G$2:$G1000 = A15) * ('Form responses 1'!$A$2:$A1000 &lt;= DATE(2025, 10, 31)))), 2), "-")
</f>
        <v>0.28</v>
      </c>
      <c r="Y15" s="2">
        <f>IFERROR(ROUND(Data!B15/(SUMPRODUCT(('Form responses 1'!$B$2:$B1000 = A15) * ('Form responses 1'!$A$2:$A1000 &lt;= DATE(2025, 11, 30)))
+ SUMPRODUCT(('Form responses 1'!$C$2:$C1000 = A15) * ('Form responses 1'!$A$2:$A1000 &lt;= DATE(2025, 11, 30)))
+ SUMPRODUCT(('Form responses 1'!$D$2:$D1000 = A15) * ('Form responses 1'!$A$2:$A1000 &lt;= DATE(2025, 11, 30)))
+ SUMPRODUCT(('Form responses 1'!$E$2:$E1000 = A15) * ('Form responses 1'!$A$2:$A1000 &lt;= DATE(2025, 11, 30)))
+ SUMPRODUCT(('Form responses 1'!$F$2:$F1000 = A15) * ('Form responses 1'!$A$2:$A1000 &lt;= DATE(2025, 11, 30)))
+ SUMPRODUCT(('Form responses 1'!$G$2:$G1000 = A15) * ('Form responses 1'!$A$2:$A1000 &lt;= DATE(2025, 11, 30)))), 2), "-")
</f>
        <v>0.27</v>
      </c>
      <c r="Z15" s="2">
        <f>IFERROR(ROUND(Data!B15/(SUMPRODUCT(('Form responses 1'!$B$2:$B1000 = A15) * ('Form responses 1'!$A$2:$A1000 &lt;= DATE(2025, 12, 31)))
+ SUMPRODUCT(('Form responses 1'!$C$2:$C1000 = A15) * ('Form responses 1'!$A$2:$A1000 &lt;= DATE(2025, 12, 31)))
+ SUMPRODUCT(('Form responses 1'!$D$2:$D1000 = A15) * ('Form responses 1'!$A$2:$A1000 &lt;= DATE(2025, 12, 31)))
+ SUMPRODUCT(('Form responses 1'!$E$2:$E1000 = A15) * ('Form responses 1'!$A$2:$A1000 &lt;= DATE(2025, 12, 31)))
+ SUMPRODUCT(('Form responses 1'!$F$2:$F1000 = A15) * ('Form responses 1'!$A$2:$A1000 &lt;= DATE(2025, 12, 31)))
+ SUMPRODUCT(('Form responses 1'!$G$2:$G1000 = A15) * ('Form responses 1'!$A$2:$A1000 &lt;= DATE(2025, 12, 31)))), 2), "-")
</f>
        <v>0.27</v>
      </c>
      <c r="AA15" s="2">
        <f>IFERROR(ROUND(Data!$B15/(
  SUMPRODUCT(('Form responses 1'!$B$2:$B1000=$A15)*('Form responses 1'!$A$2:$A1000&lt;=EOMONTH(DATEVALUE("1 "&amp;AA$1),0)))+
  SUMPRODUCT(('Form responses 1'!$C$2:$C1000=$A15)*('Form responses 1'!$A$2:$A1000&lt;=EOMONTH(DATEVALUE("1 "&amp;AA$1),0)))+
  SUMPRODUCT(('Form responses 1'!$D$2:$D1000=$A15)*('Form responses 1'!$A$2:$A1000&lt;=EOMONTH(DATEVALUE("1 "&amp;AA$1),0)))+
  SUMPRODUCT(('Form responses 1'!$E$2:$E1000=$A15)*('Form responses 1'!$A$2:$A1000&lt;=EOMONTH(DATEVALUE("1 "&amp;AA$1),0)))+
  SUMPRODUCT(('Form responses 1'!$F$2:$F1000=$A15)*('Form responses 1'!$A$2:$A1000&lt;=EOMONTH(DATEVALUE("1 "&amp;AA$1),0)))+
  SUMPRODUCT(('Form responses 1'!$G$2:$G1000=$A15)*('Form responses 1'!$A$2:$A1000&lt;=EOMONTH(DATEVALUE("1 "&amp;AA$1),0)))
),2),"-")</f>
        <v>0.26</v>
      </c>
      <c r="AB15" s="2">
        <f>IFERROR(ROUND(Data!$B15/(
  SUMPRODUCT(('Form responses 1'!$B$2:$B1000=$A15)*('Form responses 1'!$A$2:$A1000&lt;=EOMONTH(DATEVALUE("1 "&amp;AB$1),0)))+
  SUMPRODUCT(('Form responses 1'!$C$2:$C1000=$A15)*('Form responses 1'!$A$2:$A1000&lt;=EOMONTH(DATEVALUE("1 "&amp;AB$1),0)))+
  SUMPRODUCT(('Form responses 1'!$D$2:$D1000=$A15)*('Form responses 1'!$A$2:$A1000&lt;=EOMONTH(DATEVALUE("1 "&amp;AB$1),0)))+
  SUMPRODUCT(('Form responses 1'!$E$2:$E1000=$A15)*('Form responses 1'!$A$2:$A1000&lt;=EOMONTH(DATEVALUE("1 "&amp;AB$1),0)))+
  SUMPRODUCT(('Form responses 1'!$F$2:$F1000=$A15)*('Form responses 1'!$A$2:$A1000&lt;=EOMONTH(DATEVALUE("1 "&amp;AB$1),0)))+
  SUMPRODUCT(('Form responses 1'!$G$2:$G1000=$A15)*('Form responses 1'!$A$2:$A1000&lt;=EOMONTH(DATEVALUE("1 "&amp;AB$1),0)))
),2),"-")</f>
        <v>0.26</v>
      </c>
      <c r="AC15" s="2">
        <f>IFERROR(ROUND(Data!$B15/(
  SUMPRODUCT(('Form responses 1'!$B$2:$B1000=$A15)*('Form responses 1'!$A$2:$A1000&lt;=EOMONTH(DATEVALUE("1 "&amp;AC$1),0)))+
  SUMPRODUCT(('Form responses 1'!$C$2:$C1000=$A15)*('Form responses 1'!$A$2:$A1000&lt;=EOMONTH(DATEVALUE("1 "&amp;AC$1),0)))+
  SUMPRODUCT(('Form responses 1'!$D$2:$D1000=$A15)*('Form responses 1'!$A$2:$A1000&lt;=EOMONTH(DATEVALUE("1 "&amp;AC$1),0)))+
  SUMPRODUCT(('Form responses 1'!$E$2:$E1000=$A15)*('Form responses 1'!$A$2:$A1000&lt;=EOMONTH(DATEVALUE("1 "&amp;AC$1),0)))+
  SUMPRODUCT(('Form responses 1'!$F$2:$F1000=$A15)*('Form responses 1'!$A$2:$A1000&lt;=EOMONTH(DATEVALUE("1 "&amp;AC$1),0)))+
  SUMPRODUCT(('Form responses 1'!$G$2:$G1000=$A15)*('Form responses 1'!$A$2:$A1000&lt;=EOMONTH(DATEVALUE("1 "&amp;AC$1),0)))
),2),"-")</f>
        <v>0.26</v>
      </c>
      <c r="AD15" s="2" t="str">
        <f>IFERROR(ROUND(Data!$B15/(
  SUMPRODUCT(('Form responses 1'!$B$2:$B1000=$A15)*('Form responses 1'!$A$2:$A1000&lt;=EOMONTH(DATEVALUE("1 "&amp;AD$1),0)))+
  SUMPRODUCT(('Form responses 1'!$C$2:$C1000=$A15)*('Form responses 1'!$A$2:$A1000&lt;=EOMONTH(DATEVALUE("1 "&amp;AD$1),0)))+
  SUMPRODUCT(('Form responses 1'!$D$2:$D1000=$A15)*('Form responses 1'!$A$2:$A1000&lt;=EOMONTH(DATEVALUE("1 "&amp;AD$1),0)))+
  SUMPRODUCT(('Form responses 1'!$E$2:$E1000=$A15)*('Form responses 1'!$A$2:$A1000&lt;=EOMONTH(DATEVALUE("1 "&amp;AD$1),0)))+
  SUMPRODUCT(('Form responses 1'!$F$2:$F1000=$A15)*('Form responses 1'!$A$2:$A1000&lt;=EOMONTH(DATEVALUE("1 "&amp;AD$1),0)))+
  SUMPRODUCT(('Form responses 1'!$G$2:$G1000=$A15)*('Form responses 1'!$A$2:$A1000&lt;=EOMONTH(DATEVALUE("1 "&amp;AD$1),0)))
),2),"-")</f>
        <v>-</v>
      </c>
      <c r="AE15" s="2" t="str">
        <f>IFERROR(ROUND(Data!$B15/(
  SUMPRODUCT(('Form responses 1'!$B$2:$B1000=$A15)*('Form responses 1'!$A$2:$A1000&lt;=EOMONTH(DATEVALUE("1 "&amp;AE$1),0)))+
  SUMPRODUCT(('Form responses 1'!$C$2:$C1000=$A15)*('Form responses 1'!$A$2:$A1000&lt;=EOMONTH(DATEVALUE("1 "&amp;AE$1),0)))+
  SUMPRODUCT(('Form responses 1'!$D$2:$D1000=$A15)*('Form responses 1'!$A$2:$A1000&lt;=EOMONTH(DATEVALUE("1 "&amp;AE$1),0)))+
  SUMPRODUCT(('Form responses 1'!$E$2:$E1000=$A15)*('Form responses 1'!$A$2:$A1000&lt;=EOMONTH(DATEVALUE("1 "&amp;AE$1),0)))+
  SUMPRODUCT(('Form responses 1'!$F$2:$F1000=$A15)*('Form responses 1'!$A$2:$A1000&lt;=EOMONTH(DATEVALUE("1 "&amp;AE$1),0)))+
  SUMPRODUCT(('Form responses 1'!$G$2:$G1000=$A15)*('Form responses 1'!$A$2:$A1000&lt;=EOMONTH(DATEVALUE("1 "&amp;AE$1),0)))
),2),"-")</f>
        <v>-</v>
      </c>
      <c r="AF15" s="2" t="str">
        <f>IFERROR(ROUND(Data!$B15/(
  SUMPRODUCT(('Form responses 1'!$B$2:$B1000=$A15)*('Form responses 1'!$A$2:$A1000&lt;=EOMONTH(DATEVALUE("1 "&amp;AF$1),0)))+
  SUMPRODUCT(('Form responses 1'!$C$2:$C1000=$A15)*('Form responses 1'!$A$2:$A1000&lt;=EOMONTH(DATEVALUE("1 "&amp;AF$1),0)))+
  SUMPRODUCT(('Form responses 1'!$D$2:$D1000=$A15)*('Form responses 1'!$A$2:$A1000&lt;=EOMONTH(DATEVALUE("1 "&amp;AF$1),0)))+
  SUMPRODUCT(('Form responses 1'!$E$2:$E1000=$A15)*('Form responses 1'!$A$2:$A1000&lt;=EOMONTH(DATEVALUE("1 "&amp;AF$1),0)))+
  SUMPRODUCT(('Form responses 1'!$F$2:$F1000=$A15)*('Form responses 1'!$A$2:$A1000&lt;=EOMONTH(DATEVALUE("1 "&amp;AF$1),0)))+
  SUMPRODUCT(('Form responses 1'!$G$2:$G1000=$A15)*('Form responses 1'!$A$2:$A1000&lt;=EOMONTH(DATEVALUE("1 "&amp;AF$1),0)))
),2),"-")</f>
        <v>-</v>
      </c>
      <c r="AG15" s="2" t="str">
        <f>IFERROR(ROUND(Data!$B15/(
  SUMPRODUCT(('Form responses 1'!$B$2:$B1000=$A15)*('Form responses 1'!$A$2:$A1000&lt;=EOMONTH(DATEVALUE("1 "&amp;AG$1),0)))+
  SUMPRODUCT(('Form responses 1'!$C$2:$C1000=$A15)*('Form responses 1'!$A$2:$A1000&lt;=EOMONTH(DATEVALUE("1 "&amp;AG$1),0)))+
  SUMPRODUCT(('Form responses 1'!$D$2:$D1000=$A15)*('Form responses 1'!$A$2:$A1000&lt;=EOMONTH(DATEVALUE("1 "&amp;AG$1),0)))+
  SUMPRODUCT(('Form responses 1'!$E$2:$E1000=$A15)*('Form responses 1'!$A$2:$A1000&lt;=EOMONTH(DATEVALUE("1 "&amp;AG$1),0)))+
  SUMPRODUCT(('Form responses 1'!$F$2:$F1000=$A15)*('Form responses 1'!$A$2:$A1000&lt;=EOMONTH(DATEVALUE("1 "&amp;AG$1),0)))+
  SUMPRODUCT(('Form responses 1'!$G$2:$G1000=$A15)*('Form responses 1'!$A$2:$A1000&lt;=EOMONTH(DATEVALUE("1 "&amp;AG$1),0)))
),2),"-")</f>
        <v>-</v>
      </c>
      <c r="AH15" s="2" t="str">
        <f>IFERROR(ROUND(Data!$B15/(
  SUMPRODUCT(('Form responses 1'!$B$2:$B1000=$A15)*('Form responses 1'!$A$2:$A1000&lt;=EOMONTH(DATEVALUE("1 "&amp;AH$1),0)))+
  SUMPRODUCT(('Form responses 1'!$C$2:$C1000=$A15)*('Form responses 1'!$A$2:$A1000&lt;=EOMONTH(DATEVALUE("1 "&amp;AH$1),0)))+
  SUMPRODUCT(('Form responses 1'!$D$2:$D1000=$A15)*('Form responses 1'!$A$2:$A1000&lt;=EOMONTH(DATEVALUE("1 "&amp;AH$1),0)))+
  SUMPRODUCT(('Form responses 1'!$E$2:$E1000=$A15)*('Form responses 1'!$A$2:$A1000&lt;=EOMONTH(DATEVALUE("1 "&amp;AH$1),0)))+
  SUMPRODUCT(('Form responses 1'!$F$2:$F1000=$A15)*('Form responses 1'!$A$2:$A1000&lt;=EOMONTH(DATEVALUE("1 "&amp;AH$1),0)))+
  SUMPRODUCT(('Form responses 1'!$G$2:$G1000=$A15)*('Form responses 1'!$A$2:$A1000&lt;=EOMONTH(DATEVALUE("1 "&amp;AH$1),0)))
),2),"-")</f>
        <v>-</v>
      </c>
      <c r="AI15" s="2" t="str">
        <f>IFERROR(ROUND(Data!$B15/(
  SUMPRODUCT(('Form responses 1'!$B$2:$B1000=$A15)*('Form responses 1'!$A$2:$A1000&lt;=EOMONTH(DATEVALUE("1 "&amp;AI$1),0)))+
  SUMPRODUCT(('Form responses 1'!$C$2:$C1000=$A15)*('Form responses 1'!$A$2:$A1000&lt;=EOMONTH(DATEVALUE("1 "&amp;AI$1),0)))+
  SUMPRODUCT(('Form responses 1'!$D$2:$D1000=$A15)*('Form responses 1'!$A$2:$A1000&lt;=EOMONTH(DATEVALUE("1 "&amp;AI$1),0)))+
  SUMPRODUCT(('Form responses 1'!$E$2:$E1000=$A15)*('Form responses 1'!$A$2:$A1000&lt;=EOMONTH(DATEVALUE("1 "&amp;AI$1),0)))+
  SUMPRODUCT(('Form responses 1'!$F$2:$F1000=$A15)*('Form responses 1'!$A$2:$A1000&lt;=EOMONTH(DATEVALUE("1 "&amp;AI$1),0)))+
  SUMPRODUCT(('Form responses 1'!$G$2:$G1000=$A15)*('Form responses 1'!$A$2:$A1000&lt;=EOMONTH(DATEVALUE("1 "&amp;AI$1),0)))
),2),"-")</f>
        <v>-</v>
      </c>
      <c r="AJ15" s="2" t="str">
        <f>IFERROR(ROUND(Data!$B15/(
  SUMPRODUCT(('Form responses 1'!$B$2:$B1000=$A15)*('Form responses 1'!$A$2:$A1000&lt;=EOMONTH(DATEVALUE("1 "&amp;AJ$1),0)))+
  SUMPRODUCT(('Form responses 1'!$C$2:$C1000=$A15)*('Form responses 1'!$A$2:$A1000&lt;=EOMONTH(DATEVALUE("1 "&amp;AJ$1),0)))+
  SUMPRODUCT(('Form responses 1'!$D$2:$D1000=$A15)*('Form responses 1'!$A$2:$A1000&lt;=EOMONTH(DATEVALUE("1 "&amp;AJ$1),0)))+
  SUMPRODUCT(('Form responses 1'!$E$2:$E1000=$A15)*('Form responses 1'!$A$2:$A1000&lt;=EOMONTH(DATEVALUE("1 "&amp;AJ$1),0)))+
  SUMPRODUCT(('Form responses 1'!$F$2:$F1000=$A15)*('Form responses 1'!$A$2:$A1000&lt;=EOMONTH(DATEVALUE("1 "&amp;AJ$1),0)))+
  SUMPRODUCT(('Form responses 1'!$G$2:$G1000=$A15)*('Form responses 1'!$A$2:$A1000&lt;=EOMONTH(DATEVALUE("1 "&amp;AJ$1),0)))
),2),"-")</f>
        <v>-</v>
      </c>
      <c r="AK15" s="2" t="str">
        <f>IFERROR(ROUND(Data!$B15/(
  SUMPRODUCT(('Form responses 1'!$B$2:$B1000=$A15)*('Form responses 1'!$A$2:$A1000&lt;=EOMONTH(DATEVALUE("1 "&amp;AK$1),0)))+
  SUMPRODUCT(('Form responses 1'!$C$2:$C1000=$A15)*('Form responses 1'!$A$2:$A1000&lt;=EOMONTH(DATEVALUE("1 "&amp;AK$1),0)))+
  SUMPRODUCT(('Form responses 1'!$D$2:$D1000=$A15)*('Form responses 1'!$A$2:$A1000&lt;=EOMONTH(DATEVALUE("1 "&amp;AK$1),0)))+
  SUMPRODUCT(('Form responses 1'!$E$2:$E1000=$A15)*('Form responses 1'!$A$2:$A1000&lt;=EOMONTH(DATEVALUE("1 "&amp;AK$1),0)))+
  SUMPRODUCT(('Form responses 1'!$F$2:$F1000=$A15)*('Form responses 1'!$A$2:$A1000&lt;=EOMONTH(DATEVALUE("1 "&amp;AK$1),0)))+
  SUMPRODUCT(('Form responses 1'!$G$2:$G1000=$A15)*('Form responses 1'!$A$2:$A1000&lt;=EOMONTH(DATEVALUE("1 "&amp;AK$1),0)))
),2),"-")</f>
        <v>-</v>
      </c>
      <c r="AL15" s="2" t="str">
        <f>IFERROR(ROUND(Data!$B15/(
  SUMPRODUCT(('Form responses 1'!$B$2:$B1000=$A15)*('Form responses 1'!$A$2:$A1000&lt;=EOMONTH(DATEVALUE("1 "&amp;AL$1),0)))+
  SUMPRODUCT(('Form responses 1'!$C$2:$C1000=$A15)*('Form responses 1'!$A$2:$A1000&lt;=EOMONTH(DATEVALUE("1 "&amp;AL$1),0)))+
  SUMPRODUCT(('Form responses 1'!$D$2:$D1000=$A15)*('Form responses 1'!$A$2:$A1000&lt;=EOMONTH(DATEVALUE("1 "&amp;AL$1),0)))+
  SUMPRODUCT(('Form responses 1'!$E$2:$E1000=$A15)*('Form responses 1'!$A$2:$A1000&lt;=EOMONTH(DATEVALUE("1 "&amp;AL$1),0)))+
  SUMPRODUCT(('Form responses 1'!$F$2:$F1000=$A15)*('Form responses 1'!$A$2:$A1000&lt;=EOMONTH(DATEVALUE("1 "&amp;AL$1),0)))+
  SUMPRODUCT(('Form responses 1'!$G$2:$G1000=$A15)*('Form responses 1'!$A$2:$A1000&lt;=EOMONTH(DATEVALUE("1 "&amp;AL$1),0)))
),2),"-")</f>
        <v>-</v>
      </c>
    </row>
    <row r="16">
      <c r="A16" s="3" t="str">
        <f>IFERROR(__xludf.DUMMYFUNCTION("""COMPUTED_VALUE"""),"Bruine korte broek")</f>
        <v>Bruine korte broek</v>
      </c>
      <c r="B16" s="2">
        <f>Data!F16:F1000</f>
        <v>0.28</v>
      </c>
      <c r="C16" s="2" t="str">
        <f>IFERROR(ROUND(#REF!/(SUMPRODUCT(('Form responses 1'!$B$2:$B1000 = A16) * ('Form responses 1'!$A$2:$A1000 &lt;= DATE(2024, 1, 31)))
+ SUMPRODUCT(('Form responses 1'!$C$2:$C1000 = A16) * ('Form responses 1'!$A$2:$A1000 &lt;= DATE(2024, 1, 31)))
+ SUMPRODUCT(('Form responses 1'!$D$2:$D1000 = A16) * ('Form responses 1'!$A$2:$A1000 &lt;= DATE(2024, 1, 31)))
+ SUMPRODUCT(('Form responses 1'!$E$2:$E1000 = A16) * ('Form responses 1'!$A$2:$A1000 &lt;= DATE(2024, 1, 31)))
+ SUMPRODUCT(('Form responses 1'!$F$2:$F1000 = A16) * ('Form responses 1'!$A$2:$A1000 &lt;= DATE(2024, 1, 31)))
+ SUMPRODUCT(('Form responses 1'!$G$2:$G1000 = A16) * ('Form responses 1'!$A$2:$A1000 &lt;= DATE(2024, 1, 31)))), 2), "-")
</f>
        <v>-</v>
      </c>
      <c r="D16" s="2" t="str">
        <f>IFERROR(ROUND(#REF!/(SUMPRODUCT(('Form responses 1'!$B$2:$B1000 = A16) * ('Form responses 1'!$A$2:$A1000 &lt;= DATE(2024, 2, 29)))
+ SUMPRODUCT(('Form responses 1'!$C$2:$C1000 = A16) * ('Form responses 1'!$A$2:$A1000 &lt;= DATE(2024, 2, 29)))
+ SUMPRODUCT(('Form responses 1'!$D$2:$D1000 = A16) * ('Form responses 1'!$A$2:$A1000 &lt;= DATE(2024, 2, 29)))
+ SUMPRODUCT(('Form responses 1'!$E$2:$E1000 = A16) * ('Form responses 1'!$A$2:$A1000 &lt;= DATE(2024, 2, 29)))
+ SUMPRODUCT(('Form responses 1'!$F$2:$F1000 = A16) * ('Form responses 1'!$A$2:$A1000 &lt;= DATE(2024, 2, 29)))
+ SUMPRODUCT(('Form responses 1'!$G$2:$G1000 = A16) * ('Form responses 1'!$A$2:$A1000 &lt;= DATE(2024, 2, 29)))), 2), "-")
</f>
        <v>-</v>
      </c>
      <c r="E16" s="2" t="str">
        <f>IFERROR(ROUND(#REF!/(SUMPRODUCT(('Form responses 1'!$B$2:$B1000 = A16) * ('Form responses 1'!$A$2:$A1000 &lt;= DATE(2024, 3, 31)))
+ SUMPRODUCT(('Form responses 1'!$C$2:$C1000 = A16) * ('Form responses 1'!$A$2:$A1000 &lt;= DATE(2024, 3, 31)))
+ SUMPRODUCT(('Form responses 1'!$D$2:$D1000 = A16) * ('Form responses 1'!$A$2:$A1000 &lt;= DATE(2024, 3, 31)))
+ SUMPRODUCT(('Form responses 1'!$E$2:$E1000 = A16) * ('Form responses 1'!$A$2:$A1000 &lt;= DATE(2024, 3, 31)))
+ SUMPRODUCT(('Form responses 1'!$F$2:$F1000 = A16) * ('Form responses 1'!$A$2:$A1000 &lt;= DATE(2024, 3, 31)))
+ SUMPRODUCT(('Form responses 1'!$G$2:$G1000 = A16) * ('Form responses 1'!$A$2:$A1000 &lt;= DATE(2024, 3, 31)))), 2), "-")
</f>
        <v>-</v>
      </c>
      <c r="F16" s="2" t="str">
        <f>IFERROR(ROUND(#REF!/(SUMPRODUCT(('Form responses 1'!$B$2:$B1000 = A16) * ('Form responses 1'!$A$2:$A1000 &lt;= DATE(2024, 4, 30)))
+ SUMPRODUCT(('Form responses 1'!$C$2:$C1000 = A16) * ('Form responses 1'!$A$2:$A1000 &lt;= DATE(2024, 4, 30)))
+ SUMPRODUCT(('Form responses 1'!$D$2:$D1000 = A16) * ('Form responses 1'!$A$2:$A1000 &lt;= DATE(2024, 4, 30)))
+ SUMPRODUCT(('Form responses 1'!$E$2:$E1000 = A16) * ('Form responses 1'!$A$2:$A1000 &lt;= DATE(2024, 4, 30)))
+ SUMPRODUCT(('Form responses 1'!$F$2:$F1000 = A16) * ('Form responses 1'!$A$2:$A1000 &lt;= DATE(2024, 4, 30)))
+ SUMPRODUCT(('Form responses 1'!$G$2:$G1000 = A16) * ('Form responses 1'!$A$2:$A1000 &lt;= DATE(2024, 4, 30)))), 2), "-")
</f>
        <v>-</v>
      </c>
      <c r="G16" s="2" t="str">
        <f>IFERROR(ROUND(#REF!/(SUMPRODUCT(('Form responses 1'!$B$2:$B1000 = A16) * ('Form responses 1'!$A$2:$A1000 &lt;= DATE(2024, 5, 31)))
+ SUMPRODUCT(('Form responses 1'!$C$2:$C1000 = A16) * ('Form responses 1'!$A$2:$A1000 &lt;= DATE(2024, 5, 31)))
+ SUMPRODUCT(('Form responses 1'!$D$2:$D1000 = A16) * ('Form responses 1'!$A$2:$A1000 &lt;= DATE(2024, 5, 31)))
+ SUMPRODUCT(('Form responses 1'!$E$2:$E1000 = A16) * ('Form responses 1'!$A$2:$A1000 &lt;= DATE(2024, 5, 31)))
+ SUMPRODUCT(('Form responses 1'!$F$2:$F1000 = A16) * ('Form responses 1'!$A$2:$A1000 &lt;= DATE(2024, 5, 31)))
+ SUMPRODUCT(('Form responses 1'!$G$2:$G1000 = A16) * ('Form responses 1'!$A$2:$A1000 &lt;= DATE(2024, 5, 31)))), 2), "-")
</f>
        <v>-</v>
      </c>
      <c r="H16" s="2" t="str">
        <f>IFERROR(ROUND(#REF!/(SUMPRODUCT(('Form responses 1'!$B$2:$B1000 = A16) * ('Form responses 1'!$A$2:$A1000 &lt;= DATE(2024, 6, 30)))
+ SUMPRODUCT(('Form responses 1'!$C$2:$C1000 = A16) * ('Form responses 1'!$A$2:$A1000 &lt;= DATE(2024, 6, 30)))
+ SUMPRODUCT(('Form responses 1'!$D$2:$D1000 = A16) * ('Form responses 1'!$A$2:$A1000 &lt;= DATE(2024, 6, 30)))
+ SUMPRODUCT(('Form responses 1'!$E$2:$E1000 = A16) * ('Form responses 1'!$A$2:$A1000 &lt;= DATE(2024, 6, 30)))
+ SUMPRODUCT(('Form responses 1'!$F$2:$F1000 = A16) * ('Form responses 1'!$A$2:$A1000 &lt;= DATE(2024, 6, 30)))
+ SUMPRODUCT(('Form responses 1'!$G$2:$G1000 = A16) * ('Form responses 1'!$A$2:$A1000 &lt;= DATE(2024, 6, 30)))), 2), "-")
</f>
        <v>-</v>
      </c>
      <c r="I16" s="2" t="str">
        <f>IFERROR(ROUND(#REF!/(SUMPRODUCT(('Form responses 1'!$B$2:$B1000 = A16) * ('Form responses 1'!$A$2:$A1000 &lt;= DATE(2024, 7, 31)))
+ SUMPRODUCT(('Form responses 1'!$C$2:$C1000 = A16) * ('Form responses 1'!$A$2:$A1000 &lt;= DATE(2024, 7, 31)))
+ SUMPRODUCT(('Form responses 1'!$D$2:$D1000 = A16) * ('Form responses 1'!$A$2:$A1000 &lt;= DATE(2024, 7, 31)))
+ SUMPRODUCT(('Form responses 1'!$E$2:$E1000 = A16) * ('Form responses 1'!$A$2:$A1000 &lt;= DATE(2024, 7, 31)))
+ SUMPRODUCT(('Form responses 1'!$F$2:$F1000 = A16) * ('Form responses 1'!$A$2:$A1000 &lt;= DATE(2024, 7, 31)))
+ SUMPRODUCT(('Form responses 1'!$G$2:$G1000 = A16) * ('Form responses 1'!$A$2:$A1000 &lt;= DATE(2024, 7, 31)))), 2), "-")
</f>
        <v>-</v>
      </c>
      <c r="J16" s="2" t="str">
        <f>IFERROR(ROUND(#REF!/(SUMPRODUCT(('Form responses 1'!$B$2:$B1000 = A16) * ('Form responses 1'!$A$2:$A1000 &lt;= DATE(2024, 8, 31)))
+ SUMPRODUCT(('Form responses 1'!$C$2:$C1000 = A16) * ('Form responses 1'!$A$2:$A1000 &lt;= DATE(2024, 8, 31)))
+ SUMPRODUCT(('Form responses 1'!$D$2:$D1000 = A16) * ('Form responses 1'!$A$2:$A1000 &lt;= DATE(2024, 8, 31)))
+ SUMPRODUCT(('Form responses 1'!$E$2:$E1000 = A16) * ('Form responses 1'!$A$2:$A1000 &lt;= DATE(2024, 8, 31)))
+ SUMPRODUCT(('Form responses 1'!$F$2:$F1000 = A16) * ('Form responses 1'!$A$2:$A1000 &lt;= DATE(2024, 8, 31)))
+ SUMPRODUCT(('Form responses 1'!$G$2:$G1000 = A16) * ('Form responses 1'!$A$2:$A1000 &lt;= DATE(2024, 8, 31)))), 2), "-")
</f>
        <v>-</v>
      </c>
      <c r="K16" s="2" t="str">
        <f>IFERROR(ROUND(#REF!/(SUMPRODUCT(('Form responses 1'!$B$2:$B1000 = A16) * ('Form responses 1'!$A$2:$A1000 &lt;= DATE(2024, 9, 30)))
+ SUMPRODUCT(('Form responses 1'!$C$2:$C1000 = A16) * ('Form responses 1'!$A$2:$A1000 &lt;= DATE(2024, 9, 30)))
+ SUMPRODUCT(('Form responses 1'!$D$2:$D1000 = A16) * ('Form responses 1'!$A$2:$A1000 &lt;= DATE(2024, 9, 30)))
+ SUMPRODUCT(('Form responses 1'!$E$2:$E1000 = A16) * ('Form responses 1'!$A$2:$A1000 &lt;= DATE(2024, 9, 30)))
+ SUMPRODUCT(('Form responses 1'!$F$2:$F1000 = A16) * ('Form responses 1'!$A$2:$A1000 &lt;= DATE(2024, 9, 30)))
+ SUMPRODUCT(('Form responses 1'!$G$2:$G1000 = A16) * ('Form responses 1'!$A$2:$A1000 &lt;= DATE(2024, 9, 30)))), 2), "-")
</f>
        <v>-</v>
      </c>
      <c r="L16" s="2" t="str">
        <f>IFERROR(ROUND(#REF!/(SUMPRODUCT(('Form responses 1'!$B$2:$B1000 = A16) * ('Form responses 1'!$A$2:$A1000 &lt;= DATE(2024, 10, 31)))
+ SUMPRODUCT(('Form responses 1'!$C$2:$C1000 = A16) * ('Form responses 1'!$A$2:$A1000 &lt;= DATE(2024, 10, 31)))
+ SUMPRODUCT(('Form responses 1'!$D$2:$D1000 = A16) * ('Form responses 1'!$A$2:$A1000 &lt;= DATE(2024, 10, 31)))
+ SUMPRODUCT(('Form responses 1'!$E$2:$E1000 = A16) * ('Form responses 1'!$A$2:$A1000 &lt;= DATE(2024, 10, 31)))
+ SUMPRODUCT(('Form responses 1'!$F$2:$F1000 = A16) * ('Form responses 1'!$A$2:$A1000 &lt;= DATE(2024, 10, 31)))
+ SUMPRODUCT(('Form responses 1'!$G$2:$G1000 = A16) * ('Form responses 1'!$A$2:$A1000 &lt;= DATE(2024, 10, 31)))), 2), "-")
</f>
        <v>-</v>
      </c>
      <c r="M16" s="2" t="str">
        <f>IFERROR(ROUND(#REF!/(SUMPRODUCT(('Form responses 1'!$B$2:$B1000 = A16) * ('Form responses 1'!$A$2:$A1000 &lt;= DATE(2024, 11, 30)))
+ SUMPRODUCT(('Form responses 1'!$C$2:$C1000 = A16) * ('Form responses 1'!$A$2:$A1000 &lt;= DATE(2024, 11, 30)))
+ SUMPRODUCT(('Form responses 1'!$D$2:$D1000 = A16) * ('Form responses 1'!$A$2:$A1000 &lt;= DATE(2024, 11, 30)))
+ SUMPRODUCT(('Form responses 1'!$E$2:$E1000 = A16) * ('Form responses 1'!$A$2:$A1000 &lt;= DATE(2024, 11, 30)))
+ SUMPRODUCT(('Form responses 1'!$F$2:$F1000 = A16) * ('Form responses 1'!$A$2:$A1000 &lt;= DATE(2024, 11, 30)))
+ SUMPRODUCT(('Form responses 1'!$G$2:$G1000 = A16) * ('Form responses 1'!$A$2:$A1000 &lt;= DATE(2024, 11, 30)))), 2), "-")
</f>
        <v>-</v>
      </c>
      <c r="N16" s="2" t="str">
        <f>IFERROR(ROUND(#REF!/(SUMPRODUCT(('Form responses 1'!$B$2:$B1000 = A16) * ('Form responses 1'!$A$2:$A1000 &lt;= DATE(2024, 12, 31)))
+ SUMPRODUCT(('Form responses 1'!$C$2:$C1000 = A16) * ('Form responses 1'!$A$2:$A1000 &lt;= DATE(2024, 12, 31)))
+ SUMPRODUCT(('Form responses 1'!$D$2:$D1000 = A16) * ('Form responses 1'!$A$2:$A1000 &lt;= DATE(2024, 12, 31)))
+ SUMPRODUCT(('Form responses 1'!$E$2:$E1000 = A16) * ('Form responses 1'!$A$2:$A1000 &lt;= DATE(2024, 12, 31)))
+ SUMPRODUCT(('Form responses 1'!$F$2:$F1000 = A16) * ('Form responses 1'!$A$2:$A1000 &lt;= DATE(2024, 12, 31)))
+ SUMPRODUCT(('Form responses 1'!$G$2:$G1000 = A16) * ('Form responses 1'!$A$2:$A1000 &lt;= DATE(2024, 12, 31)))), 2), "-")
</f>
        <v>-</v>
      </c>
      <c r="O16" s="2" t="str">
        <f>IFERROR(ROUND(#REF!/(SUMPRODUCT(('Form responses 1'!$B$2:$B1000 = A16) * ('Form responses 1'!$A$2:$A1000 &lt;= DATE(2025, 1, 31)))
+ SUMPRODUCT(('Form responses 1'!$C$2:$C1000 = A16) * ('Form responses 1'!$A$2:$A1000 &lt;= DATE(2025, 1, 31)))
+ SUMPRODUCT(('Form responses 1'!$D$2:$D1000 = A16) * ('Form responses 1'!$A$2:$A1000 &lt;= DATE(2025, 1, 31)))
+ SUMPRODUCT(('Form responses 1'!$E$2:$E1000 = A16) * ('Form responses 1'!$A$2:$A1000 &lt;= DATE(2025, 1, 31)))
+ SUMPRODUCT(('Form responses 1'!$F$2:$F1000 = A16) * ('Form responses 1'!$A$2:$A1000 &lt;= DATE(2025, 1, 31)))
+ SUMPRODUCT(('Form responses 1'!$G$2:$G1000 = A16) * ('Form responses 1'!$A$2:$A1000 &lt;= DATE(2025, 1, 31)))), 2), "-")
</f>
        <v>-</v>
      </c>
      <c r="P16" s="2" t="str">
        <f>IFERROR(ROUND(#REF!/(SUMPRODUCT(('Form responses 1'!$B$2:$B1000 = A16) * ('Form responses 1'!$A$2:$A1000 &lt;= DATE(2025, 2, 28)))
+ SUMPRODUCT(('Form responses 1'!$C$2:$C1000 = A16) * ('Form responses 1'!$A$2:$A1000 &lt;= DATE(2025, 2, 28)))
+ SUMPRODUCT(('Form responses 1'!$D$2:$D1000 = A16) * ('Form responses 1'!$A$2:$A1000 &lt;= DATE(2025, 2, 28)))
+ SUMPRODUCT(('Form responses 1'!$E$2:$E1000 = A16) * ('Form responses 1'!$A$2:$A1000 &lt;= DATE(2025, 2, 28)))
+ SUMPRODUCT(('Form responses 1'!$F$2:$F1000 = A16) * ('Form responses 1'!$A$2:$A1000 &lt;= DATE(2025, 2, 28)))
+ SUMPRODUCT(('Form responses 1'!$G$2:$G1000 = A16) * ('Form responses 1'!$A$2:$A1000 &lt;= DATE(2025, 2, 28)))), 2), "-")
</f>
        <v>-</v>
      </c>
      <c r="Q16" s="2" t="str">
        <f>IFERROR(ROUND(#REF!/(SUMPRODUCT(('Form responses 1'!$B$2:$B1000 = A16) * ('Form responses 1'!$A$2:$A1000 &lt;= DATE(2025, 3, 31)))
+ SUMPRODUCT(('Form responses 1'!$C$2:$C1000 = A16) * ('Form responses 1'!$A$2:$A1000 &lt;= DATE(2025, 3, 31)))
+ SUMPRODUCT(('Form responses 1'!$D$2:$D1000 = A16) * ('Form responses 1'!$A$2:$A1000 &lt;= DATE(2025, 3, 31)))
+ SUMPRODUCT(('Form responses 1'!$E$2:$E1000 = A16) * ('Form responses 1'!$A$2:$A1000 &lt;= DATE(2025, 3, 31)))
+ SUMPRODUCT(('Form responses 1'!$F$2:$F1000 = A16) * ('Form responses 1'!$A$2:$A1000 &lt;= DATE(2025, 3, 31)))
+ SUMPRODUCT(('Form responses 1'!$G$2:$G1000 = A16) * ('Form responses 1'!$A$2:$A1000 &lt;= DATE(2025, 3, 31)))),2),"-")</f>
        <v>-</v>
      </c>
      <c r="R16" s="2" t="str">
        <f>IFERROR(ROUND(#REF!/(SUMPRODUCT(('Form responses 1'!$B$2:$B1000 = A16) * ('Form responses 1'!$A$2:$A1000 &lt;= DATE(2025, 4, 30)))
+ SUMPRODUCT(('Form responses 1'!$C$2:$C1000 = A16) * ('Form responses 1'!$A$2:$A1000 &lt;= DATE(2025, 4, 30)))
+ SUMPRODUCT(('Form responses 1'!$D$2:$D1000 = A16) * ('Form responses 1'!$A$2:$A1000 &lt;= DATE(2025, 4, 30)))
+ SUMPRODUCT(('Form responses 1'!$E$2:$E1000 = A16) * ('Form responses 1'!$A$2:$A1000 &lt;= DATE(2025, 4, 30)))
+ SUMPRODUCT(('Form responses 1'!$F$2:$F1000 = A16) * ('Form responses 1'!$A$2:$A1000 &lt;= DATE(2025, 4, 30)))
+ SUMPRODUCT(('Form responses 1'!$G$2:$G1000 = A16) * ('Form responses 1'!$A$2:$A1000 &lt;= DATE(2025, 4, 30)))), 2), "-")
</f>
        <v>-</v>
      </c>
      <c r="S16" s="2" t="str">
        <f>IFERROR(ROUND(#REF!/(SUMPRODUCT(('Form responses 1'!$B$2:$B1000 = A16) * ('Form responses 1'!$A$2:$A1000 &lt;= DATE(2025, 5, 31)))
+ SUMPRODUCT(('Form responses 1'!$C$2:$C1000 = A16) * ('Form responses 1'!$A$2:$A1000 &lt;= DATE(2025, 5, 31)))
+ SUMPRODUCT(('Form responses 1'!$D$2:$D1000 = A16) * ('Form responses 1'!$A$2:$A1000 &lt;= DATE(2025, 5, 31)))
+ SUMPRODUCT(('Form responses 1'!$E$2:$E1000 = A16) * ('Form responses 1'!$A$2:$A1000 &lt;= DATE(2025, 5, 31)))
+ SUMPRODUCT(('Form responses 1'!$F$2:$F1000 = A16) * ('Form responses 1'!$A$2:$A1000 &lt;= DATE(2025, 5, 31)))
+ SUMPRODUCT(('Form responses 1'!$G$2:$G1000 = A16) * ('Form responses 1'!$A$2:$A1000 &lt;= DATE(2025, 5, 31)))), 2), "-")
</f>
        <v>-</v>
      </c>
      <c r="T16" s="2" t="str">
        <f>IFERROR(ROUND(#REF!/(SUMPRODUCT(('Form responses 1'!$B$2:$B1000 = A16) * ('Form responses 1'!$A$2:$A1000 &lt;= DATE(2025, 6, 30)))
+ SUMPRODUCT(('Form responses 1'!$C$2:$C1000 = A16) * ('Form responses 1'!$A$2:$A1000 &lt;= DATE(2025, 6, 30)))
+ SUMPRODUCT(('Form responses 1'!$D$2:$D1000 = A16) * ('Form responses 1'!$A$2:$A1000 &lt;= DATE(2025, 6, 30)))
+ SUMPRODUCT(('Form responses 1'!$E$2:$E1000 = A16) * ('Form responses 1'!$A$2:$A1000 &lt;= DATE(2025, 6, 30)))
+ SUMPRODUCT(('Form responses 1'!$F$2:$F1000 = A16) * ('Form responses 1'!$A$2:$A1000 &lt;= DATE(2025, 6, 30)))
+ SUMPRODUCT(('Form responses 1'!$G$2:$G1000 = A16) * ('Form responses 1'!$A$2:$A1000 &lt;= DATE(2025, 6, 30)))), 2), "-")
</f>
        <v>-</v>
      </c>
      <c r="U16" s="2" t="str">
        <f>IFERROR(ROUND(#REF!/(SUMPRODUCT(('Form responses 1'!$B$2:$B1000 = A16) * ('Form responses 1'!$A$2:$A1000 &lt;= DATE(2025, 7, 31)))
+ SUMPRODUCT(('Form responses 1'!$C$2:$C1000 = A16) * ('Form responses 1'!$A$2:$A1000 &lt;= DATE(2025, 7, 31)))
+ SUMPRODUCT(('Form responses 1'!$D$2:$D1000 = A16) * ('Form responses 1'!$A$2:$A1000 &lt;= DATE(2025, 7, 31)))
+ SUMPRODUCT(('Form responses 1'!$E$2:$E1000 = A16) * ('Form responses 1'!$A$2:$A1000 &lt;= DATE(2025, 7, 31)))
+ SUMPRODUCT(('Form responses 1'!$F$2:$F1000 = A16) * ('Form responses 1'!$A$2:$A1000 &lt;= DATE(2025, 7, 31)))
+ SUMPRODUCT(('Form responses 1'!$G$2:$G1000 = A16) * ('Form responses 1'!$A$2:$A1000 &lt;= DATE(2025, 7, 31)))), 2), "-")
</f>
        <v>-</v>
      </c>
      <c r="V16" s="2" t="str">
        <f>IFERROR(ROUND(#REF!/(SUMPRODUCT(('Form responses 1'!$B$2:$B1000 = A16) * ('Form responses 1'!$A$2:$A1000 &lt;= DATE(2025, 8, 31)))
+ SUMPRODUCT(('Form responses 1'!$C$2:$C1000 = A16) * ('Form responses 1'!$A$2:$A1000 &lt;= DATE(2025, 8, 31)))
+ SUMPRODUCT(('Form responses 1'!$D$2:$D1000 = A16) * ('Form responses 1'!$A$2:$A1000 &lt;= DATE(2025, 8, 31)))
+ SUMPRODUCT(('Form responses 1'!$E$2:$E1000 = A16) * ('Form responses 1'!$A$2:$A1000 &lt;= DATE(2025, 8, 31)))
+ SUMPRODUCT(('Form responses 1'!$F$2:$F1000 = A16) * ('Form responses 1'!$A$2:$A1000 &lt;= DATE(2025, 8, 31)))
+ SUMPRODUCT(('Form responses 1'!$G$2:$G1000 = A16) * ('Form responses 1'!$A$2:$A1000 &lt;= DATE(2025, 8, 31)))), 2), "-")
</f>
        <v>-</v>
      </c>
      <c r="W16" s="2" t="str">
        <f>IFERROR(ROUND(#REF!/(SUMPRODUCT(('Form responses 1'!$B$2:$B1000 = A16) * ('Form responses 1'!$A$2:$A1000 &lt;= DATE(2025, 9, 30)))
+ SUMPRODUCT(('Form responses 1'!$C$2:$C1000 = A16) * ('Form responses 1'!$A$2:$A1000 &lt;= DATE(2025, 9, 30)))
+ SUMPRODUCT(('Form responses 1'!$D$2:$D1000 = A16) * ('Form responses 1'!$A$2:$A1000 &lt;= DATE(2025, 9, 30)))
+ SUMPRODUCT(('Form responses 1'!$E$2:$E1000 = A16) * ('Form responses 1'!$A$2:$A1000 &lt;= DATE(2025, 9, 30)))
+ SUMPRODUCT(('Form responses 1'!$F$2:$F1000 = A16) * ('Form responses 1'!$A$2:$A1000 &lt;= DATE(2025, 9, 30)))
+ SUMPRODUCT(('Form responses 1'!$G$2:$G1000 = A16) * ('Form responses 1'!$A$2:$A1000 &lt;= DATE(2025, 9, 30)))), 2), "-")
</f>
        <v>-</v>
      </c>
      <c r="X16" s="2" t="str">
        <f>IFERROR(ROUND(#REF!/(SUMPRODUCT(('Form responses 1'!$B$2:$B1000 = A16) * ('Form responses 1'!$A$2:$A1000 &lt;= DATE(2025, 10, 31)))
+ SUMPRODUCT(('Form responses 1'!$C$2:$C1000 = A16) * ('Form responses 1'!$A$2:$A1000 &lt;= DATE(2025, 10, 31)))
+ SUMPRODUCT(('Form responses 1'!$D$2:$D1000 = A16) * ('Form responses 1'!$A$2:$A1000 &lt;= DATE(2025, 10, 31)))
+ SUMPRODUCT(('Form responses 1'!$E$2:$E1000 = A16) * ('Form responses 1'!$A$2:$A1000 &lt;= DATE(2025, 10, 31)))
+ SUMPRODUCT(('Form responses 1'!$F$2:$F1000 = A16) * ('Form responses 1'!$A$2:$A1000 &lt;= DATE(2025, 10, 31)))
+ SUMPRODUCT(('Form responses 1'!$G$2:$G1000 = A16) * ('Form responses 1'!$A$2:$A1000 &lt;= DATE(2025, 10, 31)))), 2), "-")
</f>
        <v>-</v>
      </c>
      <c r="Y16" s="2" t="str">
        <f>IFERROR(ROUND(#REF!/(SUMPRODUCT(('Form responses 1'!$B$2:$B1000 = A16) * ('Form responses 1'!$A$2:$A1000 &lt;= DATE(2025, 11, 30)))
+ SUMPRODUCT(('Form responses 1'!$C$2:$C1000 = A16) * ('Form responses 1'!$A$2:$A1000 &lt;= DATE(2025, 11, 30)))
+ SUMPRODUCT(('Form responses 1'!$D$2:$D1000 = A16) * ('Form responses 1'!$A$2:$A1000 &lt;= DATE(2025, 11, 30)))
+ SUMPRODUCT(('Form responses 1'!$E$2:$E1000 = A16) * ('Form responses 1'!$A$2:$A1000 &lt;= DATE(2025, 11, 30)))
+ SUMPRODUCT(('Form responses 1'!$F$2:$F1000 = A16) * ('Form responses 1'!$A$2:$A1000 &lt;= DATE(2025, 11, 30)))
+ SUMPRODUCT(('Form responses 1'!$G$2:$G1000 = A16) * ('Form responses 1'!$A$2:$A1000 &lt;= DATE(2025, 11, 30)))), 2), "-")
</f>
        <v>-</v>
      </c>
      <c r="Z16" s="2" t="str">
        <f>IFERROR(ROUND(#REF!/(SUMPRODUCT(('Form responses 1'!$B$2:$B1000 = A16) * ('Form responses 1'!$A$2:$A1000 &lt;= DATE(2025, 12, 31)))
+ SUMPRODUCT(('Form responses 1'!$C$2:$C1000 = A16) * ('Form responses 1'!$A$2:$A1000 &lt;= DATE(2025, 12, 31)))
+ SUMPRODUCT(('Form responses 1'!$D$2:$D1000 = A16) * ('Form responses 1'!$A$2:$A1000 &lt;= DATE(2025, 12, 31)))
+ SUMPRODUCT(('Form responses 1'!$E$2:$E1000 = A16) * ('Form responses 1'!$A$2:$A1000 &lt;= DATE(2025, 12, 31)))
+ SUMPRODUCT(('Form responses 1'!$F$2:$F1000 = A16) * ('Form responses 1'!$A$2:$A1000 &lt;= DATE(2025, 12, 31)))
+ SUMPRODUCT(('Form responses 1'!$G$2:$G1000 = A16) * ('Form responses 1'!$A$2:$A1000 &lt;= DATE(2025, 12, 31)))), 2), "-")
</f>
        <v>-</v>
      </c>
      <c r="AA16" s="2">
        <f>IFERROR(ROUND(Data!$B16/(
  SUMPRODUCT(('Form responses 1'!$B$2:$B1000=$A16)*('Form responses 1'!$A$2:$A1000&lt;=EOMONTH(DATEVALUE("1 "&amp;AA$1),0)))+
  SUMPRODUCT(('Form responses 1'!$C$2:$C1000=$A16)*('Form responses 1'!$A$2:$A1000&lt;=EOMONTH(DATEVALUE("1 "&amp;AA$1),0)))+
  SUMPRODUCT(('Form responses 1'!$D$2:$D1000=$A16)*('Form responses 1'!$A$2:$A1000&lt;=EOMONTH(DATEVALUE("1 "&amp;AA$1),0)))+
  SUMPRODUCT(('Form responses 1'!$E$2:$E1000=$A16)*('Form responses 1'!$A$2:$A1000&lt;=EOMONTH(DATEVALUE("1 "&amp;AA$1),0)))+
  SUMPRODUCT(('Form responses 1'!$F$2:$F1000=$A16)*('Form responses 1'!$A$2:$A1000&lt;=EOMONTH(DATEVALUE("1 "&amp;AA$1),0)))+
  SUMPRODUCT(('Form responses 1'!$G$2:$G1000=$A16)*('Form responses 1'!$A$2:$A1000&lt;=EOMONTH(DATEVALUE("1 "&amp;AA$1),0)))
),2),"-")</f>
        <v>0.34</v>
      </c>
      <c r="AB16" s="2">
        <f>IFERROR(ROUND(Data!$B16/(
  SUMPRODUCT(('Form responses 1'!$B$2:$B1000=$A16)*('Form responses 1'!$A$2:$A1000&lt;=EOMONTH(DATEVALUE("1 "&amp;AB$1),0)))+
  SUMPRODUCT(('Form responses 1'!$C$2:$C1000=$A16)*('Form responses 1'!$A$2:$A1000&lt;=EOMONTH(DATEVALUE("1 "&amp;AB$1),0)))+
  SUMPRODUCT(('Form responses 1'!$D$2:$D1000=$A16)*('Form responses 1'!$A$2:$A1000&lt;=EOMONTH(DATEVALUE("1 "&amp;AB$1),0)))+
  SUMPRODUCT(('Form responses 1'!$E$2:$E1000=$A16)*('Form responses 1'!$A$2:$A1000&lt;=EOMONTH(DATEVALUE("1 "&amp;AB$1),0)))+
  SUMPRODUCT(('Form responses 1'!$F$2:$F1000=$A16)*('Form responses 1'!$A$2:$A1000&lt;=EOMONTH(DATEVALUE("1 "&amp;AB$1),0)))+
  SUMPRODUCT(('Form responses 1'!$G$2:$G1000=$A16)*('Form responses 1'!$A$2:$A1000&lt;=EOMONTH(DATEVALUE("1 "&amp;AB$1),0)))
),2),"-")</f>
        <v>0.34</v>
      </c>
      <c r="AC16" s="2">
        <f>IFERROR(ROUND(Data!$B16/(
  SUMPRODUCT(('Form responses 1'!$B$2:$B1000=$A16)*('Form responses 1'!$A$2:$A1000&lt;=EOMONTH(DATEVALUE("1 "&amp;AC$1),0)))+
  SUMPRODUCT(('Form responses 1'!$C$2:$C1000=$A16)*('Form responses 1'!$A$2:$A1000&lt;=EOMONTH(DATEVALUE("1 "&amp;AC$1),0)))+
  SUMPRODUCT(('Form responses 1'!$D$2:$D1000=$A16)*('Form responses 1'!$A$2:$A1000&lt;=EOMONTH(DATEVALUE("1 "&amp;AC$1),0)))+
  SUMPRODUCT(('Form responses 1'!$E$2:$E1000=$A16)*('Form responses 1'!$A$2:$A1000&lt;=EOMONTH(DATEVALUE("1 "&amp;AC$1),0)))+
  SUMPRODUCT(('Form responses 1'!$F$2:$F1000=$A16)*('Form responses 1'!$A$2:$A1000&lt;=EOMONTH(DATEVALUE("1 "&amp;AC$1),0)))+
  SUMPRODUCT(('Form responses 1'!$G$2:$G1000=$A16)*('Form responses 1'!$A$2:$A1000&lt;=EOMONTH(DATEVALUE("1 "&amp;AC$1),0)))
),2),"-")</f>
        <v>0.34</v>
      </c>
      <c r="AD16" s="2" t="str">
        <f>IFERROR(ROUND(Data!$B16/(
  SUMPRODUCT(('Form responses 1'!$B$2:$B1000=$A16)*('Form responses 1'!$A$2:$A1000&lt;=EOMONTH(DATEVALUE("1 "&amp;AD$1),0)))+
  SUMPRODUCT(('Form responses 1'!$C$2:$C1000=$A16)*('Form responses 1'!$A$2:$A1000&lt;=EOMONTH(DATEVALUE("1 "&amp;AD$1),0)))+
  SUMPRODUCT(('Form responses 1'!$D$2:$D1000=$A16)*('Form responses 1'!$A$2:$A1000&lt;=EOMONTH(DATEVALUE("1 "&amp;AD$1),0)))+
  SUMPRODUCT(('Form responses 1'!$E$2:$E1000=$A16)*('Form responses 1'!$A$2:$A1000&lt;=EOMONTH(DATEVALUE("1 "&amp;AD$1),0)))+
  SUMPRODUCT(('Form responses 1'!$F$2:$F1000=$A16)*('Form responses 1'!$A$2:$A1000&lt;=EOMONTH(DATEVALUE("1 "&amp;AD$1),0)))+
  SUMPRODUCT(('Form responses 1'!$G$2:$G1000=$A16)*('Form responses 1'!$A$2:$A1000&lt;=EOMONTH(DATEVALUE("1 "&amp;AD$1),0)))
),2),"-")</f>
        <v>-</v>
      </c>
      <c r="AE16" s="2" t="str">
        <f>IFERROR(ROUND(Data!$B16/(
  SUMPRODUCT(('Form responses 1'!$B$2:$B1000=$A16)*('Form responses 1'!$A$2:$A1000&lt;=EOMONTH(DATEVALUE("1 "&amp;AE$1),0)))+
  SUMPRODUCT(('Form responses 1'!$C$2:$C1000=$A16)*('Form responses 1'!$A$2:$A1000&lt;=EOMONTH(DATEVALUE("1 "&amp;AE$1),0)))+
  SUMPRODUCT(('Form responses 1'!$D$2:$D1000=$A16)*('Form responses 1'!$A$2:$A1000&lt;=EOMONTH(DATEVALUE("1 "&amp;AE$1),0)))+
  SUMPRODUCT(('Form responses 1'!$E$2:$E1000=$A16)*('Form responses 1'!$A$2:$A1000&lt;=EOMONTH(DATEVALUE("1 "&amp;AE$1),0)))+
  SUMPRODUCT(('Form responses 1'!$F$2:$F1000=$A16)*('Form responses 1'!$A$2:$A1000&lt;=EOMONTH(DATEVALUE("1 "&amp;AE$1),0)))+
  SUMPRODUCT(('Form responses 1'!$G$2:$G1000=$A16)*('Form responses 1'!$A$2:$A1000&lt;=EOMONTH(DATEVALUE("1 "&amp;AE$1),0)))
),2),"-")</f>
        <v>-</v>
      </c>
      <c r="AF16" s="2" t="str">
        <f>IFERROR(ROUND(Data!$B16/(
  SUMPRODUCT(('Form responses 1'!$B$2:$B1000=$A16)*('Form responses 1'!$A$2:$A1000&lt;=EOMONTH(DATEVALUE("1 "&amp;AF$1),0)))+
  SUMPRODUCT(('Form responses 1'!$C$2:$C1000=$A16)*('Form responses 1'!$A$2:$A1000&lt;=EOMONTH(DATEVALUE("1 "&amp;AF$1),0)))+
  SUMPRODUCT(('Form responses 1'!$D$2:$D1000=$A16)*('Form responses 1'!$A$2:$A1000&lt;=EOMONTH(DATEVALUE("1 "&amp;AF$1),0)))+
  SUMPRODUCT(('Form responses 1'!$E$2:$E1000=$A16)*('Form responses 1'!$A$2:$A1000&lt;=EOMONTH(DATEVALUE("1 "&amp;AF$1),0)))+
  SUMPRODUCT(('Form responses 1'!$F$2:$F1000=$A16)*('Form responses 1'!$A$2:$A1000&lt;=EOMONTH(DATEVALUE("1 "&amp;AF$1),0)))+
  SUMPRODUCT(('Form responses 1'!$G$2:$G1000=$A16)*('Form responses 1'!$A$2:$A1000&lt;=EOMONTH(DATEVALUE("1 "&amp;AF$1),0)))
),2),"-")</f>
        <v>-</v>
      </c>
      <c r="AG16" s="2" t="str">
        <f>IFERROR(ROUND(Data!$B16/(
  SUMPRODUCT(('Form responses 1'!$B$2:$B1000=$A16)*('Form responses 1'!$A$2:$A1000&lt;=EOMONTH(DATEVALUE("1 "&amp;AG$1),0)))+
  SUMPRODUCT(('Form responses 1'!$C$2:$C1000=$A16)*('Form responses 1'!$A$2:$A1000&lt;=EOMONTH(DATEVALUE("1 "&amp;AG$1),0)))+
  SUMPRODUCT(('Form responses 1'!$D$2:$D1000=$A16)*('Form responses 1'!$A$2:$A1000&lt;=EOMONTH(DATEVALUE("1 "&amp;AG$1),0)))+
  SUMPRODUCT(('Form responses 1'!$E$2:$E1000=$A16)*('Form responses 1'!$A$2:$A1000&lt;=EOMONTH(DATEVALUE("1 "&amp;AG$1),0)))+
  SUMPRODUCT(('Form responses 1'!$F$2:$F1000=$A16)*('Form responses 1'!$A$2:$A1000&lt;=EOMONTH(DATEVALUE("1 "&amp;AG$1),0)))+
  SUMPRODUCT(('Form responses 1'!$G$2:$G1000=$A16)*('Form responses 1'!$A$2:$A1000&lt;=EOMONTH(DATEVALUE("1 "&amp;AG$1),0)))
),2),"-")</f>
        <v>-</v>
      </c>
      <c r="AH16" s="2" t="str">
        <f>IFERROR(ROUND(Data!$B16/(
  SUMPRODUCT(('Form responses 1'!$B$2:$B1000=$A16)*('Form responses 1'!$A$2:$A1000&lt;=EOMONTH(DATEVALUE("1 "&amp;AH$1),0)))+
  SUMPRODUCT(('Form responses 1'!$C$2:$C1000=$A16)*('Form responses 1'!$A$2:$A1000&lt;=EOMONTH(DATEVALUE("1 "&amp;AH$1),0)))+
  SUMPRODUCT(('Form responses 1'!$D$2:$D1000=$A16)*('Form responses 1'!$A$2:$A1000&lt;=EOMONTH(DATEVALUE("1 "&amp;AH$1),0)))+
  SUMPRODUCT(('Form responses 1'!$E$2:$E1000=$A16)*('Form responses 1'!$A$2:$A1000&lt;=EOMONTH(DATEVALUE("1 "&amp;AH$1),0)))+
  SUMPRODUCT(('Form responses 1'!$F$2:$F1000=$A16)*('Form responses 1'!$A$2:$A1000&lt;=EOMONTH(DATEVALUE("1 "&amp;AH$1),0)))+
  SUMPRODUCT(('Form responses 1'!$G$2:$G1000=$A16)*('Form responses 1'!$A$2:$A1000&lt;=EOMONTH(DATEVALUE("1 "&amp;AH$1),0)))
),2),"-")</f>
        <v>-</v>
      </c>
      <c r="AI16" s="2" t="str">
        <f>IFERROR(ROUND(Data!$B16/(
  SUMPRODUCT(('Form responses 1'!$B$2:$B1000=$A16)*('Form responses 1'!$A$2:$A1000&lt;=EOMONTH(DATEVALUE("1 "&amp;AI$1),0)))+
  SUMPRODUCT(('Form responses 1'!$C$2:$C1000=$A16)*('Form responses 1'!$A$2:$A1000&lt;=EOMONTH(DATEVALUE("1 "&amp;AI$1),0)))+
  SUMPRODUCT(('Form responses 1'!$D$2:$D1000=$A16)*('Form responses 1'!$A$2:$A1000&lt;=EOMONTH(DATEVALUE("1 "&amp;AI$1),0)))+
  SUMPRODUCT(('Form responses 1'!$E$2:$E1000=$A16)*('Form responses 1'!$A$2:$A1000&lt;=EOMONTH(DATEVALUE("1 "&amp;AI$1),0)))+
  SUMPRODUCT(('Form responses 1'!$F$2:$F1000=$A16)*('Form responses 1'!$A$2:$A1000&lt;=EOMONTH(DATEVALUE("1 "&amp;AI$1),0)))+
  SUMPRODUCT(('Form responses 1'!$G$2:$G1000=$A16)*('Form responses 1'!$A$2:$A1000&lt;=EOMONTH(DATEVALUE("1 "&amp;AI$1),0)))
),2),"-")</f>
        <v>-</v>
      </c>
      <c r="AJ16" s="2" t="str">
        <f>IFERROR(ROUND(Data!$B16/(
  SUMPRODUCT(('Form responses 1'!$B$2:$B1000=$A16)*('Form responses 1'!$A$2:$A1000&lt;=EOMONTH(DATEVALUE("1 "&amp;AJ$1),0)))+
  SUMPRODUCT(('Form responses 1'!$C$2:$C1000=$A16)*('Form responses 1'!$A$2:$A1000&lt;=EOMONTH(DATEVALUE("1 "&amp;AJ$1),0)))+
  SUMPRODUCT(('Form responses 1'!$D$2:$D1000=$A16)*('Form responses 1'!$A$2:$A1000&lt;=EOMONTH(DATEVALUE("1 "&amp;AJ$1),0)))+
  SUMPRODUCT(('Form responses 1'!$E$2:$E1000=$A16)*('Form responses 1'!$A$2:$A1000&lt;=EOMONTH(DATEVALUE("1 "&amp;AJ$1),0)))+
  SUMPRODUCT(('Form responses 1'!$F$2:$F1000=$A16)*('Form responses 1'!$A$2:$A1000&lt;=EOMONTH(DATEVALUE("1 "&amp;AJ$1),0)))+
  SUMPRODUCT(('Form responses 1'!$G$2:$G1000=$A16)*('Form responses 1'!$A$2:$A1000&lt;=EOMONTH(DATEVALUE("1 "&amp;AJ$1),0)))
),2),"-")</f>
        <v>-</v>
      </c>
      <c r="AK16" s="2" t="str">
        <f>IFERROR(ROUND(Data!$B16/(
  SUMPRODUCT(('Form responses 1'!$B$2:$B1000=$A16)*('Form responses 1'!$A$2:$A1000&lt;=EOMONTH(DATEVALUE("1 "&amp;AK$1),0)))+
  SUMPRODUCT(('Form responses 1'!$C$2:$C1000=$A16)*('Form responses 1'!$A$2:$A1000&lt;=EOMONTH(DATEVALUE("1 "&amp;AK$1),0)))+
  SUMPRODUCT(('Form responses 1'!$D$2:$D1000=$A16)*('Form responses 1'!$A$2:$A1000&lt;=EOMONTH(DATEVALUE("1 "&amp;AK$1),0)))+
  SUMPRODUCT(('Form responses 1'!$E$2:$E1000=$A16)*('Form responses 1'!$A$2:$A1000&lt;=EOMONTH(DATEVALUE("1 "&amp;AK$1),0)))+
  SUMPRODUCT(('Form responses 1'!$F$2:$F1000=$A16)*('Form responses 1'!$A$2:$A1000&lt;=EOMONTH(DATEVALUE("1 "&amp;AK$1),0)))+
  SUMPRODUCT(('Form responses 1'!$G$2:$G1000=$A16)*('Form responses 1'!$A$2:$A1000&lt;=EOMONTH(DATEVALUE("1 "&amp;AK$1),0)))
),2),"-")</f>
        <v>-</v>
      </c>
      <c r="AL16" s="2" t="str">
        <f>IFERROR(ROUND(Data!$B16/(
  SUMPRODUCT(('Form responses 1'!$B$2:$B1000=$A16)*('Form responses 1'!$A$2:$A1000&lt;=EOMONTH(DATEVALUE("1 "&amp;AL$1),0)))+
  SUMPRODUCT(('Form responses 1'!$C$2:$C1000=$A16)*('Form responses 1'!$A$2:$A1000&lt;=EOMONTH(DATEVALUE("1 "&amp;AL$1),0)))+
  SUMPRODUCT(('Form responses 1'!$D$2:$D1000=$A16)*('Form responses 1'!$A$2:$A1000&lt;=EOMONTH(DATEVALUE("1 "&amp;AL$1),0)))+
  SUMPRODUCT(('Form responses 1'!$E$2:$E1000=$A16)*('Form responses 1'!$A$2:$A1000&lt;=EOMONTH(DATEVALUE("1 "&amp;AL$1),0)))+
  SUMPRODUCT(('Form responses 1'!$F$2:$F1000=$A16)*('Form responses 1'!$A$2:$A1000&lt;=EOMONTH(DATEVALUE("1 "&amp;AL$1),0)))+
  SUMPRODUCT(('Form responses 1'!$G$2:$G1000=$A16)*('Form responses 1'!$A$2:$A1000&lt;=EOMONTH(DATEVALUE("1 "&amp;AL$1),0)))
),2),"-")</f>
        <v>-</v>
      </c>
    </row>
    <row r="17">
      <c r="A17" s="3" t="str">
        <f>IFERROR(__xludf.DUMMYFUNCTION("""COMPUTED_VALUE"""),"Beige korte broek")</f>
        <v>Beige korte broek</v>
      </c>
      <c r="B17" s="2">
        <f>Data!F16:F1000</f>
        <v>0.25</v>
      </c>
      <c r="C17" s="2">
        <f>IFERROR(ROUND(Data!B16/(SUMPRODUCT(('Form responses 1'!$B$2:$B1000 = A17) * ('Form responses 1'!$A$2:$A1000 &lt;= DATE(2024, 1, 31)))
+ SUMPRODUCT(('Form responses 1'!$C$2:$C1000 = A17) * ('Form responses 1'!$A$2:$A1000 &lt;= DATE(2024, 1, 31)))
+ SUMPRODUCT(('Form responses 1'!$D$2:$D1000 = A17) * ('Form responses 1'!$A$2:$A1000 &lt;= DATE(2024, 1, 31)))
+ SUMPRODUCT(('Form responses 1'!$E$2:$E1000 = A17) * ('Form responses 1'!$A$2:$A1000 &lt;= DATE(2024, 1, 31)))
+ SUMPRODUCT(('Form responses 1'!$F$2:$F1000 = A17) * ('Form responses 1'!$A$2:$A1000 &lt;= DATE(2024, 1, 31)))
+ SUMPRODUCT(('Form responses 1'!$G$2:$G1000 = A17) * ('Form responses 1'!$A$2:$A1000 &lt;= DATE(2024, 1, 31)))), 2), "-")
</f>
        <v>0.43</v>
      </c>
      <c r="D17" s="2">
        <f>IFERROR(ROUND(Data!B16/(SUMPRODUCT(('Form responses 1'!$B$2:$B1000 = A17) * ('Form responses 1'!$A$2:$A1000 &lt;= DATE(2024, 2, 29)))
+ SUMPRODUCT(('Form responses 1'!$C$2:$C1000 = A17) * ('Form responses 1'!$A$2:$A1000 &lt;= DATE(2024, 2, 29)))
+ SUMPRODUCT(('Form responses 1'!$D$2:$D1000 = A17) * ('Form responses 1'!$A$2:$A1000 &lt;= DATE(2024, 2, 29)))
+ SUMPRODUCT(('Form responses 1'!$E$2:$E1000 = A17) * ('Form responses 1'!$A$2:$A1000 &lt;= DATE(2024, 2, 29)))
+ SUMPRODUCT(('Form responses 1'!$F$2:$F1000 = A17) * ('Form responses 1'!$A$2:$A1000 &lt;= DATE(2024, 2, 29)))
+ SUMPRODUCT(('Form responses 1'!$G$2:$G1000 = A17) * ('Form responses 1'!$A$2:$A1000 &lt;= DATE(2024, 2, 29)))), 2), "-")
</f>
        <v>0.43</v>
      </c>
      <c r="E17" s="2">
        <f>IFERROR(ROUND(Data!B16/(SUMPRODUCT(('Form responses 1'!$B$2:$B1000 = A17) * ('Form responses 1'!$A$2:$A1000 &lt;= DATE(2024, 3, 31)))
+ SUMPRODUCT(('Form responses 1'!$C$2:$C1000 = A17) * ('Form responses 1'!$A$2:$A1000 &lt;= DATE(2024, 3, 31)))
+ SUMPRODUCT(('Form responses 1'!$D$2:$D1000 = A17) * ('Form responses 1'!$A$2:$A1000 &lt;= DATE(2024, 3, 31)))
+ SUMPRODUCT(('Form responses 1'!$E$2:$E1000 = A17) * ('Form responses 1'!$A$2:$A1000 &lt;= DATE(2024, 3, 31)))
+ SUMPRODUCT(('Form responses 1'!$F$2:$F1000 = A17) * ('Form responses 1'!$A$2:$A1000 &lt;= DATE(2024, 3, 31)))
+ SUMPRODUCT(('Form responses 1'!$G$2:$G1000 = A17) * ('Form responses 1'!$A$2:$A1000 &lt;= DATE(2024, 3, 31)))), 2), "-")
</f>
        <v>0.43</v>
      </c>
      <c r="F17" s="2">
        <f>IFERROR(ROUND(Data!B16/(SUMPRODUCT(('Form responses 1'!$B$2:$B1000 = A17) * ('Form responses 1'!$A$2:$A1000 &lt;= DATE(2024, 4, 30)))
+ SUMPRODUCT(('Form responses 1'!$C$2:$C1000 = A17) * ('Form responses 1'!$A$2:$A1000 &lt;= DATE(2024, 4, 30)))
+ SUMPRODUCT(('Form responses 1'!$D$2:$D1000 = A17) * ('Form responses 1'!$A$2:$A1000 &lt;= DATE(2024, 4, 30)))
+ SUMPRODUCT(('Form responses 1'!$E$2:$E1000 = A17) * ('Form responses 1'!$A$2:$A1000 &lt;= DATE(2024, 4, 30)))
+ SUMPRODUCT(('Form responses 1'!$F$2:$F1000 = A17) * ('Form responses 1'!$A$2:$A1000 &lt;= DATE(2024, 4, 30)))
+ SUMPRODUCT(('Form responses 1'!$G$2:$G1000 = A17) * ('Form responses 1'!$A$2:$A1000 &lt;= DATE(2024, 4, 30)))), 2), "-")
</f>
        <v>0.43</v>
      </c>
      <c r="G17" s="2">
        <f>IFERROR(ROUND(Data!B16/(SUMPRODUCT(('Form responses 1'!$B$2:$B1000 = A17) * ('Form responses 1'!$A$2:$A1000 &lt;= DATE(2024, 5, 31)))
+ SUMPRODUCT(('Form responses 1'!$C$2:$C1000 = A17) * ('Form responses 1'!$A$2:$A1000 &lt;= DATE(2024, 5, 31)))
+ SUMPRODUCT(('Form responses 1'!$D$2:$D1000 = A17) * ('Form responses 1'!$A$2:$A1000 &lt;= DATE(2024, 5, 31)))
+ SUMPRODUCT(('Form responses 1'!$E$2:$E1000 = A17) * ('Form responses 1'!$A$2:$A1000 &lt;= DATE(2024, 5, 31)))
+ SUMPRODUCT(('Form responses 1'!$F$2:$F1000 = A17) * ('Form responses 1'!$A$2:$A1000 &lt;= DATE(2024, 5, 31)))
+ SUMPRODUCT(('Form responses 1'!$G$2:$G1000 = A17) * ('Form responses 1'!$A$2:$A1000 &lt;= DATE(2024, 5, 31)))), 2), "-")
</f>
        <v>0.42</v>
      </c>
      <c r="H17" s="2">
        <f>IFERROR(ROUND(Data!B16/(SUMPRODUCT(('Form responses 1'!$B$2:$B1000 = A17) * ('Form responses 1'!$A$2:$A1000 &lt;= DATE(2024, 6, 30)))
+ SUMPRODUCT(('Form responses 1'!$C$2:$C1000 = A17) * ('Form responses 1'!$A$2:$A1000 &lt;= DATE(2024, 6, 30)))
+ SUMPRODUCT(('Form responses 1'!$D$2:$D1000 = A17) * ('Form responses 1'!$A$2:$A1000 &lt;= DATE(2024, 6, 30)))
+ SUMPRODUCT(('Form responses 1'!$E$2:$E1000 = A17) * ('Form responses 1'!$A$2:$A1000 &lt;= DATE(2024, 6, 30)))
+ SUMPRODUCT(('Form responses 1'!$F$2:$F1000 = A17) * ('Form responses 1'!$A$2:$A1000 &lt;= DATE(2024, 6, 30)))
+ SUMPRODUCT(('Form responses 1'!$G$2:$G1000 = A17) * ('Form responses 1'!$A$2:$A1000 &lt;= DATE(2024, 6, 30)))), 2), "-")
</f>
        <v>0.41</v>
      </c>
      <c r="I17" s="2">
        <f>IFERROR(ROUND(Data!B16/(SUMPRODUCT(('Form responses 1'!$B$2:$B1000 = A17) * ('Form responses 1'!$A$2:$A1000 &lt;= DATE(2024, 7, 31)))
+ SUMPRODUCT(('Form responses 1'!$C$2:$C1000 = A17) * ('Form responses 1'!$A$2:$A1000 &lt;= DATE(2024, 7, 31)))
+ SUMPRODUCT(('Form responses 1'!$D$2:$D1000 = A17) * ('Form responses 1'!$A$2:$A1000 &lt;= DATE(2024, 7, 31)))
+ SUMPRODUCT(('Form responses 1'!$E$2:$E1000 = A17) * ('Form responses 1'!$A$2:$A1000 &lt;= DATE(2024, 7, 31)))
+ SUMPRODUCT(('Form responses 1'!$F$2:$F1000 = A17) * ('Form responses 1'!$A$2:$A1000 &lt;= DATE(2024, 7, 31)))
+ SUMPRODUCT(('Form responses 1'!$G$2:$G1000 = A17) * ('Form responses 1'!$A$2:$A1000 &lt;= DATE(2024, 7, 31)))), 2), "-")
</f>
        <v>0.38</v>
      </c>
      <c r="J17" s="2">
        <f>IFERROR(ROUND(Data!B16/(SUMPRODUCT(('Form responses 1'!$B$2:$B1000 = A17) * ('Form responses 1'!$A$2:$A1000 &lt;= DATE(2024, 8, 31)))
+ SUMPRODUCT(('Form responses 1'!$C$2:$C1000 = A17) * ('Form responses 1'!$A$2:$A1000 &lt;= DATE(2024, 8, 31)))
+ SUMPRODUCT(('Form responses 1'!$D$2:$D1000 = A17) * ('Form responses 1'!$A$2:$A1000 &lt;= DATE(2024, 8, 31)))
+ SUMPRODUCT(('Form responses 1'!$E$2:$E1000 = A17) * ('Form responses 1'!$A$2:$A1000 &lt;= DATE(2024, 8, 31)))
+ SUMPRODUCT(('Form responses 1'!$F$2:$F1000 = A17) * ('Form responses 1'!$A$2:$A1000 &lt;= DATE(2024, 8, 31)))
+ SUMPRODUCT(('Form responses 1'!$G$2:$G1000 = A17) * ('Form responses 1'!$A$2:$A1000 &lt;= DATE(2024, 8, 31)))), 2), "-")
</f>
        <v>0.33</v>
      </c>
      <c r="K17" s="2">
        <f>IFERROR(ROUND(Data!B16/(SUMPRODUCT(('Form responses 1'!$B$2:$B1000 = A17) * ('Form responses 1'!$A$2:$A1000 &lt;= DATE(2024, 9, 30)))
+ SUMPRODUCT(('Form responses 1'!$C$2:$C1000 = A17) * ('Form responses 1'!$A$2:$A1000 &lt;= DATE(2024, 9, 30)))
+ SUMPRODUCT(('Form responses 1'!$D$2:$D1000 = A17) * ('Form responses 1'!$A$2:$A1000 &lt;= DATE(2024, 9, 30)))
+ SUMPRODUCT(('Form responses 1'!$E$2:$E1000 = A17) * ('Form responses 1'!$A$2:$A1000 &lt;= DATE(2024, 9, 30)))
+ SUMPRODUCT(('Form responses 1'!$F$2:$F1000 = A17) * ('Form responses 1'!$A$2:$A1000 &lt;= DATE(2024, 9, 30)))
+ SUMPRODUCT(('Form responses 1'!$G$2:$G1000 = A17) * ('Form responses 1'!$A$2:$A1000 &lt;= DATE(2024, 9, 30)))), 2), "-")
</f>
        <v>0.32</v>
      </c>
      <c r="L17" s="2">
        <f>IFERROR(ROUND(Data!B16/(SUMPRODUCT(('Form responses 1'!$B$2:$B1000 = A17) * ('Form responses 1'!$A$2:$A1000 &lt;= DATE(2024, 10, 31)))
+ SUMPRODUCT(('Form responses 1'!$C$2:$C1000 = A17) * ('Form responses 1'!$A$2:$A1000 &lt;= DATE(2024, 10, 31)))
+ SUMPRODUCT(('Form responses 1'!$D$2:$D1000 = A17) * ('Form responses 1'!$A$2:$A1000 &lt;= DATE(2024, 10, 31)))
+ SUMPRODUCT(('Form responses 1'!$E$2:$E1000 = A17) * ('Form responses 1'!$A$2:$A1000 &lt;= DATE(2024, 10, 31)))
+ SUMPRODUCT(('Form responses 1'!$F$2:$F1000 = A17) * ('Form responses 1'!$A$2:$A1000 &lt;= DATE(2024, 10, 31)))
+ SUMPRODUCT(('Form responses 1'!$G$2:$G1000 = A17) * ('Form responses 1'!$A$2:$A1000 &lt;= DATE(2024, 10, 31)))), 2), "-")
</f>
        <v>0.32</v>
      </c>
      <c r="M17" s="2">
        <f>IFERROR(ROUND(Data!B16/(SUMPRODUCT(('Form responses 1'!$B$2:$B1000 = A17) * ('Form responses 1'!$A$2:$A1000 &lt;= DATE(2024, 11, 30)))
+ SUMPRODUCT(('Form responses 1'!$C$2:$C1000 = A17) * ('Form responses 1'!$A$2:$A1000 &lt;= DATE(2024, 11, 30)))
+ SUMPRODUCT(('Form responses 1'!$D$2:$D1000 = A17) * ('Form responses 1'!$A$2:$A1000 &lt;= DATE(2024, 11, 30)))
+ SUMPRODUCT(('Form responses 1'!$E$2:$E1000 = A17) * ('Form responses 1'!$A$2:$A1000 &lt;= DATE(2024, 11, 30)))
+ SUMPRODUCT(('Form responses 1'!$F$2:$F1000 = A17) * ('Form responses 1'!$A$2:$A1000 &lt;= DATE(2024, 11, 30)))
+ SUMPRODUCT(('Form responses 1'!$G$2:$G1000 = A17) * ('Form responses 1'!$A$2:$A1000 &lt;= DATE(2024, 11, 30)))), 2), "-")
</f>
        <v>0.32</v>
      </c>
      <c r="N17" s="2">
        <f>IFERROR(ROUND(Data!B16/(SUMPRODUCT(('Form responses 1'!$B$2:$B1000 = A17) * ('Form responses 1'!$A$2:$A1000 &lt;= DATE(2024, 12, 31)))
+ SUMPRODUCT(('Form responses 1'!$C$2:$C1000 = A17) * ('Form responses 1'!$A$2:$A1000 &lt;= DATE(2024, 12, 31)))
+ SUMPRODUCT(('Form responses 1'!$D$2:$D1000 = A17) * ('Form responses 1'!$A$2:$A1000 &lt;= DATE(2024, 12, 31)))
+ SUMPRODUCT(('Form responses 1'!$E$2:$E1000 = A17) * ('Form responses 1'!$A$2:$A1000 &lt;= DATE(2024, 12, 31)))
+ SUMPRODUCT(('Form responses 1'!$F$2:$F1000 = A17) * ('Form responses 1'!$A$2:$A1000 &lt;= DATE(2024, 12, 31)))
+ SUMPRODUCT(('Form responses 1'!$G$2:$G1000 = A17) * ('Form responses 1'!$A$2:$A1000 &lt;= DATE(2024, 12, 31)))), 2), "-")
</f>
        <v>0.32</v>
      </c>
      <c r="O17" s="2">
        <f>IFERROR(ROUND(Data!B16/(SUMPRODUCT(('Form responses 1'!$B$2:$B1000 = A17) * ('Form responses 1'!$A$2:$A1000 &lt;= DATE(2025, 1, 31)))
+ SUMPRODUCT(('Form responses 1'!$C$2:$C1000 = A17) * ('Form responses 1'!$A$2:$A1000 &lt;= DATE(2025, 1, 31)))
+ SUMPRODUCT(('Form responses 1'!$D$2:$D1000 = A17) * ('Form responses 1'!$A$2:$A1000 &lt;= DATE(2025, 1, 31)))
+ SUMPRODUCT(('Form responses 1'!$E$2:$E1000 = A17) * ('Form responses 1'!$A$2:$A1000 &lt;= DATE(2025, 1, 31)))
+ SUMPRODUCT(('Form responses 1'!$F$2:$F1000 = A17) * ('Form responses 1'!$A$2:$A1000 &lt;= DATE(2025, 1, 31)))
+ SUMPRODUCT(('Form responses 1'!$G$2:$G1000 = A17) * ('Form responses 1'!$A$2:$A1000 &lt;= DATE(2025, 1, 31)))), 2), "-")
</f>
        <v>0.32</v>
      </c>
      <c r="P17" s="2">
        <f>IFERROR(ROUND(Data!B16/(SUMPRODUCT(('Form responses 1'!$B$2:$B1000 = A17) * ('Form responses 1'!$A$2:$A1000 &lt;= DATE(2025, 2, 28)))
+ SUMPRODUCT(('Form responses 1'!$C$2:$C1000 = A17) * ('Form responses 1'!$A$2:$A1000 &lt;= DATE(2025, 2, 28)))
+ SUMPRODUCT(('Form responses 1'!$D$2:$D1000 = A17) * ('Form responses 1'!$A$2:$A1000 &lt;= DATE(2025, 2, 28)))
+ SUMPRODUCT(('Form responses 1'!$E$2:$E1000 = A17) * ('Form responses 1'!$A$2:$A1000 &lt;= DATE(2025, 2, 28)))
+ SUMPRODUCT(('Form responses 1'!$F$2:$F1000 = A17) * ('Form responses 1'!$A$2:$A1000 &lt;= DATE(2025, 2, 28)))
+ SUMPRODUCT(('Form responses 1'!$G$2:$G1000 = A17) * ('Form responses 1'!$A$2:$A1000 &lt;= DATE(2025, 2, 28)))), 2), "-")
</f>
        <v>0.32</v>
      </c>
      <c r="Q17" s="2">
        <f>IFERROR(ROUND(Data!B16/(SUMPRODUCT(('Form responses 1'!$B$2:$B1000 = A17) * ('Form responses 1'!$A$2:$A1000 &lt;= DATE(2025, 3, 31)))
+ SUMPRODUCT(('Form responses 1'!$C$2:$C1000 = A17) * ('Form responses 1'!$A$2:$A1000 &lt;= DATE(2025, 3, 31)))
+ SUMPRODUCT(('Form responses 1'!$D$2:$D1000 = A17) * ('Form responses 1'!$A$2:$A1000 &lt;= DATE(2025, 3, 31)))
+ SUMPRODUCT(('Form responses 1'!$E$2:$E1000 = A17) * ('Form responses 1'!$A$2:$A1000 &lt;= DATE(2025, 3, 31)))
+ SUMPRODUCT(('Form responses 1'!$F$2:$F1000 = A17) * ('Form responses 1'!$A$2:$A1000 &lt;= DATE(2025, 3, 31)))
+ SUMPRODUCT(('Form responses 1'!$G$2:$G1000 = A17) * ('Form responses 1'!$A$2:$A1000 &lt;= DATE(2025, 3, 31)))),2),"-")</f>
        <v>0.32</v>
      </c>
      <c r="R17" s="2">
        <f>IFERROR(ROUND(Data!B16/(SUMPRODUCT(('Form responses 1'!$B$2:$B1000 = A17) * ('Form responses 1'!$A$2:$A1000 &lt;= DATE(2025, 4, 30)))
+ SUMPRODUCT(('Form responses 1'!$C$2:$C1000 = A17) * ('Form responses 1'!$A$2:$A1000 &lt;= DATE(2025, 4, 30)))
+ SUMPRODUCT(('Form responses 1'!$D$2:$D1000 = A17) * ('Form responses 1'!$A$2:$A1000 &lt;= DATE(2025, 4, 30)))
+ SUMPRODUCT(('Form responses 1'!$E$2:$E1000 = A17) * ('Form responses 1'!$A$2:$A1000 &lt;= DATE(2025, 4, 30)))
+ SUMPRODUCT(('Form responses 1'!$F$2:$F1000 = A17) * ('Form responses 1'!$A$2:$A1000 &lt;= DATE(2025, 4, 30)))
+ SUMPRODUCT(('Form responses 1'!$G$2:$G1000 = A17) * ('Form responses 1'!$A$2:$A1000 &lt;= DATE(2025, 4, 30)))), 2), "-")
</f>
        <v>0.32</v>
      </c>
      <c r="S17" s="2">
        <f>IFERROR(ROUND(Data!B16/(SUMPRODUCT(('Form responses 1'!$B$2:$B1000 = A17) * ('Form responses 1'!$A$2:$A1000 &lt;= DATE(2025, 5, 31)))
+ SUMPRODUCT(('Form responses 1'!$C$2:$C1000 = A17) * ('Form responses 1'!$A$2:$A1000 &lt;= DATE(2025, 5, 31)))
+ SUMPRODUCT(('Form responses 1'!$D$2:$D1000 = A17) * ('Form responses 1'!$A$2:$A1000 &lt;= DATE(2025, 5, 31)))
+ SUMPRODUCT(('Form responses 1'!$E$2:$E1000 = A17) * ('Form responses 1'!$A$2:$A1000 &lt;= DATE(2025, 5, 31)))
+ SUMPRODUCT(('Form responses 1'!$F$2:$F1000 = A17) * ('Form responses 1'!$A$2:$A1000 &lt;= DATE(2025, 5, 31)))
+ SUMPRODUCT(('Form responses 1'!$G$2:$G1000 = A17) * ('Form responses 1'!$A$2:$A1000 &lt;= DATE(2025, 5, 31)))), 2), "-")
</f>
        <v>0.32</v>
      </c>
      <c r="T17" s="2">
        <f>IFERROR(ROUND(Data!B16/(SUMPRODUCT(('Form responses 1'!$B$2:$B1000 = A17) * ('Form responses 1'!$A$2:$A1000 &lt;= DATE(2025, 6, 30)))
+ SUMPRODUCT(('Form responses 1'!$C$2:$C1000 = A17) * ('Form responses 1'!$A$2:$A1000 &lt;= DATE(2025, 6, 30)))
+ SUMPRODUCT(('Form responses 1'!$D$2:$D1000 = A17) * ('Form responses 1'!$A$2:$A1000 &lt;= DATE(2025, 6, 30)))
+ SUMPRODUCT(('Form responses 1'!$E$2:$E1000 = A17) * ('Form responses 1'!$A$2:$A1000 &lt;= DATE(2025, 6, 30)))
+ SUMPRODUCT(('Form responses 1'!$F$2:$F1000 = A17) * ('Form responses 1'!$A$2:$A1000 &lt;= DATE(2025, 6, 30)))
+ SUMPRODUCT(('Form responses 1'!$G$2:$G1000 = A17) * ('Form responses 1'!$A$2:$A1000 &lt;= DATE(2025, 6, 30)))), 2), "-")
</f>
        <v>0.29</v>
      </c>
      <c r="U17" s="2">
        <f>IFERROR(ROUND(Data!B16/(SUMPRODUCT(('Form responses 1'!$B$2:$B1000 = A17) * ('Form responses 1'!$A$2:$A1000 &lt;= DATE(2025, 7, 31)))
+ SUMPRODUCT(('Form responses 1'!$C$2:$C1000 = A17) * ('Form responses 1'!$A$2:$A1000 &lt;= DATE(2025, 7, 31)))
+ SUMPRODUCT(('Form responses 1'!$D$2:$D1000 = A17) * ('Form responses 1'!$A$2:$A1000 &lt;= DATE(2025, 7, 31)))
+ SUMPRODUCT(('Form responses 1'!$E$2:$E1000 = A17) * ('Form responses 1'!$A$2:$A1000 &lt;= DATE(2025, 7, 31)))
+ SUMPRODUCT(('Form responses 1'!$F$2:$F1000 = A17) * ('Form responses 1'!$A$2:$A1000 &lt;= DATE(2025, 7, 31)))
+ SUMPRODUCT(('Form responses 1'!$G$2:$G1000 = A17) * ('Form responses 1'!$A$2:$A1000 &lt;= DATE(2025, 7, 31)))), 2), "-")
</f>
        <v>0.29</v>
      </c>
      <c r="V17" s="2">
        <f>IFERROR(ROUND(Data!B16/(SUMPRODUCT(('Form responses 1'!$B$2:$B1000 = A17) * ('Form responses 1'!$A$2:$A1000 &lt;= DATE(2025, 8, 31)))
+ SUMPRODUCT(('Form responses 1'!$C$2:$C1000 = A17) * ('Form responses 1'!$A$2:$A1000 &lt;= DATE(2025, 8, 31)))
+ SUMPRODUCT(('Form responses 1'!$D$2:$D1000 = A17) * ('Form responses 1'!$A$2:$A1000 &lt;= DATE(2025, 8, 31)))
+ SUMPRODUCT(('Form responses 1'!$E$2:$E1000 = A17) * ('Form responses 1'!$A$2:$A1000 &lt;= DATE(2025, 8, 31)))
+ SUMPRODUCT(('Form responses 1'!$F$2:$F1000 = A17) * ('Form responses 1'!$A$2:$A1000 &lt;= DATE(2025, 8, 31)))
+ SUMPRODUCT(('Form responses 1'!$G$2:$G1000 = A17) * ('Form responses 1'!$A$2:$A1000 &lt;= DATE(2025, 8, 31)))), 2), "-")
</f>
        <v>0.29</v>
      </c>
      <c r="W17" s="2">
        <f>IFERROR(ROUND(Data!B16/(SUMPRODUCT(('Form responses 1'!$B$2:$B1000 = A17) * ('Form responses 1'!$A$2:$A1000 &lt;= DATE(2025, 9, 30)))
+ SUMPRODUCT(('Form responses 1'!$C$2:$C1000 = A17) * ('Form responses 1'!$A$2:$A1000 &lt;= DATE(2025, 9, 30)))
+ SUMPRODUCT(('Form responses 1'!$D$2:$D1000 = A17) * ('Form responses 1'!$A$2:$A1000 &lt;= DATE(2025, 9, 30)))
+ SUMPRODUCT(('Form responses 1'!$E$2:$E1000 = A17) * ('Form responses 1'!$A$2:$A1000 &lt;= DATE(2025, 9, 30)))
+ SUMPRODUCT(('Form responses 1'!$F$2:$F1000 = A17) * ('Form responses 1'!$A$2:$A1000 &lt;= DATE(2025, 9, 30)))
+ SUMPRODUCT(('Form responses 1'!$G$2:$G1000 = A17) * ('Form responses 1'!$A$2:$A1000 &lt;= DATE(2025, 9, 30)))), 2), "-")
</f>
        <v>0.29</v>
      </c>
      <c r="X17" s="2">
        <f>IFERROR(ROUND(Data!B16/(SUMPRODUCT(('Form responses 1'!$B$2:$B1000 = A17) * ('Form responses 1'!$A$2:$A1000 &lt;= DATE(2025, 10, 31)))
+ SUMPRODUCT(('Form responses 1'!$C$2:$C1000 = A17) * ('Form responses 1'!$A$2:$A1000 &lt;= DATE(2025, 10, 31)))
+ SUMPRODUCT(('Form responses 1'!$D$2:$D1000 = A17) * ('Form responses 1'!$A$2:$A1000 &lt;= DATE(2025, 10, 31)))
+ SUMPRODUCT(('Form responses 1'!$E$2:$E1000 = A17) * ('Form responses 1'!$A$2:$A1000 &lt;= DATE(2025, 10, 31)))
+ SUMPRODUCT(('Form responses 1'!$F$2:$F1000 = A17) * ('Form responses 1'!$A$2:$A1000 &lt;= DATE(2025, 10, 31)))
+ SUMPRODUCT(('Form responses 1'!$G$2:$G1000 = A17) * ('Form responses 1'!$A$2:$A1000 &lt;= DATE(2025, 10, 31)))), 2), "-")
</f>
        <v>0.29</v>
      </c>
      <c r="Y17" s="2">
        <f>IFERROR(ROUND(Data!B16/(SUMPRODUCT(('Form responses 1'!$B$2:$B1000 = A17) * ('Form responses 1'!$A$2:$A1000 &lt;= DATE(2025, 11, 30)))
+ SUMPRODUCT(('Form responses 1'!$C$2:$C1000 = A17) * ('Form responses 1'!$A$2:$A1000 &lt;= DATE(2025, 11, 30)))
+ SUMPRODUCT(('Form responses 1'!$D$2:$D1000 = A17) * ('Form responses 1'!$A$2:$A1000 &lt;= DATE(2025, 11, 30)))
+ SUMPRODUCT(('Form responses 1'!$E$2:$E1000 = A17) * ('Form responses 1'!$A$2:$A1000 &lt;= DATE(2025, 11, 30)))
+ SUMPRODUCT(('Form responses 1'!$F$2:$F1000 = A17) * ('Form responses 1'!$A$2:$A1000 &lt;= DATE(2025, 11, 30)))
+ SUMPRODUCT(('Form responses 1'!$G$2:$G1000 = A17) * ('Form responses 1'!$A$2:$A1000 &lt;= DATE(2025, 11, 30)))), 2), "-")
</f>
        <v>0.29</v>
      </c>
      <c r="Z17" s="2">
        <f>IFERROR(ROUND(Data!B16/(SUMPRODUCT(('Form responses 1'!$B$2:$B1000 = A17) * ('Form responses 1'!$A$2:$A1000 &lt;= DATE(2025, 12, 31)))
+ SUMPRODUCT(('Form responses 1'!$C$2:$C1000 = A17) * ('Form responses 1'!$A$2:$A1000 &lt;= DATE(2025, 12, 31)))
+ SUMPRODUCT(('Form responses 1'!$D$2:$D1000 = A17) * ('Form responses 1'!$A$2:$A1000 &lt;= DATE(2025, 12, 31)))
+ SUMPRODUCT(('Form responses 1'!$E$2:$E1000 = A17) * ('Form responses 1'!$A$2:$A1000 &lt;= DATE(2025, 12, 31)))
+ SUMPRODUCT(('Form responses 1'!$F$2:$F1000 = A17) * ('Form responses 1'!$A$2:$A1000 &lt;= DATE(2025, 12, 31)))
+ SUMPRODUCT(('Form responses 1'!$G$2:$G1000 = A17) * ('Form responses 1'!$A$2:$A1000 &lt;= DATE(2025, 12, 31)))), 2), "-")
</f>
        <v>0.29</v>
      </c>
      <c r="AA17" s="2">
        <f>IFERROR(ROUND(Data!$B17/(
  SUMPRODUCT(('Form responses 1'!$B$2:$B1000=$A17)*('Form responses 1'!$A$2:$A1000&lt;=EOMONTH(DATEVALUE("1 "&amp;AA$1),0)))+
  SUMPRODUCT(('Form responses 1'!$C$2:$C1000=$A17)*('Form responses 1'!$A$2:$A1000&lt;=EOMONTH(DATEVALUE("1 "&amp;AA$1),0)))+
  SUMPRODUCT(('Form responses 1'!$D$2:$D1000=$A17)*('Form responses 1'!$A$2:$A1000&lt;=EOMONTH(DATEVALUE("1 "&amp;AA$1),0)))+
  SUMPRODUCT(('Form responses 1'!$E$2:$E1000=$A17)*('Form responses 1'!$A$2:$A1000&lt;=EOMONTH(DATEVALUE("1 "&amp;AA$1),0)))+
  SUMPRODUCT(('Form responses 1'!$F$2:$F1000=$A17)*('Form responses 1'!$A$2:$A1000&lt;=EOMONTH(DATEVALUE("1 "&amp;AA$1),0)))+
  SUMPRODUCT(('Form responses 1'!$G$2:$G1000=$A17)*('Form responses 1'!$A$2:$A1000&lt;=EOMONTH(DATEVALUE("1 "&amp;AA$1),0)))
),2),"-")</f>
        <v>0.29</v>
      </c>
      <c r="AB17" s="2">
        <f>IFERROR(ROUND(Data!$B17/(
  SUMPRODUCT(('Form responses 1'!$B$2:$B1000=$A17)*('Form responses 1'!$A$2:$A1000&lt;=EOMONTH(DATEVALUE("1 "&amp;AB$1),0)))+
  SUMPRODUCT(('Form responses 1'!$C$2:$C1000=$A17)*('Form responses 1'!$A$2:$A1000&lt;=EOMONTH(DATEVALUE("1 "&amp;AB$1),0)))+
  SUMPRODUCT(('Form responses 1'!$D$2:$D1000=$A17)*('Form responses 1'!$A$2:$A1000&lt;=EOMONTH(DATEVALUE("1 "&amp;AB$1),0)))+
  SUMPRODUCT(('Form responses 1'!$E$2:$E1000=$A17)*('Form responses 1'!$A$2:$A1000&lt;=EOMONTH(DATEVALUE("1 "&amp;AB$1),0)))+
  SUMPRODUCT(('Form responses 1'!$F$2:$F1000=$A17)*('Form responses 1'!$A$2:$A1000&lt;=EOMONTH(DATEVALUE("1 "&amp;AB$1),0)))+
  SUMPRODUCT(('Form responses 1'!$G$2:$G1000=$A17)*('Form responses 1'!$A$2:$A1000&lt;=EOMONTH(DATEVALUE("1 "&amp;AB$1),0)))
),2),"-")</f>
        <v>0.29</v>
      </c>
      <c r="AC17" s="2">
        <f>IFERROR(ROUND(Data!$B17/(
  SUMPRODUCT(('Form responses 1'!$B$2:$B1000=$A17)*('Form responses 1'!$A$2:$A1000&lt;=EOMONTH(DATEVALUE("1 "&amp;AC$1),0)))+
  SUMPRODUCT(('Form responses 1'!$C$2:$C1000=$A17)*('Form responses 1'!$A$2:$A1000&lt;=EOMONTH(DATEVALUE("1 "&amp;AC$1),0)))+
  SUMPRODUCT(('Form responses 1'!$D$2:$D1000=$A17)*('Form responses 1'!$A$2:$A1000&lt;=EOMONTH(DATEVALUE("1 "&amp;AC$1),0)))+
  SUMPRODUCT(('Form responses 1'!$E$2:$E1000=$A17)*('Form responses 1'!$A$2:$A1000&lt;=EOMONTH(DATEVALUE("1 "&amp;AC$1),0)))+
  SUMPRODUCT(('Form responses 1'!$F$2:$F1000=$A17)*('Form responses 1'!$A$2:$A1000&lt;=EOMONTH(DATEVALUE("1 "&amp;AC$1),0)))+
  SUMPRODUCT(('Form responses 1'!$G$2:$G1000=$A17)*('Form responses 1'!$A$2:$A1000&lt;=EOMONTH(DATEVALUE("1 "&amp;AC$1),0)))
),2),"-")</f>
        <v>0.29</v>
      </c>
      <c r="AD17" s="2" t="str">
        <f>IFERROR(ROUND(Data!$B17/(
  SUMPRODUCT(('Form responses 1'!$B$2:$B1000=$A17)*('Form responses 1'!$A$2:$A1000&lt;=EOMONTH(DATEVALUE("1 "&amp;AD$1),0)))+
  SUMPRODUCT(('Form responses 1'!$C$2:$C1000=$A17)*('Form responses 1'!$A$2:$A1000&lt;=EOMONTH(DATEVALUE("1 "&amp;AD$1),0)))+
  SUMPRODUCT(('Form responses 1'!$D$2:$D1000=$A17)*('Form responses 1'!$A$2:$A1000&lt;=EOMONTH(DATEVALUE("1 "&amp;AD$1),0)))+
  SUMPRODUCT(('Form responses 1'!$E$2:$E1000=$A17)*('Form responses 1'!$A$2:$A1000&lt;=EOMONTH(DATEVALUE("1 "&amp;AD$1),0)))+
  SUMPRODUCT(('Form responses 1'!$F$2:$F1000=$A17)*('Form responses 1'!$A$2:$A1000&lt;=EOMONTH(DATEVALUE("1 "&amp;AD$1),0)))+
  SUMPRODUCT(('Form responses 1'!$G$2:$G1000=$A17)*('Form responses 1'!$A$2:$A1000&lt;=EOMONTH(DATEVALUE("1 "&amp;AD$1),0)))
),2),"-")</f>
        <v>-</v>
      </c>
      <c r="AE17" s="2" t="str">
        <f>IFERROR(ROUND(Data!$B17/(
  SUMPRODUCT(('Form responses 1'!$B$2:$B1000=$A17)*('Form responses 1'!$A$2:$A1000&lt;=EOMONTH(DATEVALUE("1 "&amp;AE$1),0)))+
  SUMPRODUCT(('Form responses 1'!$C$2:$C1000=$A17)*('Form responses 1'!$A$2:$A1000&lt;=EOMONTH(DATEVALUE("1 "&amp;AE$1),0)))+
  SUMPRODUCT(('Form responses 1'!$D$2:$D1000=$A17)*('Form responses 1'!$A$2:$A1000&lt;=EOMONTH(DATEVALUE("1 "&amp;AE$1),0)))+
  SUMPRODUCT(('Form responses 1'!$E$2:$E1000=$A17)*('Form responses 1'!$A$2:$A1000&lt;=EOMONTH(DATEVALUE("1 "&amp;AE$1),0)))+
  SUMPRODUCT(('Form responses 1'!$F$2:$F1000=$A17)*('Form responses 1'!$A$2:$A1000&lt;=EOMONTH(DATEVALUE("1 "&amp;AE$1),0)))+
  SUMPRODUCT(('Form responses 1'!$G$2:$G1000=$A17)*('Form responses 1'!$A$2:$A1000&lt;=EOMONTH(DATEVALUE("1 "&amp;AE$1),0)))
),2),"-")</f>
        <v>-</v>
      </c>
      <c r="AF17" s="2" t="str">
        <f>IFERROR(ROUND(Data!$B17/(
  SUMPRODUCT(('Form responses 1'!$B$2:$B1000=$A17)*('Form responses 1'!$A$2:$A1000&lt;=EOMONTH(DATEVALUE("1 "&amp;AF$1),0)))+
  SUMPRODUCT(('Form responses 1'!$C$2:$C1000=$A17)*('Form responses 1'!$A$2:$A1000&lt;=EOMONTH(DATEVALUE("1 "&amp;AF$1),0)))+
  SUMPRODUCT(('Form responses 1'!$D$2:$D1000=$A17)*('Form responses 1'!$A$2:$A1000&lt;=EOMONTH(DATEVALUE("1 "&amp;AF$1),0)))+
  SUMPRODUCT(('Form responses 1'!$E$2:$E1000=$A17)*('Form responses 1'!$A$2:$A1000&lt;=EOMONTH(DATEVALUE("1 "&amp;AF$1),0)))+
  SUMPRODUCT(('Form responses 1'!$F$2:$F1000=$A17)*('Form responses 1'!$A$2:$A1000&lt;=EOMONTH(DATEVALUE("1 "&amp;AF$1),0)))+
  SUMPRODUCT(('Form responses 1'!$G$2:$G1000=$A17)*('Form responses 1'!$A$2:$A1000&lt;=EOMONTH(DATEVALUE("1 "&amp;AF$1),0)))
),2),"-")</f>
        <v>-</v>
      </c>
      <c r="AG17" s="2" t="str">
        <f>IFERROR(ROUND(Data!$B17/(
  SUMPRODUCT(('Form responses 1'!$B$2:$B1000=$A17)*('Form responses 1'!$A$2:$A1000&lt;=EOMONTH(DATEVALUE("1 "&amp;AG$1),0)))+
  SUMPRODUCT(('Form responses 1'!$C$2:$C1000=$A17)*('Form responses 1'!$A$2:$A1000&lt;=EOMONTH(DATEVALUE("1 "&amp;AG$1),0)))+
  SUMPRODUCT(('Form responses 1'!$D$2:$D1000=$A17)*('Form responses 1'!$A$2:$A1000&lt;=EOMONTH(DATEVALUE("1 "&amp;AG$1),0)))+
  SUMPRODUCT(('Form responses 1'!$E$2:$E1000=$A17)*('Form responses 1'!$A$2:$A1000&lt;=EOMONTH(DATEVALUE("1 "&amp;AG$1),0)))+
  SUMPRODUCT(('Form responses 1'!$F$2:$F1000=$A17)*('Form responses 1'!$A$2:$A1000&lt;=EOMONTH(DATEVALUE("1 "&amp;AG$1),0)))+
  SUMPRODUCT(('Form responses 1'!$G$2:$G1000=$A17)*('Form responses 1'!$A$2:$A1000&lt;=EOMONTH(DATEVALUE("1 "&amp;AG$1),0)))
),2),"-")</f>
        <v>-</v>
      </c>
      <c r="AH17" s="2" t="str">
        <f>IFERROR(ROUND(Data!$B17/(
  SUMPRODUCT(('Form responses 1'!$B$2:$B1000=$A17)*('Form responses 1'!$A$2:$A1000&lt;=EOMONTH(DATEVALUE("1 "&amp;AH$1),0)))+
  SUMPRODUCT(('Form responses 1'!$C$2:$C1000=$A17)*('Form responses 1'!$A$2:$A1000&lt;=EOMONTH(DATEVALUE("1 "&amp;AH$1),0)))+
  SUMPRODUCT(('Form responses 1'!$D$2:$D1000=$A17)*('Form responses 1'!$A$2:$A1000&lt;=EOMONTH(DATEVALUE("1 "&amp;AH$1),0)))+
  SUMPRODUCT(('Form responses 1'!$E$2:$E1000=$A17)*('Form responses 1'!$A$2:$A1000&lt;=EOMONTH(DATEVALUE("1 "&amp;AH$1),0)))+
  SUMPRODUCT(('Form responses 1'!$F$2:$F1000=$A17)*('Form responses 1'!$A$2:$A1000&lt;=EOMONTH(DATEVALUE("1 "&amp;AH$1),0)))+
  SUMPRODUCT(('Form responses 1'!$G$2:$G1000=$A17)*('Form responses 1'!$A$2:$A1000&lt;=EOMONTH(DATEVALUE("1 "&amp;AH$1),0)))
),2),"-")</f>
        <v>-</v>
      </c>
      <c r="AI17" s="2" t="str">
        <f>IFERROR(ROUND(Data!$B17/(
  SUMPRODUCT(('Form responses 1'!$B$2:$B1000=$A17)*('Form responses 1'!$A$2:$A1000&lt;=EOMONTH(DATEVALUE("1 "&amp;AI$1),0)))+
  SUMPRODUCT(('Form responses 1'!$C$2:$C1000=$A17)*('Form responses 1'!$A$2:$A1000&lt;=EOMONTH(DATEVALUE("1 "&amp;AI$1),0)))+
  SUMPRODUCT(('Form responses 1'!$D$2:$D1000=$A17)*('Form responses 1'!$A$2:$A1000&lt;=EOMONTH(DATEVALUE("1 "&amp;AI$1),0)))+
  SUMPRODUCT(('Form responses 1'!$E$2:$E1000=$A17)*('Form responses 1'!$A$2:$A1000&lt;=EOMONTH(DATEVALUE("1 "&amp;AI$1),0)))+
  SUMPRODUCT(('Form responses 1'!$F$2:$F1000=$A17)*('Form responses 1'!$A$2:$A1000&lt;=EOMONTH(DATEVALUE("1 "&amp;AI$1),0)))+
  SUMPRODUCT(('Form responses 1'!$G$2:$G1000=$A17)*('Form responses 1'!$A$2:$A1000&lt;=EOMONTH(DATEVALUE("1 "&amp;AI$1),0)))
),2),"-")</f>
        <v>-</v>
      </c>
      <c r="AJ17" s="2" t="str">
        <f>IFERROR(ROUND(Data!$B17/(
  SUMPRODUCT(('Form responses 1'!$B$2:$B1000=$A17)*('Form responses 1'!$A$2:$A1000&lt;=EOMONTH(DATEVALUE("1 "&amp;AJ$1),0)))+
  SUMPRODUCT(('Form responses 1'!$C$2:$C1000=$A17)*('Form responses 1'!$A$2:$A1000&lt;=EOMONTH(DATEVALUE("1 "&amp;AJ$1),0)))+
  SUMPRODUCT(('Form responses 1'!$D$2:$D1000=$A17)*('Form responses 1'!$A$2:$A1000&lt;=EOMONTH(DATEVALUE("1 "&amp;AJ$1),0)))+
  SUMPRODUCT(('Form responses 1'!$E$2:$E1000=$A17)*('Form responses 1'!$A$2:$A1000&lt;=EOMONTH(DATEVALUE("1 "&amp;AJ$1),0)))+
  SUMPRODUCT(('Form responses 1'!$F$2:$F1000=$A17)*('Form responses 1'!$A$2:$A1000&lt;=EOMONTH(DATEVALUE("1 "&amp;AJ$1),0)))+
  SUMPRODUCT(('Form responses 1'!$G$2:$G1000=$A17)*('Form responses 1'!$A$2:$A1000&lt;=EOMONTH(DATEVALUE("1 "&amp;AJ$1),0)))
),2),"-")</f>
        <v>-</v>
      </c>
      <c r="AK17" s="2" t="str">
        <f>IFERROR(ROUND(Data!$B17/(
  SUMPRODUCT(('Form responses 1'!$B$2:$B1000=$A17)*('Form responses 1'!$A$2:$A1000&lt;=EOMONTH(DATEVALUE("1 "&amp;AK$1),0)))+
  SUMPRODUCT(('Form responses 1'!$C$2:$C1000=$A17)*('Form responses 1'!$A$2:$A1000&lt;=EOMONTH(DATEVALUE("1 "&amp;AK$1),0)))+
  SUMPRODUCT(('Form responses 1'!$D$2:$D1000=$A17)*('Form responses 1'!$A$2:$A1000&lt;=EOMONTH(DATEVALUE("1 "&amp;AK$1),0)))+
  SUMPRODUCT(('Form responses 1'!$E$2:$E1000=$A17)*('Form responses 1'!$A$2:$A1000&lt;=EOMONTH(DATEVALUE("1 "&amp;AK$1),0)))+
  SUMPRODUCT(('Form responses 1'!$F$2:$F1000=$A17)*('Form responses 1'!$A$2:$A1000&lt;=EOMONTH(DATEVALUE("1 "&amp;AK$1),0)))+
  SUMPRODUCT(('Form responses 1'!$G$2:$G1000=$A17)*('Form responses 1'!$A$2:$A1000&lt;=EOMONTH(DATEVALUE("1 "&amp;AK$1),0)))
),2),"-")</f>
        <v>-</v>
      </c>
      <c r="AL17" s="2" t="str">
        <f>IFERROR(ROUND(Data!$B17/(
  SUMPRODUCT(('Form responses 1'!$B$2:$B1000=$A17)*('Form responses 1'!$A$2:$A1000&lt;=EOMONTH(DATEVALUE("1 "&amp;AL$1),0)))+
  SUMPRODUCT(('Form responses 1'!$C$2:$C1000=$A17)*('Form responses 1'!$A$2:$A1000&lt;=EOMONTH(DATEVALUE("1 "&amp;AL$1),0)))+
  SUMPRODUCT(('Form responses 1'!$D$2:$D1000=$A17)*('Form responses 1'!$A$2:$A1000&lt;=EOMONTH(DATEVALUE("1 "&amp;AL$1),0)))+
  SUMPRODUCT(('Form responses 1'!$E$2:$E1000=$A17)*('Form responses 1'!$A$2:$A1000&lt;=EOMONTH(DATEVALUE("1 "&amp;AL$1),0)))+
  SUMPRODUCT(('Form responses 1'!$F$2:$F1000=$A17)*('Form responses 1'!$A$2:$A1000&lt;=EOMONTH(DATEVALUE("1 "&amp;AL$1),0)))+
  SUMPRODUCT(('Form responses 1'!$G$2:$G1000=$A17)*('Form responses 1'!$A$2:$A1000&lt;=EOMONTH(DATEVALUE("1 "&amp;AL$1),0)))
),2),"-")</f>
        <v>-</v>
      </c>
    </row>
    <row r="18">
      <c r="A18" s="3" t="str">
        <f>IFERROR(__xludf.DUMMYFUNCTION("""COMPUTED_VALUE"""),"Blauwe pantalon pak")</f>
        <v>Blauwe pantalon pak</v>
      </c>
      <c r="B18" s="2">
        <f>Data!F17:F1000</f>
        <v>2.69</v>
      </c>
      <c r="C18" s="2" t="str">
        <f>IFERROR(ROUND(#REF!/(SUMPRODUCT(('Form responses 1'!$B$2:$B1000 = A18) * ('Form responses 1'!$A$2:$A1000 &lt;= DATE(2024, 1, 31)))
+ SUMPRODUCT(('Form responses 1'!$C$2:$C1000 = A18) * ('Form responses 1'!$A$2:$A1000 &lt;= DATE(2024, 1, 31)))
+ SUMPRODUCT(('Form responses 1'!$D$2:$D1000 = A18) * ('Form responses 1'!$A$2:$A1000 &lt;= DATE(2024, 1, 31)))
+ SUMPRODUCT(('Form responses 1'!$E$2:$E1000 = A18) * ('Form responses 1'!$A$2:$A1000 &lt;= DATE(2024, 1, 31)))
+ SUMPRODUCT(('Form responses 1'!$F$2:$F1000 = A18) * ('Form responses 1'!$A$2:$A1000 &lt;= DATE(2024, 1, 31)))
+ SUMPRODUCT(('Form responses 1'!$G$2:$G1000 = A18) * ('Form responses 1'!$A$2:$A1000 &lt;= DATE(2024, 1, 31)))), 2), "-")
</f>
        <v>-</v>
      </c>
      <c r="D18" s="2" t="str">
        <f>IFERROR(ROUND(#REF!/(SUMPRODUCT(('Form responses 1'!$B$2:$B1000 = A18) * ('Form responses 1'!$A$2:$A1000 &lt;= DATE(2024, 2, 29)))
+ SUMPRODUCT(('Form responses 1'!$C$2:$C1000 = A18) * ('Form responses 1'!$A$2:$A1000 &lt;= DATE(2024, 2, 29)))
+ SUMPRODUCT(('Form responses 1'!$D$2:$D1000 = A18) * ('Form responses 1'!$A$2:$A1000 &lt;= DATE(2024, 2, 29)))
+ SUMPRODUCT(('Form responses 1'!$E$2:$E1000 = A18) * ('Form responses 1'!$A$2:$A1000 &lt;= DATE(2024, 2, 29)))
+ SUMPRODUCT(('Form responses 1'!$F$2:$F1000 = A18) * ('Form responses 1'!$A$2:$A1000 &lt;= DATE(2024, 2, 29)))
+ SUMPRODUCT(('Form responses 1'!$G$2:$G1000 = A18) * ('Form responses 1'!$A$2:$A1000 &lt;= DATE(2024, 2, 29)))), 2), "-")
</f>
        <v>-</v>
      </c>
      <c r="E18" s="2" t="str">
        <f>IFERROR(ROUND(#REF!/(SUMPRODUCT(('Form responses 1'!$B$2:$B1000 = A18) * ('Form responses 1'!$A$2:$A1000 &lt;= DATE(2024, 3, 31)))
+ SUMPRODUCT(('Form responses 1'!$C$2:$C1000 = A18) * ('Form responses 1'!$A$2:$A1000 &lt;= DATE(2024, 3, 31)))
+ SUMPRODUCT(('Form responses 1'!$D$2:$D1000 = A18) * ('Form responses 1'!$A$2:$A1000 &lt;= DATE(2024, 3, 31)))
+ SUMPRODUCT(('Form responses 1'!$E$2:$E1000 = A18) * ('Form responses 1'!$A$2:$A1000 &lt;= DATE(2024, 3, 31)))
+ SUMPRODUCT(('Form responses 1'!$F$2:$F1000 = A18) * ('Form responses 1'!$A$2:$A1000 &lt;= DATE(2024, 3, 31)))
+ SUMPRODUCT(('Form responses 1'!$G$2:$G1000 = A18) * ('Form responses 1'!$A$2:$A1000 &lt;= DATE(2024, 3, 31)))), 2), "-")
</f>
        <v>-</v>
      </c>
      <c r="F18" s="2" t="str">
        <f>IFERROR(ROUND(#REF!/(SUMPRODUCT(('Form responses 1'!$B$2:$B1000 = A18) * ('Form responses 1'!$A$2:$A1000 &lt;= DATE(2024, 4, 30)))
+ SUMPRODUCT(('Form responses 1'!$C$2:$C1000 = A18) * ('Form responses 1'!$A$2:$A1000 &lt;= DATE(2024, 4, 30)))
+ SUMPRODUCT(('Form responses 1'!$D$2:$D1000 = A18) * ('Form responses 1'!$A$2:$A1000 &lt;= DATE(2024, 4, 30)))
+ SUMPRODUCT(('Form responses 1'!$E$2:$E1000 = A18) * ('Form responses 1'!$A$2:$A1000 &lt;= DATE(2024, 4, 30)))
+ SUMPRODUCT(('Form responses 1'!$F$2:$F1000 = A18) * ('Form responses 1'!$A$2:$A1000 &lt;= DATE(2024, 4, 30)))
+ SUMPRODUCT(('Form responses 1'!$G$2:$G1000 = A18) * ('Form responses 1'!$A$2:$A1000 &lt;= DATE(2024, 4, 30)))), 2), "-")
</f>
        <v>-</v>
      </c>
      <c r="G18" s="2" t="str">
        <f>IFERROR(ROUND(#REF!/(SUMPRODUCT(('Form responses 1'!$B$2:$B1000 = A18) * ('Form responses 1'!$A$2:$A1000 &lt;= DATE(2024, 5, 31)))
+ SUMPRODUCT(('Form responses 1'!$C$2:$C1000 = A18) * ('Form responses 1'!$A$2:$A1000 &lt;= DATE(2024, 5, 31)))
+ SUMPRODUCT(('Form responses 1'!$D$2:$D1000 = A18) * ('Form responses 1'!$A$2:$A1000 &lt;= DATE(2024, 5, 31)))
+ SUMPRODUCT(('Form responses 1'!$E$2:$E1000 = A18) * ('Form responses 1'!$A$2:$A1000 &lt;= DATE(2024, 5, 31)))
+ SUMPRODUCT(('Form responses 1'!$F$2:$F1000 = A18) * ('Form responses 1'!$A$2:$A1000 &lt;= DATE(2024, 5, 31)))
+ SUMPRODUCT(('Form responses 1'!$G$2:$G1000 = A18) * ('Form responses 1'!$A$2:$A1000 &lt;= DATE(2024, 5, 31)))), 2), "-")
</f>
        <v>-</v>
      </c>
      <c r="H18" s="2" t="str">
        <f>IFERROR(ROUND(#REF!/(SUMPRODUCT(('Form responses 1'!$B$2:$B1000 = A18) * ('Form responses 1'!$A$2:$A1000 &lt;= DATE(2024, 6, 30)))
+ SUMPRODUCT(('Form responses 1'!$C$2:$C1000 = A18) * ('Form responses 1'!$A$2:$A1000 &lt;= DATE(2024, 6, 30)))
+ SUMPRODUCT(('Form responses 1'!$D$2:$D1000 = A18) * ('Form responses 1'!$A$2:$A1000 &lt;= DATE(2024, 6, 30)))
+ SUMPRODUCT(('Form responses 1'!$E$2:$E1000 = A18) * ('Form responses 1'!$A$2:$A1000 &lt;= DATE(2024, 6, 30)))
+ SUMPRODUCT(('Form responses 1'!$F$2:$F1000 = A18) * ('Form responses 1'!$A$2:$A1000 &lt;= DATE(2024, 6, 30)))
+ SUMPRODUCT(('Form responses 1'!$G$2:$G1000 = A18) * ('Form responses 1'!$A$2:$A1000 &lt;= DATE(2024, 6, 30)))), 2), "-")
</f>
        <v>-</v>
      </c>
      <c r="I18" s="2" t="str">
        <f>IFERROR(ROUND(#REF!/(SUMPRODUCT(('Form responses 1'!$B$2:$B1000 = A18) * ('Form responses 1'!$A$2:$A1000 &lt;= DATE(2024, 7, 31)))
+ SUMPRODUCT(('Form responses 1'!$C$2:$C1000 = A18) * ('Form responses 1'!$A$2:$A1000 &lt;= DATE(2024, 7, 31)))
+ SUMPRODUCT(('Form responses 1'!$D$2:$D1000 = A18) * ('Form responses 1'!$A$2:$A1000 &lt;= DATE(2024, 7, 31)))
+ SUMPRODUCT(('Form responses 1'!$E$2:$E1000 = A18) * ('Form responses 1'!$A$2:$A1000 &lt;= DATE(2024, 7, 31)))
+ SUMPRODUCT(('Form responses 1'!$F$2:$F1000 = A18) * ('Form responses 1'!$A$2:$A1000 &lt;= DATE(2024, 7, 31)))
+ SUMPRODUCT(('Form responses 1'!$G$2:$G1000 = A18) * ('Form responses 1'!$A$2:$A1000 &lt;= DATE(2024, 7, 31)))), 2), "-")
</f>
        <v>-</v>
      </c>
      <c r="J18" s="2" t="str">
        <f>IFERROR(ROUND(#REF!/(SUMPRODUCT(('Form responses 1'!$B$2:$B1000 = A18) * ('Form responses 1'!$A$2:$A1000 &lt;= DATE(2024, 8, 31)))
+ SUMPRODUCT(('Form responses 1'!$C$2:$C1000 = A18) * ('Form responses 1'!$A$2:$A1000 &lt;= DATE(2024, 8, 31)))
+ SUMPRODUCT(('Form responses 1'!$D$2:$D1000 = A18) * ('Form responses 1'!$A$2:$A1000 &lt;= DATE(2024, 8, 31)))
+ SUMPRODUCT(('Form responses 1'!$E$2:$E1000 = A18) * ('Form responses 1'!$A$2:$A1000 &lt;= DATE(2024, 8, 31)))
+ SUMPRODUCT(('Form responses 1'!$F$2:$F1000 = A18) * ('Form responses 1'!$A$2:$A1000 &lt;= DATE(2024, 8, 31)))
+ SUMPRODUCT(('Form responses 1'!$G$2:$G1000 = A18) * ('Form responses 1'!$A$2:$A1000 &lt;= DATE(2024, 8, 31)))), 2), "-")
</f>
        <v>-</v>
      </c>
      <c r="K18" s="2" t="str">
        <f>IFERROR(ROUND(#REF!/(SUMPRODUCT(('Form responses 1'!$B$2:$B1000 = A18) * ('Form responses 1'!$A$2:$A1000 &lt;= DATE(2024, 9, 30)))
+ SUMPRODUCT(('Form responses 1'!$C$2:$C1000 = A18) * ('Form responses 1'!$A$2:$A1000 &lt;= DATE(2024, 9, 30)))
+ SUMPRODUCT(('Form responses 1'!$D$2:$D1000 = A18) * ('Form responses 1'!$A$2:$A1000 &lt;= DATE(2024, 9, 30)))
+ SUMPRODUCT(('Form responses 1'!$E$2:$E1000 = A18) * ('Form responses 1'!$A$2:$A1000 &lt;= DATE(2024, 9, 30)))
+ SUMPRODUCT(('Form responses 1'!$F$2:$F1000 = A18) * ('Form responses 1'!$A$2:$A1000 &lt;= DATE(2024, 9, 30)))
+ SUMPRODUCT(('Form responses 1'!$G$2:$G1000 = A18) * ('Form responses 1'!$A$2:$A1000 &lt;= DATE(2024, 9, 30)))), 2), "-")
</f>
        <v>-</v>
      </c>
      <c r="L18" s="2" t="str">
        <f>IFERROR(ROUND(#REF!/(SUMPRODUCT(('Form responses 1'!$B$2:$B1000 = A18) * ('Form responses 1'!$A$2:$A1000 &lt;= DATE(2024, 10, 31)))
+ SUMPRODUCT(('Form responses 1'!$C$2:$C1000 = A18) * ('Form responses 1'!$A$2:$A1000 &lt;= DATE(2024, 10, 31)))
+ SUMPRODUCT(('Form responses 1'!$D$2:$D1000 = A18) * ('Form responses 1'!$A$2:$A1000 &lt;= DATE(2024, 10, 31)))
+ SUMPRODUCT(('Form responses 1'!$E$2:$E1000 = A18) * ('Form responses 1'!$A$2:$A1000 &lt;= DATE(2024, 10, 31)))
+ SUMPRODUCT(('Form responses 1'!$F$2:$F1000 = A18) * ('Form responses 1'!$A$2:$A1000 &lt;= DATE(2024, 10, 31)))
+ SUMPRODUCT(('Form responses 1'!$G$2:$G1000 = A18) * ('Form responses 1'!$A$2:$A1000 &lt;= DATE(2024, 10, 31)))), 2), "-")
</f>
        <v>-</v>
      </c>
      <c r="M18" s="2" t="str">
        <f>IFERROR(ROUND(#REF!/(SUMPRODUCT(('Form responses 1'!$B$2:$B1000 = A18) * ('Form responses 1'!$A$2:$A1000 &lt;= DATE(2024, 11, 30)))
+ SUMPRODUCT(('Form responses 1'!$C$2:$C1000 = A18) * ('Form responses 1'!$A$2:$A1000 &lt;= DATE(2024, 11, 30)))
+ SUMPRODUCT(('Form responses 1'!$D$2:$D1000 = A18) * ('Form responses 1'!$A$2:$A1000 &lt;= DATE(2024, 11, 30)))
+ SUMPRODUCT(('Form responses 1'!$E$2:$E1000 = A18) * ('Form responses 1'!$A$2:$A1000 &lt;= DATE(2024, 11, 30)))
+ SUMPRODUCT(('Form responses 1'!$F$2:$F1000 = A18) * ('Form responses 1'!$A$2:$A1000 &lt;= DATE(2024, 11, 30)))
+ SUMPRODUCT(('Form responses 1'!$G$2:$G1000 = A18) * ('Form responses 1'!$A$2:$A1000 &lt;= DATE(2024, 11, 30)))), 2), "-")
</f>
        <v>-</v>
      </c>
      <c r="N18" s="2" t="str">
        <f>IFERROR(ROUND(#REF!/(SUMPRODUCT(('Form responses 1'!$B$2:$B1000 = A18) * ('Form responses 1'!$A$2:$A1000 &lt;= DATE(2024, 12, 31)))
+ SUMPRODUCT(('Form responses 1'!$C$2:$C1000 = A18) * ('Form responses 1'!$A$2:$A1000 &lt;= DATE(2024, 12, 31)))
+ SUMPRODUCT(('Form responses 1'!$D$2:$D1000 = A18) * ('Form responses 1'!$A$2:$A1000 &lt;= DATE(2024, 12, 31)))
+ SUMPRODUCT(('Form responses 1'!$E$2:$E1000 = A18) * ('Form responses 1'!$A$2:$A1000 &lt;= DATE(2024, 12, 31)))
+ SUMPRODUCT(('Form responses 1'!$F$2:$F1000 = A18) * ('Form responses 1'!$A$2:$A1000 &lt;= DATE(2024, 12, 31)))
+ SUMPRODUCT(('Form responses 1'!$G$2:$G1000 = A18) * ('Form responses 1'!$A$2:$A1000 &lt;= DATE(2024, 12, 31)))), 2), "-")
</f>
        <v>-</v>
      </c>
      <c r="O18" s="2" t="str">
        <f>IFERROR(ROUND(#REF!/(SUMPRODUCT(('Form responses 1'!$B$2:$B1000 = A18) * ('Form responses 1'!$A$2:$A1000 &lt;= DATE(2025, 1, 31)))
+ SUMPRODUCT(('Form responses 1'!$C$2:$C1000 = A18) * ('Form responses 1'!$A$2:$A1000 &lt;= DATE(2025, 1, 31)))
+ SUMPRODUCT(('Form responses 1'!$D$2:$D1000 = A18) * ('Form responses 1'!$A$2:$A1000 &lt;= DATE(2025, 1, 31)))
+ SUMPRODUCT(('Form responses 1'!$E$2:$E1000 = A18) * ('Form responses 1'!$A$2:$A1000 &lt;= DATE(2025, 1, 31)))
+ SUMPRODUCT(('Form responses 1'!$F$2:$F1000 = A18) * ('Form responses 1'!$A$2:$A1000 &lt;= DATE(2025, 1, 31)))
+ SUMPRODUCT(('Form responses 1'!$G$2:$G1000 = A18) * ('Form responses 1'!$A$2:$A1000 &lt;= DATE(2025, 1, 31)))), 2), "-")
</f>
        <v>-</v>
      </c>
      <c r="P18" s="2" t="str">
        <f>IFERROR(ROUND(#REF!/(SUMPRODUCT(('Form responses 1'!$B$2:$B1000 = A18) * ('Form responses 1'!$A$2:$A1000 &lt;= DATE(2025, 2, 28)))
+ SUMPRODUCT(('Form responses 1'!$C$2:$C1000 = A18) * ('Form responses 1'!$A$2:$A1000 &lt;= DATE(2025, 2, 28)))
+ SUMPRODUCT(('Form responses 1'!$D$2:$D1000 = A18) * ('Form responses 1'!$A$2:$A1000 &lt;= DATE(2025, 2, 28)))
+ SUMPRODUCT(('Form responses 1'!$E$2:$E1000 = A18) * ('Form responses 1'!$A$2:$A1000 &lt;= DATE(2025, 2, 28)))
+ SUMPRODUCT(('Form responses 1'!$F$2:$F1000 = A18) * ('Form responses 1'!$A$2:$A1000 &lt;= DATE(2025, 2, 28)))
+ SUMPRODUCT(('Form responses 1'!$G$2:$G1000 = A18) * ('Form responses 1'!$A$2:$A1000 &lt;= DATE(2025, 2, 28)))), 2), "-")
</f>
        <v>-</v>
      </c>
      <c r="Q18" s="2" t="str">
        <f>IFERROR(ROUND(#REF!/(SUMPRODUCT(('Form responses 1'!$B$2:$B1000 = A18) * ('Form responses 1'!$A$2:$A1000 &lt;= DATE(2025, 3, 31)))
+ SUMPRODUCT(('Form responses 1'!$C$2:$C1000 = A18) * ('Form responses 1'!$A$2:$A1000 &lt;= DATE(2025, 3, 31)))
+ SUMPRODUCT(('Form responses 1'!$D$2:$D1000 = A18) * ('Form responses 1'!$A$2:$A1000 &lt;= DATE(2025, 3, 31)))
+ SUMPRODUCT(('Form responses 1'!$E$2:$E1000 = A18) * ('Form responses 1'!$A$2:$A1000 &lt;= DATE(2025, 3, 31)))
+ SUMPRODUCT(('Form responses 1'!$F$2:$F1000 = A18) * ('Form responses 1'!$A$2:$A1000 &lt;= DATE(2025, 3, 31)))
+ SUMPRODUCT(('Form responses 1'!$G$2:$G1000 = A18) * ('Form responses 1'!$A$2:$A1000 &lt;= DATE(2025, 3, 31)))),2),"-")</f>
        <v>-</v>
      </c>
      <c r="R18" s="2" t="str">
        <f>IFERROR(ROUND(#REF!/(SUMPRODUCT(('Form responses 1'!$B$2:$B1000 = A18) * ('Form responses 1'!$A$2:$A1000 &lt;= DATE(2025, 4, 30)))
+ SUMPRODUCT(('Form responses 1'!$C$2:$C1000 = A18) * ('Form responses 1'!$A$2:$A1000 &lt;= DATE(2025, 4, 30)))
+ SUMPRODUCT(('Form responses 1'!$D$2:$D1000 = A18) * ('Form responses 1'!$A$2:$A1000 &lt;= DATE(2025, 4, 30)))
+ SUMPRODUCT(('Form responses 1'!$E$2:$E1000 = A18) * ('Form responses 1'!$A$2:$A1000 &lt;= DATE(2025, 4, 30)))
+ SUMPRODUCT(('Form responses 1'!$F$2:$F1000 = A18) * ('Form responses 1'!$A$2:$A1000 &lt;= DATE(2025, 4, 30)))
+ SUMPRODUCT(('Form responses 1'!$G$2:$G1000 = A18) * ('Form responses 1'!$A$2:$A1000 &lt;= DATE(2025, 4, 30)))), 2), "-")
</f>
        <v>-</v>
      </c>
      <c r="S18" s="2" t="str">
        <f>IFERROR(ROUND(#REF!/(SUMPRODUCT(('Form responses 1'!$B$2:$B1000 = A18) * ('Form responses 1'!$A$2:$A1000 &lt;= DATE(2025, 5, 31)))
+ SUMPRODUCT(('Form responses 1'!$C$2:$C1000 = A18) * ('Form responses 1'!$A$2:$A1000 &lt;= DATE(2025, 5, 31)))
+ SUMPRODUCT(('Form responses 1'!$D$2:$D1000 = A18) * ('Form responses 1'!$A$2:$A1000 &lt;= DATE(2025, 5, 31)))
+ SUMPRODUCT(('Form responses 1'!$E$2:$E1000 = A18) * ('Form responses 1'!$A$2:$A1000 &lt;= DATE(2025, 5, 31)))
+ SUMPRODUCT(('Form responses 1'!$F$2:$F1000 = A18) * ('Form responses 1'!$A$2:$A1000 &lt;= DATE(2025, 5, 31)))
+ SUMPRODUCT(('Form responses 1'!$G$2:$G1000 = A18) * ('Form responses 1'!$A$2:$A1000 &lt;= DATE(2025, 5, 31)))), 2), "-")
</f>
        <v>-</v>
      </c>
      <c r="T18" s="2" t="str">
        <f>IFERROR(ROUND(#REF!/(SUMPRODUCT(('Form responses 1'!$B$2:$B1000 = A18) * ('Form responses 1'!$A$2:$A1000 &lt;= DATE(2025, 6, 30)))
+ SUMPRODUCT(('Form responses 1'!$C$2:$C1000 = A18) * ('Form responses 1'!$A$2:$A1000 &lt;= DATE(2025, 6, 30)))
+ SUMPRODUCT(('Form responses 1'!$D$2:$D1000 = A18) * ('Form responses 1'!$A$2:$A1000 &lt;= DATE(2025, 6, 30)))
+ SUMPRODUCT(('Form responses 1'!$E$2:$E1000 = A18) * ('Form responses 1'!$A$2:$A1000 &lt;= DATE(2025, 6, 30)))
+ SUMPRODUCT(('Form responses 1'!$F$2:$F1000 = A18) * ('Form responses 1'!$A$2:$A1000 &lt;= DATE(2025, 6, 30)))
+ SUMPRODUCT(('Form responses 1'!$G$2:$G1000 = A18) * ('Form responses 1'!$A$2:$A1000 &lt;= DATE(2025, 6, 30)))), 2), "-")
</f>
        <v>-</v>
      </c>
      <c r="U18" s="2" t="str">
        <f>IFERROR(ROUND(#REF!/(SUMPRODUCT(('Form responses 1'!$B$2:$B1000 = A18) * ('Form responses 1'!$A$2:$A1000 &lt;= DATE(2025, 7, 31)))
+ SUMPRODUCT(('Form responses 1'!$C$2:$C1000 = A18) * ('Form responses 1'!$A$2:$A1000 &lt;= DATE(2025, 7, 31)))
+ SUMPRODUCT(('Form responses 1'!$D$2:$D1000 = A18) * ('Form responses 1'!$A$2:$A1000 &lt;= DATE(2025, 7, 31)))
+ SUMPRODUCT(('Form responses 1'!$E$2:$E1000 = A18) * ('Form responses 1'!$A$2:$A1000 &lt;= DATE(2025, 7, 31)))
+ SUMPRODUCT(('Form responses 1'!$F$2:$F1000 = A18) * ('Form responses 1'!$A$2:$A1000 &lt;= DATE(2025, 7, 31)))
+ SUMPRODUCT(('Form responses 1'!$G$2:$G1000 = A18) * ('Form responses 1'!$A$2:$A1000 &lt;= DATE(2025, 7, 31)))), 2), "-")
</f>
        <v>-</v>
      </c>
      <c r="V18" s="2" t="str">
        <f>IFERROR(ROUND(#REF!/(SUMPRODUCT(('Form responses 1'!$B$2:$B1000 = A18) * ('Form responses 1'!$A$2:$A1000 &lt;= DATE(2025, 8, 31)))
+ SUMPRODUCT(('Form responses 1'!$C$2:$C1000 = A18) * ('Form responses 1'!$A$2:$A1000 &lt;= DATE(2025, 8, 31)))
+ SUMPRODUCT(('Form responses 1'!$D$2:$D1000 = A18) * ('Form responses 1'!$A$2:$A1000 &lt;= DATE(2025, 8, 31)))
+ SUMPRODUCT(('Form responses 1'!$E$2:$E1000 = A18) * ('Form responses 1'!$A$2:$A1000 &lt;= DATE(2025, 8, 31)))
+ SUMPRODUCT(('Form responses 1'!$F$2:$F1000 = A18) * ('Form responses 1'!$A$2:$A1000 &lt;= DATE(2025, 8, 31)))
+ SUMPRODUCT(('Form responses 1'!$G$2:$G1000 = A18) * ('Form responses 1'!$A$2:$A1000 &lt;= DATE(2025, 8, 31)))), 2), "-")
</f>
        <v>-</v>
      </c>
      <c r="W18" s="2" t="str">
        <f>IFERROR(ROUND(#REF!/(SUMPRODUCT(('Form responses 1'!$B$2:$B1000 = A18) * ('Form responses 1'!$A$2:$A1000 &lt;= DATE(2025, 9, 30)))
+ SUMPRODUCT(('Form responses 1'!$C$2:$C1000 = A18) * ('Form responses 1'!$A$2:$A1000 &lt;= DATE(2025, 9, 30)))
+ SUMPRODUCT(('Form responses 1'!$D$2:$D1000 = A18) * ('Form responses 1'!$A$2:$A1000 &lt;= DATE(2025, 9, 30)))
+ SUMPRODUCT(('Form responses 1'!$E$2:$E1000 = A18) * ('Form responses 1'!$A$2:$A1000 &lt;= DATE(2025, 9, 30)))
+ SUMPRODUCT(('Form responses 1'!$F$2:$F1000 = A18) * ('Form responses 1'!$A$2:$A1000 &lt;= DATE(2025, 9, 30)))
+ SUMPRODUCT(('Form responses 1'!$G$2:$G1000 = A18) * ('Form responses 1'!$A$2:$A1000 &lt;= DATE(2025, 9, 30)))), 2), "-")
</f>
        <v>-</v>
      </c>
      <c r="X18" s="2" t="str">
        <f>IFERROR(ROUND(#REF!/(SUMPRODUCT(('Form responses 1'!$B$2:$B1000 = A18) * ('Form responses 1'!$A$2:$A1000 &lt;= DATE(2025, 10, 31)))
+ SUMPRODUCT(('Form responses 1'!$C$2:$C1000 = A18) * ('Form responses 1'!$A$2:$A1000 &lt;= DATE(2025, 10, 31)))
+ SUMPRODUCT(('Form responses 1'!$D$2:$D1000 = A18) * ('Form responses 1'!$A$2:$A1000 &lt;= DATE(2025, 10, 31)))
+ SUMPRODUCT(('Form responses 1'!$E$2:$E1000 = A18) * ('Form responses 1'!$A$2:$A1000 &lt;= DATE(2025, 10, 31)))
+ SUMPRODUCT(('Form responses 1'!$F$2:$F1000 = A18) * ('Form responses 1'!$A$2:$A1000 &lt;= DATE(2025, 10, 31)))
+ SUMPRODUCT(('Form responses 1'!$G$2:$G1000 = A18) * ('Form responses 1'!$A$2:$A1000 &lt;= DATE(2025, 10, 31)))), 2), "-")
</f>
        <v>-</v>
      </c>
      <c r="Y18" s="2" t="str">
        <f>IFERROR(ROUND(#REF!/(SUMPRODUCT(('Form responses 1'!$B$2:$B1000 = A18) * ('Form responses 1'!$A$2:$A1000 &lt;= DATE(2025, 11, 30)))
+ SUMPRODUCT(('Form responses 1'!$C$2:$C1000 = A18) * ('Form responses 1'!$A$2:$A1000 &lt;= DATE(2025, 11, 30)))
+ SUMPRODUCT(('Form responses 1'!$D$2:$D1000 = A18) * ('Form responses 1'!$A$2:$A1000 &lt;= DATE(2025, 11, 30)))
+ SUMPRODUCT(('Form responses 1'!$E$2:$E1000 = A18) * ('Form responses 1'!$A$2:$A1000 &lt;= DATE(2025, 11, 30)))
+ SUMPRODUCT(('Form responses 1'!$F$2:$F1000 = A18) * ('Form responses 1'!$A$2:$A1000 &lt;= DATE(2025, 11, 30)))
+ SUMPRODUCT(('Form responses 1'!$G$2:$G1000 = A18) * ('Form responses 1'!$A$2:$A1000 &lt;= DATE(2025, 11, 30)))), 2), "-")
</f>
        <v>-</v>
      </c>
      <c r="Z18" s="2" t="str">
        <f>IFERROR(ROUND(#REF!/(SUMPRODUCT(('Form responses 1'!$B$2:$B1000 = A18) * ('Form responses 1'!$A$2:$A1000 &lt;= DATE(2025, 12, 31)))
+ SUMPRODUCT(('Form responses 1'!$C$2:$C1000 = A18) * ('Form responses 1'!$A$2:$A1000 &lt;= DATE(2025, 12, 31)))
+ SUMPRODUCT(('Form responses 1'!$D$2:$D1000 = A18) * ('Form responses 1'!$A$2:$A1000 &lt;= DATE(2025, 12, 31)))
+ SUMPRODUCT(('Form responses 1'!$E$2:$E1000 = A18) * ('Form responses 1'!$A$2:$A1000 &lt;= DATE(2025, 12, 31)))
+ SUMPRODUCT(('Form responses 1'!$F$2:$F1000 = A18) * ('Form responses 1'!$A$2:$A1000 &lt;= DATE(2025, 12, 31)))
+ SUMPRODUCT(('Form responses 1'!$G$2:$G1000 = A18) * ('Form responses 1'!$A$2:$A1000 &lt;= DATE(2025, 12, 31)))), 2), "-")
</f>
        <v>-</v>
      </c>
      <c r="AA18" s="2">
        <f>IFERROR(ROUND(Data!$B18/(
  SUMPRODUCT(('Form responses 1'!$B$2:$B1000=$A18)*('Form responses 1'!$A$2:$A1000&lt;=EOMONTH(DATEVALUE("1 "&amp;AA$1),0)))+
  SUMPRODUCT(('Form responses 1'!$C$2:$C1000=$A18)*('Form responses 1'!$A$2:$A1000&lt;=EOMONTH(DATEVALUE("1 "&amp;AA$1),0)))+
  SUMPRODUCT(('Form responses 1'!$D$2:$D1000=$A18)*('Form responses 1'!$A$2:$A1000&lt;=EOMONTH(DATEVALUE("1 "&amp;AA$1),0)))+
  SUMPRODUCT(('Form responses 1'!$E$2:$E1000=$A18)*('Form responses 1'!$A$2:$A1000&lt;=EOMONTH(DATEVALUE("1 "&amp;AA$1),0)))+
  SUMPRODUCT(('Form responses 1'!$F$2:$F1000=$A18)*('Form responses 1'!$A$2:$A1000&lt;=EOMONTH(DATEVALUE("1 "&amp;AA$1),0)))+
  SUMPRODUCT(('Form responses 1'!$G$2:$G1000=$A18)*('Form responses 1'!$A$2:$A1000&lt;=EOMONTH(DATEVALUE("1 "&amp;AA$1),0)))
),2),"-")</f>
        <v>5.76</v>
      </c>
      <c r="AB18" s="2">
        <f>IFERROR(ROUND(Data!$B18/(
  SUMPRODUCT(('Form responses 1'!$B$2:$B1000=$A18)*('Form responses 1'!$A$2:$A1000&lt;=EOMONTH(DATEVALUE("1 "&amp;AB$1),0)))+
  SUMPRODUCT(('Form responses 1'!$C$2:$C1000=$A18)*('Form responses 1'!$A$2:$A1000&lt;=EOMONTH(DATEVALUE("1 "&amp;AB$1),0)))+
  SUMPRODUCT(('Form responses 1'!$D$2:$D1000=$A18)*('Form responses 1'!$A$2:$A1000&lt;=EOMONTH(DATEVALUE("1 "&amp;AB$1),0)))+
  SUMPRODUCT(('Form responses 1'!$E$2:$E1000=$A18)*('Form responses 1'!$A$2:$A1000&lt;=EOMONTH(DATEVALUE("1 "&amp;AB$1),0)))+
  SUMPRODUCT(('Form responses 1'!$F$2:$F1000=$A18)*('Form responses 1'!$A$2:$A1000&lt;=EOMONTH(DATEVALUE("1 "&amp;AB$1),0)))+
  SUMPRODUCT(('Form responses 1'!$G$2:$G1000=$A18)*('Form responses 1'!$A$2:$A1000&lt;=EOMONTH(DATEVALUE("1 "&amp;AB$1),0)))
),2),"-")</f>
        <v>4.89</v>
      </c>
      <c r="AC18" s="2">
        <f>IFERROR(ROUND(Data!$B18/(
  SUMPRODUCT(('Form responses 1'!$B$2:$B1000=$A18)*('Form responses 1'!$A$2:$A1000&lt;=EOMONTH(DATEVALUE("1 "&amp;AC$1),0)))+
  SUMPRODUCT(('Form responses 1'!$C$2:$C1000=$A18)*('Form responses 1'!$A$2:$A1000&lt;=EOMONTH(DATEVALUE("1 "&amp;AC$1),0)))+
  SUMPRODUCT(('Form responses 1'!$D$2:$D1000=$A18)*('Form responses 1'!$A$2:$A1000&lt;=EOMONTH(DATEVALUE("1 "&amp;AC$1),0)))+
  SUMPRODUCT(('Form responses 1'!$E$2:$E1000=$A18)*('Form responses 1'!$A$2:$A1000&lt;=EOMONTH(DATEVALUE("1 "&amp;AC$1),0)))+
  SUMPRODUCT(('Form responses 1'!$F$2:$F1000=$A18)*('Form responses 1'!$A$2:$A1000&lt;=EOMONTH(DATEVALUE("1 "&amp;AC$1),0)))+
  SUMPRODUCT(('Form responses 1'!$G$2:$G1000=$A18)*('Form responses 1'!$A$2:$A1000&lt;=EOMONTH(DATEVALUE("1 "&amp;AC$1),0)))
),2),"-")</f>
        <v>4.13</v>
      </c>
      <c r="AD18" s="2" t="str">
        <f>IFERROR(ROUND(Data!$B18/(
  SUMPRODUCT(('Form responses 1'!$B$2:$B1000=$A18)*('Form responses 1'!$A$2:$A1000&lt;=EOMONTH(DATEVALUE("1 "&amp;AD$1),0)))+
  SUMPRODUCT(('Form responses 1'!$C$2:$C1000=$A18)*('Form responses 1'!$A$2:$A1000&lt;=EOMONTH(DATEVALUE("1 "&amp;AD$1),0)))+
  SUMPRODUCT(('Form responses 1'!$D$2:$D1000=$A18)*('Form responses 1'!$A$2:$A1000&lt;=EOMONTH(DATEVALUE("1 "&amp;AD$1),0)))+
  SUMPRODUCT(('Form responses 1'!$E$2:$E1000=$A18)*('Form responses 1'!$A$2:$A1000&lt;=EOMONTH(DATEVALUE("1 "&amp;AD$1),0)))+
  SUMPRODUCT(('Form responses 1'!$F$2:$F1000=$A18)*('Form responses 1'!$A$2:$A1000&lt;=EOMONTH(DATEVALUE("1 "&amp;AD$1),0)))+
  SUMPRODUCT(('Form responses 1'!$G$2:$G1000=$A18)*('Form responses 1'!$A$2:$A1000&lt;=EOMONTH(DATEVALUE("1 "&amp;AD$1),0)))
),2),"-")</f>
        <v>-</v>
      </c>
      <c r="AE18" s="2" t="str">
        <f>IFERROR(ROUND(Data!$B18/(
  SUMPRODUCT(('Form responses 1'!$B$2:$B1000=$A18)*('Form responses 1'!$A$2:$A1000&lt;=EOMONTH(DATEVALUE("1 "&amp;AE$1),0)))+
  SUMPRODUCT(('Form responses 1'!$C$2:$C1000=$A18)*('Form responses 1'!$A$2:$A1000&lt;=EOMONTH(DATEVALUE("1 "&amp;AE$1),0)))+
  SUMPRODUCT(('Form responses 1'!$D$2:$D1000=$A18)*('Form responses 1'!$A$2:$A1000&lt;=EOMONTH(DATEVALUE("1 "&amp;AE$1),0)))+
  SUMPRODUCT(('Form responses 1'!$E$2:$E1000=$A18)*('Form responses 1'!$A$2:$A1000&lt;=EOMONTH(DATEVALUE("1 "&amp;AE$1),0)))+
  SUMPRODUCT(('Form responses 1'!$F$2:$F1000=$A18)*('Form responses 1'!$A$2:$A1000&lt;=EOMONTH(DATEVALUE("1 "&amp;AE$1),0)))+
  SUMPRODUCT(('Form responses 1'!$G$2:$G1000=$A18)*('Form responses 1'!$A$2:$A1000&lt;=EOMONTH(DATEVALUE("1 "&amp;AE$1),0)))
),2),"-")</f>
        <v>-</v>
      </c>
      <c r="AF18" s="2" t="str">
        <f>IFERROR(ROUND(Data!$B18/(
  SUMPRODUCT(('Form responses 1'!$B$2:$B1000=$A18)*('Form responses 1'!$A$2:$A1000&lt;=EOMONTH(DATEVALUE("1 "&amp;AF$1),0)))+
  SUMPRODUCT(('Form responses 1'!$C$2:$C1000=$A18)*('Form responses 1'!$A$2:$A1000&lt;=EOMONTH(DATEVALUE("1 "&amp;AF$1),0)))+
  SUMPRODUCT(('Form responses 1'!$D$2:$D1000=$A18)*('Form responses 1'!$A$2:$A1000&lt;=EOMONTH(DATEVALUE("1 "&amp;AF$1),0)))+
  SUMPRODUCT(('Form responses 1'!$E$2:$E1000=$A18)*('Form responses 1'!$A$2:$A1000&lt;=EOMONTH(DATEVALUE("1 "&amp;AF$1),0)))+
  SUMPRODUCT(('Form responses 1'!$F$2:$F1000=$A18)*('Form responses 1'!$A$2:$A1000&lt;=EOMONTH(DATEVALUE("1 "&amp;AF$1),0)))+
  SUMPRODUCT(('Form responses 1'!$G$2:$G1000=$A18)*('Form responses 1'!$A$2:$A1000&lt;=EOMONTH(DATEVALUE("1 "&amp;AF$1),0)))
),2),"-")</f>
        <v>-</v>
      </c>
      <c r="AG18" s="2" t="str">
        <f>IFERROR(ROUND(Data!$B18/(
  SUMPRODUCT(('Form responses 1'!$B$2:$B1000=$A18)*('Form responses 1'!$A$2:$A1000&lt;=EOMONTH(DATEVALUE("1 "&amp;AG$1),0)))+
  SUMPRODUCT(('Form responses 1'!$C$2:$C1000=$A18)*('Form responses 1'!$A$2:$A1000&lt;=EOMONTH(DATEVALUE("1 "&amp;AG$1),0)))+
  SUMPRODUCT(('Form responses 1'!$D$2:$D1000=$A18)*('Form responses 1'!$A$2:$A1000&lt;=EOMONTH(DATEVALUE("1 "&amp;AG$1),0)))+
  SUMPRODUCT(('Form responses 1'!$E$2:$E1000=$A18)*('Form responses 1'!$A$2:$A1000&lt;=EOMONTH(DATEVALUE("1 "&amp;AG$1),0)))+
  SUMPRODUCT(('Form responses 1'!$F$2:$F1000=$A18)*('Form responses 1'!$A$2:$A1000&lt;=EOMONTH(DATEVALUE("1 "&amp;AG$1),0)))+
  SUMPRODUCT(('Form responses 1'!$G$2:$G1000=$A18)*('Form responses 1'!$A$2:$A1000&lt;=EOMONTH(DATEVALUE("1 "&amp;AG$1),0)))
),2),"-")</f>
        <v>-</v>
      </c>
      <c r="AH18" s="2" t="str">
        <f>IFERROR(ROUND(Data!$B18/(
  SUMPRODUCT(('Form responses 1'!$B$2:$B1000=$A18)*('Form responses 1'!$A$2:$A1000&lt;=EOMONTH(DATEVALUE("1 "&amp;AH$1),0)))+
  SUMPRODUCT(('Form responses 1'!$C$2:$C1000=$A18)*('Form responses 1'!$A$2:$A1000&lt;=EOMONTH(DATEVALUE("1 "&amp;AH$1),0)))+
  SUMPRODUCT(('Form responses 1'!$D$2:$D1000=$A18)*('Form responses 1'!$A$2:$A1000&lt;=EOMONTH(DATEVALUE("1 "&amp;AH$1),0)))+
  SUMPRODUCT(('Form responses 1'!$E$2:$E1000=$A18)*('Form responses 1'!$A$2:$A1000&lt;=EOMONTH(DATEVALUE("1 "&amp;AH$1),0)))+
  SUMPRODUCT(('Form responses 1'!$F$2:$F1000=$A18)*('Form responses 1'!$A$2:$A1000&lt;=EOMONTH(DATEVALUE("1 "&amp;AH$1),0)))+
  SUMPRODUCT(('Form responses 1'!$G$2:$G1000=$A18)*('Form responses 1'!$A$2:$A1000&lt;=EOMONTH(DATEVALUE("1 "&amp;AH$1),0)))
),2),"-")</f>
        <v>-</v>
      </c>
      <c r="AI18" s="2" t="str">
        <f>IFERROR(ROUND(Data!$B18/(
  SUMPRODUCT(('Form responses 1'!$B$2:$B1000=$A18)*('Form responses 1'!$A$2:$A1000&lt;=EOMONTH(DATEVALUE("1 "&amp;AI$1),0)))+
  SUMPRODUCT(('Form responses 1'!$C$2:$C1000=$A18)*('Form responses 1'!$A$2:$A1000&lt;=EOMONTH(DATEVALUE("1 "&amp;AI$1),0)))+
  SUMPRODUCT(('Form responses 1'!$D$2:$D1000=$A18)*('Form responses 1'!$A$2:$A1000&lt;=EOMONTH(DATEVALUE("1 "&amp;AI$1),0)))+
  SUMPRODUCT(('Form responses 1'!$E$2:$E1000=$A18)*('Form responses 1'!$A$2:$A1000&lt;=EOMONTH(DATEVALUE("1 "&amp;AI$1),0)))+
  SUMPRODUCT(('Form responses 1'!$F$2:$F1000=$A18)*('Form responses 1'!$A$2:$A1000&lt;=EOMONTH(DATEVALUE("1 "&amp;AI$1),0)))+
  SUMPRODUCT(('Form responses 1'!$G$2:$G1000=$A18)*('Form responses 1'!$A$2:$A1000&lt;=EOMONTH(DATEVALUE("1 "&amp;AI$1),0)))
),2),"-")</f>
        <v>-</v>
      </c>
      <c r="AJ18" s="2" t="str">
        <f>IFERROR(ROUND(Data!$B18/(
  SUMPRODUCT(('Form responses 1'!$B$2:$B1000=$A18)*('Form responses 1'!$A$2:$A1000&lt;=EOMONTH(DATEVALUE("1 "&amp;AJ$1),0)))+
  SUMPRODUCT(('Form responses 1'!$C$2:$C1000=$A18)*('Form responses 1'!$A$2:$A1000&lt;=EOMONTH(DATEVALUE("1 "&amp;AJ$1),0)))+
  SUMPRODUCT(('Form responses 1'!$D$2:$D1000=$A18)*('Form responses 1'!$A$2:$A1000&lt;=EOMONTH(DATEVALUE("1 "&amp;AJ$1),0)))+
  SUMPRODUCT(('Form responses 1'!$E$2:$E1000=$A18)*('Form responses 1'!$A$2:$A1000&lt;=EOMONTH(DATEVALUE("1 "&amp;AJ$1),0)))+
  SUMPRODUCT(('Form responses 1'!$F$2:$F1000=$A18)*('Form responses 1'!$A$2:$A1000&lt;=EOMONTH(DATEVALUE("1 "&amp;AJ$1),0)))+
  SUMPRODUCT(('Form responses 1'!$G$2:$G1000=$A18)*('Form responses 1'!$A$2:$A1000&lt;=EOMONTH(DATEVALUE("1 "&amp;AJ$1),0)))
),2),"-")</f>
        <v>-</v>
      </c>
      <c r="AK18" s="2" t="str">
        <f>IFERROR(ROUND(Data!$B18/(
  SUMPRODUCT(('Form responses 1'!$B$2:$B1000=$A18)*('Form responses 1'!$A$2:$A1000&lt;=EOMONTH(DATEVALUE("1 "&amp;AK$1),0)))+
  SUMPRODUCT(('Form responses 1'!$C$2:$C1000=$A18)*('Form responses 1'!$A$2:$A1000&lt;=EOMONTH(DATEVALUE("1 "&amp;AK$1),0)))+
  SUMPRODUCT(('Form responses 1'!$D$2:$D1000=$A18)*('Form responses 1'!$A$2:$A1000&lt;=EOMONTH(DATEVALUE("1 "&amp;AK$1),0)))+
  SUMPRODUCT(('Form responses 1'!$E$2:$E1000=$A18)*('Form responses 1'!$A$2:$A1000&lt;=EOMONTH(DATEVALUE("1 "&amp;AK$1),0)))+
  SUMPRODUCT(('Form responses 1'!$F$2:$F1000=$A18)*('Form responses 1'!$A$2:$A1000&lt;=EOMONTH(DATEVALUE("1 "&amp;AK$1),0)))+
  SUMPRODUCT(('Form responses 1'!$G$2:$G1000=$A18)*('Form responses 1'!$A$2:$A1000&lt;=EOMONTH(DATEVALUE("1 "&amp;AK$1),0)))
),2),"-")</f>
        <v>-</v>
      </c>
      <c r="AL18" s="2" t="str">
        <f>IFERROR(ROUND(Data!$B18/(
  SUMPRODUCT(('Form responses 1'!$B$2:$B1000=$A18)*('Form responses 1'!$A$2:$A1000&lt;=EOMONTH(DATEVALUE("1 "&amp;AL$1),0)))+
  SUMPRODUCT(('Form responses 1'!$C$2:$C1000=$A18)*('Form responses 1'!$A$2:$A1000&lt;=EOMONTH(DATEVALUE("1 "&amp;AL$1),0)))+
  SUMPRODUCT(('Form responses 1'!$D$2:$D1000=$A18)*('Form responses 1'!$A$2:$A1000&lt;=EOMONTH(DATEVALUE("1 "&amp;AL$1),0)))+
  SUMPRODUCT(('Form responses 1'!$E$2:$E1000=$A18)*('Form responses 1'!$A$2:$A1000&lt;=EOMONTH(DATEVALUE("1 "&amp;AL$1),0)))+
  SUMPRODUCT(('Form responses 1'!$F$2:$F1000=$A18)*('Form responses 1'!$A$2:$A1000&lt;=EOMONTH(DATEVALUE("1 "&amp;AL$1),0)))+
  SUMPRODUCT(('Form responses 1'!$G$2:$G1000=$A18)*('Form responses 1'!$A$2:$A1000&lt;=EOMONTH(DATEVALUE("1 "&amp;AL$1),0)))
),2),"-")</f>
        <v>-</v>
      </c>
    </row>
    <row r="19">
      <c r="A19" s="3" t="str">
        <f>IFERROR(__xludf.DUMMYFUNCTION("""COMPUTED_VALUE"""),"Wit t-shirt")</f>
        <v>Wit t-shirt</v>
      </c>
      <c r="B19" s="2">
        <f>Data!F17:F1000</f>
        <v>0.04</v>
      </c>
      <c r="C19" s="2">
        <f>IFERROR(ROUND(Data!B17/(SUMPRODUCT(('Form responses 1'!$B$2:$B1000 = A19) * ('Form responses 1'!$A$2:$A1000 &lt;= DATE(2024, 1, 31)))
+ SUMPRODUCT(('Form responses 1'!$C$2:$C1000 = A19) * ('Form responses 1'!$A$2:$A1000 &lt;= DATE(2024, 1, 31)))
+ SUMPRODUCT(('Form responses 1'!$D$2:$D1000 = A19) * ('Form responses 1'!$A$2:$A1000 &lt;= DATE(2024, 1, 31)))
+ SUMPRODUCT(('Form responses 1'!$E$2:$E1000 = A19) * ('Form responses 1'!$A$2:$A1000 &lt;= DATE(2024, 1, 31)))
+ SUMPRODUCT(('Form responses 1'!$F$2:$F1000 = A19) * ('Form responses 1'!$A$2:$A1000 &lt;= DATE(2024, 1, 31)))
+ SUMPRODUCT(('Form responses 1'!$G$2:$G1000 = A19) * ('Form responses 1'!$A$2:$A1000 &lt;= DATE(2024, 1, 31)))), 2), "-")
</f>
        <v>0.04</v>
      </c>
      <c r="D19" s="2">
        <f>IFERROR(ROUND(Data!B17/(SUMPRODUCT(('Form responses 1'!$B$2:$B1000 = A19) * ('Form responses 1'!$A$2:$A1000 &lt;= DATE(2024, 2, 29)))
+ SUMPRODUCT(('Form responses 1'!$C$2:$C1000 = A19) * ('Form responses 1'!$A$2:$A1000 &lt;= DATE(2024, 2, 29)))
+ SUMPRODUCT(('Form responses 1'!$D$2:$D1000 = A19) * ('Form responses 1'!$A$2:$A1000 &lt;= DATE(2024, 2, 29)))
+ SUMPRODUCT(('Form responses 1'!$E$2:$E1000 = A19) * ('Form responses 1'!$A$2:$A1000 &lt;= DATE(2024, 2, 29)))
+ SUMPRODUCT(('Form responses 1'!$F$2:$F1000 = A19) * ('Form responses 1'!$A$2:$A1000 &lt;= DATE(2024, 2, 29)))
+ SUMPRODUCT(('Form responses 1'!$G$2:$G1000 = A19) * ('Form responses 1'!$A$2:$A1000 &lt;= DATE(2024, 2, 29)))), 2), "-")
</f>
        <v>0.04</v>
      </c>
      <c r="E19" s="2">
        <f>IFERROR(ROUND(Data!B17/(SUMPRODUCT(('Form responses 1'!$B$2:$B1000 = A19) * ('Form responses 1'!$A$2:$A1000 &lt;= DATE(2024, 3, 31)))
+ SUMPRODUCT(('Form responses 1'!$C$2:$C1000 = A19) * ('Form responses 1'!$A$2:$A1000 &lt;= DATE(2024, 3, 31)))
+ SUMPRODUCT(('Form responses 1'!$D$2:$D1000 = A19) * ('Form responses 1'!$A$2:$A1000 &lt;= DATE(2024, 3, 31)))
+ SUMPRODUCT(('Form responses 1'!$E$2:$E1000 = A19) * ('Form responses 1'!$A$2:$A1000 &lt;= DATE(2024, 3, 31)))
+ SUMPRODUCT(('Form responses 1'!$F$2:$F1000 = A19) * ('Form responses 1'!$A$2:$A1000 &lt;= DATE(2024, 3, 31)))
+ SUMPRODUCT(('Form responses 1'!$G$2:$G1000 = A19) * ('Form responses 1'!$A$2:$A1000 &lt;= DATE(2024, 3, 31)))), 2), "-")
</f>
        <v>0.04</v>
      </c>
      <c r="F19" s="2">
        <f>IFERROR(ROUND(Data!B17/(SUMPRODUCT(('Form responses 1'!$B$2:$B1000 = A19) * ('Form responses 1'!$A$2:$A1000 &lt;= DATE(2024, 4, 30)))
+ SUMPRODUCT(('Form responses 1'!$C$2:$C1000 = A19) * ('Form responses 1'!$A$2:$A1000 &lt;= DATE(2024, 4, 30)))
+ SUMPRODUCT(('Form responses 1'!$D$2:$D1000 = A19) * ('Form responses 1'!$A$2:$A1000 &lt;= DATE(2024, 4, 30)))
+ SUMPRODUCT(('Form responses 1'!$E$2:$E1000 = A19) * ('Form responses 1'!$A$2:$A1000 &lt;= DATE(2024, 4, 30)))
+ SUMPRODUCT(('Form responses 1'!$F$2:$F1000 = A19) * ('Form responses 1'!$A$2:$A1000 &lt;= DATE(2024, 4, 30)))
+ SUMPRODUCT(('Form responses 1'!$G$2:$G1000 = A19) * ('Form responses 1'!$A$2:$A1000 &lt;= DATE(2024, 4, 30)))), 2), "-")
</f>
        <v>0.04</v>
      </c>
      <c r="G19" s="2">
        <f>IFERROR(ROUND(Data!B17/(SUMPRODUCT(('Form responses 1'!$B$2:$B1000 = A19) * ('Form responses 1'!$A$2:$A1000 &lt;= DATE(2024, 5, 31)))
+ SUMPRODUCT(('Form responses 1'!$C$2:$C1000 = A19) * ('Form responses 1'!$A$2:$A1000 &lt;= DATE(2024, 5, 31)))
+ SUMPRODUCT(('Form responses 1'!$D$2:$D1000 = A19) * ('Form responses 1'!$A$2:$A1000 &lt;= DATE(2024, 5, 31)))
+ SUMPRODUCT(('Form responses 1'!$E$2:$E1000 = A19) * ('Form responses 1'!$A$2:$A1000 &lt;= DATE(2024, 5, 31)))
+ SUMPRODUCT(('Form responses 1'!$F$2:$F1000 = A19) * ('Form responses 1'!$A$2:$A1000 &lt;= DATE(2024, 5, 31)))
+ SUMPRODUCT(('Form responses 1'!$G$2:$G1000 = A19) * ('Form responses 1'!$A$2:$A1000 &lt;= DATE(2024, 5, 31)))), 2), "-")
</f>
        <v>0.04</v>
      </c>
      <c r="H19" s="2">
        <f>IFERROR(ROUND(Data!B17/(SUMPRODUCT(('Form responses 1'!$B$2:$B1000 = A19) * ('Form responses 1'!$A$2:$A1000 &lt;= DATE(2024, 6, 30)))
+ SUMPRODUCT(('Form responses 1'!$C$2:$C1000 = A19) * ('Form responses 1'!$A$2:$A1000 &lt;= DATE(2024, 6, 30)))
+ SUMPRODUCT(('Form responses 1'!$D$2:$D1000 = A19) * ('Form responses 1'!$A$2:$A1000 &lt;= DATE(2024, 6, 30)))
+ SUMPRODUCT(('Form responses 1'!$E$2:$E1000 = A19) * ('Form responses 1'!$A$2:$A1000 &lt;= DATE(2024, 6, 30)))
+ SUMPRODUCT(('Form responses 1'!$F$2:$F1000 = A19) * ('Form responses 1'!$A$2:$A1000 &lt;= DATE(2024, 6, 30)))
+ SUMPRODUCT(('Form responses 1'!$G$2:$G1000 = A19) * ('Form responses 1'!$A$2:$A1000 &lt;= DATE(2024, 6, 30)))), 2), "-")
</f>
        <v>0.04</v>
      </c>
      <c r="I19" s="2">
        <f>IFERROR(ROUND(Data!B17/(SUMPRODUCT(('Form responses 1'!$B$2:$B1000 = A19) * ('Form responses 1'!$A$2:$A1000 &lt;= DATE(2024, 7, 31)))
+ SUMPRODUCT(('Form responses 1'!$C$2:$C1000 = A19) * ('Form responses 1'!$A$2:$A1000 &lt;= DATE(2024, 7, 31)))
+ SUMPRODUCT(('Form responses 1'!$D$2:$D1000 = A19) * ('Form responses 1'!$A$2:$A1000 &lt;= DATE(2024, 7, 31)))
+ SUMPRODUCT(('Form responses 1'!$E$2:$E1000 = A19) * ('Form responses 1'!$A$2:$A1000 &lt;= DATE(2024, 7, 31)))
+ SUMPRODUCT(('Form responses 1'!$F$2:$F1000 = A19) * ('Form responses 1'!$A$2:$A1000 &lt;= DATE(2024, 7, 31)))
+ SUMPRODUCT(('Form responses 1'!$G$2:$G1000 = A19) * ('Form responses 1'!$A$2:$A1000 &lt;= DATE(2024, 7, 31)))), 2), "-")
</f>
        <v>0.04</v>
      </c>
      <c r="J19" s="2">
        <f>IFERROR(ROUND(Data!B17/(SUMPRODUCT(('Form responses 1'!$B$2:$B1000 = A19) * ('Form responses 1'!$A$2:$A1000 &lt;= DATE(2024, 8, 31)))
+ SUMPRODUCT(('Form responses 1'!$C$2:$C1000 = A19) * ('Form responses 1'!$A$2:$A1000 &lt;= DATE(2024, 8, 31)))
+ SUMPRODUCT(('Form responses 1'!$D$2:$D1000 = A19) * ('Form responses 1'!$A$2:$A1000 &lt;= DATE(2024, 8, 31)))
+ SUMPRODUCT(('Form responses 1'!$E$2:$E1000 = A19) * ('Form responses 1'!$A$2:$A1000 &lt;= DATE(2024, 8, 31)))
+ SUMPRODUCT(('Form responses 1'!$F$2:$F1000 = A19) * ('Form responses 1'!$A$2:$A1000 &lt;= DATE(2024, 8, 31)))
+ SUMPRODUCT(('Form responses 1'!$G$2:$G1000 = A19) * ('Form responses 1'!$A$2:$A1000 &lt;= DATE(2024, 8, 31)))), 2), "-")
</f>
        <v>0.04</v>
      </c>
      <c r="K19" s="2">
        <f>IFERROR(ROUND(Data!B17/(SUMPRODUCT(('Form responses 1'!$B$2:$B1000 = A19) * ('Form responses 1'!$A$2:$A1000 &lt;= DATE(2024, 9, 30)))
+ SUMPRODUCT(('Form responses 1'!$C$2:$C1000 = A19) * ('Form responses 1'!$A$2:$A1000 &lt;= DATE(2024, 9, 30)))
+ SUMPRODUCT(('Form responses 1'!$D$2:$D1000 = A19) * ('Form responses 1'!$A$2:$A1000 &lt;= DATE(2024, 9, 30)))
+ SUMPRODUCT(('Form responses 1'!$E$2:$E1000 = A19) * ('Form responses 1'!$A$2:$A1000 &lt;= DATE(2024, 9, 30)))
+ SUMPRODUCT(('Form responses 1'!$F$2:$F1000 = A19) * ('Form responses 1'!$A$2:$A1000 &lt;= DATE(2024, 9, 30)))
+ SUMPRODUCT(('Form responses 1'!$G$2:$G1000 = A19) * ('Form responses 1'!$A$2:$A1000 &lt;= DATE(2024, 9, 30)))), 2), "-")
</f>
        <v>0.04</v>
      </c>
      <c r="L19" s="2">
        <f>IFERROR(ROUND(Data!B17/(SUMPRODUCT(('Form responses 1'!$B$2:$B1000 = A19) * ('Form responses 1'!$A$2:$A1000 &lt;= DATE(2024, 10, 31)))
+ SUMPRODUCT(('Form responses 1'!$C$2:$C1000 = A19) * ('Form responses 1'!$A$2:$A1000 &lt;= DATE(2024, 10, 31)))
+ SUMPRODUCT(('Form responses 1'!$D$2:$D1000 = A19) * ('Form responses 1'!$A$2:$A1000 &lt;= DATE(2024, 10, 31)))
+ SUMPRODUCT(('Form responses 1'!$E$2:$E1000 = A19) * ('Form responses 1'!$A$2:$A1000 &lt;= DATE(2024, 10, 31)))
+ SUMPRODUCT(('Form responses 1'!$F$2:$F1000 = A19) * ('Form responses 1'!$A$2:$A1000 &lt;= DATE(2024, 10, 31)))
+ SUMPRODUCT(('Form responses 1'!$G$2:$G1000 = A19) * ('Form responses 1'!$A$2:$A1000 &lt;= DATE(2024, 10, 31)))), 2), "-")
</f>
        <v>0.04</v>
      </c>
      <c r="M19" s="2">
        <f>IFERROR(ROUND(Data!B17/(SUMPRODUCT(('Form responses 1'!$B$2:$B1000 = A19) * ('Form responses 1'!$A$2:$A1000 &lt;= DATE(2024, 11, 30)))
+ SUMPRODUCT(('Form responses 1'!$C$2:$C1000 = A19) * ('Form responses 1'!$A$2:$A1000 &lt;= DATE(2024, 11, 30)))
+ SUMPRODUCT(('Form responses 1'!$D$2:$D1000 = A19) * ('Form responses 1'!$A$2:$A1000 &lt;= DATE(2024, 11, 30)))
+ SUMPRODUCT(('Form responses 1'!$E$2:$E1000 = A19) * ('Form responses 1'!$A$2:$A1000 &lt;= DATE(2024, 11, 30)))
+ SUMPRODUCT(('Form responses 1'!$F$2:$F1000 = A19) * ('Form responses 1'!$A$2:$A1000 &lt;= DATE(2024, 11, 30)))
+ SUMPRODUCT(('Form responses 1'!$G$2:$G1000 = A19) * ('Form responses 1'!$A$2:$A1000 &lt;= DATE(2024, 11, 30)))), 2), "-")
</f>
        <v>0.04</v>
      </c>
      <c r="N19" s="2">
        <f>IFERROR(ROUND(Data!B17/(SUMPRODUCT(('Form responses 1'!$B$2:$B1000 = A19) * ('Form responses 1'!$A$2:$A1000 &lt;= DATE(2024, 12, 31)))
+ SUMPRODUCT(('Form responses 1'!$C$2:$C1000 = A19) * ('Form responses 1'!$A$2:$A1000 &lt;= DATE(2024, 12, 31)))
+ SUMPRODUCT(('Form responses 1'!$D$2:$D1000 = A19) * ('Form responses 1'!$A$2:$A1000 &lt;= DATE(2024, 12, 31)))
+ SUMPRODUCT(('Form responses 1'!$E$2:$E1000 = A19) * ('Form responses 1'!$A$2:$A1000 &lt;= DATE(2024, 12, 31)))
+ SUMPRODUCT(('Form responses 1'!$F$2:$F1000 = A19) * ('Form responses 1'!$A$2:$A1000 &lt;= DATE(2024, 12, 31)))
+ SUMPRODUCT(('Form responses 1'!$G$2:$G1000 = A19) * ('Form responses 1'!$A$2:$A1000 &lt;= DATE(2024, 12, 31)))), 2), "-")
</f>
        <v>0.03</v>
      </c>
      <c r="O19" s="2">
        <f>IFERROR(ROUND(Data!B17/(SUMPRODUCT(('Form responses 1'!$B$2:$B1000 = A19) * ('Form responses 1'!$A$2:$A1000 &lt;= DATE(2025, 1, 31)))
+ SUMPRODUCT(('Form responses 1'!$C$2:$C1000 = A19) * ('Form responses 1'!$A$2:$A1000 &lt;= DATE(2025, 1, 31)))
+ SUMPRODUCT(('Form responses 1'!$D$2:$D1000 = A19) * ('Form responses 1'!$A$2:$A1000 &lt;= DATE(2025, 1, 31)))
+ SUMPRODUCT(('Form responses 1'!$E$2:$E1000 = A19) * ('Form responses 1'!$A$2:$A1000 &lt;= DATE(2025, 1, 31)))
+ SUMPRODUCT(('Form responses 1'!$F$2:$F1000 = A19) * ('Form responses 1'!$A$2:$A1000 &lt;= DATE(2025, 1, 31)))
+ SUMPRODUCT(('Form responses 1'!$G$2:$G1000 = A19) * ('Form responses 1'!$A$2:$A1000 &lt;= DATE(2025, 1, 31)))), 2), "-")
</f>
        <v>0.03</v>
      </c>
      <c r="P19" s="2">
        <f>IFERROR(ROUND(Data!B17/(SUMPRODUCT(('Form responses 1'!$B$2:$B1000 = A19) * ('Form responses 1'!$A$2:$A1000 &lt;= DATE(2025, 2, 28)))
+ SUMPRODUCT(('Form responses 1'!$C$2:$C1000 = A19) * ('Form responses 1'!$A$2:$A1000 &lt;= DATE(2025, 2, 28)))
+ SUMPRODUCT(('Form responses 1'!$D$2:$D1000 = A19) * ('Form responses 1'!$A$2:$A1000 &lt;= DATE(2025, 2, 28)))
+ SUMPRODUCT(('Form responses 1'!$E$2:$E1000 = A19) * ('Form responses 1'!$A$2:$A1000 &lt;= DATE(2025, 2, 28)))
+ SUMPRODUCT(('Form responses 1'!$F$2:$F1000 = A19) * ('Form responses 1'!$A$2:$A1000 &lt;= DATE(2025, 2, 28)))
+ SUMPRODUCT(('Form responses 1'!$G$2:$G1000 = A19) * ('Form responses 1'!$A$2:$A1000 &lt;= DATE(2025, 2, 28)))), 2), "-")
</f>
        <v>0.03</v>
      </c>
      <c r="Q19" s="2">
        <f>IFERROR(ROUND(Data!B17/(SUMPRODUCT(('Form responses 1'!$B$2:$B1000 = A19) * ('Form responses 1'!$A$2:$A1000 &lt;= DATE(2025, 3, 31)))
+ SUMPRODUCT(('Form responses 1'!$C$2:$C1000 = A19) * ('Form responses 1'!$A$2:$A1000 &lt;= DATE(2025, 3, 31)))
+ SUMPRODUCT(('Form responses 1'!$D$2:$D1000 = A19) * ('Form responses 1'!$A$2:$A1000 &lt;= DATE(2025, 3, 31)))
+ SUMPRODUCT(('Form responses 1'!$E$2:$E1000 = A19) * ('Form responses 1'!$A$2:$A1000 &lt;= DATE(2025, 3, 31)))
+ SUMPRODUCT(('Form responses 1'!$F$2:$F1000 = A19) * ('Form responses 1'!$A$2:$A1000 &lt;= DATE(2025, 3, 31)))
+ SUMPRODUCT(('Form responses 1'!$G$2:$G1000 = A19) * ('Form responses 1'!$A$2:$A1000 &lt;= DATE(2025, 3, 31)))),2),"-")</f>
        <v>0.03</v>
      </c>
      <c r="R19" s="2">
        <f>IFERROR(ROUND(Data!B17/(SUMPRODUCT(('Form responses 1'!$B$2:$B1000 = A19) * ('Form responses 1'!$A$2:$A1000 &lt;= DATE(2025, 4, 30)))
+ SUMPRODUCT(('Form responses 1'!$C$2:$C1000 = A19) * ('Form responses 1'!$A$2:$A1000 &lt;= DATE(2025, 4, 30)))
+ SUMPRODUCT(('Form responses 1'!$D$2:$D1000 = A19) * ('Form responses 1'!$A$2:$A1000 &lt;= DATE(2025, 4, 30)))
+ SUMPRODUCT(('Form responses 1'!$E$2:$E1000 = A19) * ('Form responses 1'!$A$2:$A1000 &lt;= DATE(2025, 4, 30)))
+ SUMPRODUCT(('Form responses 1'!$F$2:$F1000 = A19) * ('Form responses 1'!$A$2:$A1000 &lt;= DATE(2025, 4, 30)))
+ SUMPRODUCT(('Form responses 1'!$G$2:$G1000 = A19) * ('Form responses 1'!$A$2:$A1000 &lt;= DATE(2025, 4, 30)))), 2), "-")
</f>
        <v>0.03</v>
      </c>
      <c r="S19" s="2">
        <f>IFERROR(ROUND(Data!B17/(SUMPRODUCT(('Form responses 1'!$B$2:$B1000 = A19) * ('Form responses 1'!$A$2:$A1000 &lt;= DATE(2025, 5, 31)))
+ SUMPRODUCT(('Form responses 1'!$C$2:$C1000 = A19) * ('Form responses 1'!$A$2:$A1000 &lt;= DATE(2025, 5, 31)))
+ SUMPRODUCT(('Form responses 1'!$D$2:$D1000 = A19) * ('Form responses 1'!$A$2:$A1000 &lt;= DATE(2025, 5, 31)))
+ SUMPRODUCT(('Form responses 1'!$E$2:$E1000 = A19) * ('Form responses 1'!$A$2:$A1000 &lt;= DATE(2025, 5, 31)))
+ SUMPRODUCT(('Form responses 1'!$F$2:$F1000 = A19) * ('Form responses 1'!$A$2:$A1000 &lt;= DATE(2025, 5, 31)))
+ SUMPRODUCT(('Form responses 1'!$G$2:$G1000 = A19) * ('Form responses 1'!$A$2:$A1000 &lt;= DATE(2025, 5, 31)))), 2), "-")
</f>
        <v>0.03</v>
      </c>
      <c r="T19" s="2">
        <f>IFERROR(ROUND(Data!B17/(SUMPRODUCT(('Form responses 1'!$B$2:$B1000 = A19) * ('Form responses 1'!$A$2:$A1000 &lt;= DATE(2025, 6, 30)))
+ SUMPRODUCT(('Form responses 1'!$C$2:$C1000 = A19) * ('Form responses 1'!$A$2:$A1000 &lt;= DATE(2025, 6, 30)))
+ SUMPRODUCT(('Form responses 1'!$D$2:$D1000 = A19) * ('Form responses 1'!$A$2:$A1000 &lt;= DATE(2025, 6, 30)))
+ SUMPRODUCT(('Form responses 1'!$E$2:$E1000 = A19) * ('Form responses 1'!$A$2:$A1000 &lt;= DATE(2025, 6, 30)))
+ SUMPRODUCT(('Form responses 1'!$F$2:$F1000 = A19) * ('Form responses 1'!$A$2:$A1000 &lt;= DATE(2025, 6, 30)))
+ SUMPRODUCT(('Form responses 1'!$G$2:$G1000 = A19) * ('Form responses 1'!$A$2:$A1000 &lt;= DATE(2025, 6, 30)))), 2), "-")
</f>
        <v>0.03</v>
      </c>
      <c r="U19" s="2">
        <f>IFERROR(ROUND(Data!B17/(SUMPRODUCT(('Form responses 1'!$B$2:$B1000 = A19) * ('Form responses 1'!$A$2:$A1000 &lt;= DATE(2025, 7, 31)))
+ SUMPRODUCT(('Form responses 1'!$C$2:$C1000 = A19) * ('Form responses 1'!$A$2:$A1000 &lt;= DATE(2025, 7, 31)))
+ SUMPRODUCT(('Form responses 1'!$D$2:$D1000 = A19) * ('Form responses 1'!$A$2:$A1000 &lt;= DATE(2025, 7, 31)))
+ SUMPRODUCT(('Form responses 1'!$E$2:$E1000 = A19) * ('Form responses 1'!$A$2:$A1000 &lt;= DATE(2025, 7, 31)))
+ SUMPRODUCT(('Form responses 1'!$F$2:$F1000 = A19) * ('Form responses 1'!$A$2:$A1000 &lt;= DATE(2025, 7, 31)))
+ SUMPRODUCT(('Form responses 1'!$G$2:$G1000 = A19) * ('Form responses 1'!$A$2:$A1000 &lt;= DATE(2025, 7, 31)))), 2), "-")
</f>
        <v>0.03</v>
      </c>
      <c r="V19" s="2">
        <f>IFERROR(ROUND(Data!B17/(SUMPRODUCT(('Form responses 1'!$B$2:$B1000 = A19) * ('Form responses 1'!$A$2:$A1000 &lt;= DATE(2025, 8, 31)))
+ SUMPRODUCT(('Form responses 1'!$C$2:$C1000 = A19) * ('Form responses 1'!$A$2:$A1000 &lt;= DATE(2025, 8, 31)))
+ SUMPRODUCT(('Form responses 1'!$D$2:$D1000 = A19) * ('Form responses 1'!$A$2:$A1000 &lt;= DATE(2025, 8, 31)))
+ SUMPRODUCT(('Form responses 1'!$E$2:$E1000 = A19) * ('Form responses 1'!$A$2:$A1000 &lt;= DATE(2025, 8, 31)))
+ SUMPRODUCT(('Form responses 1'!$F$2:$F1000 = A19) * ('Form responses 1'!$A$2:$A1000 &lt;= DATE(2025, 8, 31)))
+ SUMPRODUCT(('Form responses 1'!$G$2:$G1000 = A19) * ('Form responses 1'!$A$2:$A1000 &lt;= DATE(2025, 8, 31)))), 2), "-")
</f>
        <v>0.03</v>
      </c>
      <c r="W19" s="2">
        <f>IFERROR(ROUND(Data!B17/(SUMPRODUCT(('Form responses 1'!$B$2:$B1000 = A19) * ('Form responses 1'!$A$2:$A1000 &lt;= DATE(2025, 9, 30)))
+ SUMPRODUCT(('Form responses 1'!$C$2:$C1000 = A19) * ('Form responses 1'!$A$2:$A1000 &lt;= DATE(2025, 9, 30)))
+ SUMPRODUCT(('Form responses 1'!$D$2:$D1000 = A19) * ('Form responses 1'!$A$2:$A1000 &lt;= DATE(2025, 9, 30)))
+ SUMPRODUCT(('Form responses 1'!$E$2:$E1000 = A19) * ('Form responses 1'!$A$2:$A1000 &lt;= DATE(2025, 9, 30)))
+ SUMPRODUCT(('Form responses 1'!$F$2:$F1000 = A19) * ('Form responses 1'!$A$2:$A1000 &lt;= DATE(2025, 9, 30)))
+ SUMPRODUCT(('Form responses 1'!$G$2:$G1000 = A19) * ('Form responses 1'!$A$2:$A1000 &lt;= DATE(2025, 9, 30)))), 2), "-")
</f>
        <v>0.03</v>
      </c>
      <c r="X19" s="2">
        <f>IFERROR(ROUND(Data!B17/(SUMPRODUCT(('Form responses 1'!$B$2:$B1000 = A19) * ('Form responses 1'!$A$2:$A1000 &lt;= DATE(2025, 10, 31)))
+ SUMPRODUCT(('Form responses 1'!$C$2:$C1000 = A19) * ('Form responses 1'!$A$2:$A1000 &lt;= DATE(2025, 10, 31)))
+ SUMPRODUCT(('Form responses 1'!$D$2:$D1000 = A19) * ('Form responses 1'!$A$2:$A1000 &lt;= DATE(2025, 10, 31)))
+ SUMPRODUCT(('Form responses 1'!$E$2:$E1000 = A19) * ('Form responses 1'!$A$2:$A1000 &lt;= DATE(2025, 10, 31)))
+ SUMPRODUCT(('Form responses 1'!$F$2:$F1000 = A19) * ('Form responses 1'!$A$2:$A1000 &lt;= DATE(2025, 10, 31)))
+ SUMPRODUCT(('Form responses 1'!$G$2:$G1000 = A19) * ('Form responses 1'!$A$2:$A1000 &lt;= DATE(2025, 10, 31)))), 2), "-")
</f>
        <v>0.03</v>
      </c>
      <c r="Y19" s="2">
        <f>IFERROR(ROUND(Data!B17/(SUMPRODUCT(('Form responses 1'!$B$2:$B1000 = A19) * ('Form responses 1'!$A$2:$A1000 &lt;= DATE(2025, 11, 30)))
+ SUMPRODUCT(('Form responses 1'!$C$2:$C1000 = A19) * ('Form responses 1'!$A$2:$A1000 &lt;= DATE(2025, 11, 30)))
+ SUMPRODUCT(('Form responses 1'!$D$2:$D1000 = A19) * ('Form responses 1'!$A$2:$A1000 &lt;= DATE(2025, 11, 30)))
+ SUMPRODUCT(('Form responses 1'!$E$2:$E1000 = A19) * ('Form responses 1'!$A$2:$A1000 &lt;= DATE(2025, 11, 30)))
+ SUMPRODUCT(('Form responses 1'!$F$2:$F1000 = A19) * ('Form responses 1'!$A$2:$A1000 &lt;= DATE(2025, 11, 30)))
+ SUMPRODUCT(('Form responses 1'!$G$2:$G1000 = A19) * ('Form responses 1'!$A$2:$A1000 &lt;= DATE(2025, 11, 30)))), 2), "-")
</f>
        <v>0.03</v>
      </c>
      <c r="Z19" s="2">
        <f>IFERROR(ROUND(Data!B17/(SUMPRODUCT(('Form responses 1'!$B$2:$B1000 = A19) * ('Form responses 1'!$A$2:$A1000 &lt;= DATE(2025, 12, 31)))
+ SUMPRODUCT(('Form responses 1'!$C$2:$C1000 = A19) * ('Form responses 1'!$A$2:$A1000 &lt;= DATE(2025, 12, 31)))
+ SUMPRODUCT(('Form responses 1'!$D$2:$D1000 = A19) * ('Form responses 1'!$A$2:$A1000 &lt;= DATE(2025, 12, 31)))
+ SUMPRODUCT(('Form responses 1'!$E$2:$E1000 = A19) * ('Form responses 1'!$A$2:$A1000 &lt;= DATE(2025, 12, 31)))
+ SUMPRODUCT(('Form responses 1'!$F$2:$F1000 = A19) * ('Form responses 1'!$A$2:$A1000 &lt;= DATE(2025, 12, 31)))
+ SUMPRODUCT(('Form responses 1'!$G$2:$G1000 = A19) * ('Form responses 1'!$A$2:$A1000 &lt;= DATE(2025, 12, 31)))), 2), "-")
</f>
        <v>0.03</v>
      </c>
      <c r="AA19" s="2">
        <f>IFERROR(ROUND(Data!$B19/(
  SUMPRODUCT(('Form responses 1'!$B$2:$B1000=$A19)*('Form responses 1'!$A$2:$A1000&lt;=EOMONTH(DATEVALUE("1 "&amp;AA$1),0)))+
  SUMPRODUCT(('Form responses 1'!$C$2:$C1000=$A19)*('Form responses 1'!$A$2:$A1000&lt;=EOMONTH(DATEVALUE("1 "&amp;AA$1),0)))+
  SUMPRODUCT(('Form responses 1'!$D$2:$D1000=$A19)*('Form responses 1'!$A$2:$A1000&lt;=EOMONTH(DATEVALUE("1 "&amp;AA$1),0)))+
  SUMPRODUCT(('Form responses 1'!$E$2:$E1000=$A19)*('Form responses 1'!$A$2:$A1000&lt;=EOMONTH(DATEVALUE("1 "&amp;AA$1),0)))+
  SUMPRODUCT(('Form responses 1'!$F$2:$F1000=$A19)*('Form responses 1'!$A$2:$A1000&lt;=EOMONTH(DATEVALUE("1 "&amp;AA$1),0)))+
  SUMPRODUCT(('Form responses 1'!$G$2:$G1000=$A19)*('Form responses 1'!$A$2:$A1000&lt;=EOMONTH(DATEVALUE("1 "&amp;AA$1),0)))
),2),"-")</f>
        <v>0.04</v>
      </c>
      <c r="AB19" s="2">
        <f>IFERROR(ROUND(Data!$B19/(
  SUMPRODUCT(('Form responses 1'!$B$2:$B1000=$A19)*('Form responses 1'!$A$2:$A1000&lt;=EOMONTH(DATEVALUE("1 "&amp;AB$1),0)))+
  SUMPRODUCT(('Form responses 1'!$C$2:$C1000=$A19)*('Form responses 1'!$A$2:$A1000&lt;=EOMONTH(DATEVALUE("1 "&amp;AB$1),0)))+
  SUMPRODUCT(('Form responses 1'!$D$2:$D1000=$A19)*('Form responses 1'!$A$2:$A1000&lt;=EOMONTH(DATEVALUE("1 "&amp;AB$1),0)))+
  SUMPRODUCT(('Form responses 1'!$E$2:$E1000=$A19)*('Form responses 1'!$A$2:$A1000&lt;=EOMONTH(DATEVALUE("1 "&amp;AB$1),0)))+
  SUMPRODUCT(('Form responses 1'!$F$2:$F1000=$A19)*('Form responses 1'!$A$2:$A1000&lt;=EOMONTH(DATEVALUE("1 "&amp;AB$1),0)))+
  SUMPRODUCT(('Form responses 1'!$G$2:$G1000=$A19)*('Form responses 1'!$A$2:$A1000&lt;=EOMONTH(DATEVALUE("1 "&amp;AB$1),0)))
),2),"-")</f>
        <v>0.04</v>
      </c>
      <c r="AC19" s="2">
        <f>IFERROR(ROUND(Data!$B19/(
  SUMPRODUCT(('Form responses 1'!$B$2:$B1000=$A19)*('Form responses 1'!$A$2:$A1000&lt;=EOMONTH(DATEVALUE("1 "&amp;AC$1),0)))+
  SUMPRODUCT(('Form responses 1'!$C$2:$C1000=$A19)*('Form responses 1'!$A$2:$A1000&lt;=EOMONTH(DATEVALUE("1 "&amp;AC$1),0)))+
  SUMPRODUCT(('Form responses 1'!$D$2:$D1000=$A19)*('Form responses 1'!$A$2:$A1000&lt;=EOMONTH(DATEVALUE("1 "&amp;AC$1),0)))+
  SUMPRODUCT(('Form responses 1'!$E$2:$E1000=$A19)*('Form responses 1'!$A$2:$A1000&lt;=EOMONTH(DATEVALUE("1 "&amp;AC$1),0)))+
  SUMPRODUCT(('Form responses 1'!$F$2:$F1000=$A19)*('Form responses 1'!$A$2:$A1000&lt;=EOMONTH(DATEVALUE("1 "&amp;AC$1),0)))+
  SUMPRODUCT(('Form responses 1'!$G$2:$G1000=$A19)*('Form responses 1'!$A$2:$A1000&lt;=EOMONTH(DATEVALUE("1 "&amp;AC$1),0)))
),2),"-")</f>
        <v>0.04</v>
      </c>
      <c r="AD19" s="2" t="str">
        <f>IFERROR(ROUND(Data!$B19/(
  SUMPRODUCT(('Form responses 1'!$B$2:$B1000=$A19)*('Form responses 1'!$A$2:$A1000&lt;=EOMONTH(DATEVALUE("1 "&amp;AD$1),0)))+
  SUMPRODUCT(('Form responses 1'!$C$2:$C1000=$A19)*('Form responses 1'!$A$2:$A1000&lt;=EOMONTH(DATEVALUE("1 "&amp;AD$1),0)))+
  SUMPRODUCT(('Form responses 1'!$D$2:$D1000=$A19)*('Form responses 1'!$A$2:$A1000&lt;=EOMONTH(DATEVALUE("1 "&amp;AD$1),0)))+
  SUMPRODUCT(('Form responses 1'!$E$2:$E1000=$A19)*('Form responses 1'!$A$2:$A1000&lt;=EOMONTH(DATEVALUE("1 "&amp;AD$1),0)))+
  SUMPRODUCT(('Form responses 1'!$F$2:$F1000=$A19)*('Form responses 1'!$A$2:$A1000&lt;=EOMONTH(DATEVALUE("1 "&amp;AD$1),0)))+
  SUMPRODUCT(('Form responses 1'!$G$2:$G1000=$A19)*('Form responses 1'!$A$2:$A1000&lt;=EOMONTH(DATEVALUE("1 "&amp;AD$1),0)))
),2),"-")</f>
        <v>-</v>
      </c>
      <c r="AE19" s="2" t="str">
        <f>IFERROR(ROUND(Data!$B19/(
  SUMPRODUCT(('Form responses 1'!$B$2:$B1000=$A19)*('Form responses 1'!$A$2:$A1000&lt;=EOMONTH(DATEVALUE("1 "&amp;AE$1),0)))+
  SUMPRODUCT(('Form responses 1'!$C$2:$C1000=$A19)*('Form responses 1'!$A$2:$A1000&lt;=EOMONTH(DATEVALUE("1 "&amp;AE$1),0)))+
  SUMPRODUCT(('Form responses 1'!$D$2:$D1000=$A19)*('Form responses 1'!$A$2:$A1000&lt;=EOMONTH(DATEVALUE("1 "&amp;AE$1),0)))+
  SUMPRODUCT(('Form responses 1'!$E$2:$E1000=$A19)*('Form responses 1'!$A$2:$A1000&lt;=EOMONTH(DATEVALUE("1 "&amp;AE$1),0)))+
  SUMPRODUCT(('Form responses 1'!$F$2:$F1000=$A19)*('Form responses 1'!$A$2:$A1000&lt;=EOMONTH(DATEVALUE("1 "&amp;AE$1),0)))+
  SUMPRODUCT(('Form responses 1'!$G$2:$G1000=$A19)*('Form responses 1'!$A$2:$A1000&lt;=EOMONTH(DATEVALUE("1 "&amp;AE$1),0)))
),2),"-")</f>
        <v>-</v>
      </c>
      <c r="AF19" s="2" t="str">
        <f>IFERROR(ROUND(Data!$B19/(
  SUMPRODUCT(('Form responses 1'!$B$2:$B1000=$A19)*('Form responses 1'!$A$2:$A1000&lt;=EOMONTH(DATEVALUE("1 "&amp;AF$1),0)))+
  SUMPRODUCT(('Form responses 1'!$C$2:$C1000=$A19)*('Form responses 1'!$A$2:$A1000&lt;=EOMONTH(DATEVALUE("1 "&amp;AF$1),0)))+
  SUMPRODUCT(('Form responses 1'!$D$2:$D1000=$A19)*('Form responses 1'!$A$2:$A1000&lt;=EOMONTH(DATEVALUE("1 "&amp;AF$1),0)))+
  SUMPRODUCT(('Form responses 1'!$E$2:$E1000=$A19)*('Form responses 1'!$A$2:$A1000&lt;=EOMONTH(DATEVALUE("1 "&amp;AF$1),0)))+
  SUMPRODUCT(('Form responses 1'!$F$2:$F1000=$A19)*('Form responses 1'!$A$2:$A1000&lt;=EOMONTH(DATEVALUE("1 "&amp;AF$1),0)))+
  SUMPRODUCT(('Form responses 1'!$G$2:$G1000=$A19)*('Form responses 1'!$A$2:$A1000&lt;=EOMONTH(DATEVALUE("1 "&amp;AF$1),0)))
),2),"-")</f>
        <v>-</v>
      </c>
      <c r="AG19" s="2" t="str">
        <f>IFERROR(ROUND(Data!$B19/(
  SUMPRODUCT(('Form responses 1'!$B$2:$B1000=$A19)*('Form responses 1'!$A$2:$A1000&lt;=EOMONTH(DATEVALUE("1 "&amp;AG$1),0)))+
  SUMPRODUCT(('Form responses 1'!$C$2:$C1000=$A19)*('Form responses 1'!$A$2:$A1000&lt;=EOMONTH(DATEVALUE("1 "&amp;AG$1),0)))+
  SUMPRODUCT(('Form responses 1'!$D$2:$D1000=$A19)*('Form responses 1'!$A$2:$A1000&lt;=EOMONTH(DATEVALUE("1 "&amp;AG$1),0)))+
  SUMPRODUCT(('Form responses 1'!$E$2:$E1000=$A19)*('Form responses 1'!$A$2:$A1000&lt;=EOMONTH(DATEVALUE("1 "&amp;AG$1),0)))+
  SUMPRODUCT(('Form responses 1'!$F$2:$F1000=$A19)*('Form responses 1'!$A$2:$A1000&lt;=EOMONTH(DATEVALUE("1 "&amp;AG$1),0)))+
  SUMPRODUCT(('Form responses 1'!$G$2:$G1000=$A19)*('Form responses 1'!$A$2:$A1000&lt;=EOMONTH(DATEVALUE("1 "&amp;AG$1),0)))
),2),"-")</f>
        <v>-</v>
      </c>
      <c r="AH19" s="2" t="str">
        <f>IFERROR(ROUND(Data!$B19/(
  SUMPRODUCT(('Form responses 1'!$B$2:$B1000=$A19)*('Form responses 1'!$A$2:$A1000&lt;=EOMONTH(DATEVALUE("1 "&amp;AH$1),0)))+
  SUMPRODUCT(('Form responses 1'!$C$2:$C1000=$A19)*('Form responses 1'!$A$2:$A1000&lt;=EOMONTH(DATEVALUE("1 "&amp;AH$1),0)))+
  SUMPRODUCT(('Form responses 1'!$D$2:$D1000=$A19)*('Form responses 1'!$A$2:$A1000&lt;=EOMONTH(DATEVALUE("1 "&amp;AH$1),0)))+
  SUMPRODUCT(('Form responses 1'!$E$2:$E1000=$A19)*('Form responses 1'!$A$2:$A1000&lt;=EOMONTH(DATEVALUE("1 "&amp;AH$1),0)))+
  SUMPRODUCT(('Form responses 1'!$F$2:$F1000=$A19)*('Form responses 1'!$A$2:$A1000&lt;=EOMONTH(DATEVALUE("1 "&amp;AH$1),0)))+
  SUMPRODUCT(('Form responses 1'!$G$2:$G1000=$A19)*('Form responses 1'!$A$2:$A1000&lt;=EOMONTH(DATEVALUE("1 "&amp;AH$1),0)))
),2),"-")</f>
        <v>-</v>
      </c>
      <c r="AI19" s="2" t="str">
        <f>IFERROR(ROUND(Data!$B19/(
  SUMPRODUCT(('Form responses 1'!$B$2:$B1000=$A19)*('Form responses 1'!$A$2:$A1000&lt;=EOMONTH(DATEVALUE("1 "&amp;AI$1),0)))+
  SUMPRODUCT(('Form responses 1'!$C$2:$C1000=$A19)*('Form responses 1'!$A$2:$A1000&lt;=EOMONTH(DATEVALUE("1 "&amp;AI$1),0)))+
  SUMPRODUCT(('Form responses 1'!$D$2:$D1000=$A19)*('Form responses 1'!$A$2:$A1000&lt;=EOMONTH(DATEVALUE("1 "&amp;AI$1),0)))+
  SUMPRODUCT(('Form responses 1'!$E$2:$E1000=$A19)*('Form responses 1'!$A$2:$A1000&lt;=EOMONTH(DATEVALUE("1 "&amp;AI$1),0)))+
  SUMPRODUCT(('Form responses 1'!$F$2:$F1000=$A19)*('Form responses 1'!$A$2:$A1000&lt;=EOMONTH(DATEVALUE("1 "&amp;AI$1),0)))+
  SUMPRODUCT(('Form responses 1'!$G$2:$G1000=$A19)*('Form responses 1'!$A$2:$A1000&lt;=EOMONTH(DATEVALUE("1 "&amp;AI$1),0)))
),2),"-")</f>
        <v>-</v>
      </c>
      <c r="AJ19" s="2" t="str">
        <f>IFERROR(ROUND(Data!$B19/(
  SUMPRODUCT(('Form responses 1'!$B$2:$B1000=$A19)*('Form responses 1'!$A$2:$A1000&lt;=EOMONTH(DATEVALUE("1 "&amp;AJ$1),0)))+
  SUMPRODUCT(('Form responses 1'!$C$2:$C1000=$A19)*('Form responses 1'!$A$2:$A1000&lt;=EOMONTH(DATEVALUE("1 "&amp;AJ$1),0)))+
  SUMPRODUCT(('Form responses 1'!$D$2:$D1000=$A19)*('Form responses 1'!$A$2:$A1000&lt;=EOMONTH(DATEVALUE("1 "&amp;AJ$1),0)))+
  SUMPRODUCT(('Form responses 1'!$E$2:$E1000=$A19)*('Form responses 1'!$A$2:$A1000&lt;=EOMONTH(DATEVALUE("1 "&amp;AJ$1),0)))+
  SUMPRODUCT(('Form responses 1'!$F$2:$F1000=$A19)*('Form responses 1'!$A$2:$A1000&lt;=EOMONTH(DATEVALUE("1 "&amp;AJ$1),0)))+
  SUMPRODUCT(('Form responses 1'!$G$2:$G1000=$A19)*('Form responses 1'!$A$2:$A1000&lt;=EOMONTH(DATEVALUE("1 "&amp;AJ$1),0)))
),2),"-")</f>
        <v>-</v>
      </c>
      <c r="AK19" s="2" t="str">
        <f>IFERROR(ROUND(Data!$B19/(
  SUMPRODUCT(('Form responses 1'!$B$2:$B1000=$A19)*('Form responses 1'!$A$2:$A1000&lt;=EOMONTH(DATEVALUE("1 "&amp;AK$1),0)))+
  SUMPRODUCT(('Form responses 1'!$C$2:$C1000=$A19)*('Form responses 1'!$A$2:$A1000&lt;=EOMONTH(DATEVALUE("1 "&amp;AK$1),0)))+
  SUMPRODUCT(('Form responses 1'!$D$2:$D1000=$A19)*('Form responses 1'!$A$2:$A1000&lt;=EOMONTH(DATEVALUE("1 "&amp;AK$1),0)))+
  SUMPRODUCT(('Form responses 1'!$E$2:$E1000=$A19)*('Form responses 1'!$A$2:$A1000&lt;=EOMONTH(DATEVALUE("1 "&amp;AK$1),0)))+
  SUMPRODUCT(('Form responses 1'!$F$2:$F1000=$A19)*('Form responses 1'!$A$2:$A1000&lt;=EOMONTH(DATEVALUE("1 "&amp;AK$1),0)))+
  SUMPRODUCT(('Form responses 1'!$G$2:$G1000=$A19)*('Form responses 1'!$A$2:$A1000&lt;=EOMONTH(DATEVALUE("1 "&amp;AK$1),0)))
),2),"-")</f>
        <v>-</v>
      </c>
      <c r="AL19" s="2" t="str">
        <f>IFERROR(ROUND(Data!$B19/(
  SUMPRODUCT(('Form responses 1'!$B$2:$B1000=$A19)*('Form responses 1'!$A$2:$A1000&lt;=EOMONTH(DATEVALUE("1 "&amp;AL$1),0)))+
  SUMPRODUCT(('Form responses 1'!$C$2:$C1000=$A19)*('Form responses 1'!$A$2:$A1000&lt;=EOMONTH(DATEVALUE("1 "&amp;AL$1),0)))+
  SUMPRODUCT(('Form responses 1'!$D$2:$D1000=$A19)*('Form responses 1'!$A$2:$A1000&lt;=EOMONTH(DATEVALUE("1 "&amp;AL$1),0)))+
  SUMPRODUCT(('Form responses 1'!$E$2:$E1000=$A19)*('Form responses 1'!$A$2:$A1000&lt;=EOMONTH(DATEVALUE("1 "&amp;AL$1),0)))+
  SUMPRODUCT(('Form responses 1'!$F$2:$F1000=$A19)*('Form responses 1'!$A$2:$A1000&lt;=EOMONTH(DATEVALUE("1 "&amp;AL$1),0)))+
  SUMPRODUCT(('Form responses 1'!$G$2:$G1000=$A19)*('Form responses 1'!$A$2:$A1000&lt;=EOMONTH(DATEVALUE("1 "&amp;AL$1),0)))
),2),"-")</f>
        <v>-</v>
      </c>
    </row>
    <row r="20">
      <c r="A20" s="3" t="str">
        <f>IFERROR(__xludf.DUMMYFUNCTION("""COMPUTED_VALUE"""),"Wit t-shirt uniqlo")</f>
        <v>Wit t-shirt uniqlo</v>
      </c>
      <c r="B20" s="2">
        <f>Data!F18:F1000</f>
        <v>0.52</v>
      </c>
      <c r="C20" s="2">
        <f>IFERROR(ROUND(Data!B18/(SUMPRODUCT(('Form responses 1'!$B$2:$B1000 = A20) * ('Form responses 1'!$A$2:$A1000 &lt;= DATE(2024, 1, 31)))
+ SUMPRODUCT(('Form responses 1'!$C$2:$C1000 = A20) * ('Form responses 1'!$A$2:$A1000 &lt;= DATE(2024, 1, 31)))
+ SUMPRODUCT(('Form responses 1'!$D$2:$D1000 = A20) * ('Form responses 1'!$A$2:$A1000 &lt;= DATE(2024, 1, 31)))
+ SUMPRODUCT(('Form responses 1'!$E$2:$E1000 = A20) * ('Form responses 1'!$A$2:$A1000 &lt;= DATE(2024, 1, 31)))
+ SUMPRODUCT(('Form responses 1'!$F$2:$F1000 = A20) * ('Form responses 1'!$A$2:$A1000 &lt;= DATE(2024, 1, 31)))
+ SUMPRODUCT(('Form responses 1'!$G$2:$G1000 = A20) * ('Form responses 1'!$A$2:$A1000 &lt;= DATE(2024, 1, 31)))), 2), "-")
</f>
        <v>5.2</v>
      </c>
      <c r="D20" s="2">
        <f>IFERROR(ROUND(Data!B18/(SUMPRODUCT(('Form responses 1'!$B$2:$B1000 = A20) * ('Form responses 1'!$A$2:$A1000 &lt;= DATE(2024, 2, 29)))
+ SUMPRODUCT(('Form responses 1'!$C$2:$C1000 = A20) * ('Form responses 1'!$A$2:$A1000 &lt;= DATE(2024, 2, 29)))
+ SUMPRODUCT(('Form responses 1'!$D$2:$D1000 = A20) * ('Form responses 1'!$A$2:$A1000 &lt;= DATE(2024, 2, 29)))
+ SUMPRODUCT(('Form responses 1'!$E$2:$E1000 = A20) * ('Form responses 1'!$A$2:$A1000 &lt;= DATE(2024, 2, 29)))
+ SUMPRODUCT(('Form responses 1'!$F$2:$F1000 = A20) * ('Form responses 1'!$A$2:$A1000 &lt;= DATE(2024, 2, 29)))
+ SUMPRODUCT(('Form responses 1'!$G$2:$G1000 = A20) * ('Form responses 1'!$A$2:$A1000 &lt;= DATE(2024, 2, 29)))), 2), "-")
</f>
        <v>3.84</v>
      </c>
      <c r="E20" s="2">
        <f>IFERROR(ROUND(Data!B18/(SUMPRODUCT(('Form responses 1'!$B$2:$B1000 = A20) * ('Form responses 1'!$A$2:$A1000 &lt;= DATE(2024, 3, 31)))
+ SUMPRODUCT(('Form responses 1'!$C$2:$C1000 = A20) * ('Form responses 1'!$A$2:$A1000 &lt;= DATE(2024, 3, 31)))
+ SUMPRODUCT(('Form responses 1'!$D$2:$D1000 = A20) * ('Form responses 1'!$A$2:$A1000 &lt;= DATE(2024, 3, 31)))
+ SUMPRODUCT(('Form responses 1'!$E$2:$E1000 = A20) * ('Form responses 1'!$A$2:$A1000 &lt;= DATE(2024, 3, 31)))
+ SUMPRODUCT(('Form responses 1'!$F$2:$F1000 = A20) * ('Form responses 1'!$A$2:$A1000 &lt;= DATE(2024, 3, 31)))
+ SUMPRODUCT(('Form responses 1'!$G$2:$G1000 = A20) * ('Form responses 1'!$A$2:$A1000 &lt;= DATE(2024, 3, 31)))), 2), "-")
</f>
        <v>3.36</v>
      </c>
      <c r="F20" s="2">
        <f>IFERROR(ROUND(Data!B18/(SUMPRODUCT(('Form responses 1'!$B$2:$B1000 = A20) * ('Form responses 1'!$A$2:$A1000 &lt;= DATE(2024, 4, 30)))
+ SUMPRODUCT(('Form responses 1'!$C$2:$C1000 = A20) * ('Form responses 1'!$A$2:$A1000 &lt;= DATE(2024, 4, 30)))
+ SUMPRODUCT(('Form responses 1'!$D$2:$D1000 = A20) * ('Form responses 1'!$A$2:$A1000 &lt;= DATE(2024, 4, 30)))
+ SUMPRODUCT(('Form responses 1'!$E$2:$E1000 = A20) * ('Form responses 1'!$A$2:$A1000 &lt;= DATE(2024, 4, 30)))
+ SUMPRODUCT(('Form responses 1'!$F$2:$F1000 = A20) * ('Form responses 1'!$A$2:$A1000 &lt;= DATE(2024, 4, 30)))
+ SUMPRODUCT(('Form responses 1'!$G$2:$G1000 = A20) * ('Form responses 1'!$A$2:$A1000 &lt;= DATE(2024, 4, 30)))), 2), "-")
</f>
        <v>3.29</v>
      </c>
      <c r="G20" s="2">
        <f>IFERROR(ROUND(Data!B18/(SUMPRODUCT(('Form responses 1'!$B$2:$B1000 = A20) * ('Form responses 1'!$A$2:$A1000 &lt;= DATE(2024, 5, 31)))
+ SUMPRODUCT(('Form responses 1'!$C$2:$C1000 = A20) * ('Form responses 1'!$A$2:$A1000 &lt;= DATE(2024, 5, 31)))
+ SUMPRODUCT(('Form responses 1'!$D$2:$D1000 = A20) * ('Form responses 1'!$A$2:$A1000 &lt;= DATE(2024, 5, 31)))
+ SUMPRODUCT(('Form responses 1'!$E$2:$E1000 = A20) * ('Form responses 1'!$A$2:$A1000 &lt;= DATE(2024, 5, 31)))
+ SUMPRODUCT(('Form responses 1'!$F$2:$F1000 = A20) * ('Form responses 1'!$A$2:$A1000 &lt;= DATE(2024, 5, 31)))
+ SUMPRODUCT(('Form responses 1'!$G$2:$G1000 = A20) * ('Form responses 1'!$A$2:$A1000 &lt;= DATE(2024, 5, 31)))), 2), "-")
</f>
        <v>3.1</v>
      </c>
      <c r="H20" s="2">
        <f>IFERROR(ROUND(Data!B18/(SUMPRODUCT(('Form responses 1'!$B$2:$B1000 = A20) * ('Form responses 1'!$A$2:$A1000 &lt;= DATE(2024, 6, 30)))
+ SUMPRODUCT(('Form responses 1'!$C$2:$C1000 = A20) * ('Form responses 1'!$A$2:$A1000 &lt;= DATE(2024, 6, 30)))
+ SUMPRODUCT(('Form responses 1'!$D$2:$D1000 = A20) * ('Form responses 1'!$A$2:$A1000 &lt;= DATE(2024, 6, 30)))
+ SUMPRODUCT(('Form responses 1'!$E$2:$E1000 = A20) * ('Form responses 1'!$A$2:$A1000 &lt;= DATE(2024, 6, 30)))
+ SUMPRODUCT(('Form responses 1'!$F$2:$F1000 = A20) * ('Form responses 1'!$A$2:$A1000 &lt;= DATE(2024, 6, 30)))
+ SUMPRODUCT(('Form responses 1'!$G$2:$G1000 = A20) * ('Form responses 1'!$A$2:$A1000 &lt;= DATE(2024, 6, 30)))), 2), "-")
</f>
        <v>3.04</v>
      </c>
      <c r="I20" s="2">
        <f>IFERROR(ROUND(Data!B18/(SUMPRODUCT(('Form responses 1'!$B$2:$B1000 = A20) * ('Form responses 1'!$A$2:$A1000 &lt;= DATE(2024, 7, 31)))
+ SUMPRODUCT(('Form responses 1'!$C$2:$C1000 = A20) * ('Form responses 1'!$A$2:$A1000 &lt;= DATE(2024, 7, 31)))
+ SUMPRODUCT(('Form responses 1'!$D$2:$D1000 = A20) * ('Form responses 1'!$A$2:$A1000 &lt;= DATE(2024, 7, 31)))
+ SUMPRODUCT(('Form responses 1'!$E$2:$E1000 = A20) * ('Form responses 1'!$A$2:$A1000 &lt;= DATE(2024, 7, 31)))
+ SUMPRODUCT(('Form responses 1'!$F$2:$F1000 = A20) * ('Form responses 1'!$A$2:$A1000 &lt;= DATE(2024, 7, 31)))
+ SUMPRODUCT(('Form responses 1'!$G$2:$G1000 = A20) * ('Form responses 1'!$A$2:$A1000 &lt;= DATE(2024, 7, 31)))), 2), "-")
</f>
        <v>2.83</v>
      </c>
      <c r="J20" s="2">
        <f>IFERROR(ROUND(Data!B18/(SUMPRODUCT(('Form responses 1'!$B$2:$B1000 = A20) * ('Form responses 1'!$A$2:$A1000 &lt;= DATE(2024, 8, 31)))
+ SUMPRODUCT(('Form responses 1'!$C$2:$C1000 = A20) * ('Form responses 1'!$A$2:$A1000 &lt;= DATE(2024, 8, 31)))
+ SUMPRODUCT(('Form responses 1'!$D$2:$D1000 = A20) * ('Form responses 1'!$A$2:$A1000 &lt;= DATE(2024, 8, 31)))
+ SUMPRODUCT(('Form responses 1'!$E$2:$E1000 = A20) * ('Form responses 1'!$A$2:$A1000 &lt;= DATE(2024, 8, 31)))
+ SUMPRODUCT(('Form responses 1'!$F$2:$F1000 = A20) * ('Form responses 1'!$A$2:$A1000 &lt;= DATE(2024, 8, 31)))
+ SUMPRODUCT(('Form responses 1'!$G$2:$G1000 = A20) * ('Form responses 1'!$A$2:$A1000 &lt;= DATE(2024, 8, 31)))), 2), "-")
</f>
        <v>2.73</v>
      </c>
      <c r="K20" s="2">
        <f>IFERROR(ROUND(Data!B18/(SUMPRODUCT(('Form responses 1'!$B$2:$B1000 = A20) * ('Form responses 1'!$A$2:$A1000 &lt;= DATE(2024, 9, 30)))
+ SUMPRODUCT(('Form responses 1'!$C$2:$C1000 = A20) * ('Form responses 1'!$A$2:$A1000 &lt;= DATE(2024, 9, 30)))
+ SUMPRODUCT(('Form responses 1'!$D$2:$D1000 = A20) * ('Form responses 1'!$A$2:$A1000 &lt;= DATE(2024, 9, 30)))
+ SUMPRODUCT(('Form responses 1'!$E$2:$E1000 = A20) * ('Form responses 1'!$A$2:$A1000 &lt;= DATE(2024, 9, 30)))
+ SUMPRODUCT(('Form responses 1'!$F$2:$F1000 = A20) * ('Form responses 1'!$A$2:$A1000 &lt;= DATE(2024, 9, 30)))
+ SUMPRODUCT(('Form responses 1'!$G$2:$G1000 = A20) * ('Form responses 1'!$A$2:$A1000 &lt;= DATE(2024, 9, 30)))), 2), "-")
</f>
        <v>2.48</v>
      </c>
      <c r="L20" s="2">
        <f>IFERROR(ROUND(Data!B18/(SUMPRODUCT(('Form responses 1'!$B$2:$B1000 = A20) * ('Form responses 1'!$A$2:$A1000 &lt;= DATE(2024, 10, 31)))
+ SUMPRODUCT(('Form responses 1'!$C$2:$C1000 = A20) * ('Form responses 1'!$A$2:$A1000 &lt;= DATE(2024, 10, 31)))
+ SUMPRODUCT(('Form responses 1'!$D$2:$D1000 = A20) * ('Form responses 1'!$A$2:$A1000 &lt;= DATE(2024, 10, 31)))
+ SUMPRODUCT(('Form responses 1'!$E$2:$E1000 = A20) * ('Form responses 1'!$A$2:$A1000 &lt;= DATE(2024, 10, 31)))
+ SUMPRODUCT(('Form responses 1'!$F$2:$F1000 = A20) * ('Form responses 1'!$A$2:$A1000 &lt;= DATE(2024, 10, 31)))
+ SUMPRODUCT(('Form responses 1'!$G$2:$G1000 = A20) * ('Form responses 1'!$A$2:$A1000 &lt;= DATE(2024, 10, 31)))), 2), "-")
</f>
        <v>2.37</v>
      </c>
      <c r="M20" s="2">
        <f>IFERROR(ROUND(Data!B18/(SUMPRODUCT(('Form responses 1'!$B$2:$B1000 = A20) * ('Form responses 1'!$A$2:$A1000 &lt;= DATE(2024, 11, 30)))
+ SUMPRODUCT(('Form responses 1'!$C$2:$C1000 = A20) * ('Form responses 1'!$A$2:$A1000 &lt;= DATE(2024, 11, 30)))
+ SUMPRODUCT(('Form responses 1'!$D$2:$D1000 = A20) * ('Form responses 1'!$A$2:$A1000 &lt;= DATE(2024, 11, 30)))
+ SUMPRODUCT(('Form responses 1'!$E$2:$E1000 = A20) * ('Form responses 1'!$A$2:$A1000 &lt;= DATE(2024, 11, 30)))
+ SUMPRODUCT(('Form responses 1'!$F$2:$F1000 = A20) * ('Form responses 1'!$A$2:$A1000 &lt;= DATE(2024, 11, 30)))
+ SUMPRODUCT(('Form responses 1'!$G$2:$G1000 = A20) * ('Form responses 1'!$A$2:$A1000 &lt;= DATE(2024, 11, 30)))), 2), "-")
</f>
        <v>2.21</v>
      </c>
      <c r="N20" s="2">
        <f>IFERROR(ROUND(Data!B18/(SUMPRODUCT(('Form responses 1'!$B$2:$B1000 = A20) * ('Form responses 1'!$A$2:$A1000 &lt;= DATE(2024, 12, 31)))
+ SUMPRODUCT(('Form responses 1'!$C$2:$C1000 = A20) * ('Form responses 1'!$A$2:$A1000 &lt;= DATE(2024, 12, 31)))
+ SUMPRODUCT(('Form responses 1'!$D$2:$D1000 = A20) * ('Form responses 1'!$A$2:$A1000 &lt;= DATE(2024, 12, 31)))
+ SUMPRODUCT(('Form responses 1'!$E$2:$E1000 = A20) * ('Form responses 1'!$A$2:$A1000 &lt;= DATE(2024, 12, 31)))
+ SUMPRODUCT(('Form responses 1'!$F$2:$F1000 = A20) * ('Form responses 1'!$A$2:$A1000 &lt;= DATE(2024, 12, 31)))
+ SUMPRODUCT(('Form responses 1'!$G$2:$G1000 = A20) * ('Form responses 1'!$A$2:$A1000 &lt;= DATE(2024, 12, 31)))), 2), "-")
</f>
        <v>2.02</v>
      </c>
      <c r="O20" s="2">
        <f>IFERROR(ROUND(Data!B18/(SUMPRODUCT(('Form responses 1'!$B$2:$B1000 = A20) * ('Form responses 1'!$A$2:$A1000 &lt;= DATE(2025, 1, 31)))
+ SUMPRODUCT(('Form responses 1'!$C$2:$C1000 = A20) * ('Form responses 1'!$A$2:$A1000 &lt;= DATE(2025, 1, 31)))
+ SUMPRODUCT(('Form responses 1'!$D$2:$D1000 = A20) * ('Form responses 1'!$A$2:$A1000 &lt;= DATE(2025, 1, 31)))
+ SUMPRODUCT(('Form responses 1'!$E$2:$E1000 = A20) * ('Form responses 1'!$A$2:$A1000 &lt;= DATE(2025, 1, 31)))
+ SUMPRODUCT(('Form responses 1'!$F$2:$F1000 = A20) * ('Form responses 1'!$A$2:$A1000 &lt;= DATE(2025, 1, 31)))
+ SUMPRODUCT(('Form responses 1'!$G$2:$G1000 = A20) * ('Form responses 1'!$A$2:$A1000 &lt;= DATE(2025, 1, 31)))), 2), "-")
</f>
        <v>1.9</v>
      </c>
      <c r="P20" s="2">
        <f>IFERROR(ROUND(Data!B18/(SUMPRODUCT(('Form responses 1'!$B$2:$B1000 = A20) * ('Form responses 1'!$A$2:$A1000 &lt;= DATE(2025, 2, 28)))
+ SUMPRODUCT(('Form responses 1'!$C$2:$C1000 = A20) * ('Form responses 1'!$A$2:$A1000 &lt;= DATE(2025, 2, 28)))
+ SUMPRODUCT(('Form responses 1'!$D$2:$D1000 = A20) * ('Form responses 1'!$A$2:$A1000 &lt;= DATE(2025, 2, 28)))
+ SUMPRODUCT(('Form responses 1'!$E$2:$E1000 = A20) * ('Form responses 1'!$A$2:$A1000 &lt;= DATE(2025, 2, 28)))
+ SUMPRODUCT(('Form responses 1'!$F$2:$F1000 = A20) * ('Form responses 1'!$A$2:$A1000 &lt;= DATE(2025, 2, 28)))
+ SUMPRODUCT(('Form responses 1'!$G$2:$G1000 = A20) * ('Form responses 1'!$A$2:$A1000 &lt;= DATE(2025, 2, 28)))), 2), "-")
</f>
        <v>1.77</v>
      </c>
      <c r="Q20" s="2">
        <f>IFERROR(ROUND(Data!B18/(SUMPRODUCT(('Form responses 1'!$B$2:$B1000 = A20) * ('Form responses 1'!$A$2:$A1000 &lt;= DATE(2025, 3, 31)))
+ SUMPRODUCT(('Form responses 1'!$C$2:$C1000 = A20) * ('Form responses 1'!$A$2:$A1000 &lt;= DATE(2025, 3, 31)))
+ SUMPRODUCT(('Form responses 1'!$D$2:$D1000 = A20) * ('Form responses 1'!$A$2:$A1000 &lt;= DATE(2025, 3, 31)))
+ SUMPRODUCT(('Form responses 1'!$E$2:$E1000 = A20) * ('Form responses 1'!$A$2:$A1000 &lt;= DATE(2025, 3, 31)))
+ SUMPRODUCT(('Form responses 1'!$F$2:$F1000 = A20) * ('Form responses 1'!$A$2:$A1000 &lt;= DATE(2025, 3, 31)))
+ SUMPRODUCT(('Form responses 1'!$G$2:$G1000 = A20) * ('Form responses 1'!$A$2:$A1000 &lt;= DATE(2025, 3, 31)))),2),"-")</f>
        <v>1.72</v>
      </c>
      <c r="R20" s="2">
        <f>IFERROR(ROUND(Data!B18/(SUMPRODUCT(('Form responses 1'!$B$2:$B1000 = A20) * ('Form responses 1'!$A$2:$A1000 &lt;= DATE(2025, 4, 30)))
+ SUMPRODUCT(('Form responses 1'!$C$2:$C1000 = A20) * ('Form responses 1'!$A$2:$A1000 &lt;= DATE(2025, 4, 30)))
+ SUMPRODUCT(('Form responses 1'!$D$2:$D1000 = A20) * ('Form responses 1'!$A$2:$A1000 &lt;= DATE(2025, 4, 30)))
+ SUMPRODUCT(('Form responses 1'!$E$2:$E1000 = A20) * ('Form responses 1'!$A$2:$A1000 &lt;= DATE(2025, 4, 30)))
+ SUMPRODUCT(('Form responses 1'!$F$2:$F1000 = A20) * ('Form responses 1'!$A$2:$A1000 &lt;= DATE(2025, 4, 30)))
+ SUMPRODUCT(('Form responses 1'!$G$2:$G1000 = A20) * ('Form responses 1'!$A$2:$A1000 &lt;= DATE(2025, 4, 30)))), 2), "-")
</f>
        <v>1.52</v>
      </c>
      <c r="S20" s="2">
        <f>IFERROR(ROUND(Data!B18/(SUMPRODUCT(('Form responses 1'!$B$2:$B1000 = A20) * ('Form responses 1'!$A$2:$A1000 &lt;= DATE(2025, 5, 31)))
+ SUMPRODUCT(('Form responses 1'!$C$2:$C1000 = A20) * ('Form responses 1'!$A$2:$A1000 &lt;= DATE(2025, 5, 31)))
+ SUMPRODUCT(('Form responses 1'!$D$2:$D1000 = A20) * ('Form responses 1'!$A$2:$A1000 &lt;= DATE(2025, 5, 31)))
+ SUMPRODUCT(('Form responses 1'!$E$2:$E1000 = A20) * ('Form responses 1'!$A$2:$A1000 &lt;= DATE(2025, 5, 31)))
+ SUMPRODUCT(('Form responses 1'!$F$2:$F1000 = A20) * ('Form responses 1'!$A$2:$A1000 &lt;= DATE(2025, 5, 31)))
+ SUMPRODUCT(('Form responses 1'!$G$2:$G1000 = A20) * ('Form responses 1'!$A$2:$A1000 &lt;= DATE(2025, 5, 31)))), 2), "-")
</f>
        <v>1.44</v>
      </c>
      <c r="T20" s="2">
        <f>IFERROR(ROUND(Data!B18/(SUMPRODUCT(('Form responses 1'!$B$2:$B1000 = A20) * ('Form responses 1'!$A$2:$A1000 &lt;= DATE(2025, 6, 30)))
+ SUMPRODUCT(('Form responses 1'!$C$2:$C1000 = A20) * ('Form responses 1'!$A$2:$A1000 &lt;= DATE(2025, 6, 30)))
+ SUMPRODUCT(('Form responses 1'!$D$2:$D1000 = A20) * ('Form responses 1'!$A$2:$A1000 &lt;= DATE(2025, 6, 30)))
+ SUMPRODUCT(('Form responses 1'!$E$2:$E1000 = A20) * ('Form responses 1'!$A$2:$A1000 &lt;= DATE(2025, 6, 30)))
+ SUMPRODUCT(('Form responses 1'!$F$2:$F1000 = A20) * ('Form responses 1'!$A$2:$A1000 &lt;= DATE(2025, 6, 30)))
+ SUMPRODUCT(('Form responses 1'!$G$2:$G1000 = A20) * ('Form responses 1'!$A$2:$A1000 &lt;= DATE(2025, 6, 30)))), 2), "-")
</f>
        <v>1.34</v>
      </c>
      <c r="U20" s="2">
        <f>IFERROR(ROUND(Data!B18/(SUMPRODUCT(('Form responses 1'!$B$2:$B1000 = A20) * ('Form responses 1'!$A$2:$A1000 &lt;= DATE(2025, 7, 31)))
+ SUMPRODUCT(('Form responses 1'!$C$2:$C1000 = A20) * ('Form responses 1'!$A$2:$A1000 &lt;= DATE(2025, 7, 31)))
+ SUMPRODUCT(('Form responses 1'!$D$2:$D1000 = A20) * ('Form responses 1'!$A$2:$A1000 &lt;= DATE(2025, 7, 31)))
+ SUMPRODUCT(('Form responses 1'!$E$2:$E1000 = A20) * ('Form responses 1'!$A$2:$A1000 &lt;= DATE(2025, 7, 31)))
+ SUMPRODUCT(('Form responses 1'!$F$2:$F1000 = A20) * ('Form responses 1'!$A$2:$A1000 &lt;= DATE(2025, 7, 31)))
+ SUMPRODUCT(('Form responses 1'!$G$2:$G1000 = A20) * ('Form responses 1'!$A$2:$A1000 &lt;= DATE(2025, 7, 31)))), 2), "-")
</f>
        <v>1.28</v>
      </c>
      <c r="V20" s="2">
        <f>IFERROR(ROUND(Data!B18/(SUMPRODUCT(('Form responses 1'!$B$2:$B1000 = A20) * ('Form responses 1'!$A$2:$A1000 &lt;= DATE(2025, 8, 31)))
+ SUMPRODUCT(('Form responses 1'!$C$2:$C1000 = A20) * ('Form responses 1'!$A$2:$A1000 &lt;= DATE(2025, 8, 31)))
+ SUMPRODUCT(('Form responses 1'!$D$2:$D1000 = A20) * ('Form responses 1'!$A$2:$A1000 &lt;= DATE(2025, 8, 31)))
+ SUMPRODUCT(('Form responses 1'!$E$2:$E1000 = A20) * ('Form responses 1'!$A$2:$A1000 &lt;= DATE(2025, 8, 31)))
+ SUMPRODUCT(('Form responses 1'!$F$2:$F1000 = A20) * ('Form responses 1'!$A$2:$A1000 &lt;= DATE(2025, 8, 31)))
+ SUMPRODUCT(('Form responses 1'!$G$2:$G1000 = A20) * ('Form responses 1'!$A$2:$A1000 &lt;= DATE(2025, 8, 31)))), 2), "-")
</f>
        <v>1.25</v>
      </c>
      <c r="W20" s="2">
        <f>IFERROR(ROUND(Data!B18/(SUMPRODUCT(('Form responses 1'!$B$2:$B1000 = A20) * ('Form responses 1'!$A$2:$A1000 &lt;= DATE(2025, 9, 30)))
+ SUMPRODUCT(('Form responses 1'!$C$2:$C1000 = A20) * ('Form responses 1'!$A$2:$A1000 &lt;= DATE(2025, 9, 30)))
+ SUMPRODUCT(('Form responses 1'!$D$2:$D1000 = A20) * ('Form responses 1'!$A$2:$A1000 &lt;= DATE(2025, 9, 30)))
+ SUMPRODUCT(('Form responses 1'!$E$2:$E1000 = A20) * ('Form responses 1'!$A$2:$A1000 &lt;= DATE(2025, 9, 30)))
+ SUMPRODUCT(('Form responses 1'!$F$2:$F1000 = A20) * ('Form responses 1'!$A$2:$A1000 &lt;= DATE(2025, 9, 30)))
+ SUMPRODUCT(('Form responses 1'!$G$2:$G1000 = A20) * ('Form responses 1'!$A$2:$A1000 &lt;= DATE(2025, 9, 30)))), 2), "-")
</f>
        <v>1.14</v>
      </c>
      <c r="X20" s="2">
        <f>IFERROR(ROUND(Data!B18/(SUMPRODUCT(('Form responses 1'!$B$2:$B1000 = A20) * ('Form responses 1'!$A$2:$A1000 &lt;= DATE(2025, 10, 31)))
+ SUMPRODUCT(('Form responses 1'!$C$2:$C1000 = A20) * ('Form responses 1'!$A$2:$A1000 &lt;= DATE(2025, 10, 31)))
+ SUMPRODUCT(('Form responses 1'!$D$2:$D1000 = A20) * ('Form responses 1'!$A$2:$A1000 &lt;= DATE(2025, 10, 31)))
+ SUMPRODUCT(('Form responses 1'!$E$2:$E1000 = A20) * ('Form responses 1'!$A$2:$A1000 &lt;= DATE(2025, 10, 31)))
+ SUMPRODUCT(('Form responses 1'!$F$2:$F1000 = A20) * ('Form responses 1'!$A$2:$A1000 &lt;= DATE(2025, 10, 31)))
+ SUMPRODUCT(('Form responses 1'!$G$2:$G1000 = A20) * ('Form responses 1'!$A$2:$A1000 &lt;= DATE(2025, 10, 31)))), 2), "-")
</f>
        <v>1.03</v>
      </c>
      <c r="Y20" s="2">
        <f>IFERROR(ROUND(Data!B18/(SUMPRODUCT(('Form responses 1'!$B$2:$B1000 = A20) * ('Form responses 1'!$A$2:$A1000 &lt;= DATE(2025, 11, 30)))
+ SUMPRODUCT(('Form responses 1'!$C$2:$C1000 = A20) * ('Form responses 1'!$A$2:$A1000 &lt;= DATE(2025, 11, 30)))
+ SUMPRODUCT(('Form responses 1'!$D$2:$D1000 = A20) * ('Form responses 1'!$A$2:$A1000 &lt;= DATE(2025, 11, 30)))
+ SUMPRODUCT(('Form responses 1'!$E$2:$E1000 = A20) * ('Form responses 1'!$A$2:$A1000 &lt;= DATE(2025, 11, 30)))
+ SUMPRODUCT(('Form responses 1'!$F$2:$F1000 = A20) * ('Form responses 1'!$A$2:$A1000 &lt;= DATE(2025, 11, 30)))
+ SUMPRODUCT(('Form responses 1'!$G$2:$G1000 = A20) * ('Form responses 1'!$A$2:$A1000 &lt;= DATE(2025, 11, 30)))), 2), "-")
</f>
        <v>0.93</v>
      </c>
      <c r="Z20" s="2">
        <f>IFERROR(ROUND(Data!B18/(SUMPRODUCT(('Form responses 1'!$B$2:$B1000 = A20) * ('Form responses 1'!$A$2:$A1000 &lt;= DATE(2025, 12, 31)))
+ SUMPRODUCT(('Form responses 1'!$C$2:$C1000 = A20) * ('Form responses 1'!$A$2:$A1000 &lt;= DATE(2025, 12, 31)))
+ SUMPRODUCT(('Form responses 1'!$D$2:$D1000 = A20) * ('Form responses 1'!$A$2:$A1000 &lt;= DATE(2025, 12, 31)))
+ SUMPRODUCT(('Form responses 1'!$E$2:$E1000 = A20) * ('Form responses 1'!$A$2:$A1000 &lt;= DATE(2025, 12, 31)))
+ SUMPRODUCT(('Form responses 1'!$F$2:$F1000 = A20) * ('Form responses 1'!$A$2:$A1000 &lt;= DATE(2025, 12, 31)))
+ SUMPRODUCT(('Form responses 1'!$G$2:$G1000 = A20) * ('Form responses 1'!$A$2:$A1000 &lt;= DATE(2025, 12, 31)))), 2), "-")
</f>
        <v>0.87</v>
      </c>
      <c r="AA20" s="2">
        <f>IFERROR(ROUND(Data!$B20/(
  SUMPRODUCT(('Form responses 1'!$B$2:$B1000=$A20)*('Form responses 1'!$A$2:$A1000&lt;=EOMONTH(DATEVALUE("1 "&amp;AA$1),0)))+
  SUMPRODUCT(('Form responses 1'!$C$2:$C1000=$A20)*('Form responses 1'!$A$2:$A1000&lt;=EOMONTH(DATEVALUE("1 "&amp;AA$1),0)))+
  SUMPRODUCT(('Form responses 1'!$D$2:$D1000=$A20)*('Form responses 1'!$A$2:$A1000&lt;=EOMONTH(DATEVALUE("1 "&amp;AA$1),0)))+
  SUMPRODUCT(('Form responses 1'!$E$2:$E1000=$A20)*('Form responses 1'!$A$2:$A1000&lt;=EOMONTH(DATEVALUE("1 "&amp;AA$1),0)))+
  SUMPRODUCT(('Form responses 1'!$F$2:$F1000=$A20)*('Form responses 1'!$A$2:$A1000&lt;=EOMONTH(DATEVALUE("1 "&amp;AA$1),0)))+
  SUMPRODUCT(('Form responses 1'!$G$2:$G1000=$A20)*('Form responses 1'!$A$2:$A1000&lt;=EOMONTH(DATEVALUE("1 "&amp;AA$1),0)))
),2),"-")</f>
        <v>0.7</v>
      </c>
      <c r="AB20" s="2">
        <f>IFERROR(ROUND(Data!$B20/(
  SUMPRODUCT(('Form responses 1'!$B$2:$B1000=$A20)*('Form responses 1'!$A$2:$A1000&lt;=EOMONTH(DATEVALUE("1 "&amp;AB$1),0)))+
  SUMPRODUCT(('Form responses 1'!$C$2:$C1000=$A20)*('Form responses 1'!$A$2:$A1000&lt;=EOMONTH(DATEVALUE("1 "&amp;AB$1),0)))+
  SUMPRODUCT(('Form responses 1'!$D$2:$D1000=$A20)*('Form responses 1'!$A$2:$A1000&lt;=EOMONTH(DATEVALUE("1 "&amp;AB$1),0)))+
  SUMPRODUCT(('Form responses 1'!$E$2:$E1000=$A20)*('Form responses 1'!$A$2:$A1000&lt;=EOMONTH(DATEVALUE("1 "&amp;AB$1),0)))+
  SUMPRODUCT(('Form responses 1'!$F$2:$F1000=$A20)*('Form responses 1'!$A$2:$A1000&lt;=EOMONTH(DATEVALUE("1 "&amp;AB$1),0)))+
  SUMPRODUCT(('Form responses 1'!$G$2:$G1000=$A20)*('Form responses 1'!$A$2:$A1000&lt;=EOMONTH(DATEVALUE("1 "&amp;AB$1),0)))
),2),"-")</f>
        <v>0.67</v>
      </c>
      <c r="AC20" s="2">
        <f>IFERROR(ROUND(Data!$B20/(
  SUMPRODUCT(('Form responses 1'!$B$2:$B1000=$A20)*('Form responses 1'!$A$2:$A1000&lt;=EOMONTH(DATEVALUE("1 "&amp;AC$1),0)))+
  SUMPRODUCT(('Form responses 1'!$C$2:$C1000=$A20)*('Form responses 1'!$A$2:$A1000&lt;=EOMONTH(DATEVALUE("1 "&amp;AC$1),0)))+
  SUMPRODUCT(('Form responses 1'!$D$2:$D1000=$A20)*('Form responses 1'!$A$2:$A1000&lt;=EOMONTH(DATEVALUE("1 "&amp;AC$1),0)))+
  SUMPRODUCT(('Form responses 1'!$E$2:$E1000=$A20)*('Form responses 1'!$A$2:$A1000&lt;=EOMONTH(DATEVALUE("1 "&amp;AC$1),0)))+
  SUMPRODUCT(('Form responses 1'!$F$2:$F1000=$A20)*('Form responses 1'!$A$2:$A1000&lt;=EOMONTH(DATEVALUE("1 "&amp;AC$1),0)))+
  SUMPRODUCT(('Form responses 1'!$G$2:$G1000=$A20)*('Form responses 1'!$A$2:$A1000&lt;=EOMONTH(DATEVALUE("1 "&amp;AC$1),0)))
),2),"-")</f>
        <v>0.64</v>
      </c>
      <c r="AD20" s="2" t="str">
        <f>IFERROR(ROUND(Data!$B20/(
  SUMPRODUCT(('Form responses 1'!$B$2:$B1000=$A20)*('Form responses 1'!$A$2:$A1000&lt;=EOMONTH(DATEVALUE("1 "&amp;AD$1),0)))+
  SUMPRODUCT(('Form responses 1'!$C$2:$C1000=$A20)*('Form responses 1'!$A$2:$A1000&lt;=EOMONTH(DATEVALUE("1 "&amp;AD$1),0)))+
  SUMPRODUCT(('Form responses 1'!$D$2:$D1000=$A20)*('Form responses 1'!$A$2:$A1000&lt;=EOMONTH(DATEVALUE("1 "&amp;AD$1),0)))+
  SUMPRODUCT(('Form responses 1'!$E$2:$E1000=$A20)*('Form responses 1'!$A$2:$A1000&lt;=EOMONTH(DATEVALUE("1 "&amp;AD$1),0)))+
  SUMPRODUCT(('Form responses 1'!$F$2:$F1000=$A20)*('Form responses 1'!$A$2:$A1000&lt;=EOMONTH(DATEVALUE("1 "&amp;AD$1),0)))+
  SUMPRODUCT(('Form responses 1'!$G$2:$G1000=$A20)*('Form responses 1'!$A$2:$A1000&lt;=EOMONTH(DATEVALUE("1 "&amp;AD$1),0)))
),2),"-")</f>
        <v>-</v>
      </c>
      <c r="AE20" s="2" t="str">
        <f>IFERROR(ROUND(Data!$B20/(
  SUMPRODUCT(('Form responses 1'!$B$2:$B1000=$A20)*('Form responses 1'!$A$2:$A1000&lt;=EOMONTH(DATEVALUE("1 "&amp;AE$1),0)))+
  SUMPRODUCT(('Form responses 1'!$C$2:$C1000=$A20)*('Form responses 1'!$A$2:$A1000&lt;=EOMONTH(DATEVALUE("1 "&amp;AE$1),0)))+
  SUMPRODUCT(('Form responses 1'!$D$2:$D1000=$A20)*('Form responses 1'!$A$2:$A1000&lt;=EOMONTH(DATEVALUE("1 "&amp;AE$1),0)))+
  SUMPRODUCT(('Form responses 1'!$E$2:$E1000=$A20)*('Form responses 1'!$A$2:$A1000&lt;=EOMONTH(DATEVALUE("1 "&amp;AE$1),0)))+
  SUMPRODUCT(('Form responses 1'!$F$2:$F1000=$A20)*('Form responses 1'!$A$2:$A1000&lt;=EOMONTH(DATEVALUE("1 "&amp;AE$1),0)))+
  SUMPRODUCT(('Form responses 1'!$G$2:$G1000=$A20)*('Form responses 1'!$A$2:$A1000&lt;=EOMONTH(DATEVALUE("1 "&amp;AE$1),0)))
),2),"-")</f>
        <v>-</v>
      </c>
      <c r="AF20" s="2" t="str">
        <f>IFERROR(ROUND(Data!$B20/(
  SUMPRODUCT(('Form responses 1'!$B$2:$B1000=$A20)*('Form responses 1'!$A$2:$A1000&lt;=EOMONTH(DATEVALUE("1 "&amp;AF$1),0)))+
  SUMPRODUCT(('Form responses 1'!$C$2:$C1000=$A20)*('Form responses 1'!$A$2:$A1000&lt;=EOMONTH(DATEVALUE("1 "&amp;AF$1),0)))+
  SUMPRODUCT(('Form responses 1'!$D$2:$D1000=$A20)*('Form responses 1'!$A$2:$A1000&lt;=EOMONTH(DATEVALUE("1 "&amp;AF$1),0)))+
  SUMPRODUCT(('Form responses 1'!$E$2:$E1000=$A20)*('Form responses 1'!$A$2:$A1000&lt;=EOMONTH(DATEVALUE("1 "&amp;AF$1),0)))+
  SUMPRODUCT(('Form responses 1'!$F$2:$F1000=$A20)*('Form responses 1'!$A$2:$A1000&lt;=EOMONTH(DATEVALUE("1 "&amp;AF$1),0)))+
  SUMPRODUCT(('Form responses 1'!$G$2:$G1000=$A20)*('Form responses 1'!$A$2:$A1000&lt;=EOMONTH(DATEVALUE("1 "&amp;AF$1),0)))
),2),"-")</f>
        <v>-</v>
      </c>
      <c r="AG20" s="2" t="str">
        <f>IFERROR(ROUND(Data!$B20/(
  SUMPRODUCT(('Form responses 1'!$B$2:$B1000=$A20)*('Form responses 1'!$A$2:$A1000&lt;=EOMONTH(DATEVALUE("1 "&amp;AG$1),0)))+
  SUMPRODUCT(('Form responses 1'!$C$2:$C1000=$A20)*('Form responses 1'!$A$2:$A1000&lt;=EOMONTH(DATEVALUE("1 "&amp;AG$1),0)))+
  SUMPRODUCT(('Form responses 1'!$D$2:$D1000=$A20)*('Form responses 1'!$A$2:$A1000&lt;=EOMONTH(DATEVALUE("1 "&amp;AG$1),0)))+
  SUMPRODUCT(('Form responses 1'!$E$2:$E1000=$A20)*('Form responses 1'!$A$2:$A1000&lt;=EOMONTH(DATEVALUE("1 "&amp;AG$1),0)))+
  SUMPRODUCT(('Form responses 1'!$F$2:$F1000=$A20)*('Form responses 1'!$A$2:$A1000&lt;=EOMONTH(DATEVALUE("1 "&amp;AG$1),0)))+
  SUMPRODUCT(('Form responses 1'!$G$2:$G1000=$A20)*('Form responses 1'!$A$2:$A1000&lt;=EOMONTH(DATEVALUE("1 "&amp;AG$1),0)))
),2),"-")</f>
        <v>-</v>
      </c>
      <c r="AH20" s="2" t="str">
        <f>IFERROR(ROUND(Data!$B20/(
  SUMPRODUCT(('Form responses 1'!$B$2:$B1000=$A20)*('Form responses 1'!$A$2:$A1000&lt;=EOMONTH(DATEVALUE("1 "&amp;AH$1),0)))+
  SUMPRODUCT(('Form responses 1'!$C$2:$C1000=$A20)*('Form responses 1'!$A$2:$A1000&lt;=EOMONTH(DATEVALUE("1 "&amp;AH$1),0)))+
  SUMPRODUCT(('Form responses 1'!$D$2:$D1000=$A20)*('Form responses 1'!$A$2:$A1000&lt;=EOMONTH(DATEVALUE("1 "&amp;AH$1),0)))+
  SUMPRODUCT(('Form responses 1'!$E$2:$E1000=$A20)*('Form responses 1'!$A$2:$A1000&lt;=EOMONTH(DATEVALUE("1 "&amp;AH$1),0)))+
  SUMPRODUCT(('Form responses 1'!$F$2:$F1000=$A20)*('Form responses 1'!$A$2:$A1000&lt;=EOMONTH(DATEVALUE("1 "&amp;AH$1),0)))+
  SUMPRODUCT(('Form responses 1'!$G$2:$G1000=$A20)*('Form responses 1'!$A$2:$A1000&lt;=EOMONTH(DATEVALUE("1 "&amp;AH$1),0)))
),2),"-")</f>
        <v>-</v>
      </c>
      <c r="AI20" s="2" t="str">
        <f>IFERROR(ROUND(Data!$B20/(
  SUMPRODUCT(('Form responses 1'!$B$2:$B1000=$A20)*('Form responses 1'!$A$2:$A1000&lt;=EOMONTH(DATEVALUE("1 "&amp;AI$1),0)))+
  SUMPRODUCT(('Form responses 1'!$C$2:$C1000=$A20)*('Form responses 1'!$A$2:$A1000&lt;=EOMONTH(DATEVALUE("1 "&amp;AI$1),0)))+
  SUMPRODUCT(('Form responses 1'!$D$2:$D1000=$A20)*('Form responses 1'!$A$2:$A1000&lt;=EOMONTH(DATEVALUE("1 "&amp;AI$1),0)))+
  SUMPRODUCT(('Form responses 1'!$E$2:$E1000=$A20)*('Form responses 1'!$A$2:$A1000&lt;=EOMONTH(DATEVALUE("1 "&amp;AI$1),0)))+
  SUMPRODUCT(('Form responses 1'!$F$2:$F1000=$A20)*('Form responses 1'!$A$2:$A1000&lt;=EOMONTH(DATEVALUE("1 "&amp;AI$1),0)))+
  SUMPRODUCT(('Form responses 1'!$G$2:$G1000=$A20)*('Form responses 1'!$A$2:$A1000&lt;=EOMONTH(DATEVALUE("1 "&amp;AI$1),0)))
),2),"-")</f>
        <v>-</v>
      </c>
      <c r="AJ20" s="2" t="str">
        <f>IFERROR(ROUND(Data!$B20/(
  SUMPRODUCT(('Form responses 1'!$B$2:$B1000=$A20)*('Form responses 1'!$A$2:$A1000&lt;=EOMONTH(DATEVALUE("1 "&amp;AJ$1),0)))+
  SUMPRODUCT(('Form responses 1'!$C$2:$C1000=$A20)*('Form responses 1'!$A$2:$A1000&lt;=EOMONTH(DATEVALUE("1 "&amp;AJ$1),0)))+
  SUMPRODUCT(('Form responses 1'!$D$2:$D1000=$A20)*('Form responses 1'!$A$2:$A1000&lt;=EOMONTH(DATEVALUE("1 "&amp;AJ$1),0)))+
  SUMPRODUCT(('Form responses 1'!$E$2:$E1000=$A20)*('Form responses 1'!$A$2:$A1000&lt;=EOMONTH(DATEVALUE("1 "&amp;AJ$1),0)))+
  SUMPRODUCT(('Form responses 1'!$F$2:$F1000=$A20)*('Form responses 1'!$A$2:$A1000&lt;=EOMONTH(DATEVALUE("1 "&amp;AJ$1),0)))+
  SUMPRODUCT(('Form responses 1'!$G$2:$G1000=$A20)*('Form responses 1'!$A$2:$A1000&lt;=EOMONTH(DATEVALUE("1 "&amp;AJ$1),0)))
),2),"-")</f>
        <v>-</v>
      </c>
      <c r="AK20" s="2" t="str">
        <f>IFERROR(ROUND(Data!$B20/(
  SUMPRODUCT(('Form responses 1'!$B$2:$B1000=$A20)*('Form responses 1'!$A$2:$A1000&lt;=EOMONTH(DATEVALUE("1 "&amp;AK$1),0)))+
  SUMPRODUCT(('Form responses 1'!$C$2:$C1000=$A20)*('Form responses 1'!$A$2:$A1000&lt;=EOMONTH(DATEVALUE("1 "&amp;AK$1),0)))+
  SUMPRODUCT(('Form responses 1'!$D$2:$D1000=$A20)*('Form responses 1'!$A$2:$A1000&lt;=EOMONTH(DATEVALUE("1 "&amp;AK$1),0)))+
  SUMPRODUCT(('Form responses 1'!$E$2:$E1000=$A20)*('Form responses 1'!$A$2:$A1000&lt;=EOMONTH(DATEVALUE("1 "&amp;AK$1),0)))+
  SUMPRODUCT(('Form responses 1'!$F$2:$F1000=$A20)*('Form responses 1'!$A$2:$A1000&lt;=EOMONTH(DATEVALUE("1 "&amp;AK$1),0)))+
  SUMPRODUCT(('Form responses 1'!$G$2:$G1000=$A20)*('Form responses 1'!$A$2:$A1000&lt;=EOMONTH(DATEVALUE("1 "&amp;AK$1),0)))
),2),"-")</f>
        <v>-</v>
      </c>
      <c r="AL20" s="2" t="str">
        <f>IFERROR(ROUND(Data!$B20/(
  SUMPRODUCT(('Form responses 1'!$B$2:$B1000=$A20)*('Form responses 1'!$A$2:$A1000&lt;=EOMONTH(DATEVALUE("1 "&amp;AL$1),0)))+
  SUMPRODUCT(('Form responses 1'!$C$2:$C1000=$A20)*('Form responses 1'!$A$2:$A1000&lt;=EOMONTH(DATEVALUE("1 "&amp;AL$1),0)))+
  SUMPRODUCT(('Form responses 1'!$D$2:$D1000=$A20)*('Form responses 1'!$A$2:$A1000&lt;=EOMONTH(DATEVALUE("1 "&amp;AL$1),0)))+
  SUMPRODUCT(('Form responses 1'!$E$2:$E1000=$A20)*('Form responses 1'!$A$2:$A1000&lt;=EOMONTH(DATEVALUE("1 "&amp;AL$1),0)))+
  SUMPRODUCT(('Form responses 1'!$F$2:$F1000=$A20)*('Form responses 1'!$A$2:$A1000&lt;=EOMONTH(DATEVALUE("1 "&amp;AL$1),0)))+
  SUMPRODUCT(('Form responses 1'!$G$2:$G1000=$A20)*('Form responses 1'!$A$2:$A1000&lt;=EOMONTH(DATEVALUE("1 "&amp;AL$1),0)))
),2),"-")</f>
        <v>-</v>
      </c>
    </row>
    <row r="21">
      <c r="A21" s="3" t="str">
        <f>IFERROR(__xludf.DUMMYFUNCTION("""COMPUTED_VALUE"""),"Wit Fila t-shirt")</f>
        <v>Wit Fila t-shirt</v>
      </c>
      <c r="B21" s="2">
        <f>Data!F19:F1000</f>
        <v>0.23</v>
      </c>
      <c r="C21" s="2">
        <f>IFERROR(ROUND(Data!B19/(SUMPRODUCT(('Form responses 1'!$B$2:$B1000 = A21) * ('Form responses 1'!$A$2:$A1000 &lt;= DATE(2024, 1, 31)))
+ SUMPRODUCT(('Form responses 1'!$C$2:$C1000 = A21) * ('Form responses 1'!$A$2:$A1000 &lt;= DATE(2024, 1, 31)))
+ SUMPRODUCT(('Form responses 1'!$D$2:$D1000 = A21) * ('Form responses 1'!$A$2:$A1000 &lt;= DATE(2024, 1, 31)))
+ SUMPRODUCT(('Form responses 1'!$E$2:$E1000 = A21) * ('Form responses 1'!$A$2:$A1000 &lt;= DATE(2024, 1, 31)))
+ SUMPRODUCT(('Form responses 1'!$F$2:$F1000 = A21) * ('Form responses 1'!$A$2:$A1000 &lt;= DATE(2024, 1, 31)))
+ SUMPRODUCT(('Form responses 1'!$G$2:$G1000 = A21) * ('Form responses 1'!$A$2:$A1000 &lt;= DATE(2024, 1, 31)))), 2), "-")
</f>
        <v>0.55</v>
      </c>
      <c r="D21" s="2">
        <f>IFERROR(ROUND(Data!B19/(SUMPRODUCT(('Form responses 1'!$B$2:$B1000 = A21) * ('Form responses 1'!$A$2:$A1000 &lt;= DATE(2024, 2, 29)))
+ SUMPRODUCT(('Form responses 1'!$C$2:$C1000 = A21) * ('Form responses 1'!$A$2:$A1000 &lt;= DATE(2024, 2, 29)))
+ SUMPRODUCT(('Form responses 1'!$D$2:$D1000 = A21) * ('Form responses 1'!$A$2:$A1000 &lt;= DATE(2024, 2, 29)))
+ SUMPRODUCT(('Form responses 1'!$E$2:$E1000 = A21) * ('Form responses 1'!$A$2:$A1000 &lt;= DATE(2024, 2, 29)))
+ SUMPRODUCT(('Form responses 1'!$F$2:$F1000 = A21) * ('Form responses 1'!$A$2:$A1000 &lt;= DATE(2024, 2, 29)))
+ SUMPRODUCT(('Form responses 1'!$G$2:$G1000 = A21) * ('Form responses 1'!$A$2:$A1000 &lt;= DATE(2024, 2, 29)))), 2), "-")
</f>
        <v>0.55</v>
      </c>
      <c r="E21" s="2">
        <f>IFERROR(ROUND(Data!B19/(SUMPRODUCT(('Form responses 1'!$B$2:$B1000 = A21) * ('Form responses 1'!$A$2:$A1000 &lt;= DATE(2024, 3, 31)))
+ SUMPRODUCT(('Form responses 1'!$C$2:$C1000 = A21) * ('Form responses 1'!$A$2:$A1000 &lt;= DATE(2024, 3, 31)))
+ SUMPRODUCT(('Form responses 1'!$D$2:$D1000 = A21) * ('Form responses 1'!$A$2:$A1000 &lt;= DATE(2024, 3, 31)))
+ SUMPRODUCT(('Form responses 1'!$E$2:$E1000 = A21) * ('Form responses 1'!$A$2:$A1000 &lt;= DATE(2024, 3, 31)))
+ SUMPRODUCT(('Form responses 1'!$F$2:$F1000 = A21) * ('Form responses 1'!$A$2:$A1000 &lt;= DATE(2024, 3, 31)))
+ SUMPRODUCT(('Form responses 1'!$G$2:$G1000 = A21) * ('Form responses 1'!$A$2:$A1000 &lt;= DATE(2024, 3, 31)))), 2), "-")
</f>
        <v>0.55</v>
      </c>
      <c r="F21" s="2">
        <f>IFERROR(ROUND(Data!B19/(SUMPRODUCT(('Form responses 1'!$B$2:$B1000 = A21) * ('Form responses 1'!$A$2:$A1000 &lt;= DATE(2024, 4, 30)))
+ SUMPRODUCT(('Form responses 1'!$C$2:$C1000 = A21) * ('Form responses 1'!$A$2:$A1000 &lt;= DATE(2024, 4, 30)))
+ SUMPRODUCT(('Form responses 1'!$D$2:$D1000 = A21) * ('Form responses 1'!$A$2:$A1000 &lt;= DATE(2024, 4, 30)))
+ SUMPRODUCT(('Form responses 1'!$E$2:$E1000 = A21) * ('Form responses 1'!$A$2:$A1000 &lt;= DATE(2024, 4, 30)))
+ SUMPRODUCT(('Form responses 1'!$F$2:$F1000 = A21) * ('Form responses 1'!$A$2:$A1000 &lt;= DATE(2024, 4, 30)))
+ SUMPRODUCT(('Form responses 1'!$G$2:$G1000 = A21) * ('Form responses 1'!$A$2:$A1000 &lt;= DATE(2024, 4, 30)))), 2), "-")
</f>
        <v>0.55</v>
      </c>
      <c r="G21" s="2">
        <f>IFERROR(ROUND(Data!B19/(SUMPRODUCT(('Form responses 1'!$B$2:$B1000 = A21) * ('Form responses 1'!$A$2:$A1000 &lt;= DATE(2024, 5, 31)))
+ SUMPRODUCT(('Form responses 1'!$C$2:$C1000 = A21) * ('Form responses 1'!$A$2:$A1000 &lt;= DATE(2024, 5, 31)))
+ SUMPRODUCT(('Form responses 1'!$D$2:$D1000 = A21) * ('Form responses 1'!$A$2:$A1000 &lt;= DATE(2024, 5, 31)))
+ SUMPRODUCT(('Form responses 1'!$E$2:$E1000 = A21) * ('Form responses 1'!$A$2:$A1000 &lt;= DATE(2024, 5, 31)))
+ SUMPRODUCT(('Form responses 1'!$F$2:$F1000 = A21) * ('Form responses 1'!$A$2:$A1000 &lt;= DATE(2024, 5, 31)))
+ SUMPRODUCT(('Form responses 1'!$G$2:$G1000 = A21) * ('Form responses 1'!$A$2:$A1000 &lt;= DATE(2024, 5, 31)))), 2), "-")
</f>
        <v>0.55</v>
      </c>
      <c r="H21" s="2">
        <f>IFERROR(ROUND(Data!B19/(SUMPRODUCT(('Form responses 1'!$B$2:$B1000 = A21) * ('Form responses 1'!$A$2:$A1000 &lt;= DATE(2024, 6, 30)))
+ SUMPRODUCT(('Form responses 1'!$C$2:$C1000 = A21) * ('Form responses 1'!$A$2:$A1000 &lt;= DATE(2024, 6, 30)))
+ SUMPRODUCT(('Form responses 1'!$D$2:$D1000 = A21) * ('Form responses 1'!$A$2:$A1000 &lt;= DATE(2024, 6, 30)))
+ SUMPRODUCT(('Form responses 1'!$E$2:$E1000 = A21) * ('Form responses 1'!$A$2:$A1000 &lt;= DATE(2024, 6, 30)))
+ SUMPRODUCT(('Form responses 1'!$F$2:$F1000 = A21) * ('Form responses 1'!$A$2:$A1000 &lt;= DATE(2024, 6, 30)))
+ SUMPRODUCT(('Form responses 1'!$G$2:$G1000 = A21) * ('Form responses 1'!$A$2:$A1000 &lt;= DATE(2024, 6, 30)))), 2), "-")
</f>
        <v>0.55</v>
      </c>
      <c r="I21" s="2">
        <f>IFERROR(ROUND(Data!B19/(SUMPRODUCT(('Form responses 1'!$B$2:$B1000 = A21) * ('Form responses 1'!$A$2:$A1000 &lt;= DATE(2024, 7, 31)))
+ SUMPRODUCT(('Form responses 1'!$C$2:$C1000 = A21) * ('Form responses 1'!$A$2:$A1000 &lt;= DATE(2024, 7, 31)))
+ SUMPRODUCT(('Form responses 1'!$D$2:$D1000 = A21) * ('Form responses 1'!$A$2:$A1000 &lt;= DATE(2024, 7, 31)))
+ SUMPRODUCT(('Form responses 1'!$E$2:$E1000 = A21) * ('Form responses 1'!$A$2:$A1000 &lt;= DATE(2024, 7, 31)))
+ SUMPRODUCT(('Form responses 1'!$F$2:$F1000 = A21) * ('Form responses 1'!$A$2:$A1000 &lt;= DATE(2024, 7, 31)))
+ SUMPRODUCT(('Form responses 1'!$G$2:$G1000 = A21) * ('Form responses 1'!$A$2:$A1000 &lt;= DATE(2024, 7, 31)))), 2), "-")
</f>
        <v>0.54</v>
      </c>
      <c r="J21" s="2">
        <f>IFERROR(ROUND(Data!B19/(SUMPRODUCT(('Form responses 1'!$B$2:$B1000 = A21) * ('Form responses 1'!$A$2:$A1000 &lt;= DATE(2024, 8, 31)))
+ SUMPRODUCT(('Form responses 1'!$C$2:$C1000 = A21) * ('Form responses 1'!$A$2:$A1000 &lt;= DATE(2024, 8, 31)))
+ SUMPRODUCT(('Form responses 1'!$D$2:$D1000 = A21) * ('Form responses 1'!$A$2:$A1000 &lt;= DATE(2024, 8, 31)))
+ SUMPRODUCT(('Form responses 1'!$E$2:$E1000 = A21) * ('Form responses 1'!$A$2:$A1000 &lt;= DATE(2024, 8, 31)))
+ SUMPRODUCT(('Form responses 1'!$F$2:$F1000 = A21) * ('Form responses 1'!$A$2:$A1000 &lt;= DATE(2024, 8, 31)))
+ SUMPRODUCT(('Form responses 1'!$G$2:$G1000 = A21) * ('Form responses 1'!$A$2:$A1000 &lt;= DATE(2024, 8, 31)))), 2), "-")
</f>
        <v>0.52</v>
      </c>
      <c r="K21" s="2">
        <f>IFERROR(ROUND(Data!B19/(SUMPRODUCT(('Form responses 1'!$B$2:$B1000 = A21) * ('Form responses 1'!$A$2:$A1000 &lt;= DATE(2024, 9, 30)))
+ SUMPRODUCT(('Form responses 1'!$C$2:$C1000 = A21) * ('Form responses 1'!$A$2:$A1000 &lt;= DATE(2024, 9, 30)))
+ SUMPRODUCT(('Form responses 1'!$D$2:$D1000 = A21) * ('Form responses 1'!$A$2:$A1000 &lt;= DATE(2024, 9, 30)))
+ SUMPRODUCT(('Form responses 1'!$E$2:$E1000 = A21) * ('Form responses 1'!$A$2:$A1000 &lt;= DATE(2024, 9, 30)))
+ SUMPRODUCT(('Form responses 1'!$F$2:$F1000 = A21) * ('Form responses 1'!$A$2:$A1000 &lt;= DATE(2024, 9, 30)))
+ SUMPRODUCT(('Form responses 1'!$G$2:$G1000 = A21) * ('Form responses 1'!$A$2:$A1000 &lt;= DATE(2024, 9, 30)))), 2), "-")
</f>
        <v>0.48</v>
      </c>
      <c r="L21" s="2">
        <f>IFERROR(ROUND(Data!B19/(SUMPRODUCT(('Form responses 1'!$B$2:$B1000 = A21) * ('Form responses 1'!$A$2:$A1000 &lt;= DATE(2024, 10, 31)))
+ SUMPRODUCT(('Form responses 1'!$C$2:$C1000 = A21) * ('Form responses 1'!$A$2:$A1000 &lt;= DATE(2024, 10, 31)))
+ SUMPRODUCT(('Form responses 1'!$D$2:$D1000 = A21) * ('Form responses 1'!$A$2:$A1000 &lt;= DATE(2024, 10, 31)))
+ SUMPRODUCT(('Form responses 1'!$E$2:$E1000 = A21) * ('Form responses 1'!$A$2:$A1000 &lt;= DATE(2024, 10, 31)))
+ SUMPRODUCT(('Form responses 1'!$F$2:$F1000 = A21) * ('Form responses 1'!$A$2:$A1000 &lt;= DATE(2024, 10, 31)))
+ SUMPRODUCT(('Form responses 1'!$G$2:$G1000 = A21) * ('Form responses 1'!$A$2:$A1000 &lt;= DATE(2024, 10, 31)))), 2), "-")
</f>
        <v>0.48</v>
      </c>
      <c r="M21" s="2">
        <f>IFERROR(ROUND(Data!B19/(SUMPRODUCT(('Form responses 1'!$B$2:$B1000 = A21) * ('Form responses 1'!$A$2:$A1000 &lt;= DATE(2024, 11, 30)))
+ SUMPRODUCT(('Form responses 1'!$C$2:$C1000 = A21) * ('Form responses 1'!$A$2:$A1000 &lt;= DATE(2024, 11, 30)))
+ SUMPRODUCT(('Form responses 1'!$D$2:$D1000 = A21) * ('Form responses 1'!$A$2:$A1000 &lt;= DATE(2024, 11, 30)))
+ SUMPRODUCT(('Form responses 1'!$E$2:$E1000 = A21) * ('Form responses 1'!$A$2:$A1000 &lt;= DATE(2024, 11, 30)))
+ SUMPRODUCT(('Form responses 1'!$F$2:$F1000 = A21) * ('Form responses 1'!$A$2:$A1000 &lt;= DATE(2024, 11, 30)))
+ SUMPRODUCT(('Form responses 1'!$G$2:$G1000 = A21) * ('Form responses 1'!$A$2:$A1000 &lt;= DATE(2024, 11, 30)))), 2), "-")
</f>
        <v>0.48</v>
      </c>
      <c r="N21" s="2">
        <f>IFERROR(ROUND(Data!B19/(SUMPRODUCT(('Form responses 1'!$B$2:$B1000 = A21) * ('Form responses 1'!$A$2:$A1000 &lt;= DATE(2024, 12, 31)))
+ SUMPRODUCT(('Form responses 1'!$C$2:$C1000 = A21) * ('Form responses 1'!$A$2:$A1000 &lt;= DATE(2024, 12, 31)))
+ SUMPRODUCT(('Form responses 1'!$D$2:$D1000 = A21) * ('Form responses 1'!$A$2:$A1000 &lt;= DATE(2024, 12, 31)))
+ SUMPRODUCT(('Form responses 1'!$E$2:$E1000 = A21) * ('Form responses 1'!$A$2:$A1000 &lt;= DATE(2024, 12, 31)))
+ SUMPRODUCT(('Form responses 1'!$F$2:$F1000 = A21) * ('Form responses 1'!$A$2:$A1000 &lt;= DATE(2024, 12, 31)))
+ SUMPRODUCT(('Form responses 1'!$G$2:$G1000 = A21) * ('Form responses 1'!$A$2:$A1000 &lt;= DATE(2024, 12, 31)))), 2), "-")
</f>
        <v>0.42</v>
      </c>
      <c r="O21" s="2">
        <f>IFERROR(ROUND(Data!B19/(SUMPRODUCT(('Form responses 1'!$B$2:$B1000 = A21) * ('Form responses 1'!$A$2:$A1000 &lt;= DATE(2025, 1, 31)))
+ SUMPRODUCT(('Form responses 1'!$C$2:$C1000 = A21) * ('Form responses 1'!$A$2:$A1000 &lt;= DATE(2025, 1, 31)))
+ SUMPRODUCT(('Form responses 1'!$D$2:$D1000 = A21) * ('Form responses 1'!$A$2:$A1000 &lt;= DATE(2025, 1, 31)))
+ SUMPRODUCT(('Form responses 1'!$E$2:$E1000 = A21) * ('Form responses 1'!$A$2:$A1000 &lt;= DATE(2025, 1, 31)))
+ SUMPRODUCT(('Form responses 1'!$F$2:$F1000 = A21) * ('Form responses 1'!$A$2:$A1000 &lt;= DATE(2025, 1, 31)))
+ SUMPRODUCT(('Form responses 1'!$G$2:$G1000 = A21) * ('Form responses 1'!$A$2:$A1000 &lt;= DATE(2025, 1, 31)))), 2), "-")
</f>
        <v>0.41</v>
      </c>
      <c r="P21" s="2">
        <f>IFERROR(ROUND(Data!B19/(SUMPRODUCT(('Form responses 1'!$B$2:$B1000 = A21) * ('Form responses 1'!$A$2:$A1000 &lt;= DATE(2025, 2, 28)))
+ SUMPRODUCT(('Form responses 1'!$C$2:$C1000 = A21) * ('Form responses 1'!$A$2:$A1000 &lt;= DATE(2025, 2, 28)))
+ SUMPRODUCT(('Form responses 1'!$D$2:$D1000 = A21) * ('Form responses 1'!$A$2:$A1000 &lt;= DATE(2025, 2, 28)))
+ SUMPRODUCT(('Form responses 1'!$E$2:$E1000 = A21) * ('Form responses 1'!$A$2:$A1000 &lt;= DATE(2025, 2, 28)))
+ SUMPRODUCT(('Form responses 1'!$F$2:$F1000 = A21) * ('Form responses 1'!$A$2:$A1000 &lt;= DATE(2025, 2, 28)))
+ SUMPRODUCT(('Form responses 1'!$G$2:$G1000 = A21) * ('Form responses 1'!$A$2:$A1000 &lt;= DATE(2025, 2, 28)))), 2), "-")
</f>
        <v>0.38</v>
      </c>
      <c r="Q21" s="2">
        <f>IFERROR(ROUND(Data!B19/(SUMPRODUCT(('Form responses 1'!$B$2:$B1000 = A21) * ('Form responses 1'!$A$2:$A1000 &lt;= DATE(2025, 3, 31)))
+ SUMPRODUCT(('Form responses 1'!$C$2:$C1000 = A21) * ('Form responses 1'!$A$2:$A1000 &lt;= DATE(2025, 3, 31)))
+ SUMPRODUCT(('Form responses 1'!$D$2:$D1000 = A21) * ('Form responses 1'!$A$2:$A1000 &lt;= DATE(2025, 3, 31)))
+ SUMPRODUCT(('Form responses 1'!$E$2:$E1000 = A21) * ('Form responses 1'!$A$2:$A1000 &lt;= DATE(2025, 3, 31)))
+ SUMPRODUCT(('Form responses 1'!$F$2:$F1000 = A21) * ('Form responses 1'!$A$2:$A1000 &lt;= DATE(2025, 3, 31)))
+ SUMPRODUCT(('Form responses 1'!$G$2:$G1000 = A21) * ('Form responses 1'!$A$2:$A1000 &lt;= DATE(2025, 3, 31)))),2),"-")</f>
        <v>0.38</v>
      </c>
      <c r="R21" s="2">
        <f>IFERROR(ROUND(Data!B19/(SUMPRODUCT(('Form responses 1'!$B$2:$B1000 = A21) * ('Form responses 1'!$A$2:$A1000 &lt;= DATE(2025, 4, 30)))
+ SUMPRODUCT(('Form responses 1'!$C$2:$C1000 = A21) * ('Form responses 1'!$A$2:$A1000 &lt;= DATE(2025, 4, 30)))
+ SUMPRODUCT(('Form responses 1'!$D$2:$D1000 = A21) * ('Form responses 1'!$A$2:$A1000 &lt;= DATE(2025, 4, 30)))
+ SUMPRODUCT(('Form responses 1'!$E$2:$E1000 = A21) * ('Form responses 1'!$A$2:$A1000 &lt;= DATE(2025, 4, 30)))
+ SUMPRODUCT(('Form responses 1'!$F$2:$F1000 = A21) * ('Form responses 1'!$A$2:$A1000 &lt;= DATE(2025, 4, 30)))
+ SUMPRODUCT(('Form responses 1'!$G$2:$G1000 = A21) * ('Form responses 1'!$A$2:$A1000 &lt;= DATE(2025, 4, 30)))), 2), "-")
</f>
        <v>0.38</v>
      </c>
      <c r="S21" s="2">
        <f>IFERROR(ROUND(Data!B19/(SUMPRODUCT(('Form responses 1'!$B$2:$B1000 = A21) * ('Form responses 1'!$A$2:$A1000 &lt;= DATE(2025, 5, 31)))
+ SUMPRODUCT(('Form responses 1'!$C$2:$C1000 = A21) * ('Form responses 1'!$A$2:$A1000 &lt;= DATE(2025, 5, 31)))
+ SUMPRODUCT(('Form responses 1'!$D$2:$D1000 = A21) * ('Form responses 1'!$A$2:$A1000 &lt;= DATE(2025, 5, 31)))
+ SUMPRODUCT(('Form responses 1'!$E$2:$E1000 = A21) * ('Form responses 1'!$A$2:$A1000 &lt;= DATE(2025, 5, 31)))
+ SUMPRODUCT(('Form responses 1'!$F$2:$F1000 = A21) * ('Form responses 1'!$A$2:$A1000 &lt;= DATE(2025, 5, 31)))
+ SUMPRODUCT(('Form responses 1'!$G$2:$G1000 = A21) * ('Form responses 1'!$A$2:$A1000 &lt;= DATE(2025, 5, 31)))), 2), "-")
</f>
        <v>0.37</v>
      </c>
      <c r="T21" s="2">
        <f>IFERROR(ROUND(Data!B19/(SUMPRODUCT(('Form responses 1'!$B$2:$B1000 = A21) * ('Form responses 1'!$A$2:$A1000 &lt;= DATE(2025, 6, 30)))
+ SUMPRODUCT(('Form responses 1'!$C$2:$C1000 = A21) * ('Form responses 1'!$A$2:$A1000 &lt;= DATE(2025, 6, 30)))
+ SUMPRODUCT(('Form responses 1'!$D$2:$D1000 = A21) * ('Form responses 1'!$A$2:$A1000 &lt;= DATE(2025, 6, 30)))
+ SUMPRODUCT(('Form responses 1'!$E$2:$E1000 = A21) * ('Form responses 1'!$A$2:$A1000 &lt;= DATE(2025, 6, 30)))
+ SUMPRODUCT(('Form responses 1'!$F$2:$F1000 = A21) * ('Form responses 1'!$A$2:$A1000 &lt;= DATE(2025, 6, 30)))
+ SUMPRODUCT(('Form responses 1'!$G$2:$G1000 = A21) * ('Form responses 1'!$A$2:$A1000 &lt;= DATE(2025, 6, 30)))), 2), "-")
</f>
        <v>0.36</v>
      </c>
      <c r="U21" s="2">
        <f>IFERROR(ROUND(Data!B19/(SUMPRODUCT(('Form responses 1'!$B$2:$B1000 = A21) * ('Form responses 1'!$A$2:$A1000 &lt;= DATE(2025, 7, 31)))
+ SUMPRODUCT(('Form responses 1'!$C$2:$C1000 = A21) * ('Form responses 1'!$A$2:$A1000 &lt;= DATE(2025, 7, 31)))
+ SUMPRODUCT(('Form responses 1'!$D$2:$D1000 = A21) * ('Form responses 1'!$A$2:$A1000 &lt;= DATE(2025, 7, 31)))
+ SUMPRODUCT(('Form responses 1'!$E$2:$E1000 = A21) * ('Form responses 1'!$A$2:$A1000 &lt;= DATE(2025, 7, 31)))
+ SUMPRODUCT(('Form responses 1'!$F$2:$F1000 = A21) * ('Form responses 1'!$A$2:$A1000 &lt;= DATE(2025, 7, 31)))
+ SUMPRODUCT(('Form responses 1'!$G$2:$G1000 = A21) * ('Form responses 1'!$A$2:$A1000 &lt;= DATE(2025, 7, 31)))), 2), "-")
</f>
        <v>0.36</v>
      </c>
      <c r="V21" s="2">
        <f>IFERROR(ROUND(Data!B19/(SUMPRODUCT(('Form responses 1'!$B$2:$B1000 = A21) * ('Form responses 1'!$A$2:$A1000 &lt;= DATE(2025, 8, 31)))
+ SUMPRODUCT(('Form responses 1'!$C$2:$C1000 = A21) * ('Form responses 1'!$A$2:$A1000 &lt;= DATE(2025, 8, 31)))
+ SUMPRODUCT(('Form responses 1'!$D$2:$D1000 = A21) * ('Form responses 1'!$A$2:$A1000 &lt;= DATE(2025, 8, 31)))
+ SUMPRODUCT(('Form responses 1'!$E$2:$E1000 = A21) * ('Form responses 1'!$A$2:$A1000 &lt;= DATE(2025, 8, 31)))
+ SUMPRODUCT(('Form responses 1'!$F$2:$F1000 = A21) * ('Form responses 1'!$A$2:$A1000 &lt;= DATE(2025, 8, 31)))
+ SUMPRODUCT(('Form responses 1'!$G$2:$G1000 = A21) * ('Form responses 1'!$A$2:$A1000 &lt;= DATE(2025, 8, 31)))), 2), "-")
</f>
        <v>0.36</v>
      </c>
      <c r="W21" s="2">
        <f>IFERROR(ROUND(Data!B19/(SUMPRODUCT(('Form responses 1'!$B$2:$B1000 = A21) * ('Form responses 1'!$A$2:$A1000 &lt;= DATE(2025, 9, 30)))
+ SUMPRODUCT(('Form responses 1'!$C$2:$C1000 = A21) * ('Form responses 1'!$A$2:$A1000 &lt;= DATE(2025, 9, 30)))
+ SUMPRODUCT(('Form responses 1'!$D$2:$D1000 = A21) * ('Form responses 1'!$A$2:$A1000 &lt;= DATE(2025, 9, 30)))
+ SUMPRODUCT(('Form responses 1'!$E$2:$E1000 = A21) * ('Form responses 1'!$A$2:$A1000 &lt;= DATE(2025, 9, 30)))
+ SUMPRODUCT(('Form responses 1'!$F$2:$F1000 = A21) * ('Form responses 1'!$A$2:$A1000 &lt;= DATE(2025, 9, 30)))
+ SUMPRODUCT(('Form responses 1'!$G$2:$G1000 = A21) * ('Form responses 1'!$A$2:$A1000 &lt;= DATE(2025, 9, 30)))), 2), "-")
</f>
        <v>0.36</v>
      </c>
      <c r="X21" s="2">
        <f>IFERROR(ROUND(Data!B19/(SUMPRODUCT(('Form responses 1'!$B$2:$B1000 = A21) * ('Form responses 1'!$A$2:$A1000 &lt;= DATE(2025, 10, 31)))
+ SUMPRODUCT(('Form responses 1'!$C$2:$C1000 = A21) * ('Form responses 1'!$A$2:$A1000 &lt;= DATE(2025, 10, 31)))
+ SUMPRODUCT(('Form responses 1'!$D$2:$D1000 = A21) * ('Form responses 1'!$A$2:$A1000 &lt;= DATE(2025, 10, 31)))
+ SUMPRODUCT(('Form responses 1'!$E$2:$E1000 = A21) * ('Form responses 1'!$A$2:$A1000 &lt;= DATE(2025, 10, 31)))
+ SUMPRODUCT(('Form responses 1'!$F$2:$F1000 = A21) * ('Form responses 1'!$A$2:$A1000 &lt;= DATE(2025, 10, 31)))
+ SUMPRODUCT(('Form responses 1'!$G$2:$G1000 = A21) * ('Form responses 1'!$A$2:$A1000 &lt;= DATE(2025, 10, 31)))), 2), "-")
</f>
        <v>0.36</v>
      </c>
      <c r="Y21" s="2">
        <f>IFERROR(ROUND(Data!B19/(SUMPRODUCT(('Form responses 1'!$B$2:$B1000 = A21) * ('Form responses 1'!$A$2:$A1000 &lt;= DATE(2025, 11, 30)))
+ SUMPRODUCT(('Form responses 1'!$C$2:$C1000 = A21) * ('Form responses 1'!$A$2:$A1000 &lt;= DATE(2025, 11, 30)))
+ SUMPRODUCT(('Form responses 1'!$D$2:$D1000 = A21) * ('Form responses 1'!$A$2:$A1000 &lt;= DATE(2025, 11, 30)))
+ SUMPRODUCT(('Form responses 1'!$E$2:$E1000 = A21) * ('Form responses 1'!$A$2:$A1000 &lt;= DATE(2025, 11, 30)))
+ SUMPRODUCT(('Form responses 1'!$F$2:$F1000 = A21) * ('Form responses 1'!$A$2:$A1000 &lt;= DATE(2025, 11, 30)))
+ SUMPRODUCT(('Form responses 1'!$G$2:$G1000 = A21) * ('Form responses 1'!$A$2:$A1000 &lt;= DATE(2025, 11, 30)))), 2), "-")
</f>
        <v>0.36</v>
      </c>
      <c r="Z21" s="2">
        <f>IFERROR(ROUND(Data!B19/(SUMPRODUCT(('Form responses 1'!$B$2:$B1000 = A21) * ('Form responses 1'!$A$2:$A1000 &lt;= DATE(2025, 12, 31)))
+ SUMPRODUCT(('Form responses 1'!$C$2:$C1000 = A21) * ('Form responses 1'!$A$2:$A1000 &lt;= DATE(2025, 12, 31)))
+ SUMPRODUCT(('Form responses 1'!$D$2:$D1000 = A21) * ('Form responses 1'!$A$2:$A1000 &lt;= DATE(2025, 12, 31)))
+ SUMPRODUCT(('Form responses 1'!$E$2:$E1000 = A21) * ('Form responses 1'!$A$2:$A1000 &lt;= DATE(2025, 12, 31)))
+ SUMPRODUCT(('Form responses 1'!$F$2:$F1000 = A21) * ('Form responses 1'!$A$2:$A1000 &lt;= DATE(2025, 12, 31)))
+ SUMPRODUCT(('Form responses 1'!$G$2:$G1000 = A21) * ('Form responses 1'!$A$2:$A1000 &lt;= DATE(2025, 12, 31)))), 2), "-")
</f>
        <v>0.36</v>
      </c>
      <c r="AA21" s="2">
        <f>IFERROR(ROUND(Data!$B21/(
  SUMPRODUCT(('Form responses 1'!$B$2:$B1000=$A21)*('Form responses 1'!$A$2:$A1000&lt;=EOMONTH(DATEVALUE("1 "&amp;AA$1),0)))+
  SUMPRODUCT(('Form responses 1'!$C$2:$C1000=$A21)*('Form responses 1'!$A$2:$A1000&lt;=EOMONTH(DATEVALUE("1 "&amp;AA$1),0)))+
  SUMPRODUCT(('Form responses 1'!$D$2:$D1000=$A21)*('Form responses 1'!$A$2:$A1000&lt;=EOMONTH(DATEVALUE("1 "&amp;AA$1),0)))+
  SUMPRODUCT(('Form responses 1'!$E$2:$E1000=$A21)*('Form responses 1'!$A$2:$A1000&lt;=EOMONTH(DATEVALUE("1 "&amp;AA$1),0)))+
  SUMPRODUCT(('Form responses 1'!$F$2:$F1000=$A21)*('Form responses 1'!$A$2:$A1000&lt;=EOMONTH(DATEVALUE("1 "&amp;AA$1),0)))+
  SUMPRODUCT(('Form responses 1'!$G$2:$G1000=$A21)*('Form responses 1'!$A$2:$A1000&lt;=EOMONTH(DATEVALUE("1 "&amp;AA$1),0)))
),2),"-")</f>
        <v>0.24</v>
      </c>
      <c r="AB21" s="2">
        <f>IFERROR(ROUND(Data!$B21/(
  SUMPRODUCT(('Form responses 1'!$B$2:$B1000=$A21)*('Form responses 1'!$A$2:$A1000&lt;=EOMONTH(DATEVALUE("1 "&amp;AB$1),0)))+
  SUMPRODUCT(('Form responses 1'!$C$2:$C1000=$A21)*('Form responses 1'!$A$2:$A1000&lt;=EOMONTH(DATEVALUE("1 "&amp;AB$1),0)))+
  SUMPRODUCT(('Form responses 1'!$D$2:$D1000=$A21)*('Form responses 1'!$A$2:$A1000&lt;=EOMONTH(DATEVALUE("1 "&amp;AB$1),0)))+
  SUMPRODUCT(('Form responses 1'!$E$2:$E1000=$A21)*('Form responses 1'!$A$2:$A1000&lt;=EOMONTH(DATEVALUE("1 "&amp;AB$1),0)))+
  SUMPRODUCT(('Form responses 1'!$F$2:$F1000=$A21)*('Form responses 1'!$A$2:$A1000&lt;=EOMONTH(DATEVALUE("1 "&amp;AB$1),0)))+
  SUMPRODUCT(('Form responses 1'!$G$2:$G1000=$A21)*('Form responses 1'!$A$2:$A1000&lt;=EOMONTH(DATEVALUE("1 "&amp;AB$1),0)))
),2),"-")</f>
        <v>0.24</v>
      </c>
      <c r="AC21" s="2">
        <f>IFERROR(ROUND(Data!$B21/(
  SUMPRODUCT(('Form responses 1'!$B$2:$B1000=$A21)*('Form responses 1'!$A$2:$A1000&lt;=EOMONTH(DATEVALUE("1 "&amp;AC$1),0)))+
  SUMPRODUCT(('Form responses 1'!$C$2:$C1000=$A21)*('Form responses 1'!$A$2:$A1000&lt;=EOMONTH(DATEVALUE("1 "&amp;AC$1),0)))+
  SUMPRODUCT(('Form responses 1'!$D$2:$D1000=$A21)*('Form responses 1'!$A$2:$A1000&lt;=EOMONTH(DATEVALUE("1 "&amp;AC$1),0)))+
  SUMPRODUCT(('Form responses 1'!$E$2:$E1000=$A21)*('Form responses 1'!$A$2:$A1000&lt;=EOMONTH(DATEVALUE("1 "&amp;AC$1),0)))+
  SUMPRODUCT(('Form responses 1'!$F$2:$F1000=$A21)*('Form responses 1'!$A$2:$A1000&lt;=EOMONTH(DATEVALUE("1 "&amp;AC$1),0)))+
  SUMPRODUCT(('Form responses 1'!$G$2:$G1000=$A21)*('Form responses 1'!$A$2:$A1000&lt;=EOMONTH(DATEVALUE("1 "&amp;AC$1),0)))
),2),"-")</f>
        <v>0.24</v>
      </c>
      <c r="AD21" s="2" t="str">
        <f>IFERROR(ROUND(Data!$B21/(
  SUMPRODUCT(('Form responses 1'!$B$2:$B1000=$A21)*('Form responses 1'!$A$2:$A1000&lt;=EOMONTH(DATEVALUE("1 "&amp;AD$1),0)))+
  SUMPRODUCT(('Form responses 1'!$C$2:$C1000=$A21)*('Form responses 1'!$A$2:$A1000&lt;=EOMONTH(DATEVALUE("1 "&amp;AD$1),0)))+
  SUMPRODUCT(('Form responses 1'!$D$2:$D1000=$A21)*('Form responses 1'!$A$2:$A1000&lt;=EOMONTH(DATEVALUE("1 "&amp;AD$1),0)))+
  SUMPRODUCT(('Form responses 1'!$E$2:$E1000=$A21)*('Form responses 1'!$A$2:$A1000&lt;=EOMONTH(DATEVALUE("1 "&amp;AD$1),0)))+
  SUMPRODUCT(('Form responses 1'!$F$2:$F1000=$A21)*('Form responses 1'!$A$2:$A1000&lt;=EOMONTH(DATEVALUE("1 "&amp;AD$1),0)))+
  SUMPRODUCT(('Form responses 1'!$G$2:$G1000=$A21)*('Form responses 1'!$A$2:$A1000&lt;=EOMONTH(DATEVALUE("1 "&amp;AD$1),0)))
),2),"-")</f>
        <v>-</v>
      </c>
      <c r="AE21" s="2" t="str">
        <f>IFERROR(ROUND(Data!$B21/(
  SUMPRODUCT(('Form responses 1'!$B$2:$B1000=$A21)*('Form responses 1'!$A$2:$A1000&lt;=EOMONTH(DATEVALUE("1 "&amp;AE$1),0)))+
  SUMPRODUCT(('Form responses 1'!$C$2:$C1000=$A21)*('Form responses 1'!$A$2:$A1000&lt;=EOMONTH(DATEVALUE("1 "&amp;AE$1),0)))+
  SUMPRODUCT(('Form responses 1'!$D$2:$D1000=$A21)*('Form responses 1'!$A$2:$A1000&lt;=EOMONTH(DATEVALUE("1 "&amp;AE$1),0)))+
  SUMPRODUCT(('Form responses 1'!$E$2:$E1000=$A21)*('Form responses 1'!$A$2:$A1000&lt;=EOMONTH(DATEVALUE("1 "&amp;AE$1),0)))+
  SUMPRODUCT(('Form responses 1'!$F$2:$F1000=$A21)*('Form responses 1'!$A$2:$A1000&lt;=EOMONTH(DATEVALUE("1 "&amp;AE$1),0)))+
  SUMPRODUCT(('Form responses 1'!$G$2:$G1000=$A21)*('Form responses 1'!$A$2:$A1000&lt;=EOMONTH(DATEVALUE("1 "&amp;AE$1),0)))
),2),"-")</f>
        <v>-</v>
      </c>
      <c r="AF21" s="2" t="str">
        <f>IFERROR(ROUND(Data!$B21/(
  SUMPRODUCT(('Form responses 1'!$B$2:$B1000=$A21)*('Form responses 1'!$A$2:$A1000&lt;=EOMONTH(DATEVALUE("1 "&amp;AF$1),0)))+
  SUMPRODUCT(('Form responses 1'!$C$2:$C1000=$A21)*('Form responses 1'!$A$2:$A1000&lt;=EOMONTH(DATEVALUE("1 "&amp;AF$1),0)))+
  SUMPRODUCT(('Form responses 1'!$D$2:$D1000=$A21)*('Form responses 1'!$A$2:$A1000&lt;=EOMONTH(DATEVALUE("1 "&amp;AF$1),0)))+
  SUMPRODUCT(('Form responses 1'!$E$2:$E1000=$A21)*('Form responses 1'!$A$2:$A1000&lt;=EOMONTH(DATEVALUE("1 "&amp;AF$1),0)))+
  SUMPRODUCT(('Form responses 1'!$F$2:$F1000=$A21)*('Form responses 1'!$A$2:$A1000&lt;=EOMONTH(DATEVALUE("1 "&amp;AF$1),0)))+
  SUMPRODUCT(('Form responses 1'!$G$2:$G1000=$A21)*('Form responses 1'!$A$2:$A1000&lt;=EOMONTH(DATEVALUE("1 "&amp;AF$1),0)))
),2),"-")</f>
        <v>-</v>
      </c>
      <c r="AG21" s="2" t="str">
        <f>IFERROR(ROUND(Data!$B21/(
  SUMPRODUCT(('Form responses 1'!$B$2:$B1000=$A21)*('Form responses 1'!$A$2:$A1000&lt;=EOMONTH(DATEVALUE("1 "&amp;AG$1),0)))+
  SUMPRODUCT(('Form responses 1'!$C$2:$C1000=$A21)*('Form responses 1'!$A$2:$A1000&lt;=EOMONTH(DATEVALUE("1 "&amp;AG$1),0)))+
  SUMPRODUCT(('Form responses 1'!$D$2:$D1000=$A21)*('Form responses 1'!$A$2:$A1000&lt;=EOMONTH(DATEVALUE("1 "&amp;AG$1),0)))+
  SUMPRODUCT(('Form responses 1'!$E$2:$E1000=$A21)*('Form responses 1'!$A$2:$A1000&lt;=EOMONTH(DATEVALUE("1 "&amp;AG$1),0)))+
  SUMPRODUCT(('Form responses 1'!$F$2:$F1000=$A21)*('Form responses 1'!$A$2:$A1000&lt;=EOMONTH(DATEVALUE("1 "&amp;AG$1),0)))+
  SUMPRODUCT(('Form responses 1'!$G$2:$G1000=$A21)*('Form responses 1'!$A$2:$A1000&lt;=EOMONTH(DATEVALUE("1 "&amp;AG$1),0)))
),2),"-")</f>
        <v>-</v>
      </c>
      <c r="AH21" s="2" t="str">
        <f>IFERROR(ROUND(Data!$B21/(
  SUMPRODUCT(('Form responses 1'!$B$2:$B1000=$A21)*('Form responses 1'!$A$2:$A1000&lt;=EOMONTH(DATEVALUE("1 "&amp;AH$1),0)))+
  SUMPRODUCT(('Form responses 1'!$C$2:$C1000=$A21)*('Form responses 1'!$A$2:$A1000&lt;=EOMONTH(DATEVALUE("1 "&amp;AH$1),0)))+
  SUMPRODUCT(('Form responses 1'!$D$2:$D1000=$A21)*('Form responses 1'!$A$2:$A1000&lt;=EOMONTH(DATEVALUE("1 "&amp;AH$1),0)))+
  SUMPRODUCT(('Form responses 1'!$E$2:$E1000=$A21)*('Form responses 1'!$A$2:$A1000&lt;=EOMONTH(DATEVALUE("1 "&amp;AH$1),0)))+
  SUMPRODUCT(('Form responses 1'!$F$2:$F1000=$A21)*('Form responses 1'!$A$2:$A1000&lt;=EOMONTH(DATEVALUE("1 "&amp;AH$1),0)))+
  SUMPRODUCT(('Form responses 1'!$G$2:$G1000=$A21)*('Form responses 1'!$A$2:$A1000&lt;=EOMONTH(DATEVALUE("1 "&amp;AH$1),0)))
),2),"-")</f>
        <v>-</v>
      </c>
      <c r="AI21" s="2" t="str">
        <f>IFERROR(ROUND(Data!$B21/(
  SUMPRODUCT(('Form responses 1'!$B$2:$B1000=$A21)*('Form responses 1'!$A$2:$A1000&lt;=EOMONTH(DATEVALUE("1 "&amp;AI$1),0)))+
  SUMPRODUCT(('Form responses 1'!$C$2:$C1000=$A21)*('Form responses 1'!$A$2:$A1000&lt;=EOMONTH(DATEVALUE("1 "&amp;AI$1),0)))+
  SUMPRODUCT(('Form responses 1'!$D$2:$D1000=$A21)*('Form responses 1'!$A$2:$A1000&lt;=EOMONTH(DATEVALUE("1 "&amp;AI$1),0)))+
  SUMPRODUCT(('Form responses 1'!$E$2:$E1000=$A21)*('Form responses 1'!$A$2:$A1000&lt;=EOMONTH(DATEVALUE("1 "&amp;AI$1),0)))+
  SUMPRODUCT(('Form responses 1'!$F$2:$F1000=$A21)*('Form responses 1'!$A$2:$A1000&lt;=EOMONTH(DATEVALUE("1 "&amp;AI$1),0)))+
  SUMPRODUCT(('Form responses 1'!$G$2:$G1000=$A21)*('Form responses 1'!$A$2:$A1000&lt;=EOMONTH(DATEVALUE("1 "&amp;AI$1),0)))
),2),"-")</f>
        <v>-</v>
      </c>
      <c r="AJ21" s="2" t="str">
        <f>IFERROR(ROUND(Data!$B21/(
  SUMPRODUCT(('Form responses 1'!$B$2:$B1000=$A21)*('Form responses 1'!$A$2:$A1000&lt;=EOMONTH(DATEVALUE("1 "&amp;AJ$1),0)))+
  SUMPRODUCT(('Form responses 1'!$C$2:$C1000=$A21)*('Form responses 1'!$A$2:$A1000&lt;=EOMONTH(DATEVALUE("1 "&amp;AJ$1),0)))+
  SUMPRODUCT(('Form responses 1'!$D$2:$D1000=$A21)*('Form responses 1'!$A$2:$A1000&lt;=EOMONTH(DATEVALUE("1 "&amp;AJ$1),0)))+
  SUMPRODUCT(('Form responses 1'!$E$2:$E1000=$A21)*('Form responses 1'!$A$2:$A1000&lt;=EOMONTH(DATEVALUE("1 "&amp;AJ$1),0)))+
  SUMPRODUCT(('Form responses 1'!$F$2:$F1000=$A21)*('Form responses 1'!$A$2:$A1000&lt;=EOMONTH(DATEVALUE("1 "&amp;AJ$1),0)))+
  SUMPRODUCT(('Form responses 1'!$G$2:$G1000=$A21)*('Form responses 1'!$A$2:$A1000&lt;=EOMONTH(DATEVALUE("1 "&amp;AJ$1),0)))
),2),"-")</f>
        <v>-</v>
      </c>
      <c r="AK21" s="2" t="str">
        <f>IFERROR(ROUND(Data!$B21/(
  SUMPRODUCT(('Form responses 1'!$B$2:$B1000=$A21)*('Form responses 1'!$A$2:$A1000&lt;=EOMONTH(DATEVALUE("1 "&amp;AK$1),0)))+
  SUMPRODUCT(('Form responses 1'!$C$2:$C1000=$A21)*('Form responses 1'!$A$2:$A1000&lt;=EOMONTH(DATEVALUE("1 "&amp;AK$1),0)))+
  SUMPRODUCT(('Form responses 1'!$D$2:$D1000=$A21)*('Form responses 1'!$A$2:$A1000&lt;=EOMONTH(DATEVALUE("1 "&amp;AK$1),0)))+
  SUMPRODUCT(('Form responses 1'!$E$2:$E1000=$A21)*('Form responses 1'!$A$2:$A1000&lt;=EOMONTH(DATEVALUE("1 "&amp;AK$1),0)))+
  SUMPRODUCT(('Form responses 1'!$F$2:$F1000=$A21)*('Form responses 1'!$A$2:$A1000&lt;=EOMONTH(DATEVALUE("1 "&amp;AK$1),0)))+
  SUMPRODUCT(('Form responses 1'!$G$2:$G1000=$A21)*('Form responses 1'!$A$2:$A1000&lt;=EOMONTH(DATEVALUE("1 "&amp;AK$1),0)))
),2),"-")</f>
        <v>-</v>
      </c>
      <c r="AL21" s="2" t="str">
        <f>IFERROR(ROUND(Data!$B21/(
  SUMPRODUCT(('Form responses 1'!$B$2:$B1000=$A21)*('Form responses 1'!$A$2:$A1000&lt;=EOMONTH(DATEVALUE("1 "&amp;AL$1),0)))+
  SUMPRODUCT(('Form responses 1'!$C$2:$C1000=$A21)*('Form responses 1'!$A$2:$A1000&lt;=EOMONTH(DATEVALUE("1 "&amp;AL$1),0)))+
  SUMPRODUCT(('Form responses 1'!$D$2:$D1000=$A21)*('Form responses 1'!$A$2:$A1000&lt;=EOMONTH(DATEVALUE("1 "&amp;AL$1),0)))+
  SUMPRODUCT(('Form responses 1'!$E$2:$E1000=$A21)*('Form responses 1'!$A$2:$A1000&lt;=EOMONTH(DATEVALUE("1 "&amp;AL$1),0)))+
  SUMPRODUCT(('Form responses 1'!$F$2:$F1000=$A21)*('Form responses 1'!$A$2:$A1000&lt;=EOMONTH(DATEVALUE("1 "&amp;AL$1),0)))+
  SUMPRODUCT(('Form responses 1'!$G$2:$G1000=$A21)*('Form responses 1'!$A$2:$A1000&lt;=EOMONTH(DATEVALUE("1 "&amp;AL$1),0)))
),2),"-")</f>
        <v>-</v>
      </c>
    </row>
    <row r="22">
      <c r="A22" s="3" t="str">
        <f>IFERROR(__xludf.DUMMYFUNCTION("""COMPUTED_VALUE"""),"Wit Nike t-shirt")</f>
        <v>Wit Nike t-shirt</v>
      </c>
      <c r="B22" s="2">
        <f>Data!F20:F1000</f>
        <v>0.14</v>
      </c>
      <c r="C22" s="2">
        <f>IFERROR(ROUND(Data!B20/(SUMPRODUCT(('Form responses 1'!$B$2:$B1000 = A22) * ('Form responses 1'!$A$2:$A1000 &lt;= DATE(2024, 1, 31)))
+ SUMPRODUCT(('Form responses 1'!$C$2:$C1000 = A22) * ('Form responses 1'!$A$2:$A1000 &lt;= DATE(2024, 1, 31)))
+ SUMPRODUCT(('Form responses 1'!$D$2:$D1000 = A22) * ('Form responses 1'!$A$2:$A1000 &lt;= DATE(2024, 1, 31)))
+ SUMPRODUCT(('Form responses 1'!$E$2:$E1000 = A22) * ('Form responses 1'!$A$2:$A1000 &lt;= DATE(2024, 1, 31)))
+ SUMPRODUCT(('Form responses 1'!$F$2:$F1000 = A22) * ('Form responses 1'!$A$2:$A1000 &lt;= DATE(2024, 1, 31)))
+ SUMPRODUCT(('Form responses 1'!$G$2:$G1000 = A22) * ('Form responses 1'!$A$2:$A1000 &lt;= DATE(2024, 1, 31)))), 2), "-")
</f>
        <v>1.32</v>
      </c>
      <c r="D22" s="2">
        <f>IFERROR(ROUND(Data!B20/(SUMPRODUCT(('Form responses 1'!$B$2:$B1000 = A22) * ('Form responses 1'!$A$2:$A1000 &lt;= DATE(2024, 2, 29)))
+ SUMPRODUCT(('Form responses 1'!$C$2:$C1000 = A22) * ('Form responses 1'!$A$2:$A1000 &lt;= DATE(2024, 2, 29)))
+ SUMPRODUCT(('Form responses 1'!$D$2:$D1000 = A22) * ('Form responses 1'!$A$2:$A1000 &lt;= DATE(2024, 2, 29)))
+ SUMPRODUCT(('Form responses 1'!$E$2:$E1000 = A22) * ('Form responses 1'!$A$2:$A1000 &lt;= DATE(2024, 2, 29)))
+ SUMPRODUCT(('Form responses 1'!$F$2:$F1000 = A22) * ('Form responses 1'!$A$2:$A1000 &lt;= DATE(2024, 2, 29)))
+ SUMPRODUCT(('Form responses 1'!$G$2:$G1000 = A22) * ('Form responses 1'!$A$2:$A1000 &lt;= DATE(2024, 2, 29)))), 2), "-")
</f>
        <v>1.23</v>
      </c>
      <c r="E22" s="2">
        <f>IFERROR(ROUND(Data!B20/(SUMPRODUCT(('Form responses 1'!$B$2:$B1000 = A22) * ('Form responses 1'!$A$2:$A1000 &lt;= DATE(2024, 3, 31)))
+ SUMPRODUCT(('Form responses 1'!$C$2:$C1000 = A22) * ('Form responses 1'!$A$2:$A1000 &lt;= DATE(2024, 3, 31)))
+ SUMPRODUCT(('Form responses 1'!$D$2:$D1000 = A22) * ('Form responses 1'!$A$2:$A1000 &lt;= DATE(2024, 3, 31)))
+ SUMPRODUCT(('Form responses 1'!$E$2:$E1000 = A22) * ('Form responses 1'!$A$2:$A1000 &lt;= DATE(2024, 3, 31)))
+ SUMPRODUCT(('Form responses 1'!$F$2:$F1000 = A22) * ('Form responses 1'!$A$2:$A1000 &lt;= DATE(2024, 3, 31)))
+ SUMPRODUCT(('Form responses 1'!$G$2:$G1000 = A22) * ('Form responses 1'!$A$2:$A1000 &lt;= DATE(2024, 3, 31)))), 2), "-")
</f>
        <v>1.23</v>
      </c>
      <c r="F22" s="2">
        <f>IFERROR(ROUND(Data!B20/(SUMPRODUCT(('Form responses 1'!$B$2:$B1000 = A22) * ('Form responses 1'!$A$2:$A1000 &lt;= DATE(2024, 4, 30)))
+ SUMPRODUCT(('Form responses 1'!$C$2:$C1000 = A22) * ('Form responses 1'!$A$2:$A1000 &lt;= DATE(2024, 4, 30)))
+ SUMPRODUCT(('Form responses 1'!$D$2:$D1000 = A22) * ('Form responses 1'!$A$2:$A1000 &lt;= DATE(2024, 4, 30)))
+ SUMPRODUCT(('Form responses 1'!$E$2:$E1000 = A22) * ('Form responses 1'!$A$2:$A1000 &lt;= DATE(2024, 4, 30)))
+ SUMPRODUCT(('Form responses 1'!$F$2:$F1000 = A22) * ('Form responses 1'!$A$2:$A1000 &lt;= DATE(2024, 4, 30)))
+ SUMPRODUCT(('Form responses 1'!$G$2:$G1000 = A22) * ('Form responses 1'!$A$2:$A1000 &lt;= DATE(2024, 4, 30)))), 2), "-")
</f>
        <v>1.22</v>
      </c>
      <c r="G22" s="2">
        <f>IFERROR(ROUND(Data!B20/(SUMPRODUCT(('Form responses 1'!$B$2:$B1000 = A22) * ('Form responses 1'!$A$2:$A1000 &lt;= DATE(2024, 5, 31)))
+ SUMPRODUCT(('Form responses 1'!$C$2:$C1000 = A22) * ('Form responses 1'!$A$2:$A1000 &lt;= DATE(2024, 5, 31)))
+ SUMPRODUCT(('Form responses 1'!$D$2:$D1000 = A22) * ('Form responses 1'!$A$2:$A1000 &lt;= DATE(2024, 5, 31)))
+ SUMPRODUCT(('Form responses 1'!$E$2:$E1000 = A22) * ('Form responses 1'!$A$2:$A1000 &lt;= DATE(2024, 5, 31)))
+ SUMPRODUCT(('Form responses 1'!$F$2:$F1000 = A22) * ('Form responses 1'!$A$2:$A1000 &lt;= DATE(2024, 5, 31)))
+ SUMPRODUCT(('Form responses 1'!$G$2:$G1000 = A22) * ('Form responses 1'!$A$2:$A1000 &lt;= DATE(2024, 5, 31)))), 2), "-")
</f>
        <v>1.22</v>
      </c>
      <c r="H22" s="2">
        <f>IFERROR(ROUND(Data!B20/(SUMPRODUCT(('Form responses 1'!$B$2:$B1000 = A22) * ('Form responses 1'!$A$2:$A1000 &lt;= DATE(2024, 6, 30)))
+ SUMPRODUCT(('Form responses 1'!$C$2:$C1000 = A22) * ('Form responses 1'!$A$2:$A1000 &lt;= DATE(2024, 6, 30)))
+ SUMPRODUCT(('Form responses 1'!$D$2:$D1000 = A22) * ('Form responses 1'!$A$2:$A1000 &lt;= DATE(2024, 6, 30)))
+ SUMPRODUCT(('Form responses 1'!$E$2:$E1000 = A22) * ('Form responses 1'!$A$2:$A1000 &lt;= DATE(2024, 6, 30)))
+ SUMPRODUCT(('Form responses 1'!$F$2:$F1000 = A22) * ('Form responses 1'!$A$2:$A1000 &lt;= DATE(2024, 6, 30)))
+ SUMPRODUCT(('Form responses 1'!$G$2:$G1000 = A22) * ('Form responses 1'!$A$2:$A1000 &lt;= DATE(2024, 6, 30)))), 2), "-")
</f>
        <v>1.22</v>
      </c>
      <c r="I22" s="2">
        <f>IFERROR(ROUND(Data!B20/(SUMPRODUCT(('Form responses 1'!$B$2:$B1000 = A22) * ('Form responses 1'!$A$2:$A1000 &lt;= DATE(2024, 7, 31)))
+ SUMPRODUCT(('Form responses 1'!$C$2:$C1000 = A22) * ('Form responses 1'!$A$2:$A1000 &lt;= DATE(2024, 7, 31)))
+ SUMPRODUCT(('Form responses 1'!$D$2:$D1000 = A22) * ('Form responses 1'!$A$2:$A1000 &lt;= DATE(2024, 7, 31)))
+ SUMPRODUCT(('Form responses 1'!$E$2:$E1000 = A22) * ('Form responses 1'!$A$2:$A1000 &lt;= DATE(2024, 7, 31)))
+ SUMPRODUCT(('Form responses 1'!$F$2:$F1000 = A22) * ('Form responses 1'!$A$2:$A1000 &lt;= DATE(2024, 7, 31)))
+ SUMPRODUCT(('Form responses 1'!$G$2:$G1000 = A22) * ('Form responses 1'!$A$2:$A1000 &lt;= DATE(2024, 7, 31)))), 2), "-")
</f>
        <v>1.16</v>
      </c>
      <c r="J22" s="2">
        <f>IFERROR(ROUND(Data!B20/(SUMPRODUCT(('Form responses 1'!$B$2:$B1000 = A22) * ('Form responses 1'!$A$2:$A1000 &lt;= DATE(2024, 8, 31)))
+ SUMPRODUCT(('Form responses 1'!$C$2:$C1000 = A22) * ('Form responses 1'!$A$2:$A1000 &lt;= DATE(2024, 8, 31)))
+ SUMPRODUCT(('Form responses 1'!$D$2:$D1000 = A22) * ('Form responses 1'!$A$2:$A1000 &lt;= DATE(2024, 8, 31)))
+ SUMPRODUCT(('Form responses 1'!$E$2:$E1000 = A22) * ('Form responses 1'!$A$2:$A1000 &lt;= DATE(2024, 8, 31)))
+ SUMPRODUCT(('Form responses 1'!$F$2:$F1000 = A22) * ('Form responses 1'!$A$2:$A1000 &lt;= DATE(2024, 8, 31)))
+ SUMPRODUCT(('Form responses 1'!$G$2:$G1000 = A22) * ('Form responses 1'!$A$2:$A1000 &lt;= DATE(2024, 8, 31)))), 2), "-")
</f>
        <v>1.09</v>
      </c>
      <c r="K22" s="2">
        <f>IFERROR(ROUND(Data!B20/(SUMPRODUCT(('Form responses 1'!$B$2:$B1000 = A22) * ('Form responses 1'!$A$2:$A1000 &lt;= DATE(2024, 9, 30)))
+ SUMPRODUCT(('Form responses 1'!$C$2:$C1000 = A22) * ('Form responses 1'!$A$2:$A1000 &lt;= DATE(2024, 9, 30)))
+ SUMPRODUCT(('Form responses 1'!$D$2:$D1000 = A22) * ('Form responses 1'!$A$2:$A1000 &lt;= DATE(2024, 9, 30)))
+ SUMPRODUCT(('Form responses 1'!$E$2:$E1000 = A22) * ('Form responses 1'!$A$2:$A1000 &lt;= DATE(2024, 9, 30)))
+ SUMPRODUCT(('Form responses 1'!$F$2:$F1000 = A22) * ('Form responses 1'!$A$2:$A1000 &lt;= DATE(2024, 9, 30)))
+ SUMPRODUCT(('Form responses 1'!$G$2:$G1000 = A22) * ('Form responses 1'!$A$2:$A1000 &lt;= DATE(2024, 9, 30)))), 2), "-")
</f>
        <v>1.03</v>
      </c>
      <c r="L22" s="2">
        <f>IFERROR(ROUND(Data!B20/(SUMPRODUCT(('Form responses 1'!$B$2:$B1000 = A22) * ('Form responses 1'!$A$2:$A1000 &lt;= DATE(2024, 10, 31)))
+ SUMPRODUCT(('Form responses 1'!$C$2:$C1000 = A22) * ('Form responses 1'!$A$2:$A1000 &lt;= DATE(2024, 10, 31)))
+ SUMPRODUCT(('Form responses 1'!$D$2:$D1000 = A22) * ('Form responses 1'!$A$2:$A1000 &lt;= DATE(2024, 10, 31)))
+ SUMPRODUCT(('Form responses 1'!$E$2:$E1000 = A22) * ('Form responses 1'!$A$2:$A1000 &lt;= DATE(2024, 10, 31)))
+ SUMPRODUCT(('Form responses 1'!$F$2:$F1000 = A22) * ('Form responses 1'!$A$2:$A1000 &lt;= DATE(2024, 10, 31)))
+ SUMPRODUCT(('Form responses 1'!$G$2:$G1000 = A22) * ('Form responses 1'!$A$2:$A1000 &lt;= DATE(2024, 10, 31)))), 2), "-")
</f>
        <v>1.01</v>
      </c>
      <c r="M22" s="2">
        <f>IFERROR(ROUND(Data!B20/(SUMPRODUCT(('Form responses 1'!$B$2:$B1000 = A22) * ('Form responses 1'!$A$2:$A1000 &lt;= DATE(2024, 11, 30)))
+ SUMPRODUCT(('Form responses 1'!$C$2:$C1000 = A22) * ('Form responses 1'!$A$2:$A1000 &lt;= DATE(2024, 11, 30)))
+ SUMPRODUCT(('Form responses 1'!$D$2:$D1000 = A22) * ('Form responses 1'!$A$2:$A1000 &lt;= DATE(2024, 11, 30)))
+ SUMPRODUCT(('Form responses 1'!$E$2:$E1000 = A22) * ('Form responses 1'!$A$2:$A1000 &lt;= DATE(2024, 11, 30)))
+ SUMPRODUCT(('Form responses 1'!$F$2:$F1000 = A22) * ('Form responses 1'!$A$2:$A1000 &lt;= DATE(2024, 11, 30)))
+ SUMPRODUCT(('Form responses 1'!$G$2:$G1000 = A22) * ('Form responses 1'!$A$2:$A1000 &lt;= DATE(2024, 11, 30)))), 2), "-")
</f>
        <v>1</v>
      </c>
      <c r="N22" s="2">
        <f>IFERROR(ROUND(Data!B20/(SUMPRODUCT(('Form responses 1'!$B$2:$B1000 = A22) * ('Form responses 1'!$A$2:$A1000 &lt;= DATE(2024, 12, 31)))
+ SUMPRODUCT(('Form responses 1'!$C$2:$C1000 = A22) * ('Form responses 1'!$A$2:$A1000 &lt;= DATE(2024, 12, 31)))
+ SUMPRODUCT(('Form responses 1'!$D$2:$D1000 = A22) * ('Form responses 1'!$A$2:$A1000 &lt;= DATE(2024, 12, 31)))
+ SUMPRODUCT(('Form responses 1'!$E$2:$E1000 = A22) * ('Form responses 1'!$A$2:$A1000 &lt;= DATE(2024, 12, 31)))
+ SUMPRODUCT(('Form responses 1'!$F$2:$F1000 = A22) * ('Form responses 1'!$A$2:$A1000 &lt;= DATE(2024, 12, 31)))
+ SUMPRODUCT(('Form responses 1'!$G$2:$G1000 = A22) * ('Form responses 1'!$A$2:$A1000 &lt;= DATE(2024, 12, 31)))), 2), "-")
</f>
        <v>0.97</v>
      </c>
      <c r="O22" s="2">
        <f>IFERROR(ROUND(Data!B20/(SUMPRODUCT(('Form responses 1'!$B$2:$B1000 = A22) * ('Form responses 1'!$A$2:$A1000 &lt;= DATE(2025, 1, 31)))
+ SUMPRODUCT(('Form responses 1'!$C$2:$C1000 = A22) * ('Form responses 1'!$A$2:$A1000 &lt;= DATE(2025, 1, 31)))
+ SUMPRODUCT(('Form responses 1'!$D$2:$D1000 = A22) * ('Form responses 1'!$A$2:$A1000 &lt;= DATE(2025, 1, 31)))
+ SUMPRODUCT(('Form responses 1'!$E$2:$E1000 = A22) * ('Form responses 1'!$A$2:$A1000 &lt;= DATE(2025, 1, 31)))
+ SUMPRODUCT(('Form responses 1'!$F$2:$F1000 = A22) * ('Form responses 1'!$A$2:$A1000 &lt;= DATE(2025, 1, 31)))
+ SUMPRODUCT(('Form responses 1'!$G$2:$G1000 = A22) * ('Form responses 1'!$A$2:$A1000 &lt;= DATE(2025, 1, 31)))), 2), "-")
</f>
        <v>0.93</v>
      </c>
      <c r="P22" s="2">
        <f>IFERROR(ROUND(Data!B20/(SUMPRODUCT(('Form responses 1'!$B$2:$B1000 = A22) * ('Form responses 1'!$A$2:$A1000 &lt;= DATE(2025, 2, 28)))
+ SUMPRODUCT(('Form responses 1'!$C$2:$C1000 = A22) * ('Form responses 1'!$A$2:$A1000 &lt;= DATE(2025, 2, 28)))
+ SUMPRODUCT(('Form responses 1'!$D$2:$D1000 = A22) * ('Form responses 1'!$A$2:$A1000 &lt;= DATE(2025, 2, 28)))
+ SUMPRODUCT(('Form responses 1'!$E$2:$E1000 = A22) * ('Form responses 1'!$A$2:$A1000 &lt;= DATE(2025, 2, 28)))
+ SUMPRODUCT(('Form responses 1'!$F$2:$F1000 = A22) * ('Form responses 1'!$A$2:$A1000 &lt;= DATE(2025, 2, 28)))
+ SUMPRODUCT(('Form responses 1'!$G$2:$G1000 = A22) * ('Form responses 1'!$A$2:$A1000 &lt;= DATE(2025, 2, 28)))), 2), "-")
</f>
        <v>0.89</v>
      </c>
      <c r="Q22" s="2">
        <f>IFERROR(ROUND(Data!B20/(SUMPRODUCT(('Form responses 1'!$B$2:$B1000 = A22) * ('Form responses 1'!$A$2:$A1000 &lt;= DATE(2025, 3, 31)))
+ SUMPRODUCT(('Form responses 1'!$C$2:$C1000 = A22) * ('Form responses 1'!$A$2:$A1000 &lt;= DATE(2025, 3, 31)))
+ SUMPRODUCT(('Form responses 1'!$D$2:$D1000 = A22) * ('Form responses 1'!$A$2:$A1000 &lt;= DATE(2025, 3, 31)))
+ SUMPRODUCT(('Form responses 1'!$E$2:$E1000 = A22) * ('Form responses 1'!$A$2:$A1000 &lt;= DATE(2025, 3, 31)))
+ SUMPRODUCT(('Form responses 1'!$F$2:$F1000 = A22) * ('Form responses 1'!$A$2:$A1000 &lt;= DATE(2025, 3, 31)))
+ SUMPRODUCT(('Form responses 1'!$G$2:$G1000 = A22) * ('Form responses 1'!$A$2:$A1000 &lt;= DATE(2025, 3, 31)))),2),"-")</f>
        <v>0.88</v>
      </c>
      <c r="R22" s="2">
        <f>IFERROR(ROUND(Data!B20/(SUMPRODUCT(('Form responses 1'!$B$2:$B1000 = A22) * ('Form responses 1'!$A$2:$A1000 &lt;= DATE(2025, 4, 30)))
+ SUMPRODUCT(('Form responses 1'!$C$2:$C1000 = A22) * ('Form responses 1'!$A$2:$A1000 &lt;= DATE(2025, 4, 30)))
+ SUMPRODUCT(('Form responses 1'!$D$2:$D1000 = A22) * ('Form responses 1'!$A$2:$A1000 &lt;= DATE(2025, 4, 30)))
+ SUMPRODUCT(('Form responses 1'!$E$2:$E1000 = A22) * ('Form responses 1'!$A$2:$A1000 &lt;= DATE(2025, 4, 30)))
+ SUMPRODUCT(('Form responses 1'!$F$2:$F1000 = A22) * ('Form responses 1'!$A$2:$A1000 &lt;= DATE(2025, 4, 30)))
+ SUMPRODUCT(('Form responses 1'!$G$2:$G1000 = A22) * ('Form responses 1'!$A$2:$A1000 &lt;= DATE(2025, 4, 30)))), 2), "-")
</f>
        <v>0.87</v>
      </c>
      <c r="S22" s="2">
        <f>IFERROR(ROUND(Data!B20/(SUMPRODUCT(('Form responses 1'!$B$2:$B1000 = A22) * ('Form responses 1'!$A$2:$A1000 &lt;= DATE(2025, 5, 31)))
+ SUMPRODUCT(('Form responses 1'!$C$2:$C1000 = A22) * ('Form responses 1'!$A$2:$A1000 &lt;= DATE(2025, 5, 31)))
+ SUMPRODUCT(('Form responses 1'!$D$2:$D1000 = A22) * ('Form responses 1'!$A$2:$A1000 &lt;= DATE(2025, 5, 31)))
+ SUMPRODUCT(('Form responses 1'!$E$2:$E1000 = A22) * ('Form responses 1'!$A$2:$A1000 &lt;= DATE(2025, 5, 31)))
+ SUMPRODUCT(('Form responses 1'!$F$2:$F1000 = A22) * ('Form responses 1'!$A$2:$A1000 &lt;= DATE(2025, 5, 31)))
+ SUMPRODUCT(('Form responses 1'!$G$2:$G1000 = A22) * ('Form responses 1'!$A$2:$A1000 &lt;= DATE(2025, 5, 31)))), 2), "-")
</f>
        <v>0.83</v>
      </c>
      <c r="T22" s="2">
        <f>IFERROR(ROUND(Data!B20/(SUMPRODUCT(('Form responses 1'!$B$2:$B1000 = A22) * ('Form responses 1'!$A$2:$A1000 &lt;= DATE(2025, 6, 30)))
+ SUMPRODUCT(('Form responses 1'!$C$2:$C1000 = A22) * ('Form responses 1'!$A$2:$A1000 &lt;= DATE(2025, 6, 30)))
+ SUMPRODUCT(('Form responses 1'!$D$2:$D1000 = A22) * ('Form responses 1'!$A$2:$A1000 &lt;= DATE(2025, 6, 30)))
+ SUMPRODUCT(('Form responses 1'!$E$2:$E1000 = A22) * ('Form responses 1'!$A$2:$A1000 &lt;= DATE(2025, 6, 30)))
+ SUMPRODUCT(('Form responses 1'!$F$2:$F1000 = A22) * ('Form responses 1'!$A$2:$A1000 &lt;= DATE(2025, 6, 30)))
+ SUMPRODUCT(('Form responses 1'!$G$2:$G1000 = A22) * ('Form responses 1'!$A$2:$A1000 &lt;= DATE(2025, 6, 30)))), 2), "-")
</f>
        <v>0.81</v>
      </c>
      <c r="U22" s="2">
        <f>IFERROR(ROUND(Data!B20/(SUMPRODUCT(('Form responses 1'!$B$2:$B1000 = A22) * ('Form responses 1'!$A$2:$A1000 &lt;= DATE(2025, 7, 31)))
+ SUMPRODUCT(('Form responses 1'!$C$2:$C1000 = A22) * ('Form responses 1'!$A$2:$A1000 &lt;= DATE(2025, 7, 31)))
+ SUMPRODUCT(('Form responses 1'!$D$2:$D1000 = A22) * ('Form responses 1'!$A$2:$A1000 &lt;= DATE(2025, 7, 31)))
+ SUMPRODUCT(('Form responses 1'!$E$2:$E1000 = A22) * ('Form responses 1'!$A$2:$A1000 &lt;= DATE(2025, 7, 31)))
+ SUMPRODUCT(('Form responses 1'!$F$2:$F1000 = A22) * ('Form responses 1'!$A$2:$A1000 &lt;= DATE(2025, 7, 31)))
+ SUMPRODUCT(('Form responses 1'!$G$2:$G1000 = A22) * ('Form responses 1'!$A$2:$A1000 &lt;= DATE(2025, 7, 31)))), 2), "-")
</f>
        <v>0.76</v>
      </c>
      <c r="V22" s="2">
        <f>IFERROR(ROUND(Data!B20/(SUMPRODUCT(('Form responses 1'!$B$2:$B1000 = A22) * ('Form responses 1'!$A$2:$A1000 &lt;= DATE(2025, 8, 31)))
+ SUMPRODUCT(('Form responses 1'!$C$2:$C1000 = A22) * ('Form responses 1'!$A$2:$A1000 &lt;= DATE(2025, 8, 31)))
+ SUMPRODUCT(('Form responses 1'!$D$2:$D1000 = A22) * ('Form responses 1'!$A$2:$A1000 &lt;= DATE(2025, 8, 31)))
+ SUMPRODUCT(('Form responses 1'!$E$2:$E1000 = A22) * ('Form responses 1'!$A$2:$A1000 &lt;= DATE(2025, 8, 31)))
+ SUMPRODUCT(('Form responses 1'!$F$2:$F1000 = A22) * ('Form responses 1'!$A$2:$A1000 &lt;= DATE(2025, 8, 31)))
+ SUMPRODUCT(('Form responses 1'!$G$2:$G1000 = A22) * ('Form responses 1'!$A$2:$A1000 &lt;= DATE(2025, 8, 31)))), 2), "-")
</f>
        <v>0.76</v>
      </c>
      <c r="W22" s="2">
        <f>IFERROR(ROUND(Data!B20/(SUMPRODUCT(('Form responses 1'!$B$2:$B1000 = A22) * ('Form responses 1'!$A$2:$A1000 &lt;= DATE(2025, 9, 30)))
+ SUMPRODUCT(('Form responses 1'!$C$2:$C1000 = A22) * ('Form responses 1'!$A$2:$A1000 &lt;= DATE(2025, 9, 30)))
+ SUMPRODUCT(('Form responses 1'!$D$2:$D1000 = A22) * ('Form responses 1'!$A$2:$A1000 &lt;= DATE(2025, 9, 30)))
+ SUMPRODUCT(('Form responses 1'!$E$2:$E1000 = A22) * ('Form responses 1'!$A$2:$A1000 &lt;= DATE(2025, 9, 30)))
+ SUMPRODUCT(('Form responses 1'!$F$2:$F1000 = A22) * ('Form responses 1'!$A$2:$A1000 &lt;= DATE(2025, 9, 30)))
+ SUMPRODUCT(('Form responses 1'!$G$2:$G1000 = A22) * ('Form responses 1'!$A$2:$A1000 &lt;= DATE(2025, 9, 30)))), 2), "-")
</f>
        <v>0.73</v>
      </c>
      <c r="X22" s="2">
        <f>IFERROR(ROUND(Data!B20/(SUMPRODUCT(('Form responses 1'!$B$2:$B1000 = A22) * ('Form responses 1'!$A$2:$A1000 &lt;= DATE(2025, 10, 31)))
+ SUMPRODUCT(('Form responses 1'!$C$2:$C1000 = A22) * ('Form responses 1'!$A$2:$A1000 &lt;= DATE(2025, 10, 31)))
+ SUMPRODUCT(('Form responses 1'!$D$2:$D1000 = A22) * ('Form responses 1'!$A$2:$A1000 &lt;= DATE(2025, 10, 31)))
+ SUMPRODUCT(('Form responses 1'!$E$2:$E1000 = A22) * ('Form responses 1'!$A$2:$A1000 &lt;= DATE(2025, 10, 31)))
+ SUMPRODUCT(('Form responses 1'!$F$2:$F1000 = A22) * ('Form responses 1'!$A$2:$A1000 &lt;= DATE(2025, 10, 31)))
+ SUMPRODUCT(('Form responses 1'!$G$2:$G1000 = A22) * ('Form responses 1'!$A$2:$A1000 &lt;= DATE(2025, 10, 31)))), 2), "-")
</f>
        <v>0.72</v>
      </c>
      <c r="Y22" s="2">
        <f>IFERROR(ROUND(Data!B20/(SUMPRODUCT(('Form responses 1'!$B$2:$B1000 = A22) * ('Form responses 1'!$A$2:$A1000 &lt;= DATE(2025, 11, 30)))
+ SUMPRODUCT(('Form responses 1'!$C$2:$C1000 = A22) * ('Form responses 1'!$A$2:$A1000 &lt;= DATE(2025, 11, 30)))
+ SUMPRODUCT(('Form responses 1'!$D$2:$D1000 = A22) * ('Form responses 1'!$A$2:$A1000 &lt;= DATE(2025, 11, 30)))
+ SUMPRODUCT(('Form responses 1'!$E$2:$E1000 = A22) * ('Form responses 1'!$A$2:$A1000 &lt;= DATE(2025, 11, 30)))
+ SUMPRODUCT(('Form responses 1'!$F$2:$F1000 = A22) * ('Form responses 1'!$A$2:$A1000 &lt;= DATE(2025, 11, 30)))
+ SUMPRODUCT(('Form responses 1'!$G$2:$G1000 = A22) * ('Form responses 1'!$A$2:$A1000 &lt;= DATE(2025, 11, 30)))), 2), "-")
</f>
        <v>0.71</v>
      </c>
      <c r="Z22" s="2">
        <f>IFERROR(ROUND(Data!B20/(SUMPRODUCT(('Form responses 1'!$B$2:$B1000 = A22) * ('Form responses 1'!$A$2:$A1000 &lt;= DATE(2025, 12, 31)))
+ SUMPRODUCT(('Form responses 1'!$C$2:$C1000 = A22) * ('Form responses 1'!$A$2:$A1000 &lt;= DATE(2025, 12, 31)))
+ SUMPRODUCT(('Form responses 1'!$D$2:$D1000 = A22) * ('Form responses 1'!$A$2:$A1000 &lt;= DATE(2025, 12, 31)))
+ SUMPRODUCT(('Form responses 1'!$E$2:$E1000 = A22) * ('Form responses 1'!$A$2:$A1000 &lt;= DATE(2025, 12, 31)))
+ SUMPRODUCT(('Form responses 1'!$F$2:$F1000 = A22) * ('Form responses 1'!$A$2:$A1000 &lt;= DATE(2025, 12, 31)))
+ SUMPRODUCT(('Form responses 1'!$G$2:$G1000 = A22) * ('Form responses 1'!$A$2:$A1000 &lt;= DATE(2025, 12, 31)))), 2), "-")
</f>
        <v>0.69</v>
      </c>
      <c r="AA22" s="2">
        <f>IFERROR(ROUND(Data!$B22/(
  SUMPRODUCT(('Form responses 1'!$B$2:$B1000=$A22)*('Form responses 1'!$A$2:$A1000&lt;=EOMONTH(DATEVALUE("1 "&amp;AA$1),0)))+
  SUMPRODUCT(('Form responses 1'!$C$2:$C1000=$A22)*('Form responses 1'!$A$2:$A1000&lt;=EOMONTH(DATEVALUE("1 "&amp;AA$1),0)))+
  SUMPRODUCT(('Form responses 1'!$D$2:$D1000=$A22)*('Form responses 1'!$A$2:$A1000&lt;=EOMONTH(DATEVALUE("1 "&amp;AA$1),0)))+
  SUMPRODUCT(('Form responses 1'!$E$2:$E1000=$A22)*('Form responses 1'!$A$2:$A1000&lt;=EOMONTH(DATEVALUE("1 "&amp;AA$1),0)))+
  SUMPRODUCT(('Form responses 1'!$F$2:$F1000=$A22)*('Form responses 1'!$A$2:$A1000&lt;=EOMONTH(DATEVALUE("1 "&amp;AA$1),0)))+
  SUMPRODUCT(('Form responses 1'!$G$2:$G1000=$A22)*('Form responses 1'!$A$2:$A1000&lt;=EOMONTH(DATEVALUE("1 "&amp;AA$1),0)))
),2),"-")</f>
        <v>0.15</v>
      </c>
      <c r="AB22" s="2">
        <f>IFERROR(ROUND(Data!$B22/(
  SUMPRODUCT(('Form responses 1'!$B$2:$B1000=$A22)*('Form responses 1'!$A$2:$A1000&lt;=EOMONTH(DATEVALUE("1 "&amp;AB$1),0)))+
  SUMPRODUCT(('Form responses 1'!$C$2:$C1000=$A22)*('Form responses 1'!$A$2:$A1000&lt;=EOMONTH(DATEVALUE("1 "&amp;AB$1),0)))+
  SUMPRODUCT(('Form responses 1'!$D$2:$D1000=$A22)*('Form responses 1'!$A$2:$A1000&lt;=EOMONTH(DATEVALUE("1 "&amp;AB$1),0)))+
  SUMPRODUCT(('Form responses 1'!$E$2:$E1000=$A22)*('Form responses 1'!$A$2:$A1000&lt;=EOMONTH(DATEVALUE("1 "&amp;AB$1),0)))+
  SUMPRODUCT(('Form responses 1'!$F$2:$F1000=$A22)*('Form responses 1'!$A$2:$A1000&lt;=EOMONTH(DATEVALUE("1 "&amp;AB$1),0)))+
  SUMPRODUCT(('Form responses 1'!$G$2:$G1000=$A22)*('Form responses 1'!$A$2:$A1000&lt;=EOMONTH(DATEVALUE("1 "&amp;AB$1),0)))
),2),"-")</f>
        <v>0.15</v>
      </c>
      <c r="AC22" s="2">
        <f>IFERROR(ROUND(Data!$B22/(
  SUMPRODUCT(('Form responses 1'!$B$2:$B1000=$A22)*('Form responses 1'!$A$2:$A1000&lt;=EOMONTH(DATEVALUE("1 "&amp;AC$1),0)))+
  SUMPRODUCT(('Form responses 1'!$C$2:$C1000=$A22)*('Form responses 1'!$A$2:$A1000&lt;=EOMONTH(DATEVALUE("1 "&amp;AC$1),0)))+
  SUMPRODUCT(('Form responses 1'!$D$2:$D1000=$A22)*('Form responses 1'!$A$2:$A1000&lt;=EOMONTH(DATEVALUE("1 "&amp;AC$1),0)))+
  SUMPRODUCT(('Form responses 1'!$E$2:$E1000=$A22)*('Form responses 1'!$A$2:$A1000&lt;=EOMONTH(DATEVALUE("1 "&amp;AC$1),0)))+
  SUMPRODUCT(('Form responses 1'!$F$2:$F1000=$A22)*('Form responses 1'!$A$2:$A1000&lt;=EOMONTH(DATEVALUE("1 "&amp;AC$1),0)))+
  SUMPRODUCT(('Form responses 1'!$G$2:$G1000=$A22)*('Form responses 1'!$A$2:$A1000&lt;=EOMONTH(DATEVALUE("1 "&amp;AC$1),0)))
),2),"-")</f>
        <v>0.14</v>
      </c>
      <c r="AD22" s="2" t="str">
        <f>IFERROR(ROUND(Data!$B22/(
  SUMPRODUCT(('Form responses 1'!$B$2:$B1000=$A22)*('Form responses 1'!$A$2:$A1000&lt;=EOMONTH(DATEVALUE("1 "&amp;AD$1),0)))+
  SUMPRODUCT(('Form responses 1'!$C$2:$C1000=$A22)*('Form responses 1'!$A$2:$A1000&lt;=EOMONTH(DATEVALUE("1 "&amp;AD$1),0)))+
  SUMPRODUCT(('Form responses 1'!$D$2:$D1000=$A22)*('Form responses 1'!$A$2:$A1000&lt;=EOMONTH(DATEVALUE("1 "&amp;AD$1),0)))+
  SUMPRODUCT(('Form responses 1'!$E$2:$E1000=$A22)*('Form responses 1'!$A$2:$A1000&lt;=EOMONTH(DATEVALUE("1 "&amp;AD$1),0)))+
  SUMPRODUCT(('Form responses 1'!$F$2:$F1000=$A22)*('Form responses 1'!$A$2:$A1000&lt;=EOMONTH(DATEVALUE("1 "&amp;AD$1),0)))+
  SUMPRODUCT(('Form responses 1'!$G$2:$G1000=$A22)*('Form responses 1'!$A$2:$A1000&lt;=EOMONTH(DATEVALUE("1 "&amp;AD$1),0)))
),2),"-")</f>
        <v>-</v>
      </c>
      <c r="AE22" s="2" t="str">
        <f>IFERROR(ROUND(Data!$B22/(
  SUMPRODUCT(('Form responses 1'!$B$2:$B1000=$A22)*('Form responses 1'!$A$2:$A1000&lt;=EOMONTH(DATEVALUE("1 "&amp;AE$1),0)))+
  SUMPRODUCT(('Form responses 1'!$C$2:$C1000=$A22)*('Form responses 1'!$A$2:$A1000&lt;=EOMONTH(DATEVALUE("1 "&amp;AE$1),0)))+
  SUMPRODUCT(('Form responses 1'!$D$2:$D1000=$A22)*('Form responses 1'!$A$2:$A1000&lt;=EOMONTH(DATEVALUE("1 "&amp;AE$1),0)))+
  SUMPRODUCT(('Form responses 1'!$E$2:$E1000=$A22)*('Form responses 1'!$A$2:$A1000&lt;=EOMONTH(DATEVALUE("1 "&amp;AE$1),0)))+
  SUMPRODUCT(('Form responses 1'!$F$2:$F1000=$A22)*('Form responses 1'!$A$2:$A1000&lt;=EOMONTH(DATEVALUE("1 "&amp;AE$1),0)))+
  SUMPRODUCT(('Form responses 1'!$G$2:$G1000=$A22)*('Form responses 1'!$A$2:$A1000&lt;=EOMONTH(DATEVALUE("1 "&amp;AE$1),0)))
),2),"-")</f>
        <v>-</v>
      </c>
      <c r="AF22" s="2" t="str">
        <f>IFERROR(ROUND(Data!$B22/(
  SUMPRODUCT(('Form responses 1'!$B$2:$B1000=$A22)*('Form responses 1'!$A$2:$A1000&lt;=EOMONTH(DATEVALUE("1 "&amp;AF$1),0)))+
  SUMPRODUCT(('Form responses 1'!$C$2:$C1000=$A22)*('Form responses 1'!$A$2:$A1000&lt;=EOMONTH(DATEVALUE("1 "&amp;AF$1),0)))+
  SUMPRODUCT(('Form responses 1'!$D$2:$D1000=$A22)*('Form responses 1'!$A$2:$A1000&lt;=EOMONTH(DATEVALUE("1 "&amp;AF$1),0)))+
  SUMPRODUCT(('Form responses 1'!$E$2:$E1000=$A22)*('Form responses 1'!$A$2:$A1000&lt;=EOMONTH(DATEVALUE("1 "&amp;AF$1),0)))+
  SUMPRODUCT(('Form responses 1'!$F$2:$F1000=$A22)*('Form responses 1'!$A$2:$A1000&lt;=EOMONTH(DATEVALUE("1 "&amp;AF$1),0)))+
  SUMPRODUCT(('Form responses 1'!$G$2:$G1000=$A22)*('Form responses 1'!$A$2:$A1000&lt;=EOMONTH(DATEVALUE("1 "&amp;AF$1),0)))
),2),"-")</f>
        <v>-</v>
      </c>
      <c r="AG22" s="2" t="str">
        <f>IFERROR(ROUND(Data!$B22/(
  SUMPRODUCT(('Form responses 1'!$B$2:$B1000=$A22)*('Form responses 1'!$A$2:$A1000&lt;=EOMONTH(DATEVALUE("1 "&amp;AG$1),0)))+
  SUMPRODUCT(('Form responses 1'!$C$2:$C1000=$A22)*('Form responses 1'!$A$2:$A1000&lt;=EOMONTH(DATEVALUE("1 "&amp;AG$1),0)))+
  SUMPRODUCT(('Form responses 1'!$D$2:$D1000=$A22)*('Form responses 1'!$A$2:$A1000&lt;=EOMONTH(DATEVALUE("1 "&amp;AG$1),0)))+
  SUMPRODUCT(('Form responses 1'!$E$2:$E1000=$A22)*('Form responses 1'!$A$2:$A1000&lt;=EOMONTH(DATEVALUE("1 "&amp;AG$1),0)))+
  SUMPRODUCT(('Form responses 1'!$F$2:$F1000=$A22)*('Form responses 1'!$A$2:$A1000&lt;=EOMONTH(DATEVALUE("1 "&amp;AG$1),0)))+
  SUMPRODUCT(('Form responses 1'!$G$2:$G1000=$A22)*('Form responses 1'!$A$2:$A1000&lt;=EOMONTH(DATEVALUE("1 "&amp;AG$1),0)))
),2),"-")</f>
        <v>-</v>
      </c>
      <c r="AH22" s="2" t="str">
        <f>IFERROR(ROUND(Data!$B22/(
  SUMPRODUCT(('Form responses 1'!$B$2:$B1000=$A22)*('Form responses 1'!$A$2:$A1000&lt;=EOMONTH(DATEVALUE("1 "&amp;AH$1),0)))+
  SUMPRODUCT(('Form responses 1'!$C$2:$C1000=$A22)*('Form responses 1'!$A$2:$A1000&lt;=EOMONTH(DATEVALUE("1 "&amp;AH$1),0)))+
  SUMPRODUCT(('Form responses 1'!$D$2:$D1000=$A22)*('Form responses 1'!$A$2:$A1000&lt;=EOMONTH(DATEVALUE("1 "&amp;AH$1),0)))+
  SUMPRODUCT(('Form responses 1'!$E$2:$E1000=$A22)*('Form responses 1'!$A$2:$A1000&lt;=EOMONTH(DATEVALUE("1 "&amp;AH$1),0)))+
  SUMPRODUCT(('Form responses 1'!$F$2:$F1000=$A22)*('Form responses 1'!$A$2:$A1000&lt;=EOMONTH(DATEVALUE("1 "&amp;AH$1),0)))+
  SUMPRODUCT(('Form responses 1'!$G$2:$G1000=$A22)*('Form responses 1'!$A$2:$A1000&lt;=EOMONTH(DATEVALUE("1 "&amp;AH$1),0)))
),2),"-")</f>
        <v>-</v>
      </c>
      <c r="AI22" s="2" t="str">
        <f>IFERROR(ROUND(Data!$B22/(
  SUMPRODUCT(('Form responses 1'!$B$2:$B1000=$A22)*('Form responses 1'!$A$2:$A1000&lt;=EOMONTH(DATEVALUE("1 "&amp;AI$1),0)))+
  SUMPRODUCT(('Form responses 1'!$C$2:$C1000=$A22)*('Form responses 1'!$A$2:$A1000&lt;=EOMONTH(DATEVALUE("1 "&amp;AI$1),0)))+
  SUMPRODUCT(('Form responses 1'!$D$2:$D1000=$A22)*('Form responses 1'!$A$2:$A1000&lt;=EOMONTH(DATEVALUE("1 "&amp;AI$1),0)))+
  SUMPRODUCT(('Form responses 1'!$E$2:$E1000=$A22)*('Form responses 1'!$A$2:$A1000&lt;=EOMONTH(DATEVALUE("1 "&amp;AI$1),0)))+
  SUMPRODUCT(('Form responses 1'!$F$2:$F1000=$A22)*('Form responses 1'!$A$2:$A1000&lt;=EOMONTH(DATEVALUE("1 "&amp;AI$1),0)))+
  SUMPRODUCT(('Form responses 1'!$G$2:$G1000=$A22)*('Form responses 1'!$A$2:$A1000&lt;=EOMONTH(DATEVALUE("1 "&amp;AI$1),0)))
),2),"-")</f>
        <v>-</v>
      </c>
      <c r="AJ22" s="2" t="str">
        <f>IFERROR(ROUND(Data!$B22/(
  SUMPRODUCT(('Form responses 1'!$B$2:$B1000=$A22)*('Form responses 1'!$A$2:$A1000&lt;=EOMONTH(DATEVALUE("1 "&amp;AJ$1),0)))+
  SUMPRODUCT(('Form responses 1'!$C$2:$C1000=$A22)*('Form responses 1'!$A$2:$A1000&lt;=EOMONTH(DATEVALUE("1 "&amp;AJ$1),0)))+
  SUMPRODUCT(('Form responses 1'!$D$2:$D1000=$A22)*('Form responses 1'!$A$2:$A1000&lt;=EOMONTH(DATEVALUE("1 "&amp;AJ$1),0)))+
  SUMPRODUCT(('Form responses 1'!$E$2:$E1000=$A22)*('Form responses 1'!$A$2:$A1000&lt;=EOMONTH(DATEVALUE("1 "&amp;AJ$1),0)))+
  SUMPRODUCT(('Form responses 1'!$F$2:$F1000=$A22)*('Form responses 1'!$A$2:$A1000&lt;=EOMONTH(DATEVALUE("1 "&amp;AJ$1),0)))+
  SUMPRODUCT(('Form responses 1'!$G$2:$G1000=$A22)*('Form responses 1'!$A$2:$A1000&lt;=EOMONTH(DATEVALUE("1 "&amp;AJ$1),0)))
),2),"-")</f>
        <v>-</v>
      </c>
      <c r="AK22" s="2" t="str">
        <f>IFERROR(ROUND(Data!$B22/(
  SUMPRODUCT(('Form responses 1'!$B$2:$B1000=$A22)*('Form responses 1'!$A$2:$A1000&lt;=EOMONTH(DATEVALUE("1 "&amp;AK$1),0)))+
  SUMPRODUCT(('Form responses 1'!$C$2:$C1000=$A22)*('Form responses 1'!$A$2:$A1000&lt;=EOMONTH(DATEVALUE("1 "&amp;AK$1),0)))+
  SUMPRODUCT(('Form responses 1'!$D$2:$D1000=$A22)*('Form responses 1'!$A$2:$A1000&lt;=EOMONTH(DATEVALUE("1 "&amp;AK$1),0)))+
  SUMPRODUCT(('Form responses 1'!$E$2:$E1000=$A22)*('Form responses 1'!$A$2:$A1000&lt;=EOMONTH(DATEVALUE("1 "&amp;AK$1),0)))+
  SUMPRODUCT(('Form responses 1'!$F$2:$F1000=$A22)*('Form responses 1'!$A$2:$A1000&lt;=EOMONTH(DATEVALUE("1 "&amp;AK$1),0)))+
  SUMPRODUCT(('Form responses 1'!$G$2:$G1000=$A22)*('Form responses 1'!$A$2:$A1000&lt;=EOMONTH(DATEVALUE("1 "&amp;AK$1),0)))
),2),"-")</f>
        <v>-</v>
      </c>
      <c r="AL22" s="2" t="str">
        <f>IFERROR(ROUND(Data!$B22/(
  SUMPRODUCT(('Form responses 1'!$B$2:$B1000=$A22)*('Form responses 1'!$A$2:$A1000&lt;=EOMONTH(DATEVALUE("1 "&amp;AL$1),0)))+
  SUMPRODUCT(('Form responses 1'!$C$2:$C1000=$A22)*('Form responses 1'!$A$2:$A1000&lt;=EOMONTH(DATEVALUE("1 "&amp;AL$1),0)))+
  SUMPRODUCT(('Form responses 1'!$D$2:$D1000=$A22)*('Form responses 1'!$A$2:$A1000&lt;=EOMONTH(DATEVALUE("1 "&amp;AL$1),0)))+
  SUMPRODUCT(('Form responses 1'!$E$2:$E1000=$A22)*('Form responses 1'!$A$2:$A1000&lt;=EOMONTH(DATEVALUE("1 "&amp;AL$1),0)))+
  SUMPRODUCT(('Form responses 1'!$F$2:$F1000=$A22)*('Form responses 1'!$A$2:$A1000&lt;=EOMONTH(DATEVALUE("1 "&amp;AL$1),0)))+
  SUMPRODUCT(('Form responses 1'!$G$2:$G1000=$A22)*('Form responses 1'!$A$2:$A1000&lt;=EOMONTH(DATEVALUE("1 "&amp;AL$1),0)))
),2),"-")</f>
        <v>-</v>
      </c>
    </row>
    <row r="23">
      <c r="A23" s="3" t="str">
        <f>IFERROR(__xludf.DUMMYFUNCTION("""COMPUTED_VALUE"""),"Wit Lost minds Athl. Track")</f>
        <v>Wit Lost minds Athl. Track</v>
      </c>
      <c r="B23" s="2">
        <f>Data!F21:F1000</f>
        <v>0.24</v>
      </c>
      <c r="C23" s="2">
        <f>IFERROR(ROUND(Data!B21/(SUMPRODUCT(('Form responses 1'!$B$2:$B1000 = A23) * ('Form responses 1'!$A$2:$A1000 &lt;= DATE(2024, 1, 31)))
+ SUMPRODUCT(('Form responses 1'!$C$2:$C1000 = A23) * ('Form responses 1'!$A$2:$A1000 &lt;= DATE(2024, 1, 31)))
+ SUMPRODUCT(('Form responses 1'!$D$2:$D1000 = A23) * ('Form responses 1'!$A$2:$A1000 &lt;= DATE(2024, 1, 31)))
+ SUMPRODUCT(('Form responses 1'!$E$2:$E1000 = A23) * ('Form responses 1'!$A$2:$A1000 &lt;= DATE(2024, 1, 31)))
+ SUMPRODUCT(('Form responses 1'!$F$2:$F1000 = A23) * ('Form responses 1'!$A$2:$A1000 &lt;= DATE(2024, 1, 31)))
+ SUMPRODUCT(('Form responses 1'!$G$2:$G1000 = A23) * ('Form responses 1'!$A$2:$A1000 &lt;= DATE(2024, 1, 31)))), 2), "-")
</f>
        <v>0.36</v>
      </c>
      <c r="D23" s="2">
        <f>IFERROR(ROUND(Data!B21/(SUMPRODUCT(('Form responses 1'!$B$2:$B1000 = A23) * ('Form responses 1'!$A$2:$A1000 &lt;= DATE(2024, 2, 29)))
+ SUMPRODUCT(('Form responses 1'!$C$2:$C1000 = A23) * ('Form responses 1'!$A$2:$A1000 &lt;= DATE(2024, 2, 29)))
+ SUMPRODUCT(('Form responses 1'!$D$2:$D1000 = A23) * ('Form responses 1'!$A$2:$A1000 &lt;= DATE(2024, 2, 29)))
+ SUMPRODUCT(('Form responses 1'!$E$2:$E1000 = A23) * ('Form responses 1'!$A$2:$A1000 &lt;= DATE(2024, 2, 29)))
+ SUMPRODUCT(('Form responses 1'!$F$2:$F1000 = A23) * ('Form responses 1'!$A$2:$A1000 &lt;= DATE(2024, 2, 29)))
+ SUMPRODUCT(('Form responses 1'!$G$2:$G1000 = A23) * ('Form responses 1'!$A$2:$A1000 &lt;= DATE(2024, 2, 29)))), 2), "-")
</f>
        <v>0.36</v>
      </c>
      <c r="E23" s="2">
        <f>IFERROR(ROUND(Data!B21/(SUMPRODUCT(('Form responses 1'!$B$2:$B1000 = A23) * ('Form responses 1'!$A$2:$A1000 &lt;= DATE(2024, 3, 31)))
+ SUMPRODUCT(('Form responses 1'!$C$2:$C1000 = A23) * ('Form responses 1'!$A$2:$A1000 &lt;= DATE(2024, 3, 31)))
+ SUMPRODUCT(('Form responses 1'!$D$2:$D1000 = A23) * ('Form responses 1'!$A$2:$A1000 &lt;= DATE(2024, 3, 31)))
+ SUMPRODUCT(('Form responses 1'!$E$2:$E1000 = A23) * ('Form responses 1'!$A$2:$A1000 &lt;= DATE(2024, 3, 31)))
+ SUMPRODUCT(('Form responses 1'!$F$2:$F1000 = A23) * ('Form responses 1'!$A$2:$A1000 &lt;= DATE(2024, 3, 31)))
+ SUMPRODUCT(('Form responses 1'!$G$2:$G1000 = A23) * ('Form responses 1'!$A$2:$A1000 &lt;= DATE(2024, 3, 31)))), 2), "-")
</f>
        <v>0.36</v>
      </c>
      <c r="F23" s="2">
        <f>IFERROR(ROUND(Data!B21/(SUMPRODUCT(('Form responses 1'!$B$2:$B1000 = A23) * ('Form responses 1'!$A$2:$A1000 &lt;= DATE(2024, 4, 30)))
+ SUMPRODUCT(('Form responses 1'!$C$2:$C1000 = A23) * ('Form responses 1'!$A$2:$A1000 &lt;= DATE(2024, 4, 30)))
+ SUMPRODUCT(('Form responses 1'!$D$2:$D1000 = A23) * ('Form responses 1'!$A$2:$A1000 &lt;= DATE(2024, 4, 30)))
+ SUMPRODUCT(('Form responses 1'!$E$2:$E1000 = A23) * ('Form responses 1'!$A$2:$A1000 &lt;= DATE(2024, 4, 30)))
+ SUMPRODUCT(('Form responses 1'!$F$2:$F1000 = A23) * ('Form responses 1'!$A$2:$A1000 &lt;= DATE(2024, 4, 30)))
+ SUMPRODUCT(('Form responses 1'!$G$2:$G1000 = A23) * ('Form responses 1'!$A$2:$A1000 &lt;= DATE(2024, 4, 30)))), 2), "-")
</f>
        <v>0.36</v>
      </c>
      <c r="G23" s="2">
        <f>IFERROR(ROUND(Data!B21/(SUMPRODUCT(('Form responses 1'!$B$2:$B1000 = A23) * ('Form responses 1'!$A$2:$A1000 &lt;= DATE(2024, 5, 31)))
+ SUMPRODUCT(('Form responses 1'!$C$2:$C1000 = A23) * ('Form responses 1'!$A$2:$A1000 &lt;= DATE(2024, 5, 31)))
+ SUMPRODUCT(('Form responses 1'!$D$2:$D1000 = A23) * ('Form responses 1'!$A$2:$A1000 &lt;= DATE(2024, 5, 31)))
+ SUMPRODUCT(('Form responses 1'!$E$2:$E1000 = A23) * ('Form responses 1'!$A$2:$A1000 &lt;= DATE(2024, 5, 31)))
+ SUMPRODUCT(('Form responses 1'!$F$2:$F1000 = A23) * ('Form responses 1'!$A$2:$A1000 &lt;= DATE(2024, 5, 31)))
+ SUMPRODUCT(('Form responses 1'!$G$2:$G1000 = A23) * ('Form responses 1'!$A$2:$A1000 &lt;= DATE(2024, 5, 31)))), 2), "-")
</f>
        <v>0.35</v>
      </c>
      <c r="H23" s="2">
        <f>IFERROR(ROUND(Data!B21/(SUMPRODUCT(('Form responses 1'!$B$2:$B1000 = A23) * ('Form responses 1'!$A$2:$A1000 &lt;= DATE(2024, 6, 30)))
+ SUMPRODUCT(('Form responses 1'!$C$2:$C1000 = A23) * ('Form responses 1'!$A$2:$A1000 &lt;= DATE(2024, 6, 30)))
+ SUMPRODUCT(('Form responses 1'!$D$2:$D1000 = A23) * ('Form responses 1'!$A$2:$A1000 &lt;= DATE(2024, 6, 30)))
+ SUMPRODUCT(('Form responses 1'!$E$2:$E1000 = A23) * ('Form responses 1'!$A$2:$A1000 &lt;= DATE(2024, 6, 30)))
+ SUMPRODUCT(('Form responses 1'!$F$2:$F1000 = A23) * ('Form responses 1'!$A$2:$A1000 &lt;= DATE(2024, 6, 30)))
+ SUMPRODUCT(('Form responses 1'!$G$2:$G1000 = A23) * ('Form responses 1'!$A$2:$A1000 &lt;= DATE(2024, 6, 30)))), 2), "-")
</f>
        <v>0.34</v>
      </c>
      <c r="I23" s="2">
        <f>IFERROR(ROUND(Data!B21/(SUMPRODUCT(('Form responses 1'!$B$2:$B1000 = A23) * ('Form responses 1'!$A$2:$A1000 &lt;= DATE(2024, 7, 31)))
+ SUMPRODUCT(('Form responses 1'!$C$2:$C1000 = A23) * ('Form responses 1'!$A$2:$A1000 &lt;= DATE(2024, 7, 31)))
+ SUMPRODUCT(('Form responses 1'!$D$2:$D1000 = A23) * ('Form responses 1'!$A$2:$A1000 &lt;= DATE(2024, 7, 31)))
+ SUMPRODUCT(('Form responses 1'!$E$2:$E1000 = A23) * ('Form responses 1'!$A$2:$A1000 &lt;= DATE(2024, 7, 31)))
+ SUMPRODUCT(('Form responses 1'!$F$2:$F1000 = A23) * ('Form responses 1'!$A$2:$A1000 &lt;= DATE(2024, 7, 31)))
+ SUMPRODUCT(('Form responses 1'!$G$2:$G1000 = A23) * ('Form responses 1'!$A$2:$A1000 &lt;= DATE(2024, 7, 31)))), 2), "-")
</f>
        <v>0.34</v>
      </c>
      <c r="J23" s="2">
        <f>IFERROR(ROUND(Data!B21/(SUMPRODUCT(('Form responses 1'!$B$2:$B1000 = A23) * ('Form responses 1'!$A$2:$A1000 &lt;= DATE(2024, 8, 31)))
+ SUMPRODUCT(('Form responses 1'!$C$2:$C1000 = A23) * ('Form responses 1'!$A$2:$A1000 &lt;= DATE(2024, 8, 31)))
+ SUMPRODUCT(('Form responses 1'!$D$2:$D1000 = A23) * ('Form responses 1'!$A$2:$A1000 &lt;= DATE(2024, 8, 31)))
+ SUMPRODUCT(('Form responses 1'!$E$2:$E1000 = A23) * ('Form responses 1'!$A$2:$A1000 &lt;= DATE(2024, 8, 31)))
+ SUMPRODUCT(('Form responses 1'!$F$2:$F1000 = A23) * ('Form responses 1'!$A$2:$A1000 &lt;= DATE(2024, 8, 31)))
+ SUMPRODUCT(('Form responses 1'!$G$2:$G1000 = A23) * ('Form responses 1'!$A$2:$A1000 &lt;= DATE(2024, 8, 31)))), 2), "-")
</f>
        <v>0.34</v>
      </c>
      <c r="K23" s="2">
        <f>IFERROR(ROUND(Data!B21/(SUMPRODUCT(('Form responses 1'!$B$2:$B1000 = A23) * ('Form responses 1'!$A$2:$A1000 &lt;= DATE(2024, 9, 30)))
+ SUMPRODUCT(('Form responses 1'!$C$2:$C1000 = A23) * ('Form responses 1'!$A$2:$A1000 &lt;= DATE(2024, 9, 30)))
+ SUMPRODUCT(('Form responses 1'!$D$2:$D1000 = A23) * ('Form responses 1'!$A$2:$A1000 &lt;= DATE(2024, 9, 30)))
+ SUMPRODUCT(('Form responses 1'!$E$2:$E1000 = A23) * ('Form responses 1'!$A$2:$A1000 &lt;= DATE(2024, 9, 30)))
+ SUMPRODUCT(('Form responses 1'!$F$2:$F1000 = A23) * ('Form responses 1'!$A$2:$A1000 &lt;= DATE(2024, 9, 30)))
+ SUMPRODUCT(('Form responses 1'!$G$2:$G1000 = A23) * ('Form responses 1'!$A$2:$A1000 &lt;= DATE(2024, 9, 30)))), 2), "-")
</f>
        <v>0.3</v>
      </c>
      <c r="L23" s="2">
        <f>IFERROR(ROUND(Data!B21/(SUMPRODUCT(('Form responses 1'!$B$2:$B1000 = A23) * ('Form responses 1'!$A$2:$A1000 &lt;= DATE(2024, 10, 31)))
+ SUMPRODUCT(('Form responses 1'!$C$2:$C1000 = A23) * ('Form responses 1'!$A$2:$A1000 &lt;= DATE(2024, 10, 31)))
+ SUMPRODUCT(('Form responses 1'!$D$2:$D1000 = A23) * ('Form responses 1'!$A$2:$A1000 &lt;= DATE(2024, 10, 31)))
+ SUMPRODUCT(('Form responses 1'!$E$2:$E1000 = A23) * ('Form responses 1'!$A$2:$A1000 &lt;= DATE(2024, 10, 31)))
+ SUMPRODUCT(('Form responses 1'!$F$2:$F1000 = A23) * ('Form responses 1'!$A$2:$A1000 &lt;= DATE(2024, 10, 31)))
+ SUMPRODUCT(('Form responses 1'!$G$2:$G1000 = A23) * ('Form responses 1'!$A$2:$A1000 &lt;= DATE(2024, 10, 31)))), 2), "-")
</f>
        <v>0.29</v>
      </c>
      <c r="M23" s="2">
        <f>IFERROR(ROUND(Data!B21/(SUMPRODUCT(('Form responses 1'!$B$2:$B1000 = A23) * ('Form responses 1'!$A$2:$A1000 &lt;= DATE(2024, 11, 30)))
+ SUMPRODUCT(('Form responses 1'!$C$2:$C1000 = A23) * ('Form responses 1'!$A$2:$A1000 &lt;= DATE(2024, 11, 30)))
+ SUMPRODUCT(('Form responses 1'!$D$2:$D1000 = A23) * ('Form responses 1'!$A$2:$A1000 &lt;= DATE(2024, 11, 30)))
+ SUMPRODUCT(('Form responses 1'!$E$2:$E1000 = A23) * ('Form responses 1'!$A$2:$A1000 &lt;= DATE(2024, 11, 30)))
+ SUMPRODUCT(('Form responses 1'!$F$2:$F1000 = A23) * ('Form responses 1'!$A$2:$A1000 &lt;= DATE(2024, 11, 30)))
+ SUMPRODUCT(('Form responses 1'!$G$2:$G1000 = A23) * ('Form responses 1'!$A$2:$A1000 &lt;= DATE(2024, 11, 30)))), 2), "-")
</f>
        <v>0.29</v>
      </c>
      <c r="N23" s="2">
        <f>IFERROR(ROUND(Data!B21/(SUMPRODUCT(('Form responses 1'!$B$2:$B1000 = A23) * ('Form responses 1'!$A$2:$A1000 &lt;= DATE(2024, 12, 31)))
+ SUMPRODUCT(('Form responses 1'!$C$2:$C1000 = A23) * ('Form responses 1'!$A$2:$A1000 &lt;= DATE(2024, 12, 31)))
+ SUMPRODUCT(('Form responses 1'!$D$2:$D1000 = A23) * ('Form responses 1'!$A$2:$A1000 &lt;= DATE(2024, 12, 31)))
+ SUMPRODUCT(('Form responses 1'!$E$2:$E1000 = A23) * ('Form responses 1'!$A$2:$A1000 &lt;= DATE(2024, 12, 31)))
+ SUMPRODUCT(('Form responses 1'!$F$2:$F1000 = A23) * ('Form responses 1'!$A$2:$A1000 &lt;= DATE(2024, 12, 31)))
+ SUMPRODUCT(('Form responses 1'!$G$2:$G1000 = A23) * ('Form responses 1'!$A$2:$A1000 &lt;= DATE(2024, 12, 31)))), 2), "-")
</f>
        <v>0.29</v>
      </c>
      <c r="O23" s="2">
        <f>IFERROR(ROUND(Data!B21/(SUMPRODUCT(('Form responses 1'!$B$2:$B1000 = A23) * ('Form responses 1'!$A$2:$A1000 &lt;= DATE(2025, 1, 31)))
+ SUMPRODUCT(('Form responses 1'!$C$2:$C1000 = A23) * ('Form responses 1'!$A$2:$A1000 &lt;= DATE(2025, 1, 31)))
+ SUMPRODUCT(('Form responses 1'!$D$2:$D1000 = A23) * ('Form responses 1'!$A$2:$A1000 &lt;= DATE(2025, 1, 31)))
+ SUMPRODUCT(('Form responses 1'!$E$2:$E1000 = A23) * ('Form responses 1'!$A$2:$A1000 &lt;= DATE(2025, 1, 31)))
+ SUMPRODUCT(('Form responses 1'!$F$2:$F1000 = A23) * ('Form responses 1'!$A$2:$A1000 &lt;= DATE(2025, 1, 31)))
+ SUMPRODUCT(('Form responses 1'!$G$2:$G1000 = A23) * ('Form responses 1'!$A$2:$A1000 &lt;= DATE(2025, 1, 31)))), 2), "-")
</f>
        <v>0.29</v>
      </c>
      <c r="P23" s="2">
        <f>IFERROR(ROUND(Data!B21/(SUMPRODUCT(('Form responses 1'!$B$2:$B1000 = A23) * ('Form responses 1'!$A$2:$A1000 &lt;= DATE(2025, 2, 28)))
+ SUMPRODUCT(('Form responses 1'!$C$2:$C1000 = A23) * ('Form responses 1'!$A$2:$A1000 &lt;= DATE(2025, 2, 28)))
+ SUMPRODUCT(('Form responses 1'!$D$2:$D1000 = A23) * ('Form responses 1'!$A$2:$A1000 &lt;= DATE(2025, 2, 28)))
+ SUMPRODUCT(('Form responses 1'!$E$2:$E1000 = A23) * ('Form responses 1'!$A$2:$A1000 &lt;= DATE(2025, 2, 28)))
+ SUMPRODUCT(('Form responses 1'!$F$2:$F1000 = A23) * ('Form responses 1'!$A$2:$A1000 &lt;= DATE(2025, 2, 28)))
+ SUMPRODUCT(('Form responses 1'!$G$2:$G1000 = A23) * ('Form responses 1'!$A$2:$A1000 &lt;= DATE(2025, 2, 28)))), 2), "-")
</f>
        <v>0.29</v>
      </c>
      <c r="Q23" s="2">
        <f>IFERROR(ROUND(Data!B21/(SUMPRODUCT(('Form responses 1'!$B$2:$B1000 = A23) * ('Form responses 1'!$A$2:$A1000 &lt;= DATE(2025, 3, 31)))
+ SUMPRODUCT(('Form responses 1'!$C$2:$C1000 = A23) * ('Form responses 1'!$A$2:$A1000 &lt;= DATE(2025, 3, 31)))
+ SUMPRODUCT(('Form responses 1'!$D$2:$D1000 = A23) * ('Form responses 1'!$A$2:$A1000 &lt;= DATE(2025, 3, 31)))
+ SUMPRODUCT(('Form responses 1'!$E$2:$E1000 = A23) * ('Form responses 1'!$A$2:$A1000 &lt;= DATE(2025, 3, 31)))
+ SUMPRODUCT(('Form responses 1'!$F$2:$F1000 = A23) * ('Form responses 1'!$A$2:$A1000 &lt;= DATE(2025, 3, 31)))
+ SUMPRODUCT(('Form responses 1'!$G$2:$G1000 = A23) * ('Form responses 1'!$A$2:$A1000 &lt;= DATE(2025, 3, 31)))),2),"-")</f>
        <v>0.29</v>
      </c>
      <c r="R23" s="2">
        <f>IFERROR(ROUND(Data!B21/(SUMPRODUCT(('Form responses 1'!$B$2:$B1000 = A23) * ('Form responses 1'!$A$2:$A1000 &lt;= DATE(2025, 4, 30)))
+ SUMPRODUCT(('Form responses 1'!$C$2:$C1000 = A23) * ('Form responses 1'!$A$2:$A1000 &lt;= DATE(2025, 4, 30)))
+ SUMPRODUCT(('Form responses 1'!$D$2:$D1000 = A23) * ('Form responses 1'!$A$2:$A1000 &lt;= DATE(2025, 4, 30)))
+ SUMPRODUCT(('Form responses 1'!$E$2:$E1000 = A23) * ('Form responses 1'!$A$2:$A1000 &lt;= DATE(2025, 4, 30)))
+ SUMPRODUCT(('Form responses 1'!$F$2:$F1000 = A23) * ('Form responses 1'!$A$2:$A1000 &lt;= DATE(2025, 4, 30)))
+ SUMPRODUCT(('Form responses 1'!$G$2:$G1000 = A23) * ('Form responses 1'!$A$2:$A1000 &lt;= DATE(2025, 4, 30)))), 2), "-")
</f>
        <v>0.29</v>
      </c>
      <c r="S23" s="2">
        <f>IFERROR(ROUND(Data!B21/(SUMPRODUCT(('Form responses 1'!$B$2:$B1000 = A23) * ('Form responses 1'!$A$2:$A1000 &lt;= DATE(2025, 5, 31)))
+ SUMPRODUCT(('Form responses 1'!$C$2:$C1000 = A23) * ('Form responses 1'!$A$2:$A1000 &lt;= DATE(2025, 5, 31)))
+ SUMPRODUCT(('Form responses 1'!$D$2:$D1000 = A23) * ('Form responses 1'!$A$2:$A1000 &lt;= DATE(2025, 5, 31)))
+ SUMPRODUCT(('Form responses 1'!$E$2:$E1000 = A23) * ('Form responses 1'!$A$2:$A1000 &lt;= DATE(2025, 5, 31)))
+ SUMPRODUCT(('Form responses 1'!$F$2:$F1000 = A23) * ('Form responses 1'!$A$2:$A1000 &lt;= DATE(2025, 5, 31)))
+ SUMPRODUCT(('Form responses 1'!$G$2:$G1000 = A23) * ('Form responses 1'!$A$2:$A1000 &lt;= DATE(2025, 5, 31)))), 2), "-")
</f>
        <v>0.29</v>
      </c>
      <c r="T23" s="2">
        <f>IFERROR(ROUND(Data!B21/(SUMPRODUCT(('Form responses 1'!$B$2:$B1000 = A23) * ('Form responses 1'!$A$2:$A1000 &lt;= DATE(2025, 6, 30)))
+ SUMPRODUCT(('Form responses 1'!$C$2:$C1000 = A23) * ('Form responses 1'!$A$2:$A1000 &lt;= DATE(2025, 6, 30)))
+ SUMPRODUCT(('Form responses 1'!$D$2:$D1000 = A23) * ('Form responses 1'!$A$2:$A1000 &lt;= DATE(2025, 6, 30)))
+ SUMPRODUCT(('Form responses 1'!$E$2:$E1000 = A23) * ('Form responses 1'!$A$2:$A1000 &lt;= DATE(2025, 6, 30)))
+ SUMPRODUCT(('Form responses 1'!$F$2:$F1000 = A23) * ('Form responses 1'!$A$2:$A1000 &lt;= DATE(2025, 6, 30)))
+ SUMPRODUCT(('Form responses 1'!$G$2:$G1000 = A23) * ('Form responses 1'!$A$2:$A1000 &lt;= DATE(2025, 6, 30)))), 2), "-")
</f>
        <v>0.28</v>
      </c>
      <c r="U23" s="2">
        <f>IFERROR(ROUND(Data!B21/(SUMPRODUCT(('Form responses 1'!$B$2:$B1000 = A23) * ('Form responses 1'!$A$2:$A1000 &lt;= DATE(2025, 7, 31)))
+ SUMPRODUCT(('Form responses 1'!$C$2:$C1000 = A23) * ('Form responses 1'!$A$2:$A1000 &lt;= DATE(2025, 7, 31)))
+ SUMPRODUCT(('Form responses 1'!$D$2:$D1000 = A23) * ('Form responses 1'!$A$2:$A1000 &lt;= DATE(2025, 7, 31)))
+ SUMPRODUCT(('Form responses 1'!$E$2:$E1000 = A23) * ('Form responses 1'!$A$2:$A1000 &lt;= DATE(2025, 7, 31)))
+ SUMPRODUCT(('Form responses 1'!$F$2:$F1000 = A23) * ('Form responses 1'!$A$2:$A1000 &lt;= DATE(2025, 7, 31)))
+ SUMPRODUCT(('Form responses 1'!$G$2:$G1000 = A23) * ('Form responses 1'!$A$2:$A1000 &lt;= DATE(2025, 7, 31)))), 2), "-")
</f>
        <v>0.27</v>
      </c>
      <c r="V23" s="2">
        <f>IFERROR(ROUND(Data!B21/(SUMPRODUCT(('Form responses 1'!$B$2:$B1000 = A23) * ('Form responses 1'!$A$2:$A1000 &lt;= DATE(2025, 8, 31)))
+ SUMPRODUCT(('Form responses 1'!$C$2:$C1000 = A23) * ('Form responses 1'!$A$2:$A1000 &lt;= DATE(2025, 8, 31)))
+ SUMPRODUCT(('Form responses 1'!$D$2:$D1000 = A23) * ('Form responses 1'!$A$2:$A1000 &lt;= DATE(2025, 8, 31)))
+ SUMPRODUCT(('Form responses 1'!$E$2:$E1000 = A23) * ('Form responses 1'!$A$2:$A1000 &lt;= DATE(2025, 8, 31)))
+ SUMPRODUCT(('Form responses 1'!$F$2:$F1000 = A23) * ('Form responses 1'!$A$2:$A1000 &lt;= DATE(2025, 8, 31)))
+ SUMPRODUCT(('Form responses 1'!$G$2:$G1000 = A23) * ('Form responses 1'!$A$2:$A1000 &lt;= DATE(2025, 8, 31)))), 2), "-")
</f>
        <v>0.26</v>
      </c>
      <c r="W23" s="2">
        <f>IFERROR(ROUND(Data!B21/(SUMPRODUCT(('Form responses 1'!$B$2:$B1000 = A23) * ('Form responses 1'!$A$2:$A1000 &lt;= DATE(2025, 9, 30)))
+ SUMPRODUCT(('Form responses 1'!$C$2:$C1000 = A23) * ('Form responses 1'!$A$2:$A1000 &lt;= DATE(2025, 9, 30)))
+ SUMPRODUCT(('Form responses 1'!$D$2:$D1000 = A23) * ('Form responses 1'!$A$2:$A1000 &lt;= DATE(2025, 9, 30)))
+ SUMPRODUCT(('Form responses 1'!$E$2:$E1000 = A23) * ('Form responses 1'!$A$2:$A1000 &lt;= DATE(2025, 9, 30)))
+ SUMPRODUCT(('Form responses 1'!$F$2:$F1000 = A23) * ('Form responses 1'!$A$2:$A1000 &lt;= DATE(2025, 9, 30)))
+ SUMPRODUCT(('Form responses 1'!$G$2:$G1000 = A23) * ('Form responses 1'!$A$2:$A1000 &lt;= DATE(2025, 9, 30)))), 2), "-")
</f>
        <v>0.26</v>
      </c>
      <c r="X23" s="2">
        <f>IFERROR(ROUND(Data!B21/(SUMPRODUCT(('Form responses 1'!$B$2:$B1000 = A23) * ('Form responses 1'!$A$2:$A1000 &lt;= DATE(2025, 10, 31)))
+ SUMPRODUCT(('Form responses 1'!$C$2:$C1000 = A23) * ('Form responses 1'!$A$2:$A1000 &lt;= DATE(2025, 10, 31)))
+ SUMPRODUCT(('Form responses 1'!$D$2:$D1000 = A23) * ('Form responses 1'!$A$2:$A1000 &lt;= DATE(2025, 10, 31)))
+ SUMPRODUCT(('Form responses 1'!$E$2:$E1000 = A23) * ('Form responses 1'!$A$2:$A1000 &lt;= DATE(2025, 10, 31)))
+ SUMPRODUCT(('Form responses 1'!$F$2:$F1000 = A23) * ('Form responses 1'!$A$2:$A1000 &lt;= DATE(2025, 10, 31)))
+ SUMPRODUCT(('Form responses 1'!$G$2:$G1000 = A23) * ('Form responses 1'!$A$2:$A1000 &lt;= DATE(2025, 10, 31)))), 2), "-")
</f>
        <v>0.26</v>
      </c>
      <c r="Y23" s="2">
        <f>IFERROR(ROUND(Data!B21/(SUMPRODUCT(('Form responses 1'!$B$2:$B1000 = A23) * ('Form responses 1'!$A$2:$A1000 &lt;= DATE(2025, 11, 30)))
+ SUMPRODUCT(('Form responses 1'!$C$2:$C1000 = A23) * ('Form responses 1'!$A$2:$A1000 &lt;= DATE(2025, 11, 30)))
+ SUMPRODUCT(('Form responses 1'!$D$2:$D1000 = A23) * ('Form responses 1'!$A$2:$A1000 &lt;= DATE(2025, 11, 30)))
+ SUMPRODUCT(('Form responses 1'!$E$2:$E1000 = A23) * ('Form responses 1'!$A$2:$A1000 &lt;= DATE(2025, 11, 30)))
+ SUMPRODUCT(('Form responses 1'!$F$2:$F1000 = A23) * ('Form responses 1'!$A$2:$A1000 &lt;= DATE(2025, 11, 30)))
+ SUMPRODUCT(('Form responses 1'!$G$2:$G1000 = A23) * ('Form responses 1'!$A$2:$A1000 &lt;= DATE(2025, 11, 30)))), 2), "-")
</f>
        <v>0.26</v>
      </c>
      <c r="Z23" s="2">
        <f>IFERROR(ROUND(Data!B21/(SUMPRODUCT(('Form responses 1'!$B$2:$B1000 = A23) * ('Form responses 1'!$A$2:$A1000 &lt;= DATE(2025, 12, 31)))
+ SUMPRODUCT(('Form responses 1'!$C$2:$C1000 = A23) * ('Form responses 1'!$A$2:$A1000 &lt;= DATE(2025, 12, 31)))
+ SUMPRODUCT(('Form responses 1'!$D$2:$D1000 = A23) * ('Form responses 1'!$A$2:$A1000 &lt;= DATE(2025, 12, 31)))
+ SUMPRODUCT(('Form responses 1'!$E$2:$E1000 = A23) * ('Form responses 1'!$A$2:$A1000 &lt;= DATE(2025, 12, 31)))
+ SUMPRODUCT(('Form responses 1'!$F$2:$F1000 = A23) * ('Form responses 1'!$A$2:$A1000 &lt;= DATE(2025, 12, 31)))
+ SUMPRODUCT(('Form responses 1'!$G$2:$G1000 = A23) * ('Form responses 1'!$A$2:$A1000 &lt;= DATE(2025, 12, 31)))), 2), "-")
</f>
        <v>0.26</v>
      </c>
      <c r="AA23" s="2">
        <f>IFERROR(ROUND(Data!$B23/(
  SUMPRODUCT(('Form responses 1'!$B$2:$B1000=$A23)*('Form responses 1'!$A$2:$A1000&lt;=EOMONTH(DATEVALUE("1 "&amp;AA$1),0)))+
  SUMPRODUCT(('Form responses 1'!$C$2:$C1000=$A23)*('Form responses 1'!$A$2:$A1000&lt;=EOMONTH(DATEVALUE("1 "&amp;AA$1),0)))+
  SUMPRODUCT(('Form responses 1'!$D$2:$D1000=$A23)*('Form responses 1'!$A$2:$A1000&lt;=EOMONTH(DATEVALUE("1 "&amp;AA$1),0)))+
  SUMPRODUCT(('Form responses 1'!$E$2:$E1000=$A23)*('Form responses 1'!$A$2:$A1000&lt;=EOMONTH(DATEVALUE("1 "&amp;AA$1),0)))+
  SUMPRODUCT(('Form responses 1'!$F$2:$F1000=$A23)*('Form responses 1'!$A$2:$A1000&lt;=EOMONTH(DATEVALUE("1 "&amp;AA$1),0)))+
  SUMPRODUCT(('Form responses 1'!$G$2:$G1000=$A23)*('Form responses 1'!$A$2:$A1000&lt;=EOMONTH(DATEVALUE("1 "&amp;AA$1),0)))
),2),"-")</f>
        <v>0.26</v>
      </c>
      <c r="AB23" s="2">
        <f>IFERROR(ROUND(Data!$B23/(
  SUMPRODUCT(('Form responses 1'!$B$2:$B1000=$A23)*('Form responses 1'!$A$2:$A1000&lt;=EOMONTH(DATEVALUE("1 "&amp;AB$1),0)))+
  SUMPRODUCT(('Form responses 1'!$C$2:$C1000=$A23)*('Form responses 1'!$A$2:$A1000&lt;=EOMONTH(DATEVALUE("1 "&amp;AB$1),0)))+
  SUMPRODUCT(('Form responses 1'!$D$2:$D1000=$A23)*('Form responses 1'!$A$2:$A1000&lt;=EOMONTH(DATEVALUE("1 "&amp;AB$1),0)))+
  SUMPRODUCT(('Form responses 1'!$E$2:$E1000=$A23)*('Form responses 1'!$A$2:$A1000&lt;=EOMONTH(DATEVALUE("1 "&amp;AB$1),0)))+
  SUMPRODUCT(('Form responses 1'!$F$2:$F1000=$A23)*('Form responses 1'!$A$2:$A1000&lt;=EOMONTH(DATEVALUE("1 "&amp;AB$1),0)))+
  SUMPRODUCT(('Form responses 1'!$G$2:$G1000=$A23)*('Form responses 1'!$A$2:$A1000&lt;=EOMONTH(DATEVALUE("1 "&amp;AB$1),0)))
),2),"-")</f>
        <v>0.26</v>
      </c>
      <c r="AC23" s="2">
        <f>IFERROR(ROUND(Data!$B23/(
  SUMPRODUCT(('Form responses 1'!$B$2:$B1000=$A23)*('Form responses 1'!$A$2:$A1000&lt;=EOMONTH(DATEVALUE("1 "&amp;AC$1),0)))+
  SUMPRODUCT(('Form responses 1'!$C$2:$C1000=$A23)*('Form responses 1'!$A$2:$A1000&lt;=EOMONTH(DATEVALUE("1 "&amp;AC$1),0)))+
  SUMPRODUCT(('Form responses 1'!$D$2:$D1000=$A23)*('Form responses 1'!$A$2:$A1000&lt;=EOMONTH(DATEVALUE("1 "&amp;AC$1),0)))+
  SUMPRODUCT(('Form responses 1'!$E$2:$E1000=$A23)*('Form responses 1'!$A$2:$A1000&lt;=EOMONTH(DATEVALUE("1 "&amp;AC$1),0)))+
  SUMPRODUCT(('Form responses 1'!$F$2:$F1000=$A23)*('Form responses 1'!$A$2:$A1000&lt;=EOMONTH(DATEVALUE("1 "&amp;AC$1),0)))+
  SUMPRODUCT(('Form responses 1'!$G$2:$G1000=$A23)*('Form responses 1'!$A$2:$A1000&lt;=EOMONTH(DATEVALUE("1 "&amp;AC$1),0)))
),2),"-")</f>
        <v>0.26</v>
      </c>
      <c r="AD23" s="2" t="str">
        <f>IFERROR(ROUND(Data!$B23/(
  SUMPRODUCT(('Form responses 1'!$B$2:$B1000=$A23)*('Form responses 1'!$A$2:$A1000&lt;=EOMONTH(DATEVALUE("1 "&amp;AD$1),0)))+
  SUMPRODUCT(('Form responses 1'!$C$2:$C1000=$A23)*('Form responses 1'!$A$2:$A1000&lt;=EOMONTH(DATEVALUE("1 "&amp;AD$1),0)))+
  SUMPRODUCT(('Form responses 1'!$D$2:$D1000=$A23)*('Form responses 1'!$A$2:$A1000&lt;=EOMONTH(DATEVALUE("1 "&amp;AD$1),0)))+
  SUMPRODUCT(('Form responses 1'!$E$2:$E1000=$A23)*('Form responses 1'!$A$2:$A1000&lt;=EOMONTH(DATEVALUE("1 "&amp;AD$1),0)))+
  SUMPRODUCT(('Form responses 1'!$F$2:$F1000=$A23)*('Form responses 1'!$A$2:$A1000&lt;=EOMONTH(DATEVALUE("1 "&amp;AD$1),0)))+
  SUMPRODUCT(('Form responses 1'!$G$2:$G1000=$A23)*('Form responses 1'!$A$2:$A1000&lt;=EOMONTH(DATEVALUE("1 "&amp;AD$1),0)))
),2),"-")</f>
        <v>-</v>
      </c>
      <c r="AE23" s="2" t="str">
        <f>IFERROR(ROUND(Data!$B23/(
  SUMPRODUCT(('Form responses 1'!$B$2:$B1000=$A23)*('Form responses 1'!$A$2:$A1000&lt;=EOMONTH(DATEVALUE("1 "&amp;AE$1),0)))+
  SUMPRODUCT(('Form responses 1'!$C$2:$C1000=$A23)*('Form responses 1'!$A$2:$A1000&lt;=EOMONTH(DATEVALUE("1 "&amp;AE$1),0)))+
  SUMPRODUCT(('Form responses 1'!$D$2:$D1000=$A23)*('Form responses 1'!$A$2:$A1000&lt;=EOMONTH(DATEVALUE("1 "&amp;AE$1),0)))+
  SUMPRODUCT(('Form responses 1'!$E$2:$E1000=$A23)*('Form responses 1'!$A$2:$A1000&lt;=EOMONTH(DATEVALUE("1 "&amp;AE$1),0)))+
  SUMPRODUCT(('Form responses 1'!$F$2:$F1000=$A23)*('Form responses 1'!$A$2:$A1000&lt;=EOMONTH(DATEVALUE("1 "&amp;AE$1),0)))+
  SUMPRODUCT(('Form responses 1'!$G$2:$G1000=$A23)*('Form responses 1'!$A$2:$A1000&lt;=EOMONTH(DATEVALUE("1 "&amp;AE$1),0)))
),2),"-")</f>
        <v>-</v>
      </c>
      <c r="AF23" s="2" t="str">
        <f>IFERROR(ROUND(Data!$B23/(
  SUMPRODUCT(('Form responses 1'!$B$2:$B1000=$A23)*('Form responses 1'!$A$2:$A1000&lt;=EOMONTH(DATEVALUE("1 "&amp;AF$1),0)))+
  SUMPRODUCT(('Form responses 1'!$C$2:$C1000=$A23)*('Form responses 1'!$A$2:$A1000&lt;=EOMONTH(DATEVALUE("1 "&amp;AF$1),0)))+
  SUMPRODUCT(('Form responses 1'!$D$2:$D1000=$A23)*('Form responses 1'!$A$2:$A1000&lt;=EOMONTH(DATEVALUE("1 "&amp;AF$1),0)))+
  SUMPRODUCT(('Form responses 1'!$E$2:$E1000=$A23)*('Form responses 1'!$A$2:$A1000&lt;=EOMONTH(DATEVALUE("1 "&amp;AF$1),0)))+
  SUMPRODUCT(('Form responses 1'!$F$2:$F1000=$A23)*('Form responses 1'!$A$2:$A1000&lt;=EOMONTH(DATEVALUE("1 "&amp;AF$1),0)))+
  SUMPRODUCT(('Form responses 1'!$G$2:$G1000=$A23)*('Form responses 1'!$A$2:$A1000&lt;=EOMONTH(DATEVALUE("1 "&amp;AF$1),0)))
),2),"-")</f>
        <v>-</v>
      </c>
      <c r="AG23" s="2" t="str">
        <f>IFERROR(ROUND(Data!$B23/(
  SUMPRODUCT(('Form responses 1'!$B$2:$B1000=$A23)*('Form responses 1'!$A$2:$A1000&lt;=EOMONTH(DATEVALUE("1 "&amp;AG$1),0)))+
  SUMPRODUCT(('Form responses 1'!$C$2:$C1000=$A23)*('Form responses 1'!$A$2:$A1000&lt;=EOMONTH(DATEVALUE("1 "&amp;AG$1),0)))+
  SUMPRODUCT(('Form responses 1'!$D$2:$D1000=$A23)*('Form responses 1'!$A$2:$A1000&lt;=EOMONTH(DATEVALUE("1 "&amp;AG$1),0)))+
  SUMPRODUCT(('Form responses 1'!$E$2:$E1000=$A23)*('Form responses 1'!$A$2:$A1000&lt;=EOMONTH(DATEVALUE("1 "&amp;AG$1),0)))+
  SUMPRODUCT(('Form responses 1'!$F$2:$F1000=$A23)*('Form responses 1'!$A$2:$A1000&lt;=EOMONTH(DATEVALUE("1 "&amp;AG$1),0)))+
  SUMPRODUCT(('Form responses 1'!$G$2:$G1000=$A23)*('Form responses 1'!$A$2:$A1000&lt;=EOMONTH(DATEVALUE("1 "&amp;AG$1),0)))
),2),"-")</f>
        <v>-</v>
      </c>
      <c r="AH23" s="2" t="str">
        <f>IFERROR(ROUND(Data!$B23/(
  SUMPRODUCT(('Form responses 1'!$B$2:$B1000=$A23)*('Form responses 1'!$A$2:$A1000&lt;=EOMONTH(DATEVALUE("1 "&amp;AH$1),0)))+
  SUMPRODUCT(('Form responses 1'!$C$2:$C1000=$A23)*('Form responses 1'!$A$2:$A1000&lt;=EOMONTH(DATEVALUE("1 "&amp;AH$1),0)))+
  SUMPRODUCT(('Form responses 1'!$D$2:$D1000=$A23)*('Form responses 1'!$A$2:$A1000&lt;=EOMONTH(DATEVALUE("1 "&amp;AH$1),0)))+
  SUMPRODUCT(('Form responses 1'!$E$2:$E1000=$A23)*('Form responses 1'!$A$2:$A1000&lt;=EOMONTH(DATEVALUE("1 "&amp;AH$1),0)))+
  SUMPRODUCT(('Form responses 1'!$F$2:$F1000=$A23)*('Form responses 1'!$A$2:$A1000&lt;=EOMONTH(DATEVALUE("1 "&amp;AH$1),0)))+
  SUMPRODUCT(('Form responses 1'!$G$2:$G1000=$A23)*('Form responses 1'!$A$2:$A1000&lt;=EOMONTH(DATEVALUE("1 "&amp;AH$1),0)))
),2),"-")</f>
        <v>-</v>
      </c>
      <c r="AI23" s="2" t="str">
        <f>IFERROR(ROUND(Data!$B23/(
  SUMPRODUCT(('Form responses 1'!$B$2:$B1000=$A23)*('Form responses 1'!$A$2:$A1000&lt;=EOMONTH(DATEVALUE("1 "&amp;AI$1),0)))+
  SUMPRODUCT(('Form responses 1'!$C$2:$C1000=$A23)*('Form responses 1'!$A$2:$A1000&lt;=EOMONTH(DATEVALUE("1 "&amp;AI$1),0)))+
  SUMPRODUCT(('Form responses 1'!$D$2:$D1000=$A23)*('Form responses 1'!$A$2:$A1000&lt;=EOMONTH(DATEVALUE("1 "&amp;AI$1),0)))+
  SUMPRODUCT(('Form responses 1'!$E$2:$E1000=$A23)*('Form responses 1'!$A$2:$A1000&lt;=EOMONTH(DATEVALUE("1 "&amp;AI$1),0)))+
  SUMPRODUCT(('Form responses 1'!$F$2:$F1000=$A23)*('Form responses 1'!$A$2:$A1000&lt;=EOMONTH(DATEVALUE("1 "&amp;AI$1),0)))+
  SUMPRODUCT(('Form responses 1'!$G$2:$G1000=$A23)*('Form responses 1'!$A$2:$A1000&lt;=EOMONTH(DATEVALUE("1 "&amp;AI$1),0)))
),2),"-")</f>
        <v>-</v>
      </c>
      <c r="AJ23" s="2" t="str">
        <f>IFERROR(ROUND(Data!$B23/(
  SUMPRODUCT(('Form responses 1'!$B$2:$B1000=$A23)*('Form responses 1'!$A$2:$A1000&lt;=EOMONTH(DATEVALUE("1 "&amp;AJ$1),0)))+
  SUMPRODUCT(('Form responses 1'!$C$2:$C1000=$A23)*('Form responses 1'!$A$2:$A1000&lt;=EOMONTH(DATEVALUE("1 "&amp;AJ$1),0)))+
  SUMPRODUCT(('Form responses 1'!$D$2:$D1000=$A23)*('Form responses 1'!$A$2:$A1000&lt;=EOMONTH(DATEVALUE("1 "&amp;AJ$1),0)))+
  SUMPRODUCT(('Form responses 1'!$E$2:$E1000=$A23)*('Form responses 1'!$A$2:$A1000&lt;=EOMONTH(DATEVALUE("1 "&amp;AJ$1),0)))+
  SUMPRODUCT(('Form responses 1'!$F$2:$F1000=$A23)*('Form responses 1'!$A$2:$A1000&lt;=EOMONTH(DATEVALUE("1 "&amp;AJ$1),0)))+
  SUMPRODUCT(('Form responses 1'!$G$2:$G1000=$A23)*('Form responses 1'!$A$2:$A1000&lt;=EOMONTH(DATEVALUE("1 "&amp;AJ$1),0)))
),2),"-")</f>
        <v>-</v>
      </c>
      <c r="AK23" s="2" t="str">
        <f>IFERROR(ROUND(Data!$B23/(
  SUMPRODUCT(('Form responses 1'!$B$2:$B1000=$A23)*('Form responses 1'!$A$2:$A1000&lt;=EOMONTH(DATEVALUE("1 "&amp;AK$1),0)))+
  SUMPRODUCT(('Form responses 1'!$C$2:$C1000=$A23)*('Form responses 1'!$A$2:$A1000&lt;=EOMONTH(DATEVALUE("1 "&amp;AK$1),0)))+
  SUMPRODUCT(('Form responses 1'!$D$2:$D1000=$A23)*('Form responses 1'!$A$2:$A1000&lt;=EOMONTH(DATEVALUE("1 "&amp;AK$1),0)))+
  SUMPRODUCT(('Form responses 1'!$E$2:$E1000=$A23)*('Form responses 1'!$A$2:$A1000&lt;=EOMONTH(DATEVALUE("1 "&amp;AK$1),0)))+
  SUMPRODUCT(('Form responses 1'!$F$2:$F1000=$A23)*('Form responses 1'!$A$2:$A1000&lt;=EOMONTH(DATEVALUE("1 "&amp;AK$1),0)))+
  SUMPRODUCT(('Form responses 1'!$G$2:$G1000=$A23)*('Form responses 1'!$A$2:$A1000&lt;=EOMONTH(DATEVALUE("1 "&amp;AK$1),0)))
),2),"-")</f>
        <v>-</v>
      </c>
      <c r="AL23" s="2" t="str">
        <f>IFERROR(ROUND(Data!$B23/(
  SUMPRODUCT(('Form responses 1'!$B$2:$B1000=$A23)*('Form responses 1'!$A$2:$A1000&lt;=EOMONTH(DATEVALUE("1 "&amp;AL$1),0)))+
  SUMPRODUCT(('Form responses 1'!$C$2:$C1000=$A23)*('Form responses 1'!$A$2:$A1000&lt;=EOMONTH(DATEVALUE("1 "&amp;AL$1),0)))+
  SUMPRODUCT(('Form responses 1'!$D$2:$D1000=$A23)*('Form responses 1'!$A$2:$A1000&lt;=EOMONTH(DATEVALUE("1 "&amp;AL$1),0)))+
  SUMPRODUCT(('Form responses 1'!$E$2:$E1000=$A23)*('Form responses 1'!$A$2:$A1000&lt;=EOMONTH(DATEVALUE("1 "&amp;AL$1),0)))+
  SUMPRODUCT(('Form responses 1'!$F$2:$F1000=$A23)*('Form responses 1'!$A$2:$A1000&lt;=EOMONTH(DATEVALUE("1 "&amp;AL$1),0)))+
  SUMPRODUCT(('Form responses 1'!$G$2:$G1000=$A23)*('Form responses 1'!$A$2:$A1000&lt;=EOMONTH(DATEVALUE("1 "&amp;AL$1),0)))
),2),"-")</f>
        <v>-</v>
      </c>
    </row>
    <row r="24">
      <c r="A24" s="3" t="str">
        <f>IFERROR(__xludf.DUMMYFUNCTION("""COMPUTED_VALUE"""),"Daily Aesthetikz t-shirt")</f>
        <v>Daily Aesthetikz t-shirt</v>
      </c>
      <c r="B24" s="2">
        <f>Data!F22:F1000</f>
        <v>0.77</v>
      </c>
      <c r="C24" s="2">
        <f>IFERROR(ROUND(Data!B22/(SUMPRODUCT(('Form responses 1'!$B$2:$B1000 = A24) * ('Form responses 1'!$A$2:$A1000 &lt;= DATE(2024, 1, 31)))
+ SUMPRODUCT(('Form responses 1'!$C$2:$C1000 = A24) * ('Form responses 1'!$A$2:$A1000 &lt;= DATE(2024, 1, 31)))
+ SUMPRODUCT(('Form responses 1'!$D$2:$D1000 = A24) * ('Form responses 1'!$A$2:$A1000 &lt;= DATE(2024, 1, 31)))
+ SUMPRODUCT(('Form responses 1'!$E$2:$E1000 = A24) * ('Form responses 1'!$A$2:$A1000 &lt;= DATE(2024, 1, 31)))
+ SUMPRODUCT(('Form responses 1'!$F$2:$F1000 = A24) * ('Form responses 1'!$A$2:$A1000 &lt;= DATE(2024, 1, 31)))
+ SUMPRODUCT(('Form responses 1'!$G$2:$G1000 = A24) * ('Form responses 1'!$A$2:$A1000 &lt;= DATE(2024, 1, 31)))), 2), "-")
</f>
        <v>1.25</v>
      </c>
      <c r="D24" s="2">
        <f>IFERROR(ROUND(Data!B22/(SUMPRODUCT(('Form responses 1'!$B$2:$B1000 = A24) * ('Form responses 1'!$A$2:$A1000 &lt;= DATE(2024, 2, 29)))
+ SUMPRODUCT(('Form responses 1'!$C$2:$C1000 = A24) * ('Form responses 1'!$A$2:$A1000 &lt;= DATE(2024, 2, 29)))
+ SUMPRODUCT(('Form responses 1'!$D$2:$D1000 = A24) * ('Form responses 1'!$A$2:$A1000 &lt;= DATE(2024, 2, 29)))
+ SUMPRODUCT(('Form responses 1'!$E$2:$E1000 = A24) * ('Form responses 1'!$A$2:$A1000 &lt;= DATE(2024, 2, 29)))
+ SUMPRODUCT(('Form responses 1'!$F$2:$F1000 = A24) * ('Form responses 1'!$A$2:$A1000 &lt;= DATE(2024, 2, 29)))
+ SUMPRODUCT(('Form responses 1'!$G$2:$G1000 = A24) * ('Form responses 1'!$A$2:$A1000 &lt;= DATE(2024, 2, 29)))), 2), "-")
</f>
        <v>1.25</v>
      </c>
      <c r="E24" s="2">
        <f>IFERROR(ROUND(Data!B22/(SUMPRODUCT(('Form responses 1'!$B$2:$B1000 = A24) * ('Form responses 1'!$A$2:$A1000 &lt;= DATE(2024, 3, 31)))
+ SUMPRODUCT(('Form responses 1'!$C$2:$C1000 = A24) * ('Form responses 1'!$A$2:$A1000 &lt;= DATE(2024, 3, 31)))
+ SUMPRODUCT(('Form responses 1'!$D$2:$D1000 = A24) * ('Form responses 1'!$A$2:$A1000 &lt;= DATE(2024, 3, 31)))
+ SUMPRODUCT(('Form responses 1'!$E$2:$E1000 = A24) * ('Form responses 1'!$A$2:$A1000 &lt;= DATE(2024, 3, 31)))
+ SUMPRODUCT(('Form responses 1'!$F$2:$F1000 = A24) * ('Form responses 1'!$A$2:$A1000 &lt;= DATE(2024, 3, 31)))
+ SUMPRODUCT(('Form responses 1'!$G$2:$G1000 = A24) * ('Form responses 1'!$A$2:$A1000 &lt;= DATE(2024, 3, 31)))), 2), "-")
</f>
        <v>1.25</v>
      </c>
      <c r="F24" s="2">
        <f>IFERROR(ROUND(Data!B22/(SUMPRODUCT(('Form responses 1'!$B$2:$B1000 = A24) * ('Form responses 1'!$A$2:$A1000 &lt;= DATE(2024, 4, 30)))
+ SUMPRODUCT(('Form responses 1'!$C$2:$C1000 = A24) * ('Form responses 1'!$A$2:$A1000 &lt;= DATE(2024, 4, 30)))
+ SUMPRODUCT(('Form responses 1'!$D$2:$D1000 = A24) * ('Form responses 1'!$A$2:$A1000 &lt;= DATE(2024, 4, 30)))
+ SUMPRODUCT(('Form responses 1'!$E$2:$E1000 = A24) * ('Form responses 1'!$A$2:$A1000 &lt;= DATE(2024, 4, 30)))
+ SUMPRODUCT(('Form responses 1'!$F$2:$F1000 = A24) * ('Form responses 1'!$A$2:$A1000 &lt;= DATE(2024, 4, 30)))
+ SUMPRODUCT(('Form responses 1'!$G$2:$G1000 = A24) * ('Form responses 1'!$A$2:$A1000 &lt;= DATE(2024, 4, 30)))), 2), "-")
</f>
        <v>1.25</v>
      </c>
      <c r="G24" s="2">
        <f>IFERROR(ROUND(Data!B22/(SUMPRODUCT(('Form responses 1'!$B$2:$B1000 = A24) * ('Form responses 1'!$A$2:$A1000 &lt;= DATE(2024, 5, 31)))
+ SUMPRODUCT(('Form responses 1'!$C$2:$C1000 = A24) * ('Form responses 1'!$A$2:$A1000 &lt;= DATE(2024, 5, 31)))
+ SUMPRODUCT(('Form responses 1'!$D$2:$D1000 = A24) * ('Form responses 1'!$A$2:$A1000 &lt;= DATE(2024, 5, 31)))
+ SUMPRODUCT(('Form responses 1'!$E$2:$E1000 = A24) * ('Form responses 1'!$A$2:$A1000 &lt;= DATE(2024, 5, 31)))
+ SUMPRODUCT(('Form responses 1'!$F$2:$F1000 = A24) * ('Form responses 1'!$A$2:$A1000 &lt;= DATE(2024, 5, 31)))
+ SUMPRODUCT(('Form responses 1'!$G$2:$G1000 = A24) * ('Form responses 1'!$A$2:$A1000 &lt;= DATE(2024, 5, 31)))), 2), "-")
</f>
        <v>1.25</v>
      </c>
      <c r="H24" s="2">
        <f>IFERROR(ROUND(Data!B22/(SUMPRODUCT(('Form responses 1'!$B$2:$B1000 = A24) * ('Form responses 1'!$A$2:$A1000 &lt;= DATE(2024, 6, 30)))
+ SUMPRODUCT(('Form responses 1'!$C$2:$C1000 = A24) * ('Form responses 1'!$A$2:$A1000 &lt;= DATE(2024, 6, 30)))
+ SUMPRODUCT(('Form responses 1'!$D$2:$D1000 = A24) * ('Form responses 1'!$A$2:$A1000 &lt;= DATE(2024, 6, 30)))
+ SUMPRODUCT(('Form responses 1'!$E$2:$E1000 = A24) * ('Form responses 1'!$A$2:$A1000 &lt;= DATE(2024, 6, 30)))
+ SUMPRODUCT(('Form responses 1'!$F$2:$F1000 = A24) * ('Form responses 1'!$A$2:$A1000 &lt;= DATE(2024, 6, 30)))
+ SUMPRODUCT(('Form responses 1'!$G$2:$G1000 = A24) * ('Form responses 1'!$A$2:$A1000 &lt;= DATE(2024, 6, 30)))), 2), "-")
</f>
        <v>1.25</v>
      </c>
      <c r="I24" s="2">
        <f>IFERROR(ROUND(Data!B22/(SUMPRODUCT(('Form responses 1'!$B$2:$B1000 = A24) * ('Form responses 1'!$A$2:$A1000 &lt;= DATE(2024, 7, 31)))
+ SUMPRODUCT(('Form responses 1'!$C$2:$C1000 = A24) * ('Form responses 1'!$A$2:$A1000 &lt;= DATE(2024, 7, 31)))
+ SUMPRODUCT(('Form responses 1'!$D$2:$D1000 = A24) * ('Form responses 1'!$A$2:$A1000 &lt;= DATE(2024, 7, 31)))
+ SUMPRODUCT(('Form responses 1'!$E$2:$E1000 = A24) * ('Form responses 1'!$A$2:$A1000 &lt;= DATE(2024, 7, 31)))
+ SUMPRODUCT(('Form responses 1'!$F$2:$F1000 = A24) * ('Form responses 1'!$A$2:$A1000 &lt;= DATE(2024, 7, 31)))
+ SUMPRODUCT(('Form responses 1'!$G$2:$G1000 = A24) * ('Form responses 1'!$A$2:$A1000 &lt;= DATE(2024, 7, 31)))), 2), "-")
</f>
        <v>1.25</v>
      </c>
      <c r="J24" s="2">
        <f>IFERROR(ROUND(Data!B22/(SUMPRODUCT(('Form responses 1'!$B$2:$B1000 = A24) * ('Form responses 1'!$A$2:$A1000 &lt;= DATE(2024, 8, 31)))
+ SUMPRODUCT(('Form responses 1'!$C$2:$C1000 = A24) * ('Form responses 1'!$A$2:$A1000 &lt;= DATE(2024, 8, 31)))
+ SUMPRODUCT(('Form responses 1'!$D$2:$D1000 = A24) * ('Form responses 1'!$A$2:$A1000 &lt;= DATE(2024, 8, 31)))
+ SUMPRODUCT(('Form responses 1'!$E$2:$E1000 = A24) * ('Form responses 1'!$A$2:$A1000 &lt;= DATE(2024, 8, 31)))
+ SUMPRODUCT(('Form responses 1'!$F$2:$F1000 = A24) * ('Form responses 1'!$A$2:$A1000 &lt;= DATE(2024, 8, 31)))
+ SUMPRODUCT(('Form responses 1'!$G$2:$G1000 = A24) * ('Form responses 1'!$A$2:$A1000 &lt;= DATE(2024, 8, 31)))), 2), "-")
</f>
        <v>1.15</v>
      </c>
      <c r="K24" s="2">
        <f>IFERROR(ROUND(Data!B22/(SUMPRODUCT(('Form responses 1'!$B$2:$B1000 = A24) * ('Form responses 1'!$A$2:$A1000 &lt;= DATE(2024, 9, 30)))
+ SUMPRODUCT(('Form responses 1'!$C$2:$C1000 = A24) * ('Form responses 1'!$A$2:$A1000 &lt;= DATE(2024, 9, 30)))
+ SUMPRODUCT(('Form responses 1'!$D$2:$D1000 = A24) * ('Form responses 1'!$A$2:$A1000 &lt;= DATE(2024, 9, 30)))
+ SUMPRODUCT(('Form responses 1'!$E$2:$E1000 = A24) * ('Form responses 1'!$A$2:$A1000 &lt;= DATE(2024, 9, 30)))
+ SUMPRODUCT(('Form responses 1'!$F$2:$F1000 = A24) * ('Form responses 1'!$A$2:$A1000 &lt;= DATE(2024, 9, 30)))
+ SUMPRODUCT(('Form responses 1'!$G$2:$G1000 = A24) * ('Form responses 1'!$A$2:$A1000 &lt;= DATE(2024, 9, 30)))), 2), "-")
</f>
        <v>1.11</v>
      </c>
      <c r="L24" s="2">
        <f>IFERROR(ROUND(Data!B22/(SUMPRODUCT(('Form responses 1'!$B$2:$B1000 = A24) * ('Form responses 1'!$A$2:$A1000 &lt;= DATE(2024, 10, 31)))
+ SUMPRODUCT(('Form responses 1'!$C$2:$C1000 = A24) * ('Form responses 1'!$A$2:$A1000 &lt;= DATE(2024, 10, 31)))
+ SUMPRODUCT(('Form responses 1'!$D$2:$D1000 = A24) * ('Form responses 1'!$A$2:$A1000 &lt;= DATE(2024, 10, 31)))
+ SUMPRODUCT(('Form responses 1'!$E$2:$E1000 = A24) * ('Form responses 1'!$A$2:$A1000 &lt;= DATE(2024, 10, 31)))
+ SUMPRODUCT(('Form responses 1'!$F$2:$F1000 = A24) * ('Form responses 1'!$A$2:$A1000 &lt;= DATE(2024, 10, 31)))
+ SUMPRODUCT(('Form responses 1'!$G$2:$G1000 = A24) * ('Form responses 1'!$A$2:$A1000 &lt;= DATE(2024, 10, 31)))), 2), "-")
</f>
        <v>1.11</v>
      </c>
      <c r="M24" s="2">
        <f>IFERROR(ROUND(Data!B22/(SUMPRODUCT(('Form responses 1'!$B$2:$B1000 = A24) * ('Form responses 1'!$A$2:$A1000 &lt;= DATE(2024, 11, 30)))
+ SUMPRODUCT(('Form responses 1'!$C$2:$C1000 = A24) * ('Form responses 1'!$A$2:$A1000 &lt;= DATE(2024, 11, 30)))
+ SUMPRODUCT(('Form responses 1'!$D$2:$D1000 = A24) * ('Form responses 1'!$A$2:$A1000 &lt;= DATE(2024, 11, 30)))
+ SUMPRODUCT(('Form responses 1'!$E$2:$E1000 = A24) * ('Form responses 1'!$A$2:$A1000 &lt;= DATE(2024, 11, 30)))
+ SUMPRODUCT(('Form responses 1'!$F$2:$F1000 = A24) * ('Form responses 1'!$A$2:$A1000 &lt;= DATE(2024, 11, 30)))
+ SUMPRODUCT(('Form responses 1'!$G$2:$G1000 = A24) * ('Form responses 1'!$A$2:$A1000 &lt;= DATE(2024, 11, 30)))), 2), "-")
</f>
        <v>1.11</v>
      </c>
      <c r="N24" s="2">
        <f>IFERROR(ROUND(Data!B22/(SUMPRODUCT(('Form responses 1'!$B$2:$B1000 = A24) * ('Form responses 1'!$A$2:$A1000 &lt;= DATE(2024, 12, 31)))
+ SUMPRODUCT(('Form responses 1'!$C$2:$C1000 = A24) * ('Form responses 1'!$A$2:$A1000 &lt;= DATE(2024, 12, 31)))
+ SUMPRODUCT(('Form responses 1'!$D$2:$D1000 = A24) * ('Form responses 1'!$A$2:$A1000 &lt;= DATE(2024, 12, 31)))
+ SUMPRODUCT(('Form responses 1'!$E$2:$E1000 = A24) * ('Form responses 1'!$A$2:$A1000 &lt;= DATE(2024, 12, 31)))
+ SUMPRODUCT(('Form responses 1'!$F$2:$F1000 = A24) * ('Form responses 1'!$A$2:$A1000 &lt;= DATE(2024, 12, 31)))
+ SUMPRODUCT(('Form responses 1'!$G$2:$G1000 = A24) * ('Form responses 1'!$A$2:$A1000 &lt;= DATE(2024, 12, 31)))), 2), "-")
</f>
        <v>1.11</v>
      </c>
      <c r="O24" s="2">
        <f>IFERROR(ROUND(Data!B22/(SUMPRODUCT(('Form responses 1'!$B$2:$B1000 = A24) * ('Form responses 1'!$A$2:$A1000 &lt;= DATE(2025, 1, 31)))
+ SUMPRODUCT(('Form responses 1'!$C$2:$C1000 = A24) * ('Form responses 1'!$A$2:$A1000 &lt;= DATE(2025, 1, 31)))
+ SUMPRODUCT(('Form responses 1'!$D$2:$D1000 = A24) * ('Form responses 1'!$A$2:$A1000 &lt;= DATE(2025, 1, 31)))
+ SUMPRODUCT(('Form responses 1'!$E$2:$E1000 = A24) * ('Form responses 1'!$A$2:$A1000 &lt;= DATE(2025, 1, 31)))
+ SUMPRODUCT(('Form responses 1'!$F$2:$F1000 = A24) * ('Form responses 1'!$A$2:$A1000 &lt;= DATE(2025, 1, 31)))
+ SUMPRODUCT(('Form responses 1'!$G$2:$G1000 = A24) * ('Form responses 1'!$A$2:$A1000 &lt;= DATE(2025, 1, 31)))), 2), "-")
</f>
        <v>1.11</v>
      </c>
      <c r="P24" s="2">
        <f>IFERROR(ROUND(Data!B22/(SUMPRODUCT(('Form responses 1'!$B$2:$B1000 = A24) * ('Form responses 1'!$A$2:$A1000 &lt;= DATE(2025, 2, 28)))
+ SUMPRODUCT(('Form responses 1'!$C$2:$C1000 = A24) * ('Form responses 1'!$A$2:$A1000 &lt;= DATE(2025, 2, 28)))
+ SUMPRODUCT(('Form responses 1'!$D$2:$D1000 = A24) * ('Form responses 1'!$A$2:$A1000 &lt;= DATE(2025, 2, 28)))
+ SUMPRODUCT(('Form responses 1'!$E$2:$E1000 = A24) * ('Form responses 1'!$A$2:$A1000 &lt;= DATE(2025, 2, 28)))
+ SUMPRODUCT(('Form responses 1'!$F$2:$F1000 = A24) * ('Form responses 1'!$A$2:$A1000 &lt;= DATE(2025, 2, 28)))
+ SUMPRODUCT(('Form responses 1'!$G$2:$G1000 = A24) * ('Form responses 1'!$A$2:$A1000 &lt;= DATE(2025, 2, 28)))), 2), "-")
</f>
        <v>1.11</v>
      </c>
      <c r="Q24" s="2">
        <f>IFERROR(ROUND(Data!B22/(SUMPRODUCT(('Form responses 1'!$B$2:$B1000 = A24) * ('Form responses 1'!$A$2:$A1000 &lt;= DATE(2025, 3, 31)))
+ SUMPRODUCT(('Form responses 1'!$C$2:$C1000 = A24) * ('Form responses 1'!$A$2:$A1000 &lt;= DATE(2025, 3, 31)))
+ SUMPRODUCT(('Form responses 1'!$D$2:$D1000 = A24) * ('Form responses 1'!$A$2:$A1000 &lt;= DATE(2025, 3, 31)))
+ SUMPRODUCT(('Form responses 1'!$E$2:$E1000 = A24) * ('Form responses 1'!$A$2:$A1000 &lt;= DATE(2025, 3, 31)))
+ SUMPRODUCT(('Form responses 1'!$F$2:$F1000 = A24) * ('Form responses 1'!$A$2:$A1000 &lt;= DATE(2025, 3, 31)))
+ SUMPRODUCT(('Form responses 1'!$G$2:$G1000 = A24) * ('Form responses 1'!$A$2:$A1000 &lt;= DATE(2025, 3, 31)))),2),"-")</f>
        <v>1.11</v>
      </c>
      <c r="R24" s="2">
        <f>IFERROR(ROUND(Data!B22/(SUMPRODUCT(('Form responses 1'!$B$2:$B1000 = A24) * ('Form responses 1'!$A$2:$A1000 &lt;= DATE(2025, 4, 30)))
+ SUMPRODUCT(('Form responses 1'!$C$2:$C1000 = A24) * ('Form responses 1'!$A$2:$A1000 &lt;= DATE(2025, 4, 30)))
+ SUMPRODUCT(('Form responses 1'!$D$2:$D1000 = A24) * ('Form responses 1'!$A$2:$A1000 &lt;= DATE(2025, 4, 30)))
+ SUMPRODUCT(('Form responses 1'!$E$2:$E1000 = A24) * ('Form responses 1'!$A$2:$A1000 &lt;= DATE(2025, 4, 30)))
+ SUMPRODUCT(('Form responses 1'!$F$2:$F1000 = A24) * ('Form responses 1'!$A$2:$A1000 &lt;= DATE(2025, 4, 30)))
+ SUMPRODUCT(('Form responses 1'!$G$2:$G1000 = A24) * ('Form responses 1'!$A$2:$A1000 &lt;= DATE(2025, 4, 30)))), 2), "-")
</f>
        <v>1.11</v>
      </c>
      <c r="S24" s="2">
        <f>IFERROR(ROUND(Data!B22/(SUMPRODUCT(('Form responses 1'!$B$2:$B1000 = A24) * ('Form responses 1'!$A$2:$A1000 &lt;= DATE(2025, 5, 31)))
+ SUMPRODUCT(('Form responses 1'!$C$2:$C1000 = A24) * ('Form responses 1'!$A$2:$A1000 &lt;= DATE(2025, 5, 31)))
+ SUMPRODUCT(('Form responses 1'!$D$2:$D1000 = A24) * ('Form responses 1'!$A$2:$A1000 &lt;= DATE(2025, 5, 31)))
+ SUMPRODUCT(('Form responses 1'!$E$2:$E1000 = A24) * ('Form responses 1'!$A$2:$A1000 &lt;= DATE(2025, 5, 31)))
+ SUMPRODUCT(('Form responses 1'!$F$2:$F1000 = A24) * ('Form responses 1'!$A$2:$A1000 &lt;= DATE(2025, 5, 31)))
+ SUMPRODUCT(('Form responses 1'!$G$2:$G1000 = A24) * ('Form responses 1'!$A$2:$A1000 &lt;= DATE(2025, 5, 31)))), 2), "-")
</f>
        <v>1.11</v>
      </c>
      <c r="T24" s="2">
        <f>IFERROR(ROUND(Data!B22/(SUMPRODUCT(('Form responses 1'!$B$2:$B1000 = A24) * ('Form responses 1'!$A$2:$A1000 &lt;= DATE(2025, 6, 30)))
+ SUMPRODUCT(('Form responses 1'!$C$2:$C1000 = A24) * ('Form responses 1'!$A$2:$A1000 &lt;= DATE(2025, 6, 30)))
+ SUMPRODUCT(('Form responses 1'!$D$2:$D1000 = A24) * ('Form responses 1'!$A$2:$A1000 &lt;= DATE(2025, 6, 30)))
+ SUMPRODUCT(('Form responses 1'!$E$2:$E1000 = A24) * ('Form responses 1'!$A$2:$A1000 &lt;= DATE(2025, 6, 30)))
+ SUMPRODUCT(('Form responses 1'!$F$2:$F1000 = A24) * ('Form responses 1'!$A$2:$A1000 &lt;= DATE(2025, 6, 30)))
+ SUMPRODUCT(('Form responses 1'!$G$2:$G1000 = A24) * ('Form responses 1'!$A$2:$A1000 &lt;= DATE(2025, 6, 30)))), 2), "-")
</f>
        <v>1.07</v>
      </c>
      <c r="U24" s="2">
        <f>IFERROR(ROUND(Data!B22/(SUMPRODUCT(('Form responses 1'!$B$2:$B1000 = A24) * ('Form responses 1'!$A$2:$A1000 &lt;= DATE(2025, 7, 31)))
+ SUMPRODUCT(('Form responses 1'!$C$2:$C1000 = A24) * ('Form responses 1'!$A$2:$A1000 &lt;= DATE(2025, 7, 31)))
+ SUMPRODUCT(('Form responses 1'!$D$2:$D1000 = A24) * ('Form responses 1'!$A$2:$A1000 &lt;= DATE(2025, 7, 31)))
+ SUMPRODUCT(('Form responses 1'!$E$2:$E1000 = A24) * ('Form responses 1'!$A$2:$A1000 &lt;= DATE(2025, 7, 31)))
+ SUMPRODUCT(('Form responses 1'!$F$2:$F1000 = A24) * ('Form responses 1'!$A$2:$A1000 &lt;= DATE(2025, 7, 31)))
+ SUMPRODUCT(('Form responses 1'!$G$2:$G1000 = A24) * ('Form responses 1'!$A$2:$A1000 &lt;= DATE(2025, 7, 31)))), 2), "-")
</f>
        <v>1.03</v>
      </c>
      <c r="V24" s="2">
        <f>IFERROR(ROUND(Data!B22/(SUMPRODUCT(('Form responses 1'!$B$2:$B1000 = A24) * ('Form responses 1'!$A$2:$A1000 &lt;= DATE(2025, 8, 31)))
+ SUMPRODUCT(('Form responses 1'!$C$2:$C1000 = A24) * ('Form responses 1'!$A$2:$A1000 &lt;= DATE(2025, 8, 31)))
+ SUMPRODUCT(('Form responses 1'!$D$2:$D1000 = A24) * ('Form responses 1'!$A$2:$A1000 &lt;= DATE(2025, 8, 31)))
+ SUMPRODUCT(('Form responses 1'!$E$2:$E1000 = A24) * ('Form responses 1'!$A$2:$A1000 &lt;= DATE(2025, 8, 31)))
+ SUMPRODUCT(('Form responses 1'!$F$2:$F1000 = A24) * ('Form responses 1'!$A$2:$A1000 &lt;= DATE(2025, 8, 31)))
+ SUMPRODUCT(('Form responses 1'!$G$2:$G1000 = A24) * ('Form responses 1'!$A$2:$A1000 &lt;= DATE(2025, 8, 31)))), 2), "-")
</f>
        <v>0.94</v>
      </c>
      <c r="W24" s="2">
        <f>IFERROR(ROUND(Data!B22/(SUMPRODUCT(('Form responses 1'!$B$2:$B1000 = A24) * ('Form responses 1'!$A$2:$A1000 &lt;= DATE(2025, 9, 30)))
+ SUMPRODUCT(('Form responses 1'!$C$2:$C1000 = A24) * ('Form responses 1'!$A$2:$A1000 &lt;= DATE(2025, 9, 30)))
+ SUMPRODUCT(('Form responses 1'!$D$2:$D1000 = A24) * ('Form responses 1'!$A$2:$A1000 &lt;= DATE(2025, 9, 30)))
+ SUMPRODUCT(('Form responses 1'!$E$2:$E1000 = A24) * ('Form responses 1'!$A$2:$A1000 &lt;= DATE(2025, 9, 30)))
+ SUMPRODUCT(('Form responses 1'!$F$2:$F1000 = A24) * ('Form responses 1'!$A$2:$A1000 &lt;= DATE(2025, 9, 30)))
+ SUMPRODUCT(('Form responses 1'!$G$2:$G1000 = A24) * ('Form responses 1'!$A$2:$A1000 &lt;= DATE(2025, 9, 30)))), 2), "-")
</f>
        <v>0.88</v>
      </c>
      <c r="X24" s="2">
        <f>IFERROR(ROUND(Data!B22/(SUMPRODUCT(('Form responses 1'!$B$2:$B1000 = A24) * ('Form responses 1'!$A$2:$A1000 &lt;= DATE(2025, 10, 31)))
+ SUMPRODUCT(('Form responses 1'!$C$2:$C1000 = A24) * ('Form responses 1'!$A$2:$A1000 &lt;= DATE(2025, 10, 31)))
+ SUMPRODUCT(('Form responses 1'!$D$2:$D1000 = A24) * ('Form responses 1'!$A$2:$A1000 &lt;= DATE(2025, 10, 31)))
+ SUMPRODUCT(('Form responses 1'!$E$2:$E1000 = A24) * ('Form responses 1'!$A$2:$A1000 &lt;= DATE(2025, 10, 31)))
+ SUMPRODUCT(('Form responses 1'!$F$2:$F1000 = A24) * ('Form responses 1'!$A$2:$A1000 &lt;= DATE(2025, 10, 31)))
+ SUMPRODUCT(('Form responses 1'!$G$2:$G1000 = A24) * ('Form responses 1'!$A$2:$A1000 &lt;= DATE(2025, 10, 31)))), 2), "-")
</f>
        <v>0.88</v>
      </c>
      <c r="Y24" s="2">
        <f>IFERROR(ROUND(Data!B22/(SUMPRODUCT(('Form responses 1'!$B$2:$B1000 = A24) * ('Form responses 1'!$A$2:$A1000 &lt;= DATE(2025, 11, 30)))
+ SUMPRODUCT(('Form responses 1'!$C$2:$C1000 = A24) * ('Form responses 1'!$A$2:$A1000 &lt;= DATE(2025, 11, 30)))
+ SUMPRODUCT(('Form responses 1'!$D$2:$D1000 = A24) * ('Form responses 1'!$A$2:$A1000 &lt;= DATE(2025, 11, 30)))
+ SUMPRODUCT(('Form responses 1'!$E$2:$E1000 = A24) * ('Form responses 1'!$A$2:$A1000 &lt;= DATE(2025, 11, 30)))
+ SUMPRODUCT(('Form responses 1'!$F$2:$F1000 = A24) * ('Form responses 1'!$A$2:$A1000 &lt;= DATE(2025, 11, 30)))
+ SUMPRODUCT(('Form responses 1'!$G$2:$G1000 = A24) * ('Form responses 1'!$A$2:$A1000 &lt;= DATE(2025, 11, 30)))), 2), "-")
</f>
        <v>0.88</v>
      </c>
      <c r="Z24" s="2">
        <f>IFERROR(ROUND(Data!B22/(SUMPRODUCT(('Form responses 1'!$B$2:$B1000 = A24) * ('Form responses 1'!$A$2:$A1000 &lt;= DATE(2025, 12, 31)))
+ SUMPRODUCT(('Form responses 1'!$C$2:$C1000 = A24) * ('Form responses 1'!$A$2:$A1000 &lt;= DATE(2025, 12, 31)))
+ SUMPRODUCT(('Form responses 1'!$D$2:$D1000 = A24) * ('Form responses 1'!$A$2:$A1000 &lt;= DATE(2025, 12, 31)))
+ SUMPRODUCT(('Form responses 1'!$E$2:$E1000 = A24) * ('Form responses 1'!$A$2:$A1000 &lt;= DATE(2025, 12, 31)))
+ SUMPRODUCT(('Form responses 1'!$F$2:$F1000 = A24) * ('Form responses 1'!$A$2:$A1000 &lt;= DATE(2025, 12, 31)))
+ SUMPRODUCT(('Form responses 1'!$G$2:$G1000 = A24) * ('Form responses 1'!$A$2:$A1000 &lt;= DATE(2025, 12, 31)))), 2), "-")
</f>
        <v>0.88</v>
      </c>
      <c r="AA24" s="2">
        <f>IFERROR(ROUND(Data!$B24/(
  SUMPRODUCT(('Form responses 1'!$B$2:$B1000=$A24)*('Form responses 1'!$A$2:$A1000&lt;=EOMONTH(DATEVALUE("1 "&amp;AA$1),0)))+
  SUMPRODUCT(('Form responses 1'!$C$2:$C1000=$A24)*('Form responses 1'!$A$2:$A1000&lt;=EOMONTH(DATEVALUE("1 "&amp;AA$1),0)))+
  SUMPRODUCT(('Form responses 1'!$D$2:$D1000=$A24)*('Form responses 1'!$A$2:$A1000&lt;=EOMONTH(DATEVALUE("1 "&amp;AA$1),0)))+
  SUMPRODUCT(('Form responses 1'!$E$2:$E1000=$A24)*('Form responses 1'!$A$2:$A1000&lt;=EOMONTH(DATEVALUE("1 "&amp;AA$1),0)))+
  SUMPRODUCT(('Form responses 1'!$F$2:$F1000=$A24)*('Form responses 1'!$A$2:$A1000&lt;=EOMONTH(DATEVALUE("1 "&amp;AA$1),0)))+
  SUMPRODUCT(('Form responses 1'!$G$2:$G1000=$A24)*('Form responses 1'!$A$2:$A1000&lt;=EOMONTH(DATEVALUE("1 "&amp;AA$1),0)))
),2),"-")</f>
        <v>0.88</v>
      </c>
      <c r="AB24" s="2">
        <f>IFERROR(ROUND(Data!$B24/(
  SUMPRODUCT(('Form responses 1'!$B$2:$B1000=$A24)*('Form responses 1'!$A$2:$A1000&lt;=EOMONTH(DATEVALUE("1 "&amp;AB$1),0)))+
  SUMPRODUCT(('Form responses 1'!$C$2:$C1000=$A24)*('Form responses 1'!$A$2:$A1000&lt;=EOMONTH(DATEVALUE("1 "&amp;AB$1),0)))+
  SUMPRODUCT(('Form responses 1'!$D$2:$D1000=$A24)*('Form responses 1'!$A$2:$A1000&lt;=EOMONTH(DATEVALUE("1 "&amp;AB$1),0)))+
  SUMPRODUCT(('Form responses 1'!$E$2:$E1000=$A24)*('Form responses 1'!$A$2:$A1000&lt;=EOMONTH(DATEVALUE("1 "&amp;AB$1),0)))+
  SUMPRODUCT(('Form responses 1'!$F$2:$F1000=$A24)*('Form responses 1'!$A$2:$A1000&lt;=EOMONTH(DATEVALUE("1 "&amp;AB$1),0)))+
  SUMPRODUCT(('Form responses 1'!$G$2:$G1000=$A24)*('Form responses 1'!$A$2:$A1000&lt;=EOMONTH(DATEVALUE("1 "&amp;AB$1),0)))
),2),"-")</f>
        <v>0.88</v>
      </c>
      <c r="AC24" s="2">
        <f>IFERROR(ROUND(Data!$B24/(
  SUMPRODUCT(('Form responses 1'!$B$2:$B1000=$A24)*('Form responses 1'!$A$2:$A1000&lt;=EOMONTH(DATEVALUE("1 "&amp;AC$1),0)))+
  SUMPRODUCT(('Form responses 1'!$C$2:$C1000=$A24)*('Form responses 1'!$A$2:$A1000&lt;=EOMONTH(DATEVALUE("1 "&amp;AC$1),0)))+
  SUMPRODUCT(('Form responses 1'!$D$2:$D1000=$A24)*('Form responses 1'!$A$2:$A1000&lt;=EOMONTH(DATEVALUE("1 "&amp;AC$1),0)))+
  SUMPRODUCT(('Form responses 1'!$E$2:$E1000=$A24)*('Form responses 1'!$A$2:$A1000&lt;=EOMONTH(DATEVALUE("1 "&amp;AC$1),0)))+
  SUMPRODUCT(('Form responses 1'!$F$2:$F1000=$A24)*('Form responses 1'!$A$2:$A1000&lt;=EOMONTH(DATEVALUE("1 "&amp;AC$1),0)))+
  SUMPRODUCT(('Form responses 1'!$G$2:$G1000=$A24)*('Form responses 1'!$A$2:$A1000&lt;=EOMONTH(DATEVALUE("1 "&amp;AC$1),0)))
),2),"-")</f>
        <v>0.88</v>
      </c>
      <c r="AD24" s="2" t="str">
        <f>IFERROR(ROUND(Data!$B24/(
  SUMPRODUCT(('Form responses 1'!$B$2:$B1000=$A24)*('Form responses 1'!$A$2:$A1000&lt;=EOMONTH(DATEVALUE("1 "&amp;AD$1),0)))+
  SUMPRODUCT(('Form responses 1'!$C$2:$C1000=$A24)*('Form responses 1'!$A$2:$A1000&lt;=EOMONTH(DATEVALUE("1 "&amp;AD$1),0)))+
  SUMPRODUCT(('Form responses 1'!$D$2:$D1000=$A24)*('Form responses 1'!$A$2:$A1000&lt;=EOMONTH(DATEVALUE("1 "&amp;AD$1),0)))+
  SUMPRODUCT(('Form responses 1'!$E$2:$E1000=$A24)*('Form responses 1'!$A$2:$A1000&lt;=EOMONTH(DATEVALUE("1 "&amp;AD$1),0)))+
  SUMPRODUCT(('Form responses 1'!$F$2:$F1000=$A24)*('Form responses 1'!$A$2:$A1000&lt;=EOMONTH(DATEVALUE("1 "&amp;AD$1),0)))+
  SUMPRODUCT(('Form responses 1'!$G$2:$G1000=$A24)*('Form responses 1'!$A$2:$A1000&lt;=EOMONTH(DATEVALUE("1 "&amp;AD$1),0)))
),2),"-")</f>
        <v>-</v>
      </c>
      <c r="AE24" s="2" t="str">
        <f>IFERROR(ROUND(Data!$B24/(
  SUMPRODUCT(('Form responses 1'!$B$2:$B1000=$A24)*('Form responses 1'!$A$2:$A1000&lt;=EOMONTH(DATEVALUE("1 "&amp;AE$1),0)))+
  SUMPRODUCT(('Form responses 1'!$C$2:$C1000=$A24)*('Form responses 1'!$A$2:$A1000&lt;=EOMONTH(DATEVALUE("1 "&amp;AE$1),0)))+
  SUMPRODUCT(('Form responses 1'!$D$2:$D1000=$A24)*('Form responses 1'!$A$2:$A1000&lt;=EOMONTH(DATEVALUE("1 "&amp;AE$1),0)))+
  SUMPRODUCT(('Form responses 1'!$E$2:$E1000=$A24)*('Form responses 1'!$A$2:$A1000&lt;=EOMONTH(DATEVALUE("1 "&amp;AE$1),0)))+
  SUMPRODUCT(('Form responses 1'!$F$2:$F1000=$A24)*('Form responses 1'!$A$2:$A1000&lt;=EOMONTH(DATEVALUE("1 "&amp;AE$1),0)))+
  SUMPRODUCT(('Form responses 1'!$G$2:$G1000=$A24)*('Form responses 1'!$A$2:$A1000&lt;=EOMONTH(DATEVALUE("1 "&amp;AE$1),0)))
),2),"-")</f>
        <v>-</v>
      </c>
      <c r="AF24" s="2" t="str">
        <f>IFERROR(ROUND(Data!$B24/(
  SUMPRODUCT(('Form responses 1'!$B$2:$B1000=$A24)*('Form responses 1'!$A$2:$A1000&lt;=EOMONTH(DATEVALUE("1 "&amp;AF$1),0)))+
  SUMPRODUCT(('Form responses 1'!$C$2:$C1000=$A24)*('Form responses 1'!$A$2:$A1000&lt;=EOMONTH(DATEVALUE("1 "&amp;AF$1),0)))+
  SUMPRODUCT(('Form responses 1'!$D$2:$D1000=$A24)*('Form responses 1'!$A$2:$A1000&lt;=EOMONTH(DATEVALUE("1 "&amp;AF$1),0)))+
  SUMPRODUCT(('Form responses 1'!$E$2:$E1000=$A24)*('Form responses 1'!$A$2:$A1000&lt;=EOMONTH(DATEVALUE("1 "&amp;AF$1),0)))+
  SUMPRODUCT(('Form responses 1'!$F$2:$F1000=$A24)*('Form responses 1'!$A$2:$A1000&lt;=EOMONTH(DATEVALUE("1 "&amp;AF$1),0)))+
  SUMPRODUCT(('Form responses 1'!$G$2:$G1000=$A24)*('Form responses 1'!$A$2:$A1000&lt;=EOMONTH(DATEVALUE("1 "&amp;AF$1),0)))
),2),"-")</f>
        <v>-</v>
      </c>
      <c r="AG24" s="2" t="str">
        <f>IFERROR(ROUND(Data!$B24/(
  SUMPRODUCT(('Form responses 1'!$B$2:$B1000=$A24)*('Form responses 1'!$A$2:$A1000&lt;=EOMONTH(DATEVALUE("1 "&amp;AG$1),0)))+
  SUMPRODUCT(('Form responses 1'!$C$2:$C1000=$A24)*('Form responses 1'!$A$2:$A1000&lt;=EOMONTH(DATEVALUE("1 "&amp;AG$1),0)))+
  SUMPRODUCT(('Form responses 1'!$D$2:$D1000=$A24)*('Form responses 1'!$A$2:$A1000&lt;=EOMONTH(DATEVALUE("1 "&amp;AG$1),0)))+
  SUMPRODUCT(('Form responses 1'!$E$2:$E1000=$A24)*('Form responses 1'!$A$2:$A1000&lt;=EOMONTH(DATEVALUE("1 "&amp;AG$1),0)))+
  SUMPRODUCT(('Form responses 1'!$F$2:$F1000=$A24)*('Form responses 1'!$A$2:$A1000&lt;=EOMONTH(DATEVALUE("1 "&amp;AG$1),0)))+
  SUMPRODUCT(('Form responses 1'!$G$2:$G1000=$A24)*('Form responses 1'!$A$2:$A1000&lt;=EOMONTH(DATEVALUE("1 "&amp;AG$1),0)))
),2),"-")</f>
        <v>-</v>
      </c>
      <c r="AH24" s="2" t="str">
        <f>IFERROR(ROUND(Data!$B24/(
  SUMPRODUCT(('Form responses 1'!$B$2:$B1000=$A24)*('Form responses 1'!$A$2:$A1000&lt;=EOMONTH(DATEVALUE("1 "&amp;AH$1),0)))+
  SUMPRODUCT(('Form responses 1'!$C$2:$C1000=$A24)*('Form responses 1'!$A$2:$A1000&lt;=EOMONTH(DATEVALUE("1 "&amp;AH$1),0)))+
  SUMPRODUCT(('Form responses 1'!$D$2:$D1000=$A24)*('Form responses 1'!$A$2:$A1000&lt;=EOMONTH(DATEVALUE("1 "&amp;AH$1),0)))+
  SUMPRODUCT(('Form responses 1'!$E$2:$E1000=$A24)*('Form responses 1'!$A$2:$A1000&lt;=EOMONTH(DATEVALUE("1 "&amp;AH$1),0)))+
  SUMPRODUCT(('Form responses 1'!$F$2:$F1000=$A24)*('Form responses 1'!$A$2:$A1000&lt;=EOMONTH(DATEVALUE("1 "&amp;AH$1),0)))+
  SUMPRODUCT(('Form responses 1'!$G$2:$G1000=$A24)*('Form responses 1'!$A$2:$A1000&lt;=EOMONTH(DATEVALUE("1 "&amp;AH$1),0)))
),2),"-")</f>
        <v>-</v>
      </c>
      <c r="AI24" s="2" t="str">
        <f>IFERROR(ROUND(Data!$B24/(
  SUMPRODUCT(('Form responses 1'!$B$2:$B1000=$A24)*('Form responses 1'!$A$2:$A1000&lt;=EOMONTH(DATEVALUE("1 "&amp;AI$1),0)))+
  SUMPRODUCT(('Form responses 1'!$C$2:$C1000=$A24)*('Form responses 1'!$A$2:$A1000&lt;=EOMONTH(DATEVALUE("1 "&amp;AI$1),0)))+
  SUMPRODUCT(('Form responses 1'!$D$2:$D1000=$A24)*('Form responses 1'!$A$2:$A1000&lt;=EOMONTH(DATEVALUE("1 "&amp;AI$1),0)))+
  SUMPRODUCT(('Form responses 1'!$E$2:$E1000=$A24)*('Form responses 1'!$A$2:$A1000&lt;=EOMONTH(DATEVALUE("1 "&amp;AI$1),0)))+
  SUMPRODUCT(('Form responses 1'!$F$2:$F1000=$A24)*('Form responses 1'!$A$2:$A1000&lt;=EOMONTH(DATEVALUE("1 "&amp;AI$1),0)))+
  SUMPRODUCT(('Form responses 1'!$G$2:$G1000=$A24)*('Form responses 1'!$A$2:$A1000&lt;=EOMONTH(DATEVALUE("1 "&amp;AI$1),0)))
),2),"-")</f>
        <v>-</v>
      </c>
      <c r="AJ24" s="2" t="str">
        <f>IFERROR(ROUND(Data!$B24/(
  SUMPRODUCT(('Form responses 1'!$B$2:$B1000=$A24)*('Form responses 1'!$A$2:$A1000&lt;=EOMONTH(DATEVALUE("1 "&amp;AJ$1),0)))+
  SUMPRODUCT(('Form responses 1'!$C$2:$C1000=$A24)*('Form responses 1'!$A$2:$A1000&lt;=EOMONTH(DATEVALUE("1 "&amp;AJ$1),0)))+
  SUMPRODUCT(('Form responses 1'!$D$2:$D1000=$A24)*('Form responses 1'!$A$2:$A1000&lt;=EOMONTH(DATEVALUE("1 "&amp;AJ$1),0)))+
  SUMPRODUCT(('Form responses 1'!$E$2:$E1000=$A24)*('Form responses 1'!$A$2:$A1000&lt;=EOMONTH(DATEVALUE("1 "&amp;AJ$1),0)))+
  SUMPRODUCT(('Form responses 1'!$F$2:$F1000=$A24)*('Form responses 1'!$A$2:$A1000&lt;=EOMONTH(DATEVALUE("1 "&amp;AJ$1),0)))+
  SUMPRODUCT(('Form responses 1'!$G$2:$G1000=$A24)*('Form responses 1'!$A$2:$A1000&lt;=EOMONTH(DATEVALUE("1 "&amp;AJ$1),0)))
),2),"-")</f>
        <v>-</v>
      </c>
      <c r="AK24" s="2" t="str">
        <f>IFERROR(ROUND(Data!$B24/(
  SUMPRODUCT(('Form responses 1'!$B$2:$B1000=$A24)*('Form responses 1'!$A$2:$A1000&lt;=EOMONTH(DATEVALUE("1 "&amp;AK$1),0)))+
  SUMPRODUCT(('Form responses 1'!$C$2:$C1000=$A24)*('Form responses 1'!$A$2:$A1000&lt;=EOMONTH(DATEVALUE("1 "&amp;AK$1),0)))+
  SUMPRODUCT(('Form responses 1'!$D$2:$D1000=$A24)*('Form responses 1'!$A$2:$A1000&lt;=EOMONTH(DATEVALUE("1 "&amp;AK$1),0)))+
  SUMPRODUCT(('Form responses 1'!$E$2:$E1000=$A24)*('Form responses 1'!$A$2:$A1000&lt;=EOMONTH(DATEVALUE("1 "&amp;AK$1),0)))+
  SUMPRODUCT(('Form responses 1'!$F$2:$F1000=$A24)*('Form responses 1'!$A$2:$A1000&lt;=EOMONTH(DATEVALUE("1 "&amp;AK$1),0)))+
  SUMPRODUCT(('Form responses 1'!$G$2:$G1000=$A24)*('Form responses 1'!$A$2:$A1000&lt;=EOMONTH(DATEVALUE("1 "&amp;AK$1),0)))
),2),"-")</f>
        <v>-</v>
      </c>
      <c r="AL24" s="2" t="str">
        <f>IFERROR(ROUND(Data!$B24/(
  SUMPRODUCT(('Form responses 1'!$B$2:$B1000=$A24)*('Form responses 1'!$A$2:$A1000&lt;=EOMONTH(DATEVALUE("1 "&amp;AL$1),0)))+
  SUMPRODUCT(('Form responses 1'!$C$2:$C1000=$A24)*('Form responses 1'!$A$2:$A1000&lt;=EOMONTH(DATEVALUE("1 "&amp;AL$1),0)))+
  SUMPRODUCT(('Form responses 1'!$D$2:$D1000=$A24)*('Form responses 1'!$A$2:$A1000&lt;=EOMONTH(DATEVALUE("1 "&amp;AL$1),0)))+
  SUMPRODUCT(('Form responses 1'!$E$2:$E1000=$A24)*('Form responses 1'!$A$2:$A1000&lt;=EOMONTH(DATEVALUE("1 "&amp;AL$1),0)))+
  SUMPRODUCT(('Form responses 1'!$F$2:$F1000=$A24)*('Form responses 1'!$A$2:$A1000&lt;=EOMONTH(DATEVALUE("1 "&amp;AL$1),0)))+
  SUMPRODUCT(('Form responses 1'!$G$2:$G1000=$A24)*('Form responses 1'!$A$2:$A1000&lt;=EOMONTH(DATEVALUE("1 "&amp;AL$1),0)))
),2),"-")</f>
        <v>-</v>
      </c>
    </row>
    <row r="25">
      <c r="A25" s="3" t="str">
        <f>IFERROR(__xludf.DUMMYFUNCTION("""COMPUTED_VALUE"""),"The Good Life t-shirt")</f>
        <v>The Good Life t-shirt</v>
      </c>
      <c r="B25" s="2">
        <f>Data!F23:F1000</f>
        <v>0.46</v>
      </c>
      <c r="C25" s="2">
        <f>IFERROR(ROUND(Data!B23/(SUMPRODUCT(('Form responses 1'!$B$2:$B1000 = A25) * ('Form responses 1'!$A$2:$A1000 &lt;= DATE(2024, 1, 31)))
+ SUMPRODUCT(('Form responses 1'!$C$2:$C1000 = A25) * ('Form responses 1'!$A$2:$A1000 &lt;= DATE(2024, 1, 31)))
+ SUMPRODUCT(('Form responses 1'!$D$2:$D1000 = A25) * ('Form responses 1'!$A$2:$A1000 &lt;= DATE(2024, 1, 31)))
+ SUMPRODUCT(('Form responses 1'!$E$2:$E1000 = A25) * ('Form responses 1'!$A$2:$A1000 &lt;= DATE(2024, 1, 31)))
+ SUMPRODUCT(('Form responses 1'!$F$2:$F1000 = A25) * ('Form responses 1'!$A$2:$A1000 &lt;= DATE(2024, 1, 31)))
+ SUMPRODUCT(('Form responses 1'!$G$2:$G1000 = A25) * ('Form responses 1'!$A$2:$A1000 &lt;= DATE(2024, 1, 31)))), 2), "-")
</f>
        <v>0.8</v>
      </c>
      <c r="D25" s="2">
        <f>IFERROR(ROUND(Data!B23/(SUMPRODUCT(('Form responses 1'!$B$2:$B1000 = A25) * ('Form responses 1'!$A$2:$A1000 &lt;= DATE(2024, 2, 29)))
+ SUMPRODUCT(('Form responses 1'!$C$2:$C1000 = A25) * ('Form responses 1'!$A$2:$A1000 &lt;= DATE(2024, 2, 29)))
+ SUMPRODUCT(('Form responses 1'!$D$2:$D1000 = A25) * ('Form responses 1'!$A$2:$A1000 &lt;= DATE(2024, 2, 29)))
+ SUMPRODUCT(('Form responses 1'!$E$2:$E1000 = A25) * ('Form responses 1'!$A$2:$A1000 &lt;= DATE(2024, 2, 29)))
+ SUMPRODUCT(('Form responses 1'!$F$2:$F1000 = A25) * ('Form responses 1'!$A$2:$A1000 &lt;= DATE(2024, 2, 29)))
+ SUMPRODUCT(('Form responses 1'!$G$2:$G1000 = A25) * ('Form responses 1'!$A$2:$A1000 &lt;= DATE(2024, 2, 29)))), 2), "-")
</f>
        <v>0.8</v>
      </c>
      <c r="E25" s="2">
        <f>IFERROR(ROUND(Data!B23/(SUMPRODUCT(('Form responses 1'!$B$2:$B1000 = A25) * ('Form responses 1'!$A$2:$A1000 &lt;= DATE(2024, 3, 31)))
+ SUMPRODUCT(('Form responses 1'!$C$2:$C1000 = A25) * ('Form responses 1'!$A$2:$A1000 &lt;= DATE(2024, 3, 31)))
+ SUMPRODUCT(('Form responses 1'!$D$2:$D1000 = A25) * ('Form responses 1'!$A$2:$A1000 &lt;= DATE(2024, 3, 31)))
+ SUMPRODUCT(('Form responses 1'!$E$2:$E1000 = A25) * ('Form responses 1'!$A$2:$A1000 &lt;= DATE(2024, 3, 31)))
+ SUMPRODUCT(('Form responses 1'!$F$2:$F1000 = A25) * ('Form responses 1'!$A$2:$A1000 &lt;= DATE(2024, 3, 31)))
+ SUMPRODUCT(('Form responses 1'!$G$2:$G1000 = A25) * ('Form responses 1'!$A$2:$A1000 &lt;= DATE(2024, 3, 31)))), 2), "-")
</f>
        <v>0.8</v>
      </c>
      <c r="F25" s="2">
        <f>IFERROR(ROUND(Data!B23/(SUMPRODUCT(('Form responses 1'!$B$2:$B1000 = A25) * ('Form responses 1'!$A$2:$A1000 &lt;= DATE(2024, 4, 30)))
+ SUMPRODUCT(('Form responses 1'!$C$2:$C1000 = A25) * ('Form responses 1'!$A$2:$A1000 &lt;= DATE(2024, 4, 30)))
+ SUMPRODUCT(('Form responses 1'!$D$2:$D1000 = A25) * ('Form responses 1'!$A$2:$A1000 &lt;= DATE(2024, 4, 30)))
+ SUMPRODUCT(('Form responses 1'!$E$2:$E1000 = A25) * ('Form responses 1'!$A$2:$A1000 &lt;= DATE(2024, 4, 30)))
+ SUMPRODUCT(('Form responses 1'!$F$2:$F1000 = A25) * ('Form responses 1'!$A$2:$A1000 &lt;= DATE(2024, 4, 30)))
+ SUMPRODUCT(('Form responses 1'!$G$2:$G1000 = A25) * ('Form responses 1'!$A$2:$A1000 &lt;= DATE(2024, 4, 30)))), 2), "-")
</f>
        <v>0.8</v>
      </c>
      <c r="G25" s="2">
        <f>IFERROR(ROUND(Data!B23/(SUMPRODUCT(('Form responses 1'!$B$2:$B1000 = A25) * ('Form responses 1'!$A$2:$A1000 &lt;= DATE(2024, 5, 31)))
+ SUMPRODUCT(('Form responses 1'!$C$2:$C1000 = A25) * ('Form responses 1'!$A$2:$A1000 &lt;= DATE(2024, 5, 31)))
+ SUMPRODUCT(('Form responses 1'!$D$2:$D1000 = A25) * ('Form responses 1'!$A$2:$A1000 &lt;= DATE(2024, 5, 31)))
+ SUMPRODUCT(('Form responses 1'!$E$2:$E1000 = A25) * ('Form responses 1'!$A$2:$A1000 &lt;= DATE(2024, 5, 31)))
+ SUMPRODUCT(('Form responses 1'!$F$2:$F1000 = A25) * ('Form responses 1'!$A$2:$A1000 &lt;= DATE(2024, 5, 31)))
+ SUMPRODUCT(('Form responses 1'!$G$2:$G1000 = A25) * ('Form responses 1'!$A$2:$A1000 &lt;= DATE(2024, 5, 31)))), 2), "-")
</f>
        <v>0.8</v>
      </c>
      <c r="H25" s="2">
        <f>IFERROR(ROUND(Data!B23/(SUMPRODUCT(('Form responses 1'!$B$2:$B1000 = A25) * ('Form responses 1'!$A$2:$A1000 &lt;= DATE(2024, 6, 30)))
+ SUMPRODUCT(('Form responses 1'!$C$2:$C1000 = A25) * ('Form responses 1'!$A$2:$A1000 &lt;= DATE(2024, 6, 30)))
+ SUMPRODUCT(('Form responses 1'!$D$2:$D1000 = A25) * ('Form responses 1'!$A$2:$A1000 &lt;= DATE(2024, 6, 30)))
+ SUMPRODUCT(('Form responses 1'!$E$2:$E1000 = A25) * ('Form responses 1'!$A$2:$A1000 &lt;= DATE(2024, 6, 30)))
+ SUMPRODUCT(('Form responses 1'!$F$2:$F1000 = A25) * ('Form responses 1'!$A$2:$A1000 &lt;= DATE(2024, 6, 30)))
+ SUMPRODUCT(('Form responses 1'!$G$2:$G1000 = A25) * ('Form responses 1'!$A$2:$A1000 &lt;= DATE(2024, 6, 30)))), 2), "-")
</f>
        <v>0.8</v>
      </c>
      <c r="I25" s="2">
        <f>IFERROR(ROUND(Data!B23/(SUMPRODUCT(('Form responses 1'!$B$2:$B1000 = A25) * ('Form responses 1'!$A$2:$A1000 &lt;= DATE(2024, 7, 31)))
+ SUMPRODUCT(('Form responses 1'!$C$2:$C1000 = A25) * ('Form responses 1'!$A$2:$A1000 &lt;= DATE(2024, 7, 31)))
+ SUMPRODUCT(('Form responses 1'!$D$2:$D1000 = A25) * ('Form responses 1'!$A$2:$A1000 &lt;= DATE(2024, 7, 31)))
+ SUMPRODUCT(('Form responses 1'!$E$2:$E1000 = A25) * ('Form responses 1'!$A$2:$A1000 &lt;= DATE(2024, 7, 31)))
+ SUMPRODUCT(('Form responses 1'!$F$2:$F1000 = A25) * ('Form responses 1'!$A$2:$A1000 &lt;= DATE(2024, 7, 31)))
+ SUMPRODUCT(('Form responses 1'!$G$2:$G1000 = A25) * ('Form responses 1'!$A$2:$A1000 &lt;= DATE(2024, 7, 31)))), 2), "-")
</f>
        <v>0.8</v>
      </c>
      <c r="J25" s="2">
        <f>IFERROR(ROUND(Data!B23/(SUMPRODUCT(('Form responses 1'!$B$2:$B1000 = A25) * ('Form responses 1'!$A$2:$A1000 &lt;= DATE(2024, 8, 31)))
+ SUMPRODUCT(('Form responses 1'!$C$2:$C1000 = A25) * ('Form responses 1'!$A$2:$A1000 &lt;= DATE(2024, 8, 31)))
+ SUMPRODUCT(('Form responses 1'!$D$2:$D1000 = A25) * ('Form responses 1'!$A$2:$A1000 &lt;= DATE(2024, 8, 31)))
+ SUMPRODUCT(('Form responses 1'!$E$2:$E1000 = A25) * ('Form responses 1'!$A$2:$A1000 &lt;= DATE(2024, 8, 31)))
+ SUMPRODUCT(('Form responses 1'!$F$2:$F1000 = A25) * ('Form responses 1'!$A$2:$A1000 &lt;= DATE(2024, 8, 31)))
+ SUMPRODUCT(('Form responses 1'!$G$2:$G1000 = A25) * ('Form responses 1'!$A$2:$A1000 &lt;= DATE(2024, 8, 31)))), 2), "-")
</f>
        <v>0.71</v>
      </c>
      <c r="K25" s="2">
        <f>IFERROR(ROUND(Data!B23/(SUMPRODUCT(('Form responses 1'!$B$2:$B1000 = A25) * ('Form responses 1'!$A$2:$A1000 &lt;= DATE(2024, 9, 30)))
+ SUMPRODUCT(('Form responses 1'!$C$2:$C1000 = A25) * ('Form responses 1'!$A$2:$A1000 &lt;= DATE(2024, 9, 30)))
+ SUMPRODUCT(('Form responses 1'!$D$2:$D1000 = A25) * ('Form responses 1'!$A$2:$A1000 &lt;= DATE(2024, 9, 30)))
+ SUMPRODUCT(('Form responses 1'!$E$2:$E1000 = A25) * ('Form responses 1'!$A$2:$A1000 &lt;= DATE(2024, 9, 30)))
+ SUMPRODUCT(('Form responses 1'!$F$2:$F1000 = A25) * ('Form responses 1'!$A$2:$A1000 &lt;= DATE(2024, 9, 30)))
+ SUMPRODUCT(('Form responses 1'!$G$2:$G1000 = A25) * ('Form responses 1'!$A$2:$A1000 &lt;= DATE(2024, 9, 30)))), 2), "-")
</f>
        <v>0.65</v>
      </c>
      <c r="L25" s="2">
        <f>IFERROR(ROUND(Data!B23/(SUMPRODUCT(('Form responses 1'!$B$2:$B1000 = A25) * ('Form responses 1'!$A$2:$A1000 &lt;= DATE(2024, 10, 31)))
+ SUMPRODUCT(('Form responses 1'!$C$2:$C1000 = A25) * ('Form responses 1'!$A$2:$A1000 &lt;= DATE(2024, 10, 31)))
+ SUMPRODUCT(('Form responses 1'!$D$2:$D1000 = A25) * ('Form responses 1'!$A$2:$A1000 &lt;= DATE(2024, 10, 31)))
+ SUMPRODUCT(('Form responses 1'!$E$2:$E1000 = A25) * ('Form responses 1'!$A$2:$A1000 &lt;= DATE(2024, 10, 31)))
+ SUMPRODUCT(('Form responses 1'!$F$2:$F1000 = A25) * ('Form responses 1'!$A$2:$A1000 &lt;= DATE(2024, 10, 31)))
+ SUMPRODUCT(('Form responses 1'!$G$2:$G1000 = A25) * ('Form responses 1'!$A$2:$A1000 &lt;= DATE(2024, 10, 31)))), 2), "-")
</f>
        <v>0.65</v>
      </c>
      <c r="M25" s="2">
        <f>IFERROR(ROUND(Data!B23/(SUMPRODUCT(('Form responses 1'!$B$2:$B1000 = A25) * ('Form responses 1'!$A$2:$A1000 &lt;= DATE(2024, 11, 30)))
+ SUMPRODUCT(('Form responses 1'!$C$2:$C1000 = A25) * ('Form responses 1'!$A$2:$A1000 &lt;= DATE(2024, 11, 30)))
+ SUMPRODUCT(('Form responses 1'!$D$2:$D1000 = A25) * ('Form responses 1'!$A$2:$A1000 &lt;= DATE(2024, 11, 30)))
+ SUMPRODUCT(('Form responses 1'!$E$2:$E1000 = A25) * ('Form responses 1'!$A$2:$A1000 &lt;= DATE(2024, 11, 30)))
+ SUMPRODUCT(('Form responses 1'!$F$2:$F1000 = A25) * ('Form responses 1'!$A$2:$A1000 &lt;= DATE(2024, 11, 30)))
+ SUMPRODUCT(('Form responses 1'!$G$2:$G1000 = A25) * ('Form responses 1'!$A$2:$A1000 &lt;= DATE(2024, 11, 30)))), 2), "-")
</f>
        <v>0.65</v>
      </c>
      <c r="N25" s="2">
        <f>IFERROR(ROUND(Data!B23/(SUMPRODUCT(('Form responses 1'!$B$2:$B1000 = A25) * ('Form responses 1'!$A$2:$A1000 &lt;= DATE(2024, 12, 31)))
+ SUMPRODUCT(('Form responses 1'!$C$2:$C1000 = A25) * ('Form responses 1'!$A$2:$A1000 &lt;= DATE(2024, 12, 31)))
+ SUMPRODUCT(('Form responses 1'!$D$2:$D1000 = A25) * ('Form responses 1'!$A$2:$A1000 &lt;= DATE(2024, 12, 31)))
+ SUMPRODUCT(('Form responses 1'!$E$2:$E1000 = A25) * ('Form responses 1'!$A$2:$A1000 &lt;= DATE(2024, 12, 31)))
+ SUMPRODUCT(('Form responses 1'!$F$2:$F1000 = A25) * ('Form responses 1'!$A$2:$A1000 &lt;= DATE(2024, 12, 31)))
+ SUMPRODUCT(('Form responses 1'!$G$2:$G1000 = A25) * ('Form responses 1'!$A$2:$A1000 &lt;= DATE(2024, 12, 31)))), 2), "-")
</f>
        <v>0.65</v>
      </c>
      <c r="O25" s="2">
        <f>IFERROR(ROUND(Data!B23/(SUMPRODUCT(('Form responses 1'!$B$2:$B1000 = A25) * ('Form responses 1'!$A$2:$A1000 &lt;= DATE(2025, 1, 31)))
+ SUMPRODUCT(('Form responses 1'!$C$2:$C1000 = A25) * ('Form responses 1'!$A$2:$A1000 &lt;= DATE(2025, 1, 31)))
+ SUMPRODUCT(('Form responses 1'!$D$2:$D1000 = A25) * ('Form responses 1'!$A$2:$A1000 &lt;= DATE(2025, 1, 31)))
+ SUMPRODUCT(('Form responses 1'!$E$2:$E1000 = A25) * ('Form responses 1'!$A$2:$A1000 &lt;= DATE(2025, 1, 31)))
+ SUMPRODUCT(('Form responses 1'!$F$2:$F1000 = A25) * ('Form responses 1'!$A$2:$A1000 &lt;= DATE(2025, 1, 31)))
+ SUMPRODUCT(('Form responses 1'!$G$2:$G1000 = A25) * ('Form responses 1'!$A$2:$A1000 &lt;= DATE(2025, 1, 31)))), 2), "-")
</f>
        <v>0.65</v>
      </c>
      <c r="P25" s="2">
        <f>IFERROR(ROUND(Data!B23/(SUMPRODUCT(('Form responses 1'!$B$2:$B1000 = A25) * ('Form responses 1'!$A$2:$A1000 &lt;= DATE(2025, 2, 28)))
+ SUMPRODUCT(('Form responses 1'!$C$2:$C1000 = A25) * ('Form responses 1'!$A$2:$A1000 &lt;= DATE(2025, 2, 28)))
+ SUMPRODUCT(('Form responses 1'!$D$2:$D1000 = A25) * ('Form responses 1'!$A$2:$A1000 &lt;= DATE(2025, 2, 28)))
+ SUMPRODUCT(('Form responses 1'!$E$2:$E1000 = A25) * ('Form responses 1'!$A$2:$A1000 &lt;= DATE(2025, 2, 28)))
+ SUMPRODUCT(('Form responses 1'!$F$2:$F1000 = A25) * ('Form responses 1'!$A$2:$A1000 &lt;= DATE(2025, 2, 28)))
+ SUMPRODUCT(('Form responses 1'!$G$2:$G1000 = A25) * ('Form responses 1'!$A$2:$A1000 &lt;= DATE(2025, 2, 28)))), 2), "-")
</f>
        <v>0.65</v>
      </c>
      <c r="Q25" s="2">
        <f>IFERROR(ROUND(Data!B23/(SUMPRODUCT(('Form responses 1'!$B$2:$B1000 = A25) * ('Form responses 1'!$A$2:$A1000 &lt;= DATE(2025, 3, 31)))
+ SUMPRODUCT(('Form responses 1'!$C$2:$C1000 = A25) * ('Form responses 1'!$A$2:$A1000 &lt;= DATE(2025, 3, 31)))
+ SUMPRODUCT(('Form responses 1'!$D$2:$D1000 = A25) * ('Form responses 1'!$A$2:$A1000 &lt;= DATE(2025, 3, 31)))
+ SUMPRODUCT(('Form responses 1'!$E$2:$E1000 = A25) * ('Form responses 1'!$A$2:$A1000 &lt;= DATE(2025, 3, 31)))
+ SUMPRODUCT(('Form responses 1'!$F$2:$F1000 = A25) * ('Form responses 1'!$A$2:$A1000 &lt;= DATE(2025, 3, 31)))
+ SUMPRODUCT(('Form responses 1'!$G$2:$G1000 = A25) * ('Form responses 1'!$A$2:$A1000 &lt;= DATE(2025, 3, 31)))),2),"-")</f>
        <v>0.65</v>
      </c>
      <c r="R25" s="2">
        <f>IFERROR(ROUND(Data!B23/(SUMPRODUCT(('Form responses 1'!$B$2:$B1000 = A25) * ('Form responses 1'!$A$2:$A1000 &lt;= DATE(2025, 4, 30)))
+ SUMPRODUCT(('Form responses 1'!$C$2:$C1000 = A25) * ('Form responses 1'!$A$2:$A1000 &lt;= DATE(2025, 4, 30)))
+ SUMPRODUCT(('Form responses 1'!$D$2:$D1000 = A25) * ('Form responses 1'!$A$2:$A1000 &lt;= DATE(2025, 4, 30)))
+ SUMPRODUCT(('Form responses 1'!$E$2:$E1000 = A25) * ('Form responses 1'!$A$2:$A1000 &lt;= DATE(2025, 4, 30)))
+ SUMPRODUCT(('Form responses 1'!$F$2:$F1000 = A25) * ('Form responses 1'!$A$2:$A1000 &lt;= DATE(2025, 4, 30)))
+ SUMPRODUCT(('Form responses 1'!$G$2:$G1000 = A25) * ('Form responses 1'!$A$2:$A1000 &lt;= DATE(2025, 4, 30)))), 2), "-")
</f>
        <v>0.65</v>
      </c>
      <c r="S25" s="2">
        <f>IFERROR(ROUND(Data!B23/(SUMPRODUCT(('Form responses 1'!$B$2:$B1000 = A25) * ('Form responses 1'!$A$2:$A1000 &lt;= DATE(2025, 5, 31)))
+ SUMPRODUCT(('Form responses 1'!$C$2:$C1000 = A25) * ('Form responses 1'!$A$2:$A1000 &lt;= DATE(2025, 5, 31)))
+ SUMPRODUCT(('Form responses 1'!$D$2:$D1000 = A25) * ('Form responses 1'!$A$2:$A1000 &lt;= DATE(2025, 5, 31)))
+ SUMPRODUCT(('Form responses 1'!$E$2:$E1000 = A25) * ('Form responses 1'!$A$2:$A1000 &lt;= DATE(2025, 5, 31)))
+ SUMPRODUCT(('Form responses 1'!$F$2:$F1000 = A25) * ('Form responses 1'!$A$2:$A1000 &lt;= DATE(2025, 5, 31)))
+ SUMPRODUCT(('Form responses 1'!$G$2:$G1000 = A25) * ('Form responses 1'!$A$2:$A1000 &lt;= DATE(2025, 5, 31)))), 2), "-")
</f>
        <v>0.65</v>
      </c>
      <c r="T25" s="2">
        <f>IFERROR(ROUND(Data!B23/(SUMPRODUCT(('Form responses 1'!$B$2:$B1000 = A25) * ('Form responses 1'!$A$2:$A1000 &lt;= DATE(2025, 6, 30)))
+ SUMPRODUCT(('Form responses 1'!$C$2:$C1000 = A25) * ('Form responses 1'!$A$2:$A1000 &lt;= DATE(2025, 6, 30)))
+ SUMPRODUCT(('Form responses 1'!$D$2:$D1000 = A25) * ('Form responses 1'!$A$2:$A1000 &lt;= DATE(2025, 6, 30)))
+ SUMPRODUCT(('Form responses 1'!$E$2:$E1000 = A25) * ('Form responses 1'!$A$2:$A1000 &lt;= DATE(2025, 6, 30)))
+ SUMPRODUCT(('Form responses 1'!$F$2:$F1000 = A25) * ('Form responses 1'!$A$2:$A1000 &lt;= DATE(2025, 6, 30)))
+ SUMPRODUCT(('Form responses 1'!$G$2:$G1000 = A25) * ('Form responses 1'!$A$2:$A1000 &lt;= DATE(2025, 6, 30)))), 2), "-")
</f>
        <v>0.61</v>
      </c>
      <c r="U25" s="2">
        <f>IFERROR(ROUND(Data!B23/(SUMPRODUCT(('Form responses 1'!$B$2:$B1000 = A25) * ('Form responses 1'!$A$2:$A1000 &lt;= DATE(2025, 7, 31)))
+ SUMPRODUCT(('Form responses 1'!$C$2:$C1000 = A25) * ('Form responses 1'!$A$2:$A1000 &lt;= DATE(2025, 7, 31)))
+ SUMPRODUCT(('Form responses 1'!$D$2:$D1000 = A25) * ('Form responses 1'!$A$2:$A1000 &lt;= DATE(2025, 7, 31)))
+ SUMPRODUCT(('Form responses 1'!$E$2:$E1000 = A25) * ('Form responses 1'!$A$2:$A1000 &lt;= DATE(2025, 7, 31)))
+ SUMPRODUCT(('Form responses 1'!$F$2:$F1000 = A25) * ('Form responses 1'!$A$2:$A1000 &lt;= DATE(2025, 7, 31)))
+ SUMPRODUCT(('Form responses 1'!$G$2:$G1000 = A25) * ('Form responses 1'!$A$2:$A1000 &lt;= DATE(2025, 7, 31)))), 2), "-")
</f>
        <v>0.59</v>
      </c>
      <c r="V25" s="2">
        <f>IFERROR(ROUND(Data!B23/(SUMPRODUCT(('Form responses 1'!$B$2:$B1000 = A25) * ('Form responses 1'!$A$2:$A1000 &lt;= DATE(2025, 8, 31)))
+ SUMPRODUCT(('Form responses 1'!$C$2:$C1000 = A25) * ('Form responses 1'!$A$2:$A1000 &lt;= DATE(2025, 8, 31)))
+ SUMPRODUCT(('Form responses 1'!$D$2:$D1000 = A25) * ('Form responses 1'!$A$2:$A1000 &lt;= DATE(2025, 8, 31)))
+ SUMPRODUCT(('Form responses 1'!$E$2:$E1000 = A25) * ('Form responses 1'!$A$2:$A1000 &lt;= DATE(2025, 8, 31)))
+ SUMPRODUCT(('Form responses 1'!$F$2:$F1000 = A25) * ('Form responses 1'!$A$2:$A1000 &lt;= DATE(2025, 8, 31)))
+ SUMPRODUCT(('Form responses 1'!$G$2:$G1000 = A25) * ('Form responses 1'!$A$2:$A1000 &lt;= DATE(2025, 8, 31)))), 2), "-")
</f>
        <v>0.56</v>
      </c>
      <c r="W25" s="2">
        <f>IFERROR(ROUND(Data!B23/(SUMPRODUCT(('Form responses 1'!$B$2:$B1000 = A25) * ('Form responses 1'!$A$2:$A1000 &lt;= DATE(2025, 9, 30)))
+ SUMPRODUCT(('Form responses 1'!$C$2:$C1000 = A25) * ('Form responses 1'!$A$2:$A1000 &lt;= DATE(2025, 9, 30)))
+ SUMPRODUCT(('Form responses 1'!$D$2:$D1000 = A25) * ('Form responses 1'!$A$2:$A1000 &lt;= DATE(2025, 9, 30)))
+ SUMPRODUCT(('Form responses 1'!$E$2:$E1000 = A25) * ('Form responses 1'!$A$2:$A1000 &lt;= DATE(2025, 9, 30)))
+ SUMPRODUCT(('Form responses 1'!$F$2:$F1000 = A25) * ('Form responses 1'!$A$2:$A1000 &lt;= DATE(2025, 9, 30)))
+ SUMPRODUCT(('Form responses 1'!$G$2:$G1000 = A25) * ('Form responses 1'!$A$2:$A1000 &lt;= DATE(2025, 9, 30)))), 2), "-")
</f>
        <v>0.53</v>
      </c>
      <c r="X25" s="2">
        <f>IFERROR(ROUND(Data!B23/(SUMPRODUCT(('Form responses 1'!$B$2:$B1000 = A25) * ('Form responses 1'!$A$2:$A1000 &lt;= DATE(2025, 10, 31)))
+ SUMPRODUCT(('Form responses 1'!$C$2:$C1000 = A25) * ('Form responses 1'!$A$2:$A1000 &lt;= DATE(2025, 10, 31)))
+ SUMPRODUCT(('Form responses 1'!$D$2:$D1000 = A25) * ('Form responses 1'!$A$2:$A1000 &lt;= DATE(2025, 10, 31)))
+ SUMPRODUCT(('Form responses 1'!$E$2:$E1000 = A25) * ('Form responses 1'!$A$2:$A1000 &lt;= DATE(2025, 10, 31)))
+ SUMPRODUCT(('Form responses 1'!$F$2:$F1000 = A25) * ('Form responses 1'!$A$2:$A1000 &lt;= DATE(2025, 10, 31)))
+ SUMPRODUCT(('Form responses 1'!$G$2:$G1000 = A25) * ('Form responses 1'!$A$2:$A1000 &lt;= DATE(2025, 10, 31)))), 2), "-")
</f>
        <v>0.53</v>
      </c>
      <c r="Y25" s="2">
        <f>IFERROR(ROUND(Data!B23/(SUMPRODUCT(('Form responses 1'!$B$2:$B1000 = A25) * ('Form responses 1'!$A$2:$A1000 &lt;= DATE(2025, 11, 30)))
+ SUMPRODUCT(('Form responses 1'!$C$2:$C1000 = A25) * ('Form responses 1'!$A$2:$A1000 &lt;= DATE(2025, 11, 30)))
+ SUMPRODUCT(('Form responses 1'!$D$2:$D1000 = A25) * ('Form responses 1'!$A$2:$A1000 &lt;= DATE(2025, 11, 30)))
+ SUMPRODUCT(('Form responses 1'!$E$2:$E1000 = A25) * ('Form responses 1'!$A$2:$A1000 &lt;= DATE(2025, 11, 30)))
+ SUMPRODUCT(('Form responses 1'!$F$2:$F1000 = A25) * ('Form responses 1'!$A$2:$A1000 &lt;= DATE(2025, 11, 30)))
+ SUMPRODUCT(('Form responses 1'!$G$2:$G1000 = A25) * ('Form responses 1'!$A$2:$A1000 &lt;= DATE(2025, 11, 30)))), 2), "-")
</f>
        <v>0.53</v>
      </c>
      <c r="Z25" s="2">
        <f>IFERROR(ROUND(Data!B23/(SUMPRODUCT(('Form responses 1'!$B$2:$B1000 = A25) * ('Form responses 1'!$A$2:$A1000 &lt;= DATE(2025, 12, 31)))
+ SUMPRODUCT(('Form responses 1'!$C$2:$C1000 = A25) * ('Form responses 1'!$A$2:$A1000 &lt;= DATE(2025, 12, 31)))
+ SUMPRODUCT(('Form responses 1'!$D$2:$D1000 = A25) * ('Form responses 1'!$A$2:$A1000 &lt;= DATE(2025, 12, 31)))
+ SUMPRODUCT(('Form responses 1'!$E$2:$E1000 = A25) * ('Form responses 1'!$A$2:$A1000 &lt;= DATE(2025, 12, 31)))
+ SUMPRODUCT(('Form responses 1'!$F$2:$F1000 = A25) * ('Form responses 1'!$A$2:$A1000 &lt;= DATE(2025, 12, 31)))
+ SUMPRODUCT(('Form responses 1'!$G$2:$G1000 = A25) * ('Form responses 1'!$A$2:$A1000 &lt;= DATE(2025, 12, 31)))), 2), "-")
</f>
        <v>0.53</v>
      </c>
      <c r="AA25" s="2">
        <f>IFERROR(ROUND(Data!$B25/(
  SUMPRODUCT(('Form responses 1'!$B$2:$B1000=$A25)*('Form responses 1'!$A$2:$A1000&lt;=EOMONTH(DATEVALUE("1 "&amp;AA$1),0)))+
  SUMPRODUCT(('Form responses 1'!$C$2:$C1000=$A25)*('Form responses 1'!$A$2:$A1000&lt;=EOMONTH(DATEVALUE("1 "&amp;AA$1),0)))+
  SUMPRODUCT(('Form responses 1'!$D$2:$D1000=$A25)*('Form responses 1'!$A$2:$A1000&lt;=EOMONTH(DATEVALUE("1 "&amp;AA$1),0)))+
  SUMPRODUCT(('Form responses 1'!$E$2:$E1000=$A25)*('Form responses 1'!$A$2:$A1000&lt;=EOMONTH(DATEVALUE("1 "&amp;AA$1),0)))+
  SUMPRODUCT(('Form responses 1'!$F$2:$F1000=$A25)*('Form responses 1'!$A$2:$A1000&lt;=EOMONTH(DATEVALUE("1 "&amp;AA$1),0)))+
  SUMPRODUCT(('Form responses 1'!$G$2:$G1000=$A25)*('Form responses 1'!$A$2:$A1000&lt;=EOMONTH(DATEVALUE("1 "&amp;AA$1),0)))
),2),"-")</f>
        <v>0.53</v>
      </c>
      <c r="AB25" s="2">
        <f>IFERROR(ROUND(Data!$B25/(
  SUMPRODUCT(('Form responses 1'!$B$2:$B1000=$A25)*('Form responses 1'!$A$2:$A1000&lt;=EOMONTH(DATEVALUE("1 "&amp;AB$1),0)))+
  SUMPRODUCT(('Form responses 1'!$C$2:$C1000=$A25)*('Form responses 1'!$A$2:$A1000&lt;=EOMONTH(DATEVALUE("1 "&amp;AB$1),0)))+
  SUMPRODUCT(('Form responses 1'!$D$2:$D1000=$A25)*('Form responses 1'!$A$2:$A1000&lt;=EOMONTH(DATEVALUE("1 "&amp;AB$1),0)))+
  SUMPRODUCT(('Form responses 1'!$E$2:$E1000=$A25)*('Form responses 1'!$A$2:$A1000&lt;=EOMONTH(DATEVALUE("1 "&amp;AB$1),0)))+
  SUMPRODUCT(('Form responses 1'!$F$2:$F1000=$A25)*('Form responses 1'!$A$2:$A1000&lt;=EOMONTH(DATEVALUE("1 "&amp;AB$1),0)))+
  SUMPRODUCT(('Form responses 1'!$G$2:$G1000=$A25)*('Form responses 1'!$A$2:$A1000&lt;=EOMONTH(DATEVALUE("1 "&amp;AB$1),0)))
),2),"-")</f>
        <v>0.53</v>
      </c>
      <c r="AC25" s="2">
        <f>IFERROR(ROUND(Data!$B25/(
  SUMPRODUCT(('Form responses 1'!$B$2:$B1000=$A25)*('Form responses 1'!$A$2:$A1000&lt;=EOMONTH(DATEVALUE("1 "&amp;AC$1),0)))+
  SUMPRODUCT(('Form responses 1'!$C$2:$C1000=$A25)*('Form responses 1'!$A$2:$A1000&lt;=EOMONTH(DATEVALUE("1 "&amp;AC$1),0)))+
  SUMPRODUCT(('Form responses 1'!$D$2:$D1000=$A25)*('Form responses 1'!$A$2:$A1000&lt;=EOMONTH(DATEVALUE("1 "&amp;AC$1),0)))+
  SUMPRODUCT(('Form responses 1'!$E$2:$E1000=$A25)*('Form responses 1'!$A$2:$A1000&lt;=EOMONTH(DATEVALUE("1 "&amp;AC$1),0)))+
  SUMPRODUCT(('Form responses 1'!$F$2:$F1000=$A25)*('Form responses 1'!$A$2:$A1000&lt;=EOMONTH(DATEVALUE("1 "&amp;AC$1),0)))+
  SUMPRODUCT(('Form responses 1'!$G$2:$G1000=$A25)*('Form responses 1'!$A$2:$A1000&lt;=EOMONTH(DATEVALUE("1 "&amp;AC$1),0)))
),2),"-")</f>
        <v>0.53</v>
      </c>
      <c r="AD25" s="2" t="str">
        <f>IFERROR(ROUND(Data!$B25/(
  SUMPRODUCT(('Form responses 1'!$B$2:$B1000=$A25)*('Form responses 1'!$A$2:$A1000&lt;=EOMONTH(DATEVALUE("1 "&amp;AD$1),0)))+
  SUMPRODUCT(('Form responses 1'!$C$2:$C1000=$A25)*('Form responses 1'!$A$2:$A1000&lt;=EOMONTH(DATEVALUE("1 "&amp;AD$1),0)))+
  SUMPRODUCT(('Form responses 1'!$D$2:$D1000=$A25)*('Form responses 1'!$A$2:$A1000&lt;=EOMONTH(DATEVALUE("1 "&amp;AD$1),0)))+
  SUMPRODUCT(('Form responses 1'!$E$2:$E1000=$A25)*('Form responses 1'!$A$2:$A1000&lt;=EOMONTH(DATEVALUE("1 "&amp;AD$1),0)))+
  SUMPRODUCT(('Form responses 1'!$F$2:$F1000=$A25)*('Form responses 1'!$A$2:$A1000&lt;=EOMONTH(DATEVALUE("1 "&amp;AD$1),0)))+
  SUMPRODUCT(('Form responses 1'!$G$2:$G1000=$A25)*('Form responses 1'!$A$2:$A1000&lt;=EOMONTH(DATEVALUE("1 "&amp;AD$1),0)))
),2),"-")</f>
        <v>-</v>
      </c>
      <c r="AE25" s="2" t="str">
        <f>IFERROR(ROUND(Data!$B25/(
  SUMPRODUCT(('Form responses 1'!$B$2:$B1000=$A25)*('Form responses 1'!$A$2:$A1000&lt;=EOMONTH(DATEVALUE("1 "&amp;AE$1),0)))+
  SUMPRODUCT(('Form responses 1'!$C$2:$C1000=$A25)*('Form responses 1'!$A$2:$A1000&lt;=EOMONTH(DATEVALUE("1 "&amp;AE$1),0)))+
  SUMPRODUCT(('Form responses 1'!$D$2:$D1000=$A25)*('Form responses 1'!$A$2:$A1000&lt;=EOMONTH(DATEVALUE("1 "&amp;AE$1),0)))+
  SUMPRODUCT(('Form responses 1'!$E$2:$E1000=$A25)*('Form responses 1'!$A$2:$A1000&lt;=EOMONTH(DATEVALUE("1 "&amp;AE$1),0)))+
  SUMPRODUCT(('Form responses 1'!$F$2:$F1000=$A25)*('Form responses 1'!$A$2:$A1000&lt;=EOMONTH(DATEVALUE("1 "&amp;AE$1),0)))+
  SUMPRODUCT(('Form responses 1'!$G$2:$G1000=$A25)*('Form responses 1'!$A$2:$A1000&lt;=EOMONTH(DATEVALUE("1 "&amp;AE$1),0)))
),2),"-")</f>
        <v>-</v>
      </c>
      <c r="AF25" s="2" t="str">
        <f>IFERROR(ROUND(Data!$B25/(
  SUMPRODUCT(('Form responses 1'!$B$2:$B1000=$A25)*('Form responses 1'!$A$2:$A1000&lt;=EOMONTH(DATEVALUE("1 "&amp;AF$1),0)))+
  SUMPRODUCT(('Form responses 1'!$C$2:$C1000=$A25)*('Form responses 1'!$A$2:$A1000&lt;=EOMONTH(DATEVALUE("1 "&amp;AF$1),0)))+
  SUMPRODUCT(('Form responses 1'!$D$2:$D1000=$A25)*('Form responses 1'!$A$2:$A1000&lt;=EOMONTH(DATEVALUE("1 "&amp;AF$1),0)))+
  SUMPRODUCT(('Form responses 1'!$E$2:$E1000=$A25)*('Form responses 1'!$A$2:$A1000&lt;=EOMONTH(DATEVALUE("1 "&amp;AF$1),0)))+
  SUMPRODUCT(('Form responses 1'!$F$2:$F1000=$A25)*('Form responses 1'!$A$2:$A1000&lt;=EOMONTH(DATEVALUE("1 "&amp;AF$1),0)))+
  SUMPRODUCT(('Form responses 1'!$G$2:$G1000=$A25)*('Form responses 1'!$A$2:$A1000&lt;=EOMONTH(DATEVALUE("1 "&amp;AF$1),0)))
),2),"-")</f>
        <v>-</v>
      </c>
      <c r="AG25" s="2" t="str">
        <f>IFERROR(ROUND(Data!$B25/(
  SUMPRODUCT(('Form responses 1'!$B$2:$B1000=$A25)*('Form responses 1'!$A$2:$A1000&lt;=EOMONTH(DATEVALUE("1 "&amp;AG$1),0)))+
  SUMPRODUCT(('Form responses 1'!$C$2:$C1000=$A25)*('Form responses 1'!$A$2:$A1000&lt;=EOMONTH(DATEVALUE("1 "&amp;AG$1),0)))+
  SUMPRODUCT(('Form responses 1'!$D$2:$D1000=$A25)*('Form responses 1'!$A$2:$A1000&lt;=EOMONTH(DATEVALUE("1 "&amp;AG$1),0)))+
  SUMPRODUCT(('Form responses 1'!$E$2:$E1000=$A25)*('Form responses 1'!$A$2:$A1000&lt;=EOMONTH(DATEVALUE("1 "&amp;AG$1),0)))+
  SUMPRODUCT(('Form responses 1'!$F$2:$F1000=$A25)*('Form responses 1'!$A$2:$A1000&lt;=EOMONTH(DATEVALUE("1 "&amp;AG$1),0)))+
  SUMPRODUCT(('Form responses 1'!$G$2:$G1000=$A25)*('Form responses 1'!$A$2:$A1000&lt;=EOMONTH(DATEVALUE("1 "&amp;AG$1),0)))
),2),"-")</f>
        <v>-</v>
      </c>
      <c r="AH25" s="2" t="str">
        <f>IFERROR(ROUND(Data!$B25/(
  SUMPRODUCT(('Form responses 1'!$B$2:$B1000=$A25)*('Form responses 1'!$A$2:$A1000&lt;=EOMONTH(DATEVALUE("1 "&amp;AH$1),0)))+
  SUMPRODUCT(('Form responses 1'!$C$2:$C1000=$A25)*('Form responses 1'!$A$2:$A1000&lt;=EOMONTH(DATEVALUE("1 "&amp;AH$1),0)))+
  SUMPRODUCT(('Form responses 1'!$D$2:$D1000=$A25)*('Form responses 1'!$A$2:$A1000&lt;=EOMONTH(DATEVALUE("1 "&amp;AH$1),0)))+
  SUMPRODUCT(('Form responses 1'!$E$2:$E1000=$A25)*('Form responses 1'!$A$2:$A1000&lt;=EOMONTH(DATEVALUE("1 "&amp;AH$1),0)))+
  SUMPRODUCT(('Form responses 1'!$F$2:$F1000=$A25)*('Form responses 1'!$A$2:$A1000&lt;=EOMONTH(DATEVALUE("1 "&amp;AH$1),0)))+
  SUMPRODUCT(('Form responses 1'!$G$2:$G1000=$A25)*('Form responses 1'!$A$2:$A1000&lt;=EOMONTH(DATEVALUE("1 "&amp;AH$1),0)))
),2),"-")</f>
        <v>-</v>
      </c>
      <c r="AI25" s="2" t="str">
        <f>IFERROR(ROUND(Data!$B25/(
  SUMPRODUCT(('Form responses 1'!$B$2:$B1000=$A25)*('Form responses 1'!$A$2:$A1000&lt;=EOMONTH(DATEVALUE("1 "&amp;AI$1),0)))+
  SUMPRODUCT(('Form responses 1'!$C$2:$C1000=$A25)*('Form responses 1'!$A$2:$A1000&lt;=EOMONTH(DATEVALUE("1 "&amp;AI$1),0)))+
  SUMPRODUCT(('Form responses 1'!$D$2:$D1000=$A25)*('Form responses 1'!$A$2:$A1000&lt;=EOMONTH(DATEVALUE("1 "&amp;AI$1),0)))+
  SUMPRODUCT(('Form responses 1'!$E$2:$E1000=$A25)*('Form responses 1'!$A$2:$A1000&lt;=EOMONTH(DATEVALUE("1 "&amp;AI$1),0)))+
  SUMPRODUCT(('Form responses 1'!$F$2:$F1000=$A25)*('Form responses 1'!$A$2:$A1000&lt;=EOMONTH(DATEVALUE("1 "&amp;AI$1),0)))+
  SUMPRODUCT(('Form responses 1'!$G$2:$G1000=$A25)*('Form responses 1'!$A$2:$A1000&lt;=EOMONTH(DATEVALUE("1 "&amp;AI$1),0)))
),2),"-")</f>
        <v>-</v>
      </c>
      <c r="AJ25" s="2" t="str">
        <f>IFERROR(ROUND(Data!$B25/(
  SUMPRODUCT(('Form responses 1'!$B$2:$B1000=$A25)*('Form responses 1'!$A$2:$A1000&lt;=EOMONTH(DATEVALUE("1 "&amp;AJ$1),0)))+
  SUMPRODUCT(('Form responses 1'!$C$2:$C1000=$A25)*('Form responses 1'!$A$2:$A1000&lt;=EOMONTH(DATEVALUE("1 "&amp;AJ$1),0)))+
  SUMPRODUCT(('Form responses 1'!$D$2:$D1000=$A25)*('Form responses 1'!$A$2:$A1000&lt;=EOMONTH(DATEVALUE("1 "&amp;AJ$1),0)))+
  SUMPRODUCT(('Form responses 1'!$E$2:$E1000=$A25)*('Form responses 1'!$A$2:$A1000&lt;=EOMONTH(DATEVALUE("1 "&amp;AJ$1),0)))+
  SUMPRODUCT(('Form responses 1'!$F$2:$F1000=$A25)*('Form responses 1'!$A$2:$A1000&lt;=EOMONTH(DATEVALUE("1 "&amp;AJ$1),0)))+
  SUMPRODUCT(('Form responses 1'!$G$2:$G1000=$A25)*('Form responses 1'!$A$2:$A1000&lt;=EOMONTH(DATEVALUE("1 "&amp;AJ$1),0)))
),2),"-")</f>
        <v>-</v>
      </c>
      <c r="AK25" s="2" t="str">
        <f>IFERROR(ROUND(Data!$B25/(
  SUMPRODUCT(('Form responses 1'!$B$2:$B1000=$A25)*('Form responses 1'!$A$2:$A1000&lt;=EOMONTH(DATEVALUE("1 "&amp;AK$1),0)))+
  SUMPRODUCT(('Form responses 1'!$C$2:$C1000=$A25)*('Form responses 1'!$A$2:$A1000&lt;=EOMONTH(DATEVALUE("1 "&amp;AK$1),0)))+
  SUMPRODUCT(('Form responses 1'!$D$2:$D1000=$A25)*('Form responses 1'!$A$2:$A1000&lt;=EOMONTH(DATEVALUE("1 "&amp;AK$1),0)))+
  SUMPRODUCT(('Form responses 1'!$E$2:$E1000=$A25)*('Form responses 1'!$A$2:$A1000&lt;=EOMONTH(DATEVALUE("1 "&amp;AK$1),0)))+
  SUMPRODUCT(('Form responses 1'!$F$2:$F1000=$A25)*('Form responses 1'!$A$2:$A1000&lt;=EOMONTH(DATEVALUE("1 "&amp;AK$1),0)))+
  SUMPRODUCT(('Form responses 1'!$G$2:$G1000=$A25)*('Form responses 1'!$A$2:$A1000&lt;=EOMONTH(DATEVALUE("1 "&amp;AK$1),0)))
),2),"-")</f>
        <v>-</v>
      </c>
      <c r="AL25" s="2" t="str">
        <f>IFERROR(ROUND(Data!$B25/(
  SUMPRODUCT(('Form responses 1'!$B$2:$B1000=$A25)*('Form responses 1'!$A$2:$A1000&lt;=EOMONTH(DATEVALUE("1 "&amp;AL$1),0)))+
  SUMPRODUCT(('Form responses 1'!$C$2:$C1000=$A25)*('Form responses 1'!$A$2:$A1000&lt;=EOMONTH(DATEVALUE("1 "&amp;AL$1),0)))+
  SUMPRODUCT(('Form responses 1'!$D$2:$D1000=$A25)*('Form responses 1'!$A$2:$A1000&lt;=EOMONTH(DATEVALUE("1 "&amp;AL$1),0)))+
  SUMPRODUCT(('Form responses 1'!$E$2:$E1000=$A25)*('Form responses 1'!$A$2:$A1000&lt;=EOMONTH(DATEVALUE("1 "&amp;AL$1),0)))+
  SUMPRODUCT(('Form responses 1'!$F$2:$F1000=$A25)*('Form responses 1'!$A$2:$A1000&lt;=EOMONTH(DATEVALUE("1 "&amp;AL$1),0)))+
  SUMPRODUCT(('Form responses 1'!$G$2:$G1000=$A25)*('Form responses 1'!$A$2:$A1000&lt;=EOMONTH(DATEVALUE("1 "&amp;AL$1),0)))
),2),"-")</f>
        <v>-</v>
      </c>
    </row>
    <row r="26">
      <c r="A26" s="3" t="str">
        <f>IFERROR(__xludf.DUMMYFUNCTION("""COMPUTED_VALUE"""),"Mclaren t-shirt")</f>
        <v>Mclaren t-shirt</v>
      </c>
      <c r="B26" s="2">
        <f>Data!F24:F1000</f>
        <v>0.61</v>
      </c>
      <c r="C26" s="2" t="str">
        <f>IFERROR(ROUND(Data!B24/(SUMPRODUCT(('Form responses 1'!$B$2:$B1000 = A26) * ('Form responses 1'!$A$2:$A1000 &lt;= DATE(2024, 1, 31)))
+ SUMPRODUCT(('Form responses 1'!$C$2:$C1000 = A26) * ('Form responses 1'!$A$2:$A1000 &lt;= DATE(2024, 1, 31)))
+ SUMPRODUCT(('Form responses 1'!$D$2:$D1000 = A26) * ('Form responses 1'!$A$2:$A1000 &lt;= DATE(2024, 1, 31)))
+ SUMPRODUCT(('Form responses 1'!$E$2:$E1000 = A26) * ('Form responses 1'!$A$2:$A1000 &lt;= DATE(2024, 1, 31)))
+ SUMPRODUCT(('Form responses 1'!$F$2:$F1000 = A26) * ('Form responses 1'!$A$2:$A1000 &lt;= DATE(2024, 1, 31)))
+ SUMPRODUCT(('Form responses 1'!$G$2:$G1000 = A26) * ('Form responses 1'!$A$2:$A1000 &lt;= DATE(2024, 1, 31)))), 2), "-")
</f>
        <v>-</v>
      </c>
      <c r="D26" s="2" t="str">
        <f>IFERROR(ROUND(Data!B24/(SUMPRODUCT(('Form responses 1'!$B$2:$B1000 = A26) * ('Form responses 1'!$A$2:$A1000 &lt;= DATE(2024, 2, 29)))
+ SUMPRODUCT(('Form responses 1'!$C$2:$C1000 = A26) * ('Form responses 1'!$A$2:$A1000 &lt;= DATE(2024, 2, 29)))
+ SUMPRODUCT(('Form responses 1'!$D$2:$D1000 = A26) * ('Form responses 1'!$A$2:$A1000 &lt;= DATE(2024, 2, 29)))
+ SUMPRODUCT(('Form responses 1'!$E$2:$E1000 = A26) * ('Form responses 1'!$A$2:$A1000 &lt;= DATE(2024, 2, 29)))
+ SUMPRODUCT(('Form responses 1'!$F$2:$F1000 = A26) * ('Form responses 1'!$A$2:$A1000 &lt;= DATE(2024, 2, 29)))
+ SUMPRODUCT(('Form responses 1'!$G$2:$G1000 = A26) * ('Form responses 1'!$A$2:$A1000 &lt;= DATE(2024, 2, 29)))), 2), "-")
</f>
        <v>-</v>
      </c>
      <c r="E26" s="2" t="str">
        <f>IFERROR(ROUND(Data!B24/(SUMPRODUCT(('Form responses 1'!$B$2:$B1000 = A26) * ('Form responses 1'!$A$2:$A1000 &lt;= DATE(2024, 3, 31)))
+ SUMPRODUCT(('Form responses 1'!$C$2:$C1000 = A26) * ('Form responses 1'!$A$2:$A1000 &lt;= DATE(2024, 3, 31)))
+ SUMPRODUCT(('Form responses 1'!$D$2:$D1000 = A26) * ('Form responses 1'!$A$2:$A1000 &lt;= DATE(2024, 3, 31)))
+ SUMPRODUCT(('Form responses 1'!$E$2:$E1000 = A26) * ('Form responses 1'!$A$2:$A1000 &lt;= DATE(2024, 3, 31)))
+ SUMPRODUCT(('Form responses 1'!$F$2:$F1000 = A26) * ('Form responses 1'!$A$2:$A1000 &lt;= DATE(2024, 3, 31)))
+ SUMPRODUCT(('Form responses 1'!$G$2:$G1000 = A26) * ('Form responses 1'!$A$2:$A1000 &lt;= DATE(2024, 3, 31)))), 2), "-")
</f>
        <v>-</v>
      </c>
      <c r="F26" s="2" t="str">
        <f>IFERROR(ROUND(Data!B24/(SUMPRODUCT(('Form responses 1'!$B$2:$B1000 = A26) * ('Form responses 1'!$A$2:$A1000 &lt;= DATE(2024, 4, 30)))
+ SUMPRODUCT(('Form responses 1'!$C$2:$C1000 = A26) * ('Form responses 1'!$A$2:$A1000 &lt;= DATE(2024, 4, 30)))
+ SUMPRODUCT(('Form responses 1'!$D$2:$D1000 = A26) * ('Form responses 1'!$A$2:$A1000 &lt;= DATE(2024, 4, 30)))
+ SUMPRODUCT(('Form responses 1'!$E$2:$E1000 = A26) * ('Form responses 1'!$A$2:$A1000 &lt;= DATE(2024, 4, 30)))
+ SUMPRODUCT(('Form responses 1'!$F$2:$F1000 = A26) * ('Form responses 1'!$A$2:$A1000 &lt;= DATE(2024, 4, 30)))
+ SUMPRODUCT(('Form responses 1'!$G$2:$G1000 = A26) * ('Form responses 1'!$A$2:$A1000 &lt;= DATE(2024, 4, 30)))), 2), "-")
</f>
        <v>-</v>
      </c>
      <c r="G26" s="2" t="str">
        <f>IFERROR(ROUND(Data!B24/(SUMPRODUCT(('Form responses 1'!$B$2:$B1000 = A26) * ('Form responses 1'!$A$2:$A1000 &lt;= DATE(2024, 5, 31)))
+ SUMPRODUCT(('Form responses 1'!$C$2:$C1000 = A26) * ('Form responses 1'!$A$2:$A1000 &lt;= DATE(2024, 5, 31)))
+ SUMPRODUCT(('Form responses 1'!$D$2:$D1000 = A26) * ('Form responses 1'!$A$2:$A1000 &lt;= DATE(2024, 5, 31)))
+ SUMPRODUCT(('Form responses 1'!$E$2:$E1000 = A26) * ('Form responses 1'!$A$2:$A1000 &lt;= DATE(2024, 5, 31)))
+ SUMPRODUCT(('Form responses 1'!$F$2:$F1000 = A26) * ('Form responses 1'!$A$2:$A1000 &lt;= DATE(2024, 5, 31)))
+ SUMPRODUCT(('Form responses 1'!$G$2:$G1000 = A26) * ('Form responses 1'!$A$2:$A1000 &lt;= DATE(2024, 5, 31)))), 2), "-")
</f>
        <v>-</v>
      </c>
      <c r="H26" s="2" t="str">
        <f>IFERROR(ROUND(Data!B24/(SUMPRODUCT(('Form responses 1'!$B$2:$B1000 = A26) * ('Form responses 1'!$A$2:$A1000 &lt;= DATE(2024, 6, 30)))
+ SUMPRODUCT(('Form responses 1'!$C$2:$C1000 = A26) * ('Form responses 1'!$A$2:$A1000 &lt;= DATE(2024, 6, 30)))
+ SUMPRODUCT(('Form responses 1'!$D$2:$D1000 = A26) * ('Form responses 1'!$A$2:$A1000 &lt;= DATE(2024, 6, 30)))
+ SUMPRODUCT(('Form responses 1'!$E$2:$E1000 = A26) * ('Form responses 1'!$A$2:$A1000 &lt;= DATE(2024, 6, 30)))
+ SUMPRODUCT(('Form responses 1'!$F$2:$F1000 = A26) * ('Form responses 1'!$A$2:$A1000 &lt;= DATE(2024, 6, 30)))
+ SUMPRODUCT(('Form responses 1'!$G$2:$G1000 = A26) * ('Form responses 1'!$A$2:$A1000 &lt;= DATE(2024, 6, 30)))), 2), "-")
</f>
        <v>-</v>
      </c>
      <c r="I26" s="2">
        <f>IFERROR(ROUND(Data!B24/(SUMPRODUCT(('Form responses 1'!$B$2:$B1000 = A26) * ('Form responses 1'!$A$2:$A1000 &lt;= DATE(2024, 7, 31)))
+ SUMPRODUCT(('Form responses 1'!$C$2:$C1000 = A26) * ('Form responses 1'!$A$2:$A1000 &lt;= DATE(2024, 7, 31)))
+ SUMPRODUCT(('Form responses 1'!$D$2:$D1000 = A26) * ('Form responses 1'!$A$2:$A1000 &lt;= DATE(2024, 7, 31)))
+ SUMPRODUCT(('Form responses 1'!$E$2:$E1000 = A26) * ('Form responses 1'!$A$2:$A1000 &lt;= DATE(2024, 7, 31)))
+ SUMPRODUCT(('Form responses 1'!$F$2:$F1000 = A26) * ('Form responses 1'!$A$2:$A1000 &lt;= DATE(2024, 7, 31)))
+ SUMPRODUCT(('Form responses 1'!$G$2:$G1000 = A26) * ('Form responses 1'!$A$2:$A1000 &lt;= DATE(2024, 7, 31)))), 2), "-")
</f>
        <v>9.98</v>
      </c>
      <c r="J26" s="2">
        <f>IFERROR(ROUND(Data!B24/(SUMPRODUCT(('Form responses 1'!$B$2:$B1000 = A26) * ('Form responses 1'!$A$2:$A1000 &lt;= DATE(2024, 8, 31)))
+ SUMPRODUCT(('Form responses 1'!$C$2:$C1000 = A26) * ('Form responses 1'!$A$2:$A1000 &lt;= DATE(2024, 8, 31)))
+ SUMPRODUCT(('Form responses 1'!$D$2:$D1000 = A26) * ('Form responses 1'!$A$2:$A1000 &lt;= DATE(2024, 8, 31)))
+ SUMPRODUCT(('Form responses 1'!$E$2:$E1000 = A26) * ('Form responses 1'!$A$2:$A1000 &lt;= DATE(2024, 8, 31)))
+ SUMPRODUCT(('Form responses 1'!$F$2:$F1000 = A26) * ('Form responses 1'!$A$2:$A1000 &lt;= DATE(2024, 8, 31)))
+ SUMPRODUCT(('Form responses 1'!$G$2:$G1000 = A26) * ('Form responses 1'!$A$2:$A1000 &lt;= DATE(2024, 8, 31)))), 2), "-")
</f>
        <v>4.28</v>
      </c>
      <c r="K26" s="2">
        <f>IFERROR(ROUND(Data!B24/(SUMPRODUCT(('Form responses 1'!$B$2:$B1000 = A26) * ('Form responses 1'!$A$2:$A1000 &lt;= DATE(2024, 9, 30)))
+ SUMPRODUCT(('Form responses 1'!$C$2:$C1000 = A26) * ('Form responses 1'!$A$2:$A1000 &lt;= DATE(2024, 9, 30)))
+ SUMPRODUCT(('Form responses 1'!$D$2:$D1000 = A26) * ('Form responses 1'!$A$2:$A1000 &lt;= DATE(2024, 9, 30)))
+ SUMPRODUCT(('Form responses 1'!$E$2:$E1000 = A26) * ('Form responses 1'!$A$2:$A1000 &lt;= DATE(2024, 9, 30)))
+ SUMPRODUCT(('Form responses 1'!$F$2:$F1000 = A26) * ('Form responses 1'!$A$2:$A1000 &lt;= DATE(2024, 9, 30)))
+ SUMPRODUCT(('Form responses 1'!$G$2:$G1000 = A26) * ('Form responses 1'!$A$2:$A1000 &lt;= DATE(2024, 9, 30)))), 2), "-")
</f>
        <v>4.28</v>
      </c>
      <c r="L26" s="2">
        <f>IFERROR(ROUND(Data!B24/(SUMPRODUCT(('Form responses 1'!$B$2:$B1000 = A26) * ('Form responses 1'!$A$2:$A1000 &lt;= DATE(2024, 10, 31)))
+ SUMPRODUCT(('Form responses 1'!$C$2:$C1000 = A26) * ('Form responses 1'!$A$2:$A1000 &lt;= DATE(2024, 10, 31)))
+ SUMPRODUCT(('Form responses 1'!$D$2:$D1000 = A26) * ('Form responses 1'!$A$2:$A1000 &lt;= DATE(2024, 10, 31)))
+ SUMPRODUCT(('Form responses 1'!$E$2:$E1000 = A26) * ('Form responses 1'!$A$2:$A1000 &lt;= DATE(2024, 10, 31)))
+ SUMPRODUCT(('Form responses 1'!$F$2:$F1000 = A26) * ('Form responses 1'!$A$2:$A1000 &lt;= DATE(2024, 10, 31)))
+ SUMPRODUCT(('Form responses 1'!$G$2:$G1000 = A26) * ('Form responses 1'!$A$2:$A1000 &lt;= DATE(2024, 10, 31)))), 2), "-")
</f>
        <v>3.33</v>
      </c>
      <c r="M26" s="2">
        <f>IFERROR(ROUND(Data!B24/(SUMPRODUCT(('Form responses 1'!$B$2:$B1000 = A26) * ('Form responses 1'!$A$2:$A1000 &lt;= DATE(2024, 11, 30)))
+ SUMPRODUCT(('Form responses 1'!$C$2:$C1000 = A26) * ('Form responses 1'!$A$2:$A1000 &lt;= DATE(2024, 11, 30)))
+ SUMPRODUCT(('Form responses 1'!$D$2:$D1000 = A26) * ('Form responses 1'!$A$2:$A1000 &lt;= DATE(2024, 11, 30)))
+ SUMPRODUCT(('Form responses 1'!$E$2:$E1000 = A26) * ('Form responses 1'!$A$2:$A1000 &lt;= DATE(2024, 11, 30)))
+ SUMPRODUCT(('Form responses 1'!$F$2:$F1000 = A26) * ('Form responses 1'!$A$2:$A1000 &lt;= DATE(2024, 11, 30)))
+ SUMPRODUCT(('Form responses 1'!$G$2:$G1000 = A26) * ('Form responses 1'!$A$2:$A1000 &lt;= DATE(2024, 11, 30)))), 2), "-")
</f>
        <v>3.33</v>
      </c>
      <c r="N26" s="2">
        <f>IFERROR(ROUND(Data!B24/(SUMPRODUCT(('Form responses 1'!$B$2:$B1000 = A26) * ('Form responses 1'!$A$2:$A1000 &lt;= DATE(2024, 12, 31)))
+ SUMPRODUCT(('Form responses 1'!$C$2:$C1000 = A26) * ('Form responses 1'!$A$2:$A1000 &lt;= DATE(2024, 12, 31)))
+ SUMPRODUCT(('Form responses 1'!$D$2:$D1000 = A26) * ('Form responses 1'!$A$2:$A1000 &lt;= DATE(2024, 12, 31)))
+ SUMPRODUCT(('Form responses 1'!$E$2:$E1000 = A26) * ('Form responses 1'!$A$2:$A1000 &lt;= DATE(2024, 12, 31)))
+ SUMPRODUCT(('Form responses 1'!$F$2:$F1000 = A26) * ('Form responses 1'!$A$2:$A1000 &lt;= DATE(2024, 12, 31)))
+ SUMPRODUCT(('Form responses 1'!$G$2:$G1000 = A26) * ('Form responses 1'!$A$2:$A1000 &lt;= DATE(2024, 12, 31)))), 2), "-")
</f>
        <v>3.33</v>
      </c>
      <c r="O26" s="2">
        <f>IFERROR(ROUND(Data!B24/(SUMPRODUCT(('Form responses 1'!$B$2:$B1000 = A26) * ('Form responses 1'!$A$2:$A1000 &lt;= DATE(2025, 1, 31)))
+ SUMPRODUCT(('Form responses 1'!$C$2:$C1000 = A26) * ('Form responses 1'!$A$2:$A1000 &lt;= DATE(2025, 1, 31)))
+ SUMPRODUCT(('Form responses 1'!$D$2:$D1000 = A26) * ('Form responses 1'!$A$2:$A1000 &lt;= DATE(2025, 1, 31)))
+ SUMPRODUCT(('Form responses 1'!$E$2:$E1000 = A26) * ('Form responses 1'!$A$2:$A1000 &lt;= DATE(2025, 1, 31)))
+ SUMPRODUCT(('Form responses 1'!$F$2:$F1000 = A26) * ('Form responses 1'!$A$2:$A1000 &lt;= DATE(2025, 1, 31)))
+ SUMPRODUCT(('Form responses 1'!$G$2:$G1000 = A26) * ('Form responses 1'!$A$2:$A1000 &lt;= DATE(2025, 1, 31)))), 2), "-")
</f>
        <v>3.33</v>
      </c>
      <c r="P26" s="2">
        <f>IFERROR(ROUND(Data!B24/(SUMPRODUCT(('Form responses 1'!$B$2:$B1000 = A26) * ('Form responses 1'!$A$2:$A1000 &lt;= DATE(2025, 2, 28)))
+ SUMPRODUCT(('Form responses 1'!$C$2:$C1000 = A26) * ('Form responses 1'!$A$2:$A1000 &lt;= DATE(2025, 2, 28)))
+ SUMPRODUCT(('Form responses 1'!$D$2:$D1000 = A26) * ('Form responses 1'!$A$2:$A1000 &lt;= DATE(2025, 2, 28)))
+ SUMPRODUCT(('Form responses 1'!$E$2:$E1000 = A26) * ('Form responses 1'!$A$2:$A1000 &lt;= DATE(2025, 2, 28)))
+ SUMPRODUCT(('Form responses 1'!$F$2:$F1000 = A26) * ('Form responses 1'!$A$2:$A1000 &lt;= DATE(2025, 2, 28)))
+ SUMPRODUCT(('Form responses 1'!$G$2:$G1000 = A26) * ('Form responses 1'!$A$2:$A1000 &lt;= DATE(2025, 2, 28)))), 2), "-")
</f>
        <v>3.33</v>
      </c>
      <c r="Q26" s="2">
        <f>IFERROR(ROUND(Data!B24/(SUMPRODUCT(('Form responses 1'!$B$2:$B1000 = A26) * ('Form responses 1'!$A$2:$A1000 &lt;= DATE(2025, 3, 31)))
+ SUMPRODUCT(('Form responses 1'!$C$2:$C1000 = A26) * ('Form responses 1'!$A$2:$A1000 &lt;= DATE(2025, 3, 31)))
+ SUMPRODUCT(('Form responses 1'!$D$2:$D1000 = A26) * ('Form responses 1'!$A$2:$A1000 &lt;= DATE(2025, 3, 31)))
+ SUMPRODUCT(('Form responses 1'!$E$2:$E1000 = A26) * ('Form responses 1'!$A$2:$A1000 &lt;= DATE(2025, 3, 31)))
+ SUMPRODUCT(('Form responses 1'!$F$2:$F1000 = A26) * ('Form responses 1'!$A$2:$A1000 &lt;= DATE(2025, 3, 31)))
+ SUMPRODUCT(('Form responses 1'!$G$2:$G1000 = A26) * ('Form responses 1'!$A$2:$A1000 &lt;= DATE(2025, 3, 31)))),2),"-")</f>
        <v>3.33</v>
      </c>
      <c r="R26" s="2">
        <f>IFERROR(ROUND(Data!B24/(SUMPRODUCT(('Form responses 1'!$B$2:$B1000 = A26) * ('Form responses 1'!$A$2:$A1000 &lt;= DATE(2025, 4, 30)))
+ SUMPRODUCT(('Form responses 1'!$C$2:$C1000 = A26) * ('Form responses 1'!$A$2:$A1000 &lt;= DATE(2025, 4, 30)))
+ SUMPRODUCT(('Form responses 1'!$D$2:$D1000 = A26) * ('Form responses 1'!$A$2:$A1000 &lt;= DATE(2025, 4, 30)))
+ SUMPRODUCT(('Form responses 1'!$E$2:$E1000 = A26) * ('Form responses 1'!$A$2:$A1000 &lt;= DATE(2025, 4, 30)))
+ SUMPRODUCT(('Form responses 1'!$F$2:$F1000 = A26) * ('Form responses 1'!$A$2:$A1000 &lt;= DATE(2025, 4, 30)))
+ SUMPRODUCT(('Form responses 1'!$G$2:$G1000 = A26) * ('Form responses 1'!$A$2:$A1000 &lt;= DATE(2025, 4, 30)))), 2), "-")
</f>
        <v>3</v>
      </c>
      <c r="S26" s="2">
        <f>IFERROR(ROUND(Data!B24/(SUMPRODUCT(('Form responses 1'!$B$2:$B1000 = A26) * ('Form responses 1'!$A$2:$A1000 &lt;= DATE(2025, 5, 31)))
+ SUMPRODUCT(('Form responses 1'!$C$2:$C1000 = A26) * ('Form responses 1'!$A$2:$A1000 &lt;= DATE(2025, 5, 31)))
+ SUMPRODUCT(('Form responses 1'!$D$2:$D1000 = A26) * ('Form responses 1'!$A$2:$A1000 &lt;= DATE(2025, 5, 31)))
+ SUMPRODUCT(('Form responses 1'!$E$2:$E1000 = A26) * ('Form responses 1'!$A$2:$A1000 &lt;= DATE(2025, 5, 31)))
+ SUMPRODUCT(('Form responses 1'!$F$2:$F1000 = A26) * ('Form responses 1'!$A$2:$A1000 &lt;= DATE(2025, 5, 31)))
+ SUMPRODUCT(('Form responses 1'!$G$2:$G1000 = A26) * ('Form responses 1'!$A$2:$A1000 &lt;= DATE(2025, 5, 31)))), 2), "-")
</f>
        <v>2.3</v>
      </c>
      <c r="T26" s="2">
        <f>IFERROR(ROUND(Data!B24/(SUMPRODUCT(('Form responses 1'!$B$2:$B1000 = A26) * ('Form responses 1'!$A$2:$A1000 &lt;= DATE(2025, 6, 30)))
+ SUMPRODUCT(('Form responses 1'!$C$2:$C1000 = A26) * ('Form responses 1'!$A$2:$A1000 &lt;= DATE(2025, 6, 30)))
+ SUMPRODUCT(('Form responses 1'!$D$2:$D1000 = A26) * ('Form responses 1'!$A$2:$A1000 &lt;= DATE(2025, 6, 30)))
+ SUMPRODUCT(('Form responses 1'!$E$2:$E1000 = A26) * ('Form responses 1'!$A$2:$A1000 &lt;= DATE(2025, 6, 30)))
+ SUMPRODUCT(('Form responses 1'!$F$2:$F1000 = A26) * ('Form responses 1'!$A$2:$A1000 &lt;= DATE(2025, 6, 30)))
+ SUMPRODUCT(('Form responses 1'!$G$2:$G1000 = A26) * ('Form responses 1'!$A$2:$A1000 &lt;= DATE(2025, 6, 30)))), 2), "-")
</f>
        <v>1.87</v>
      </c>
      <c r="U26" s="2">
        <f>IFERROR(ROUND(Data!B24/(SUMPRODUCT(('Form responses 1'!$B$2:$B1000 = A26) * ('Form responses 1'!$A$2:$A1000 &lt;= DATE(2025, 7, 31)))
+ SUMPRODUCT(('Form responses 1'!$C$2:$C1000 = A26) * ('Form responses 1'!$A$2:$A1000 &lt;= DATE(2025, 7, 31)))
+ SUMPRODUCT(('Form responses 1'!$D$2:$D1000 = A26) * ('Form responses 1'!$A$2:$A1000 &lt;= DATE(2025, 7, 31)))
+ SUMPRODUCT(('Form responses 1'!$E$2:$E1000 = A26) * ('Form responses 1'!$A$2:$A1000 &lt;= DATE(2025, 7, 31)))
+ SUMPRODUCT(('Form responses 1'!$F$2:$F1000 = A26) * ('Form responses 1'!$A$2:$A1000 &lt;= DATE(2025, 7, 31)))
+ SUMPRODUCT(('Form responses 1'!$G$2:$G1000 = A26) * ('Form responses 1'!$A$2:$A1000 &lt;= DATE(2025, 7, 31)))), 2), "-")
</f>
        <v>1.87</v>
      </c>
      <c r="V26" s="2">
        <f>IFERROR(ROUND(Data!B24/(SUMPRODUCT(('Form responses 1'!$B$2:$B1000 = A26) * ('Form responses 1'!$A$2:$A1000 &lt;= DATE(2025, 8, 31)))
+ SUMPRODUCT(('Form responses 1'!$C$2:$C1000 = A26) * ('Form responses 1'!$A$2:$A1000 &lt;= DATE(2025, 8, 31)))
+ SUMPRODUCT(('Form responses 1'!$D$2:$D1000 = A26) * ('Form responses 1'!$A$2:$A1000 &lt;= DATE(2025, 8, 31)))
+ SUMPRODUCT(('Form responses 1'!$E$2:$E1000 = A26) * ('Form responses 1'!$A$2:$A1000 &lt;= DATE(2025, 8, 31)))
+ SUMPRODUCT(('Form responses 1'!$F$2:$F1000 = A26) * ('Form responses 1'!$A$2:$A1000 &lt;= DATE(2025, 8, 31)))
+ SUMPRODUCT(('Form responses 1'!$G$2:$G1000 = A26) * ('Form responses 1'!$A$2:$A1000 &lt;= DATE(2025, 8, 31)))), 2), "-")
</f>
        <v>1.66</v>
      </c>
      <c r="W26" s="2">
        <f>IFERROR(ROUND(Data!B24/(SUMPRODUCT(('Form responses 1'!$B$2:$B1000 = A26) * ('Form responses 1'!$A$2:$A1000 &lt;= DATE(2025, 9, 30)))
+ SUMPRODUCT(('Form responses 1'!$C$2:$C1000 = A26) * ('Form responses 1'!$A$2:$A1000 &lt;= DATE(2025, 9, 30)))
+ SUMPRODUCT(('Form responses 1'!$D$2:$D1000 = A26) * ('Form responses 1'!$A$2:$A1000 &lt;= DATE(2025, 9, 30)))
+ SUMPRODUCT(('Form responses 1'!$E$2:$E1000 = A26) * ('Form responses 1'!$A$2:$A1000 &lt;= DATE(2025, 9, 30)))
+ SUMPRODUCT(('Form responses 1'!$F$2:$F1000 = A26) * ('Form responses 1'!$A$2:$A1000 &lt;= DATE(2025, 9, 30)))
+ SUMPRODUCT(('Form responses 1'!$G$2:$G1000 = A26) * ('Form responses 1'!$A$2:$A1000 &lt;= DATE(2025, 9, 30)))), 2), "-")
</f>
        <v>1.43</v>
      </c>
      <c r="X26" s="2">
        <f>IFERROR(ROUND(Data!B24/(SUMPRODUCT(('Form responses 1'!$B$2:$B1000 = A26) * ('Form responses 1'!$A$2:$A1000 &lt;= DATE(2025, 10, 31)))
+ SUMPRODUCT(('Form responses 1'!$C$2:$C1000 = A26) * ('Form responses 1'!$A$2:$A1000 &lt;= DATE(2025, 10, 31)))
+ SUMPRODUCT(('Form responses 1'!$D$2:$D1000 = A26) * ('Form responses 1'!$A$2:$A1000 &lt;= DATE(2025, 10, 31)))
+ SUMPRODUCT(('Form responses 1'!$E$2:$E1000 = A26) * ('Form responses 1'!$A$2:$A1000 &lt;= DATE(2025, 10, 31)))
+ SUMPRODUCT(('Form responses 1'!$F$2:$F1000 = A26) * ('Form responses 1'!$A$2:$A1000 &lt;= DATE(2025, 10, 31)))
+ SUMPRODUCT(('Form responses 1'!$G$2:$G1000 = A26) * ('Form responses 1'!$A$2:$A1000 &lt;= DATE(2025, 10, 31)))), 2), "-")
</f>
        <v>1.43</v>
      </c>
      <c r="Y26" s="2">
        <f>IFERROR(ROUND(Data!B24/(SUMPRODUCT(('Form responses 1'!$B$2:$B1000 = A26) * ('Form responses 1'!$A$2:$A1000 &lt;= DATE(2025, 11, 30)))
+ SUMPRODUCT(('Form responses 1'!$C$2:$C1000 = A26) * ('Form responses 1'!$A$2:$A1000 &lt;= DATE(2025, 11, 30)))
+ SUMPRODUCT(('Form responses 1'!$D$2:$D1000 = A26) * ('Form responses 1'!$A$2:$A1000 &lt;= DATE(2025, 11, 30)))
+ SUMPRODUCT(('Form responses 1'!$E$2:$E1000 = A26) * ('Form responses 1'!$A$2:$A1000 &lt;= DATE(2025, 11, 30)))
+ SUMPRODUCT(('Form responses 1'!$F$2:$F1000 = A26) * ('Form responses 1'!$A$2:$A1000 &lt;= DATE(2025, 11, 30)))
+ SUMPRODUCT(('Form responses 1'!$G$2:$G1000 = A26) * ('Form responses 1'!$A$2:$A1000 &lt;= DATE(2025, 11, 30)))), 2), "-")
</f>
        <v>1.43</v>
      </c>
      <c r="Z26" s="2">
        <f>IFERROR(ROUND(Data!B24/(SUMPRODUCT(('Form responses 1'!$B$2:$B1000 = A26) * ('Form responses 1'!$A$2:$A1000 &lt;= DATE(2025, 12, 31)))
+ SUMPRODUCT(('Form responses 1'!$C$2:$C1000 = A26) * ('Form responses 1'!$A$2:$A1000 &lt;= DATE(2025, 12, 31)))
+ SUMPRODUCT(('Form responses 1'!$D$2:$D1000 = A26) * ('Form responses 1'!$A$2:$A1000 &lt;= DATE(2025, 12, 31)))
+ SUMPRODUCT(('Form responses 1'!$E$2:$E1000 = A26) * ('Form responses 1'!$A$2:$A1000 &lt;= DATE(2025, 12, 31)))
+ SUMPRODUCT(('Form responses 1'!$F$2:$F1000 = A26) * ('Form responses 1'!$A$2:$A1000 &lt;= DATE(2025, 12, 31)))
+ SUMPRODUCT(('Form responses 1'!$G$2:$G1000 = A26) * ('Form responses 1'!$A$2:$A1000 &lt;= DATE(2025, 12, 31)))), 2), "-")
</f>
        <v>1.43</v>
      </c>
      <c r="AA26" s="2">
        <f>IFERROR(ROUND(Data!$B26/(
  SUMPRODUCT(('Form responses 1'!$B$2:$B1000=$A26)*('Form responses 1'!$A$2:$A1000&lt;=EOMONTH(DATEVALUE("1 "&amp;AA$1),0)))+
  SUMPRODUCT(('Form responses 1'!$C$2:$C1000=$A26)*('Form responses 1'!$A$2:$A1000&lt;=EOMONTH(DATEVALUE("1 "&amp;AA$1),0)))+
  SUMPRODUCT(('Form responses 1'!$D$2:$D1000=$A26)*('Form responses 1'!$A$2:$A1000&lt;=EOMONTH(DATEVALUE("1 "&amp;AA$1),0)))+
  SUMPRODUCT(('Form responses 1'!$E$2:$E1000=$A26)*('Form responses 1'!$A$2:$A1000&lt;=EOMONTH(DATEVALUE("1 "&amp;AA$1),0)))+
  SUMPRODUCT(('Form responses 1'!$F$2:$F1000=$A26)*('Form responses 1'!$A$2:$A1000&lt;=EOMONTH(DATEVALUE("1 "&amp;AA$1),0)))+
  SUMPRODUCT(('Form responses 1'!$G$2:$G1000=$A26)*('Form responses 1'!$A$2:$A1000&lt;=EOMONTH(DATEVALUE("1 "&amp;AA$1),0)))
),2),"-")</f>
        <v>1.07</v>
      </c>
      <c r="AB26" s="2">
        <f>IFERROR(ROUND(Data!$B26/(
  SUMPRODUCT(('Form responses 1'!$B$2:$B1000=$A26)*('Form responses 1'!$A$2:$A1000&lt;=EOMONTH(DATEVALUE("1 "&amp;AB$1),0)))+
  SUMPRODUCT(('Form responses 1'!$C$2:$C1000=$A26)*('Form responses 1'!$A$2:$A1000&lt;=EOMONTH(DATEVALUE("1 "&amp;AB$1),0)))+
  SUMPRODUCT(('Form responses 1'!$D$2:$D1000=$A26)*('Form responses 1'!$A$2:$A1000&lt;=EOMONTH(DATEVALUE("1 "&amp;AB$1),0)))+
  SUMPRODUCT(('Form responses 1'!$E$2:$E1000=$A26)*('Form responses 1'!$A$2:$A1000&lt;=EOMONTH(DATEVALUE("1 "&amp;AB$1),0)))+
  SUMPRODUCT(('Form responses 1'!$F$2:$F1000=$A26)*('Form responses 1'!$A$2:$A1000&lt;=EOMONTH(DATEVALUE("1 "&amp;AB$1),0)))+
  SUMPRODUCT(('Form responses 1'!$G$2:$G1000=$A26)*('Form responses 1'!$A$2:$A1000&lt;=EOMONTH(DATEVALUE("1 "&amp;AB$1),0)))
),2),"-")</f>
        <v>1.07</v>
      </c>
      <c r="AC26" s="2">
        <f>IFERROR(ROUND(Data!$B26/(
  SUMPRODUCT(('Form responses 1'!$B$2:$B1000=$A26)*('Form responses 1'!$A$2:$A1000&lt;=EOMONTH(DATEVALUE("1 "&amp;AC$1),0)))+
  SUMPRODUCT(('Form responses 1'!$C$2:$C1000=$A26)*('Form responses 1'!$A$2:$A1000&lt;=EOMONTH(DATEVALUE("1 "&amp;AC$1),0)))+
  SUMPRODUCT(('Form responses 1'!$D$2:$D1000=$A26)*('Form responses 1'!$A$2:$A1000&lt;=EOMONTH(DATEVALUE("1 "&amp;AC$1),0)))+
  SUMPRODUCT(('Form responses 1'!$E$2:$E1000=$A26)*('Form responses 1'!$A$2:$A1000&lt;=EOMONTH(DATEVALUE("1 "&amp;AC$1),0)))+
  SUMPRODUCT(('Form responses 1'!$F$2:$F1000=$A26)*('Form responses 1'!$A$2:$A1000&lt;=EOMONTH(DATEVALUE("1 "&amp;AC$1),0)))+
  SUMPRODUCT(('Form responses 1'!$G$2:$G1000=$A26)*('Form responses 1'!$A$2:$A1000&lt;=EOMONTH(DATEVALUE("1 "&amp;AC$1),0)))
),2),"-")</f>
        <v>1.07</v>
      </c>
      <c r="AD26" s="2" t="str">
        <f>IFERROR(ROUND(Data!$B26/(
  SUMPRODUCT(('Form responses 1'!$B$2:$B1000=$A26)*('Form responses 1'!$A$2:$A1000&lt;=EOMONTH(DATEVALUE("1 "&amp;AD$1),0)))+
  SUMPRODUCT(('Form responses 1'!$C$2:$C1000=$A26)*('Form responses 1'!$A$2:$A1000&lt;=EOMONTH(DATEVALUE("1 "&amp;AD$1),0)))+
  SUMPRODUCT(('Form responses 1'!$D$2:$D1000=$A26)*('Form responses 1'!$A$2:$A1000&lt;=EOMONTH(DATEVALUE("1 "&amp;AD$1),0)))+
  SUMPRODUCT(('Form responses 1'!$E$2:$E1000=$A26)*('Form responses 1'!$A$2:$A1000&lt;=EOMONTH(DATEVALUE("1 "&amp;AD$1),0)))+
  SUMPRODUCT(('Form responses 1'!$F$2:$F1000=$A26)*('Form responses 1'!$A$2:$A1000&lt;=EOMONTH(DATEVALUE("1 "&amp;AD$1),0)))+
  SUMPRODUCT(('Form responses 1'!$G$2:$G1000=$A26)*('Form responses 1'!$A$2:$A1000&lt;=EOMONTH(DATEVALUE("1 "&amp;AD$1),0)))
),2),"-")</f>
        <v>-</v>
      </c>
      <c r="AE26" s="2" t="str">
        <f>IFERROR(ROUND(Data!$B26/(
  SUMPRODUCT(('Form responses 1'!$B$2:$B1000=$A26)*('Form responses 1'!$A$2:$A1000&lt;=EOMONTH(DATEVALUE("1 "&amp;AE$1),0)))+
  SUMPRODUCT(('Form responses 1'!$C$2:$C1000=$A26)*('Form responses 1'!$A$2:$A1000&lt;=EOMONTH(DATEVALUE("1 "&amp;AE$1),0)))+
  SUMPRODUCT(('Form responses 1'!$D$2:$D1000=$A26)*('Form responses 1'!$A$2:$A1000&lt;=EOMONTH(DATEVALUE("1 "&amp;AE$1),0)))+
  SUMPRODUCT(('Form responses 1'!$E$2:$E1000=$A26)*('Form responses 1'!$A$2:$A1000&lt;=EOMONTH(DATEVALUE("1 "&amp;AE$1),0)))+
  SUMPRODUCT(('Form responses 1'!$F$2:$F1000=$A26)*('Form responses 1'!$A$2:$A1000&lt;=EOMONTH(DATEVALUE("1 "&amp;AE$1),0)))+
  SUMPRODUCT(('Form responses 1'!$G$2:$G1000=$A26)*('Form responses 1'!$A$2:$A1000&lt;=EOMONTH(DATEVALUE("1 "&amp;AE$1),0)))
),2),"-")</f>
        <v>-</v>
      </c>
      <c r="AF26" s="2" t="str">
        <f>IFERROR(ROUND(Data!$B26/(
  SUMPRODUCT(('Form responses 1'!$B$2:$B1000=$A26)*('Form responses 1'!$A$2:$A1000&lt;=EOMONTH(DATEVALUE("1 "&amp;AF$1),0)))+
  SUMPRODUCT(('Form responses 1'!$C$2:$C1000=$A26)*('Form responses 1'!$A$2:$A1000&lt;=EOMONTH(DATEVALUE("1 "&amp;AF$1),0)))+
  SUMPRODUCT(('Form responses 1'!$D$2:$D1000=$A26)*('Form responses 1'!$A$2:$A1000&lt;=EOMONTH(DATEVALUE("1 "&amp;AF$1),0)))+
  SUMPRODUCT(('Form responses 1'!$E$2:$E1000=$A26)*('Form responses 1'!$A$2:$A1000&lt;=EOMONTH(DATEVALUE("1 "&amp;AF$1),0)))+
  SUMPRODUCT(('Form responses 1'!$F$2:$F1000=$A26)*('Form responses 1'!$A$2:$A1000&lt;=EOMONTH(DATEVALUE("1 "&amp;AF$1),0)))+
  SUMPRODUCT(('Form responses 1'!$G$2:$G1000=$A26)*('Form responses 1'!$A$2:$A1000&lt;=EOMONTH(DATEVALUE("1 "&amp;AF$1),0)))
),2),"-")</f>
        <v>-</v>
      </c>
      <c r="AG26" s="2" t="str">
        <f>IFERROR(ROUND(Data!$B26/(
  SUMPRODUCT(('Form responses 1'!$B$2:$B1000=$A26)*('Form responses 1'!$A$2:$A1000&lt;=EOMONTH(DATEVALUE("1 "&amp;AG$1),0)))+
  SUMPRODUCT(('Form responses 1'!$C$2:$C1000=$A26)*('Form responses 1'!$A$2:$A1000&lt;=EOMONTH(DATEVALUE("1 "&amp;AG$1),0)))+
  SUMPRODUCT(('Form responses 1'!$D$2:$D1000=$A26)*('Form responses 1'!$A$2:$A1000&lt;=EOMONTH(DATEVALUE("1 "&amp;AG$1),0)))+
  SUMPRODUCT(('Form responses 1'!$E$2:$E1000=$A26)*('Form responses 1'!$A$2:$A1000&lt;=EOMONTH(DATEVALUE("1 "&amp;AG$1),0)))+
  SUMPRODUCT(('Form responses 1'!$F$2:$F1000=$A26)*('Form responses 1'!$A$2:$A1000&lt;=EOMONTH(DATEVALUE("1 "&amp;AG$1),0)))+
  SUMPRODUCT(('Form responses 1'!$G$2:$G1000=$A26)*('Form responses 1'!$A$2:$A1000&lt;=EOMONTH(DATEVALUE("1 "&amp;AG$1),0)))
),2),"-")</f>
        <v>-</v>
      </c>
      <c r="AH26" s="2" t="str">
        <f>IFERROR(ROUND(Data!$B26/(
  SUMPRODUCT(('Form responses 1'!$B$2:$B1000=$A26)*('Form responses 1'!$A$2:$A1000&lt;=EOMONTH(DATEVALUE("1 "&amp;AH$1),0)))+
  SUMPRODUCT(('Form responses 1'!$C$2:$C1000=$A26)*('Form responses 1'!$A$2:$A1000&lt;=EOMONTH(DATEVALUE("1 "&amp;AH$1),0)))+
  SUMPRODUCT(('Form responses 1'!$D$2:$D1000=$A26)*('Form responses 1'!$A$2:$A1000&lt;=EOMONTH(DATEVALUE("1 "&amp;AH$1),0)))+
  SUMPRODUCT(('Form responses 1'!$E$2:$E1000=$A26)*('Form responses 1'!$A$2:$A1000&lt;=EOMONTH(DATEVALUE("1 "&amp;AH$1),0)))+
  SUMPRODUCT(('Form responses 1'!$F$2:$F1000=$A26)*('Form responses 1'!$A$2:$A1000&lt;=EOMONTH(DATEVALUE("1 "&amp;AH$1),0)))+
  SUMPRODUCT(('Form responses 1'!$G$2:$G1000=$A26)*('Form responses 1'!$A$2:$A1000&lt;=EOMONTH(DATEVALUE("1 "&amp;AH$1),0)))
),2),"-")</f>
        <v>-</v>
      </c>
      <c r="AI26" s="2" t="str">
        <f>IFERROR(ROUND(Data!$B26/(
  SUMPRODUCT(('Form responses 1'!$B$2:$B1000=$A26)*('Form responses 1'!$A$2:$A1000&lt;=EOMONTH(DATEVALUE("1 "&amp;AI$1),0)))+
  SUMPRODUCT(('Form responses 1'!$C$2:$C1000=$A26)*('Form responses 1'!$A$2:$A1000&lt;=EOMONTH(DATEVALUE("1 "&amp;AI$1),0)))+
  SUMPRODUCT(('Form responses 1'!$D$2:$D1000=$A26)*('Form responses 1'!$A$2:$A1000&lt;=EOMONTH(DATEVALUE("1 "&amp;AI$1),0)))+
  SUMPRODUCT(('Form responses 1'!$E$2:$E1000=$A26)*('Form responses 1'!$A$2:$A1000&lt;=EOMONTH(DATEVALUE("1 "&amp;AI$1),0)))+
  SUMPRODUCT(('Form responses 1'!$F$2:$F1000=$A26)*('Form responses 1'!$A$2:$A1000&lt;=EOMONTH(DATEVALUE("1 "&amp;AI$1),0)))+
  SUMPRODUCT(('Form responses 1'!$G$2:$G1000=$A26)*('Form responses 1'!$A$2:$A1000&lt;=EOMONTH(DATEVALUE("1 "&amp;AI$1),0)))
),2),"-")</f>
        <v>-</v>
      </c>
      <c r="AJ26" s="2" t="str">
        <f>IFERROR(ROUND(Data!$B26/(
  SUMPRODUCT(('Form responses 1'!$B$2:$B1000=$A26)*('Form responses 1'!$A$2:$A1000&lt;=EOMONTH(DATEVALUE("1 "&amp;AJ$1),0)))+
  SUMPRODUCT(('Form responses 1'!$C$2:$C1000=$A26)*('Form responses 1'!$A$2:$A1000&lt;=EOMONTH(DATEVALUE("1 "&amp;AJ$1),0)))+
  SUMPRODUCT(('Form responses 1'!$D$2:$D1000=$A26)*('Form responses 1'!$A$2:$A1000&lt;=EOMONTH(DATEVALUE("1 "&amp;AJ$1),0)))+
  SUMPRODUCT(('Form responses 1'!$E$2:$E1000=$A26)*('Form responses 1'!$A$2:$A1000&lt;=EOMONTH(DATEVALUE("1 "&amp;AJ$1),0)))+
  SUMPRODUCT(('Form responses 1'!$F$2:$F1000=$A26)*('Form responses 1'!$A$2:$A1000&lt;=EOMONTH(DATEVALUE("1 "&amp;AJ$1),0)))+
  SUMPRODUCT(('Form responses 1'!$G$2:$G1000=$A26)*('Form responses 1'!$A$2:$A1000&lt;=EOMONTH(DATEVALUE("1 "&amp;AJ$1),0)))
),2),"-")</f>
        <v>-</v>
      </c>
      <c r="AK26" s="2" t="str">
        <f>IFERROR(ROUND(Data!$B26/(
  SUMPRODUCT(('Form responses 1'!$B$2:$B1000=$A26)*('Form responses 1'!$A$2:$A1000&lt;=EOMONTH(DATEVALUE("1 "&amp;AK$1),0)))+
  SUMPRODUCT(('Form responses 1'!$C$2:$C1000=$A26)*('Form responses 1'!$A$2:$A1000&lt;=EOMONTH(DATEVALUE("1 "&amp;AK$1),0)))+
  SUMPRODUCT(('Form responses 1'!$D$2:$D1000=$A26)*('Form responses 1'!$A$2:$A1000&lt;=EOMONTH(DATEVALUE("1 "&amp;AK$1),0)))+
  SUMPRODUCT(('Form responses 1'!$E$2:$E1000=$A26)*('Form responses 1'!$A$2:$A1000&lt;=EOMONTH(DATEVALUE("1 "&amp;AK$1),0)))+
  SUMPRODUCT(('Form responses 1'!$F$2:$F1000=$A26)*('Form responses 1'!$A$2:$A1000&lt;=EOMONTH(DATEVALUE("1 "&amp;AK$1),0)))+
  SUMPRODUCT(('Form responses 1'!$G$2:$G1000=$A26)*('Form responses 1'!$A$2:$A1000&lt;=EOMONTH(DATEVALUE("1 "&amp;AK$1),0)))
),2),"-")</f>
        <v>-</v>
      </c>
      <c r="AL26" s="2" t="str">
        <f>IFERROR(ROUND(Data!$B26/(
  SUMPRODUCT(('Form responses 1'!$B$2:$B1000=$A26)*('Form responses 1'!$A$2:$A1000&lt;=EOMONTH(DATEVALUE("1 "&amp;AL$1),0)))+
  SUMPRODUCT(('Form responses 1'!$C$2:$C1000=$A26)*('Form responses 1'!$A$2:$A1000&lt;=EOMONTH(DATEVALUE("1 "&amp;AL$1),0)))+
  SUMPRODUCT(('Form responses 1'!$D$2:$D1000=$A26)*('Form responses 1'!$A$2:$A1000&lt;=EOMONTH(DATEVALUE("1 "&amp;AL$1),0)))+
  SUMPRODUCT(('Form responses 1'!$E$2:$E1000=$A26)*('Form responses 1'!$A$2:$A1000&lt;=EOMONTH(DATEVALUE("1 "&amp;AL$1),0)))+
  SUMPRODUCT(('Form responses 1'!$F$2:$F1000=$A26)*('Form responses 1'!$A$2:$A1000&lt;=EOMONTH(DATEVALUE("1 "&amp;AL$1),0)))+
  SUMPRODUCT(('Form responses 1'!$G$2:$G1000=$A26)*('Form responses 1'!$A$2:$A1000&lt;=EOMONTH(DATEVALUE("1 "&amp;AL$1),0)))
),2),"-")</f>
        <v>-</v>
      </c>
    </row>
    <row r="27">
      <c r="A27" s="3" t="str">
        <f>IFERROR(__xludf.DUMMYFUNCTION("""COMPUTED_VALUE"""),"Utah t-shirt")</f>
        <v>Utah t-shirt</v>
      </c>
      <c r="B27" s="2">
        <f>Data!F25:F1000</f>
        <v>0.42</v>
      </c>
      <c r="C27" s="2" t="str">
        <f>IFERROR(ROUND(Data!B25/(SUMPRODUCT(('Form responses 1'!$B$2:$B1000 = A27) * ('Form responses 1'!$A$2:$A1000 &lt;= DATE(2024, 1, 31)))
+ SUMPRODUCT(('Form responses 1'!$C$2:$C1000 = A27) * ('Form responses 1'!$A$2:$A1000 &lt;= DATE(2024, 1, 31)))
+ SUMPRODUCT(('Form responses 1'!$D$2:$D1000 = A27) * ('Form responses 1'!$A$2:$A1000 &lt;= DATE(2024, 1, 31)))
+ SUMPRODUCT(('Form responses 1'!$E$2:$E1000 = A27) * ('Form responses 1'!$A$2:$A1000 &lt;= DATE(2024, 1, 31)))
+ SUMPRODUCT(('Form responses 1'!$F$2:$F1000 = A27) * ('Form responses 1'!$A$2:$A1000 &lt;= DATE(2024, 1, 31)))
+ SUMPRODUCT(('Form responses 1'!$G$2:$G1000 = A27) * ('Form responses 1'!$A$2:$A1000 &lt;= DATE(2024, 1, 31)))), 2), "-")
</f>
        <v>-</v>
      </c>
      <c r="D27" s="2" t="str">
        <f>IFERROR(ROUND(Data!B25/(SUMPRODUCT(('Form responses 1'!$B$2:$B1000 = A27) * ('Form responses 1'!$A$2:$A1000 &lt;= DATE(2024, 2, 29)))
+ SUMPRODUCT(('Form responses 1'!$C$2:$C1000 = A27) * ('Form responses 1'!$A$2:$A1000 &lt;= DATE(2024, 2, 29)))
+ SUMPRODUCT(('Form responses 1'!$D$2:$D1000 = A27) * ('Form responses 1'!$A$2:$A1000 &lt;= DATE(2024, 2, 29)))
+ SUMPRODUCT(('Form responses 1'!$E$2:$E1000 = A27) * ('Form responses 1'!$A$2:$A1000 &lt;= DATE(2024, 2, 29)))
+ SUMPRODUCT(('Form responses 1'!$F$2:$F1000 = A27) * ('Form responses 1'!$A$2:$A1000 &lt;= DATE(2024, 2, 29)))
+ SUMPRODUCT(('Form responses 1'!$G$2:$G1000 = A27) * ('Form responses 1'!$A$2:$A1000 &lt;= DATE(2024, 2, 29)))), 2), "-")
</f>
        <v>-</v>
      </c>
      <c r="E27" s="2" t="str">
        <f>IFERROR(ROUND(Data!B25/(SUMPRODUCT(('Form responses 1'!$B$2:$B1000 = A27) * ('Form responses 1'!$A$2:$A1000 &lt;= DATE(2024, 3, 31)))
+ SUMPRODUCT(('Form responses 1'!$C$2:$C1000 = A27) * ('Form responses 1'!$A$2:$A1000 &lt;= DATE(2024, 3, 31)))
+ SUMPRODUCT(('Form responses 1'!$D$2:$D1000 = A27) * ('Form responses 1'!$A$2:$A1000 &lt;= DATE(2024, 3, 31)))
+ SUMPRODUCT(('Form responses 1'!$E$2:$E1000 = A27) * ('Form responses 1'!$A$2:$A1000 &lt;= DATE(2024, 3, 31)))
+ SUMPRODUCT(('Form responses 1'!$F$2:$F1000 = A27) * ('Form responses 1'!$A$2:$A1000 &lt;= DATE(2024, 3, 31)))
+ SUMPRODUCT(('Form responses 1'!$G$2:$G1000 = A27) * ('Form responses 1'!$A$2:$A1000 &lt;= DATE(2024, 3, 31)))), 2), "-")
</f>
        <v>-</v>
      </c>
      <c r="F27" s="2">
        <f>IFERROR(ROUND(Data!B25/(SUMPRODUCT(('Form responses 1'!$B$2:$B1000 = A27) * ('Form responses 1'!$A$2:$A1000 &lt;= DATE(2024, 4, 30)))
+ SUMPRODUCT(('Form responses 1'!$C$2:$C1000 = A27) * ('Form responses 1'!$A$2:$A1000 &lt;= DATE(2024, 4, 30)))
+ SUMPRODUCT(('Form responses 1'!$D$2:$D1000 = A27) * ('Form responses 1'!$A$2:$A1000 &lt;= DATE(2024, 4, 30)))
+ SUMPRODUCT(('Form responses 1'!$E$2:$E1000 = A27) * ('Form responses 1'!$A$2:$A1000 &lt;= DATE(2024, 4, 30)))
+ SUMPRODUCT(('Form responses 1'!$F$2:$F1000 = A27) * ('Form responses 1'!$A$2:$A1000 &lt;= DATE(2024, 4, 30)))
+ SUMPRODUCT(('Form responses 1'!$G$2:$G1000 = A27) * ('Form responses 1'!$A$2:$A1000 &lt;= DATE(2024, 4, 30)))), 2), "-")
</f>
        <v>9.98</v>
      </c>
      <c r="G27" s="2">
        <f>IFERROR(ROUND(Data!B25/(SUMPRODUCT(('Form responses 1'!$B$2:$B1000 = A27) * ('Form responses 1'!$A$2:$A1000 &lt;= DATE(2024, 5, 31)))
+ SUMPRODUCT(('Form responses 1'!$C$2:$C1000 = A27) * ('Form responses 1'!$A$2:$A1000 &lt;= DATE(2024, 5, 31)))
+ SUMPRODUCT(('Form responses 1'!$D$2:$D1000 = A27) * ('Form responses 1'!$A$2:$A1000 &lt;= DATE(2024, 5, 31)))
+ SUMPRODUCT(('Form responses 1'!$E$2:$E1000 = A27) * ('Form responses 1'!$A$2:$A1000 &lt;= DATE(2024, 5, 31)))
+ SUMPRODUCT(('Form responses 1'!$F$2:$F1000 = A27) * ('Form responses 1'!$A$2:$A1000 &lt;= DATE(2024, 5, 31)))
+ SUMPRODUCT(('Form responses 1'!$G$2:$G1000 = A27) * ('Form responses 1'!$A$2:$A1000 &lt;= DATE(2024, 5, 31)))), 2), "-")
</f>
        <v>3.99</v>
      </c>
      <c r="H27" s="2">
        <f>IFERROR(ROUND(Data!B25/(SUMPRODUCT(('Form responses 1'!$B$2:$B1000 = A27) * ('Form responses 1'!$A$2:$A1000 &lt;= DATE(2024, 6, 30)))
+ SUMPRODUCT(('Form responses 1'!$C$2:$C1000 = A27) * ('Form responses 1'!$A$2:$A1000 &lt;= DATE(2024, 6, 30)))
+ SUMPRODUCT(('Form responses 1'!$D$2:$D1000 = A27) * ('Form responses 1'!$A$2:$A1000 &lt;= DATE(2024, 6, 30)))
+ SUMPRODUCT(('Form responses 1'!$E$2:$E1000 = A27) * ('Form responses 1'!$A$2:$A1000 &lt;= DATE(2024, 6, 30)))
+ SUMPRODUCT(('Form responses 1'!$F$2:$F1000 = A27) * ('Form responses 1'!$A$2:$A1000 &lt;= DATE(2024, 6, 30)))
+ SUMPRODUCT(('Form responses 1'!$G$2:$G1000 = A27) * ('Form responses 1'!$A$2:$A1000 &lt;= DATE(2024, 6, 30)))), 2), "-")
</f>
        <v>3.99</v>
      </c>
      <c r="I27" s="2">
        <f>IFERROR(ROUND(Data!B25/(SUMPRODUCT(('Form responses 1'!$B$2:$B1000 = A27) * ('Form responses 1'!$A$2:$A1000 &lt;= DATE(2024, 7, 31)))
+ SUMPRODUCT(('Form responses 1'!$C$2:$C1000 = A27) * ('Form responses 1'!$A$2:$A1000 &lt;= DATE(2024, 7, 31)))
+ SUMPRODUCT(('Form responses 1'!$D$2:$D1000 = A27) * ('Form responses 1'!$A$2:$A1000 &lt;= DATE(2024, 7, 31)))
+ SUMPRODUCT(('Form responses 1'!$E$2:$E1000 = A27) * ('Form responses 1'!$A$2:$A1000 &lt;= DATE(2024, 7, 31)))
+ SUMPRODUCT(('Form responses 1'!$F$2:$F1000 = A27) * ('Form responses 1'!$A$2:$A1000 &lt;= DATE(2024, 7, 31)))
+ SUMPRODUCT(('Form responses 1'!$G$2:$G1000 = A27) * ('Form responses 1'!$A$2:$A1000 &lt;= DATE(2024, 7, 31)))), 2), "-")
</f>
        <v>2.49</v>
      </c>
      <c r="J27" s="2">
        <f>IFERROR(ROUND(Data!B25/(SUMPRODUCT(('Form responses 1'!$B$2:$B1000 = A27) * ('Form responses 1'!$A$2:$A1000 &lt;= DATE(2024, 8, 31)))
+ SUMPRODUCT(('Form responses 1'!$C$2:$C1000 = A27) * ('Form responses 1'!$A$2:$A1000 &lt;= DATE(2024, 8, 31)))
+ SUMPRODUCT(('Form responses 1'!$D$2:$D1000 = A27) * ('Form responses 1'!$A$2:$A1000 &lt;= DATE(2024, 8, 31)))
+ SUMPRODUCT(('Form responses 1'!$E$2:$E1000 = A27) * ('Form responses 1'!$A$2:$A1000 &lt;= DATE(2024, 8, 31)))
+ SUMPRODUCT(('Form responses 1'!$F$2:$F1000 = A27) * ('Form responses 1'!$A$2:$A1000 &lt;= DATE(2024, 8, 31)))
+ SUMPRODUCT(('Form responses 1'!$G$2:$G1000 = A27) * ('Form responses 1'!$A$2:$A1000 &lt;= DATE(2024, 8, 31)))), 2), "-")
</f>
        <v>1.53</v>
      </c>
      <c r="K27" s="2">
        <f>IFERROR(ROUND(Data!B25/(SUMPRODUCT(('Form responses 1'!$B$2:$B1000 = A27) * ('Form responses 1'!$A$2:$A1000 &lt;= DATE(2024, 9, 30)))
+ SUMPRODUCT(('Form responses 1'!$C$2:$C1000 = A27) * ('Form responses 1'!$A$2:$A1000 &lt;= DATE(2024, 9, 30)))
+ SUMPRODUCT(('Form responses 1'!$D$2:$D1000 = A27) * ('Form responses 1'!$A$2:$A1000 &lt;= DATE(2024, 9, 30)))
+ SUMPRODUCT(('Form responses 1'!$E$2:$E1000 = A27) * ('Form responses 1'!$A$2:$A1000 &lt;= DATE(2024, 9, 30)))
+ SUMPRODUCT(('Form responses 1'!$F$2:$F1000 = A27) * ('Form responses 1'!$A$2:$A1000 &lt;= DATE(2024, 9, 30)))
+ SUMPRODUCT(('Form responses 1'!$G$2:$G1000 = A27) * ('Form responses 1'!$A$2:$A1000 &lt;= DATE(2024, 9, 30)))), 2), "-")
</f>
        <v>1.53</v>
      </c>
      <c r="L27" s="2">
        <f>IFERROR(ROUND(Data!B25/(SUMPRODUCT(('Form responses 1'!$B$2:$B1000 = A27) * ('Form responses 1'!$A$2:$A1000 &lt;= DATE(2024, 10, 31)))
+ SUMPRODUCT(('Form responses 1'!$C$2:$C1000 = A27) * ('Form responses 1'!$A$2:$A1000 &lt;= DATE(2024, 10, 31)))
+ SUMPRODUCT(('Form responses 1'!$D$2:$D1000 = A27) * ('Form responses 1'!$A$2:$A1000 &lt;= DATE(2024, 10, 31)))
+ SUMPRODUCT(('Form responses 1'!$E$2:$E1000 = A27) * ('Form responses 1'!$A$2:$A1000 &lt;= DATE(2024, 10, 31)))
+ SUMPRODUCT(('Form responses 1'!$F$2:$F1000 = A27) * ('Form responses 1'!$A$2:$A1000 &lt;= DATE(2024, 10, 31)))
+ SUMPRODUCT(('Form responses 1'!$G$2:$G1000 = A27) * ('Form responses 1'!$A$2:$A1000 &lt;= DATE(2024, 10, 31)))), 2), "-")
</f>
        <v>1.43</v>
      </c>
      <c r="M27" s="2">
        <f>IFERROR(ROUND(Data!B25/(SUMPRODUCT(('Form responses 1'!$B$2:$B1000 = A27) * ('Form responses 1'!$A$2:$A1000 &lt;= DATE(2024, 11, 30)))
+ SUMPRODUCT(('Form responses 1'!$C$2:$C1000 = A27) * ('Form responses 1'!$A$2:$A1000 &lt;= DATE(2024, 11, 30)))
+ SUMPRODUCT(('Form responses 1'!$D$2:$D1000 = A27) * ('Form responses 1'!$A$2:$A1000 &lt;= DATE(2024, 11, 30)))
+ SUMPRODUCT(('Form responses 1'!$E$2:$E1000 = A27) * ('Form responses 1'!$A$2:$A1000 &lt;= DATE(2024, 11, 30)))
+ SUMPRODUCT(('Form responses 1'!$F$2:$F1000 = A27) * ('Form responses 1'!$A$2:$A1000 &lt;= DATE(2024, 11, 30)))
+ SUMPRODUCT(('Form responses 1'!$G$2:$G1000 = A27) * ('Form responses 1'!$A$2:$A1000 &lt;= DATE(2024, 11, 30)))), 2), "-")
</f>
        <v>1.43</v>
      </c>
      <c r="N27" s="2">
        <f>IFERROR(ROUND(Data!B25/(SUMPRODUCT(('Form responses 1'!$B$2:$B1000 = A27) * ('Form responses 1'!$A$2:$A1000 &lt;= DATE(2024, 12, 31)))
+ SUMPRODUCT(('Form responses 1'!$C$2:$C1000 = A27) * ('Form responses 1'!$A$2:$A1000 &lt;= DATE(2024, 12, 31)))
+ SUMPRODUCT(('Form responses 1'!$D$2:$D1000 = A27) * ('Form responses 1'!$A$2:$A1000 &lt;= DATE(2024, 12, 31)))
+ SUMPRODUCT(('Form responses 1'!$E$2:$E1000 = A27) * ('Form responses 1'!$A$2:$A1000 &lt;= DATE(2024, 12, 31)))
+ SUMPRODUCT(('Form responses 1'!$F$2:$F1000 = A27) * ('Form responses 1'!$A$2:$A1000 &lt;= DATE(2024, 12, 31)))
+ SUMPRODUCT(('Form responses 1'!$G$2:$G1000 = A27) * ('Form responses 1'!$A$2:$A1000 &lt;= DATE(2024, 12, 31)))), 2), "-")
</f>
        <v>1.43</v>
      </c>
      <c r="O27" s="2">
        <f>IFERROR(ROUND(Data!B25/(SUMPRODUCT(('Form responses 1'!$B$2:$B1000 = A27) * ('Form responses 1'!$A$2:$A1000 &lt;= DATE(2025, 1, 31)))
+ SUMPRODUCT(('Form responses 1'!$C$2:$C1000 = A27) * ('Form responses 1'!$A$2:$A1000 &lt;= DATE(2025, 1, 31)))
+ SUMPRODUCT(('Form responses 1'!$D$2:$D1000 = A27) * ('Form responses 1'!$A$2:$A1000 &lt;= DATE(2025, 1, 31)))
+ SUMPRODUCT(('Form responses 1'!$E$2:$E1000 = A27) * ('Form responses 1'!$A$2:$A1000 &lt;= DATE(2025, 1, 31)))
+ SUMPRODUCT(('Form responses 1'!$F$2:$F1000 = A27) * ('Form responses 1'!$A$2:$A1000 &lt;= DATE(2025, 1, 31)))
+ SUMPRODUCT(('Form responses 1'!$G$2:$G1000 = A27) * ('Form responses 1'!$A$2:$A1000 &lt;= DATE(2025, 1, 31)))), 2), "-")
</f>
        <v>1.43</v>
      </c>
      <c r="P27" s="2">
        <f>IFERROR(ROUND(Data!B25/(SUMPRODUCT(('Form responses 1'!$B$2:$B1000 = A27) * ('Form responses 1'!$A$2:$A1000 &lt;= DATE(2025, 2, 28)))
+ SUMPRODUCT(('Form responses 1'!$C$2:$C1000 = A27) * ('Form responses 1'!$A$2:$A1000 &lt;= DATE(2025, 2, 28)))
+ SUMPRODUCT(('Form responses 1'!$D$2:$D1000 = A27) * ('Form responses 1'!$A$2:$A1000 &lt;= DATE(2025, 2, 28)))
+ SUMPRODUCT(('Form responses 1'!$E$2:$E1000 = A27) * ('Form responses 1'!$A$2:$A1000 &lt;= DATE(2025, 2, 28)))
+ SUMPRODUCT(('Form responses 1'!$F$2:$F1000 = A27) * ('Form responses 1'!$A$2:$A1000 &lt;= DATE(2025, 2, 28)))
+ SUMPRODUCT(('Form responses 1'!$G$2:$G1000 = A27) * ('Form responses 1'!$A$2:$A1000 &lt;= DATE(2025, 2, 28)))), 2), "-")
</f>
        <v>1.43</v>
      </c>
      <c r="Q27" s="2">
        <f>IFERROR(ROUND(Data!B25/(SUMPRODUCT(('Form responses 1'!$B$2:$B1000 = A27) * ('Form responses 1'!$A$2:$A1000 &lt;= DATE(2025, 3, 31)))
+ SUMPRODUCT(('Form responses 1'!$C$2:$C1000 = A27) * ('Form responses 1'!$A$2:$A1000 &lt;= DATE(2025, 3, 31)))
+ SUMPRODUCT(('Form responses 1'!$D$2:$D1000 = A27) * ('Form responses 1'!$A$2:$A1000 &lt;= DATE(2025, 3, 31)))
+ SUMPRODUCT(('Form responses 1'!$E$2:$E1000 = A27) * ('Form responses 1'!$A$2:$A1000 &lt;= DATE(2025, 3, 31)))
+ SUMPRODUCT(('Form responses 1'!$F$2:$F1000 = A27) * ('Form responses 1'!$A$2:$A1000 &lt;= DATE(2025, 3, 31)))
+ SUMPRODUCT(('Form responses 1'!$G$2:$G1000 = A27) * ('Form responses 1'!$A$2:$A1000 &lt;= DATE(2025, 3, 31)))),2),"-")</f>
        <v>1.43</v>
      </c>
      <c r="R27" s="2">
        <f>IFERROR(ROUND(Data!B25/(SUMPRODUCT(('Form responses 1'!$B$2:$B1000 = A27) * ('Form responses 1'!$A$2:$A1000 &lt;= DATE(2025, 4, 30)))
+ SUMPRODUCT(('Form responses 1'!$C$2:$C1000 = A27) * ('Form responses 1'!$A$2:$A1000 &lt;= DATE(2025, 4, 30)))
+ SUMPRODUCT(('Form responses 1'!$D$2:$D1000 = A27) * ('Form responses 1'!$A$2:$A1000 &lt;= DATE(2025, 4, 30)))
+ SUMPRODUCT(('Form responses 1'!$E$2:$E1000 = A27) * ('Form responses 1'!$A$2:$A1000 &lt;= DATE(2025, 4, 30)))
+ SUMPRODUCT(('Form responses 1'!$F$2:$F1000 = A27) * ('Form responses 1'!$A$2:$A1000 &lt;= DATE(2025, 4, 30)))
+ SUMPRODUCT(('Form responses 1'!$G$2:$G1000 = A27) * ('Form responses 1'!$A$2:$A1000 &lt;= DATE(2025, 4, 30)))), 2), "-")
</f>
        <v>1.43</v>
      </c>
      <c r="S27" s="2">
        <f>IFERROR(ROUND(Data!B25/(SUMPRODUCT(('Form responses 1'!$B$2:$B1000 = A27) * ('Form responses 1'!$A$2:$A1000 &lt;= DATE(2025, 5, 31)))
+ SUMPRODUCT(('Form responses 1'!$C$2:$C1000 = A27) * ('Form responses 1'!$A$2:$A1000 &lt;= DATE(2025, 5, 31)))
+ SUMPRODUCT(('Form responses 1'!$D$2:$D1000 = A27) * ('Form responses 1'!$A$2:$A1000 &lt;= DATE(2025, 5, 31)))
+ SUMPRODUCT(('Form responses 1'!$E$2:$E1000 = A27) * ('Form responses 1'!$A$2:$A1000 &lt;= DATE(2025, 5, 31)))
+ SUMPRODUCT(('Form responses 1'!$F$2:$F1000 = A27) * ('Form responses 1'!$A$2:$A1000 &lt;= DATE(2025, 5, 31)))
+ SUMPRODUCT(('Form responses 1'!$G$2:$G1000 = A27) * ('Form responses 1'!$A$2:$A1000 &lt;= DATE(2025, 5, 31)))), 2), "-")
</f>
        <v>1.17</v>
      </c>
      <c r="T27" s="2">
        <f>IFERROR(ROUND(Data!B25/(SUMPRODUCT(('Form responses 1'!$B$2:$B1000 = A27) * ('Form responses 1'!$A$2:$A1000 &lt;= DATE(2025, 6, 30)))
+ SUMPRODUCT(('Form responses 1'!$C$2:$C1000 = A27) * ('Form responses 1'!$A$2:$A1000 &lt;= DATE(2025, 6, 30)))
+ SUMPRODUCT(('Form responses 1'!$D$2:$D1000 = A27) * ('Form responses 1'!$A$2:$A1000 &lt;= DATE(2025, 6, 30)))
+ SUMPRODUCT(('Form responses 1'!$E$2:$E1000 = A27) * ('Form responses 1'!$A$2:$A1000 &lt;= DATE(2025, 6, 30)))
+ SUMPRODUCT(('Form responses 1'!$F$2:$F1000 = A27) * ('Form responses 1'!$A$2:$A1000 &lt;= DATE(2025, 6, 30)))
+ SUMPRODUCT(('Form responses 1'!$G$2:$G1000 = A27) * ('Form responses 1'!$A$2:$A1000 &lt;= DATE(2025, 6, 30)))), 2), "-")
</f>
        <v>0.95</v>
      </c>
      <c r="U27" s="2">
        <f>IFERROR(ROUND(Data!B25/(SUMPRODUCT(('Form responses 1'!$B$2:$B1000 = A27) * ('Form responses 1'!$A$2:$A1000 &lt;= DATE(2025, 7, 31)))
+ SUMPRODUCT(('Form responses 1'!$C$2:$C1000 = A27) * ('Form responses 1'!$A$2:$A1000 &lt;= DATE(2025, 7, 31)))
+ SUMPRODUCT(('Form responses 1'!$D$2:$D1000 = A27) * ('Form responses 1'!$A$2:$A1000 &lt;= DATE(2025, 7, 31)))
+ SUMPRODUCT(('Form responses 1'!$E$2:$E1000 = A27) * ('Form responses 1'!$A$2:$A1000 &lt;= DATE(2025, 7, 31)))
+ SUMPRODUCT(('Form responses 1'!$F$2:$F1000 = A27) * ('Form responses 1'!$A$2:$A1000 &lt;= DATE(2025, 7, 31)))
+ SUMPRODUCT(('Form responses 1'!$G$2:$G1000 = A27) * ('Form responses 1'!$A$2:$A1000 &lt;= DATE(2025, 7, 31)))), 2), "-")
</f>
        <v>0.95</v>
      </c>
      <c r="V27" s="2">
        <f>IFERROR(ROUND(Data!B25/(SUMPRODUCT(('Form responses 1'!$B$2:$B1000 = A27) * ('Form responses 1'!$A$2:$A1000 &lt;= DATE(2025, 8, 31)))
+ SUMPRODUCT(('Form responses 1'!$C$2:$C1000 = A27) * ('Form responses 1'!$A$2:$A1000 &lt;= DATE(2025, 8, 31)))
+ SUMPRODUCT(('Form responses 1'!$D$2:$D1000 = A27) * ('Form responses 1'!$A$2:$A1000 &lt;= DATE(2025, 8, 31)))
+ SUMPRODUCT(('Form responses 1'!$E$2:$E1000 = A27) * ('Form responses 1'!$A$2:$A1000 &lt;= DATE(2025, 8, 31)))
+ SUMPRODUCT(('Form responses 1'!$F$2:$F1000 = A27) * ('Form responses 1'!$A$2:$A1000 &lt;= DATE(2025, 8, 31)))
+ SUMPRODUCT(('Form responses 1'!$G$2:$G1000 = A27) * ('Form responses 1'!$A$2:$A1000 &lt;= DATE(2025, 8, 31)))), 2), "-")
</f>
        <v>0.95</v>
      </c>
      <c r="W27" s="2">
        <f>IFERROR(ROUND(Data!B25/(SUMPRODUCT(('Form responses 1'!$B$2:$B1000 = A27) * ('Form responses 1'!$A$2:$A1000 &lt;= DATE(2025, 9, 30)))
+ SUMPRODUCT(('Form responses 1'!$C$2:$C1000 = A27) * ('Form responses 1'!$A$2:$A1000 &lt;= DATE(2025, 9, 30)))
+ SUMPRODUCT(('Form responses 1'!$D$2:$D1000 = A27) * ('Form responses 1'!$A$2:$A1000 &lt;= DATE(2025, 9, 30)))
+ SUMPRODUCT(('Form responses 1'!$E$2:$E1000 = A27) * ('Form responses 1'!$A$2:$A1000 &lt;= DATE(2025, 9, 30)))
+ SUMPRODUCT(('Form responses 1'!$F$2:$F1000 = A27) * ('Form responses 1'!$A$2:$A1000 &lt;= DATE(2025, 9, 30)))
+ SUMPRODUCT(('Form responses 1'!$G$2:$G1000 = A27) * ('Form responses 1'!$A$2:$A1000 &lt;= DATE(2025, 9, 30)))), 2), "-")
</f>
        <v>0.95</v>
      </c>
      <c r="X27" s="2">
        <f>IFERROR(ROUND(Data!B25/(SUMPRODUCT(('Form responses 1'!$B$2:$B1000 = A27) * ('Form responses 1'!$A$2:$A1000 &lt;= DATE(2025, 10, 31)))
+ SUMPRODUCT(('Form responses 1'!$C$2:$C1000 = A27) * ('Form responses 1'!$A$2:$A1000 &lt;= DATE(2025, 10, 31)))
+ SUMPRODUCT(('Form responses 1'!$D$2:$D1000 = A27) * ('Form responses 1'!$A$2:$A1000 &lt;= DATE(2025, 10, 31)))
+ SUMPRODUCT(('Form responses 1'!$E$2:$E1000 = A27) * ('Form responses 1'!$A$2:$A1000 &lt;= DATE(2025, 10, 31)))
+ SUMPRODUCT(('Form responses 1'!$F$2:$F1000 = A27) * ('Form responses 1'!$A$2:$A1000 &lt;= DATE(2025, 10, 31)))
+ SUMPRODUCT(('Form responses 1'!$G$2:$G1000 = A27) * ('Form responses 1'!$A$2:$A1000 &lt;= DATE(2025, 10, 31)))), 2), "-")
</f>
        <v>0.95</v>
      </c>
      <c r="Y27" s="2">
        <f>IFERROR(ROUND(Data!B25/(SUMPRODUCT(('Form responses 1'!$B$2:$B1000 = A27) * ('Form responses 1'!$A$2:$A1000 &lt;= DATE(2025, 11, 30)))
+ SUMPRODUCT(('Form responses 1'!$C$2:$C1000 = A27) * ('Form responses 1'!$A$2:$A1000 &lt;= DATE(2025, 11, 30)))
+ SUMPRODUCT(('Form responses 1'!$D$2:$D1000 = A27) * ('Form responses 1'!$A$2:$A1000 &lt;= DATE(2025, 11, 30)))
+ SUMPRODUCT(('Form responses 1'!$E$2:$E1000 = A27) * ('Form responses 1'!$A$2:$A1000 &lt;= DATE(2025, 11, 30)))
+ SUMPRODUCT(('Form responses 1'!$F$2:$F1000 = A27) * ('Form responses 1'!$A$2:$A1000 &lt;= DATE(2025, 11, 30)))
+ SUMPRODUCT(('Form responses 1'!$G$2:$G1000 = A27) * ('Form responses 1'!$A$2:$A1000 &lt;= DATE(2025, 11, 30)))), 2), "-")
</f>
        <v>0.95</v>
      </c>
      <c r="Z27" s="2">
        <f>IFERROR(ROUND(Data!B25/(SUMPRODUCT(('Form responses 1'!$B$2:$B1000 = A27) * ('Form responses 1'!$A$2:$A1000 &lt;= DATE(2025, 12, 31)))
+ SUMPRODUCT(('Form responses 1'!$C$2:$C1000 = A27) * ('Form responses 1'!$A$2:$A1000 &lt;= DATE(2025, 12, 31)))
+ SUMPRODUCT(('Form responses 1'!$D$2:$D1000 = A27) * ('Form responses 1'!$A$2:$A1000 &lt;= DATE(2025, 12, 31)))
+ SUMPRODUCT(('Form responses 1'!$E$2:$E1000 = A27) * ('Form responses 1'!$A$2:$A1000 &lt;= DATE(2025, 12, 31)))
+ SUMPRODUCT(('Form responses 1'!$F$2:$F1000 = A27) * ('Form responses 1'!$A$2:$A1000 &lt;= DATE(2025, 12, 31)))
+ SUMPRODUCT(('Form responses 1'!$G$2:$G1000 = A27) * ('Form responses 1'!$A$2:$A1000 &lt;= DATE(2025, 12, 31)))), 2), "-")
</f>
        <v>0.95</v>
      </c>
      <c r="AA27" s="2">
        <f>IFERROR(ROUND(Data!$B27/(
  SUMPRODUCT(('Form responses 1'!$B$2:$B1000=$A27)*('Form responses 1'!$A$2:$A1000&lt;=EOMONTH(DATEVALUE("1 "&amp;AA$1),0)))+
  SUMPRODUCT(('Form responses 1'!$C$2:$C1000=$A27)*('Form responses 1'!$A$2:$A1000&lt;=EOMONTH(DATEVALUE("1 "&amp;AA$1),0)))+
  SUMPRODUCT(('Form responses 1'!$D$2:$D1000=$A27)*('Form responses 1'!$A$2:$A1000&lt;=EOMONTH(DATEVALUE("1 "&amp;AA$1),0)))+
  SUMPRODUCT(('Form responses 1'!$E$2:$E1000=$A27)*('Form responses 1'!$A$2:$A1000&lt;=EOMONTH(DATEVALUE("1 "&amp;AA$1),0)))+
  SUMPRODUCT(('Form responses 1'!$F$2:$F1000=$A27)*('Form responses 1'!$A$2:$A1000&lt;=EOMONTH(DATEVALUE("1 "&amp;AA$1),0)))+
  SUMPRODUCT(('Form responses 1'!$G$2:$G1000=$A27)*('Form responses 1'!$A$2:$A1000&lt;=EOMONTH(DATEVALUE("1 "&amp;AA$1),0)))
),2),"-")</f>
        <v>0.56</v>
      </c>
      <c r="AB27" s="2">
        <f>IFERROR(ROUND(Data!$B27/(
  SUMPRODUCT(('Form responses 1'!$B$2:$B1000=$A27)*('Form responses 1'!$A$2:$A1000&lt;=EOMONTH(DATEVALUE("1 "&amp;AB$1),0)))+
  SUMPRODUCT(('Form responses 1'!$C$2:$C1000=$A27)*('Form responses 1'!$A$2:$A1000&lt;=EOMONTH(DATEVALUE("1 "&amp;AB$1),0)))+
  SUMPRODUCT(('Form responses 1'!$D$2:$D1000=$A27)*('Form responses 1'!$A$2:$A1000&lt;=EOMONTH(DATEVALUE("1 "&amp;AB$1),0)))+
  SUMPRODUCT(('Form responses 1'!$E$2:$E1000=$A27)*('Form responses 1'!$A$2:$A1000&lt;=EOMONTH(DATEVALUE("1 "&amp;AB$1),0)))+
  SUMPRODUCT(('Form responses 1'!$F$2:$F1000=$A27)*('Form responses 1'!$A$2:$A1000&lt;=EOMONTH(DATEVALUE("1 "&amp;AB$1),0)))+
  SUMPRODUCT(('Form responses 1'!$G$2:$G1000=$A27)*('Form responses 1'!$A$2:$A1000&lt;=EOMONTH(DATEVALUE("1 "&amp;AB$1),0)))
),2),"-")</f>
        <v>0.56</v>
      </c>
      <c r="AC27" s="2">
        <f>IFERROR(ROUND(Data!$B27/(
  SUMPRODUCT(('Form responses 1'!$B$2:$B1000=$A27)*('Form responses 1'!$A$2:$A1000&lt;=EOMONTH(DATEVALUE("1 "&amp;AC$1),0)))+
  SUMPRODUCT(('Form responses 1'!$C$2:$C1000=$A27)*('Form responses 1'!$A$2:$A1000&lt;=EOMONTH(DATEVALUE("1 "&amp;AC$1),0)))+
  SUMPRODUCT(('Form responses 1'!$D$2:$D1000=$A27)*('Form responses 1'!$A$2:$A1000&lt;=EOMONTH(DATEVALUE("1 "&amp;AC$1),0)))+
  SUMPRODUCT(('Form responses 1'!$E$2:$E1000=$A27)*('Form responses 1'!$A$2:$A1000&lt;=EOMONTH(DATEVALUE("1 "&amp;AC$1),0)))+
  SUMPRODUCT(('Form responses 1'!$F$2:$F1000=$A27)*('Form responses 1'!$A$2:$A1000&lt;=EOMONTH(DATEVALUE("1 "&amp;AC$1),0)))+
  SUMPRODUCT(('Form responses 1'!$G$2:$G1000=$A27)*('Form responses 1'!$A$2:$A1000&lt;=EOMONTH(DATEVALUE("1 "&amp;AC$1),0)))
),2),"-")</f>
        <v>0.56</v>
      </c>
      <c r="AD27" s="2" t="str">
        <f>IFERROR(ROUND(Data!$B27/(
  SUMPRODUCT(('Form responses 1'!$B$2:$B1000=$A27)*('Form responses 1'!$A$2:$A1000&lt;=EOMONTH(DATEVALUE("1 "&amp;AD$1),0)))+
  SUMPRODUCT(('Form responses 1'!$C$2:$C1000=$A27)*('Form responses 1'!$A$2:$A1000&lt;=EOMONTH(DATEVALUE("1 "&amp;AD$1),0)))+
  SUMPRODUCT(('Form responses 1'!$D$2:$D1000=$A27)*('Form responses 1'!$A$2:$A1000&lt;=EOMONTH(DATEVALUE("1 "&amp;AD$1),0)))+
  SUMPRODUCT(('Form responses 1'!$E$2:$E1000=$A27)*('Form responses 1'!$A$2:$A1000&lt;=EOMONTH(DATEVALUE("1 "&amp;AD$1),0)))+
  SUMPRODUCT(('Form responses 1'!$F$2:$F1000=$A27)*('Form responses 1'!$A$2:$A1000&lt;=EOMONTH(DATEVALUE("1 "&amp;AD$1),0)))+
  SUMPRODUCT(('Form responses 1'!$G$2:$G1000=$A27)*('Form responses 1'!$A$2:$A1000&lt;=EOMONTH(DATEVALUE("1 "&amp;AD$1),0)))
),2),"-")</f>
        <v>-</v>
      </c>
      <c r="AE27" s="2" t="str">
        <f>IFERROR(ROUND(Data!$B27/(
  SUMPRODUCT(('Form responses 1'!$B$2:$B1000=$A27)*('Form responses 1'!$A$2:$A1000&lt;=EOMONTH(DATEVALUE("1 "&amp;AE$1),0)))+
  SUMPRODUCT(('Form responses 1'!$C$2:$C1000=$A27)*('Form responses 1'!$A$2:$A1000&lt;=EOMONTH(DATEVALUE("1 "&amp;AE$1),0)))+
  SUMPRODUCT(('Form responses 1'!$D$2:$D1000=$A27)*('Form responses 1'!$A$2:$A1000&lt;=EOMONTH(DATEVALUE("1 "&amp;AE$1),0)))+
  SUMPRODUCT(('Form responses 1'!$E$2:$E1000=$A27)*('Form responses 1'!$A$2:$A1000&lt;=EOMONTH(DATEVALUE("1 "&amp;AE$1),0)))+
  SUMPRODUCT(('Form responses 1'!$F$2:$F1000=$A27)*('Form responses 1'!$A$2:$A1000&lt;=EOMONTH(DATEVALUE("1 "&amp;AE$1),0)))+
  SUMPRODUCT(('Form responses 1'!$G$2:$G1000=$A27)*('Form responses 1'!$A$2:$A1000&lt;=EOMONTH(DATEVALUE("1 "&amp;AE$1),0)))
),2),"-")</f>
        <v>-</v>
      </c>
      <c r="AF27" s="2" t="str">
        <f>IFERROR(ROUND(Data!$B27/(
  SUMPRODUCT(('Form responses 1'!$B$2:$B1000=$A27)*('Form responses 1'!$A$2:$A1000&lt;=EOMONTH(DATEVALUE("1 "&amp;AF$1),0)))+
  SUMPRODUCT(('Form responses 1'!$C$2:$C1000=$A27)*('Form responses 1'!$A$2:$A1000&lt;=EOMONTH(DATEVALUE("1 "&amp;AF$1),0)))+
  SUMPRODUCT(('Form responses 1'!$D$2:$D1000=$A27)*('Form responses 1'!$A$2:$A1000&lt;=EOMONTH(DATEVALUE("1 "&amp;AF$1),0)))+
  SUMPRODUCT(('Form responses 1'!$E$2:$E1000=$A27)*('Form responses 1'!$A$2:$A1000&lt;=EOMONTH(DATEVALUE("1 "&amp;AF$1),0)))+
  SUMPRODUCT(('Form responses 1'!$F$2:$F1000=$A27)*('Form responses 1'!$A$2:$A1000&lt;=EOMONTH(DATEVALUE("1 "&amp;AF$1),0)))+
  SUMPRODUCT(('Form responses 1'!$G$2:$G1000=$A27)*('Form responses 1'!$A$2:$A1000&lt;=EOMONTH(DATEVALUE("1 "&amp;AF$1),0)))
),2),"-")</f>
        <v>-</v>
      </c>
      <c r="AG27" s="2" t="str">
        <f>IFERROR(ROUND(Data!$B27/(
  SUMPRODUCT(('Form responses 1'!$B$2:$B1000=$A27)*('Form responses 1'!$A$2:$A1000&lt;=EOMONTH(DATEVALUE("1 "&amp;AG$1),0)))+
  SUMPRODUCT(('Form responses 1'!$C$2:$C1000=$A27)*('Form responses 1'!$A$2:$A1000&lt;=EOMONTH(DATEVALUE("1 "&amp;AG$1),0)))+
  SUMPRODUCT(('Form responses 1'!$D$2:$D1000=$A27)*('Form responses 1'!$A$2:$A1000&lt;=EOMONTH(DATEVALUE("1 "&amp;AG$1),0)))+
  SUMPRODUCT(('Form responses 1'!$E$2:$E1000=$A27)*('Form responses 1'!$A$2:$A1000&lt;=EOMONTH(DATEVALUE("1 "&amp;AG$1),0)))+
  SUMPRODUCT(('Form responses 1'!$F$2:$F1000=$A27)*('Form responses 1'!$A$2:$A1000&lt;=EOMONTH(DATEVALUE("1 "&amp;AG$1),0)))+
  SUMPRODUCT(('Form responses 1'!$G$2:$G1000=$A27)*('Form responses 1'!$A$2:$A1000&lt;=EOMONTH(DATEVALUE("1 "&amp;AG$1),0)))
),2),"-")</f>
        <v>-</v>
      </c>
      <c r="AH27" s="2" t="str">
        <f>IFERROR(ROUND(Data!$B27/(
  SUMPRODUCT(('Form responses 1'!$B$2:$B1000=$A27)*('Form responses 1'!$A$2:$A1000&lt;=EOMONTH(DATEVALUE("1 "&amp;AH$1),0)))+
  SUMPRODUCT(('Form responses 1'!$C$2:$C1000=$A27)*('Form responses 1'!$A$2:$A1000&lt;=EOMONTH(DATEVALUE("1 "&amp;AH$1),0)))+
  SUMPRODUCT(('Form responses 1'!$D$2:$D1000=$A27)*('Form responses 1'!$A$2:$A1000&lt;=EOMONTH(DATEVALUE("1 "&amp;AH$1),0)))+
  SUMPRODUCT(('Form responses 1'!$E$2:$E1000=$A27)*('Form responses 1'!$A$2:$A1000&lt;=EOMONTH(DATEVALUE("1 "&amp;AH$1),0)))+
  SUMPRODUCT(('Form responses 1'!$F$2:$F1000=$A27)*('Form responses 1'!$A$2:$A1000&lt;=EOMONTH(DATEVALUE("1 "&amp;AH$1),0)))+
  SUMPRODUCT(('Form responses 1'!$G$2:$G1000=$A27)*('Form responses 1'!$A$2:$A1000&lt;=EOMONTH(DATEVALUE("1 "&amp;AH$1),0)))
),2),"-")</f>
        <v>-</v>
      </c>
      <c r="AI27" s="2" t="str">
        <f>IFERROR(ROUND(Data!$B27/(
  SUMPRODUCT(('Form responses 1'!$B$2:$B1000=$A27)*('Form responses 1'!$A$2:$A1000&lt;=EOMONTH(DATEVALUE("1 "&amp;AI$1),0)))+
  SUMPRODUCT(('Form responses 1'!$C$2:$C1000=$A27)*('Form responses 1'!$A$2:$A1000&lt;=EOMONTH(DATEVALUE("1 "&amp;AI$1),0)))+
  SUMPRODUCT(('Form responses 1'!$D$2:$D1000=$A27)*('Form responses 1'!$A$2:$A1000&lt;=EOMONTH(DATEVALUE("1 "&amp;AI$1),0)))+
  SUMPRODUCT(('Form responses 1'!$E$2:$E1000=$A27)*('Form responses 1'!$A$2:$A1000&lt;=EOMONTH(DATEVALUE("1 "&amp;AI$1),0)))+
  SUMPRODUCT(('Form responses 1'!$F$2:$F1000=$A27)*('Form responses 1'!$A$2:$A1000&lt;=EOMONTH(DATEVALUE("1 "&amp;AI$1),0)))+
  SUMPRODUCT(('Form responses 1'!$G$2:$G1000=$A27)*('Form responses 1'!$A$2:$A1000&lt;=EOMONTH(DATEVALUE("1 "&amp;AI$1),0)))
),2),"-")</f>
        <v>-</v>
      </c>
      <c r="AJ27" s="2" t="str">
        <f>IFERROR(ROUND(Data!$B27/(
  SUMPRODUCT(('Form responses 1'!$B$2:$B1000=$A27)*('Form responses 1'!$A$2:$A1000&lt;=EOMONTH(DATEVALUE("1 "&amp;AJ$1),0)))+
  SUMPRODUCT(('Form responses 1'!$C$2:$C1000=$A27)*('Form responses 1'!$A$2:$A1000&lt;=EOMONTH(DATEVALUE("1 "&amp;AJ$1),0)))+
  SUMPRODUCT(('Form responses 1'!$D$2:$D1000=$A27)*('Form responses 1'!$A$2:$A1000&lt;=EOMONTH(DATEVALUE("1 "&amp;AJ$1),0)))+
  SUMPRODUCT(('Form responses 1'!$E$2:$E1000=$A27)*('Form responses 1'!$A$2:$A1000&lt;=EOMONTH(DATEVALUE("1 "&amp;AJ$1),0)))+
  SUMPRODUCT(('Form responses 1'!$F$2:$F1000=$A27)*('Form responses 1'!$A$2:$A1000&lt;=EOMONTH(DATEVALUE("1 "&amp;AJ$1),0)))+
  SUMPRODUCT(('Form responses 1'!$G$2:$G1000=$A27)*('Form responses 1'!$A$2:$A1000&lt;=EOMONTH(DATEVALUE("1 "&amp;AJ$1),0)))
),2),"-")</f>
        <v>-</v>
      </c>
      <c r="AK27" s="2" t="str">
        <f>IFERROR(ROUND(Data!$B27/(
  SUMPRODUCT(('Form responses 1'!$B$2:$B1000=$A27)*('Form responses 1'!$A$2:$A1000&lt;=EOMONTH(DATEVALUE("1 "&amp;AK$1),0)))+
  SUMPRODUCT(('Form responses 1'!$C$2:$C1000=$A27)*('Form responses 1'!$A$2:$A1000&lt;=EOMONTH(DATEVALUE("1 "&amp;AK$1),0)))+
  SUMPRODUCT(('Form responses 1'!$D$2:$D1000=$A27)*('Form responses 1'!$A$2:$A1000&lt;=EOMONTH(DATEVALUE("1 "&amp;AK$1),0)))+
  SUMPRODUCT(('Form responses 1'!$E$2:$E1000=$A27)*('Form responses 1'!$A$2:$A1000&lt;=EOMONTH(DATEVALUE("1 "&amp;AK$1),0)))+
  SUMPRODUCT(('Form responses 1'!$F$2:$F1000=$A27)*('Form responses 1'!$A$2:$A1000&lt;=EOMONTH(DATEVALUE("1 "&amp;AK$1),0)))+
  SUMPRODUCT(('Form responses 1'!$G$2:$G1000=$A27)*('Form responses 1'!$A$2:$A1000&lt;=EOMONTH(DATEVALUE("1 "&amp;AK$1),0)))
),2),"-")</f>
        <v>-</v>
      </c>
      <c r="AL27" s="2" t="str">
        <f>IFERROR(ROUND(Data!$B27/(
  SUMPRODUCT(('Form responses 1'!$B$2:$B1000=$A27)*('Form responses 1'!$A$2:$A1000&lt;=EOMONTH(DATEVALUE("1 "&amp;AL$1),0)))+
  SUMPRODUCT(('Form responses 1'!$C$2:$C1000=$A27)*('Form responses 1'!$A$2:$A1000&lt;=EOMONTH(DATEVALUE("1 "&amp;AL$1),0)))+
  SUMPRODUCT(('Form responses 1'!$D$2:$D1000=$A27)*('Form responses 1'!$A$2:$A1000&lt;=EOMONTH(DATEVALUE("1 "&amp;AL$1),0)))+
  SUMPRODUCT(('Form responses 1'!$E$2:$E1000=$A27)*('Form responses 1'!$A$2:$A1000&lt;=EOMONTH(DATEVALUE("1 "&amp;AL$1),0)))+
  SUMPRODUCT(('Form responses 1'!$F$2:$F1000=$A27)*('Form responses 1'!$A$2:$A1000&lt;=EOMONTH(DATEVALUE("1 "&amp;AL$1),0)))+
  SUMPRODUCT(('Form responses 1'!$G$2:$G1000=$A27)*('Form responses 1'!$A$2:$A1000&lt;=EOMONTH(DATEVALUE("1 "&amp;AL$1),0)))
),2),"-")</f>
        <v>-</v>
      </c>
    </row>
    <row r="28">
      <c r="A28" s="3" t="str">
        <f>IFERROR(__xludf.DUMMYFUNCTION("""COMPUTED_VALUE"""),"Bruin t-shirt")</f>
        <v>Bruin t-shirt</v>
      </c>
      <c r="B28" s="2">
        <f>Data!F26:F1000</f>
        <v>0.34</v>
      </c>
      <c r="C28" s="2">
        <f>IFERROR(ROUND(Data!B26/(SUMPRODUCT(('Form responses 1'!$B$2:$B1000 = A28) * ('Form responses 1'!$A$2:$A1000 &lt;= DATE(2024, 1, 31)))
+ SUMPRODUCT(('Form responses 1'!$C$2:$C1000 = A28) * ('Form responses 1'!$A$2:$A1000 &lt;= DATE(2024, 1, 31)))
+ SUMPRODUCT(('Form responses 1'!$D$2:$D1000 = A28) * ('Form responses 1'!$A$2:$A1000 &lt;= DATE(2024, 1, 31)))
+ SUMPRODUCT(('Form responses 1'!$E$2:$E1000 = A28) * ('Form responses 1'!$A$2:$A1000 &lt;= DATE(2024, 1, 31)))
+ SUMPRODUCT(('Form responses 1'!$F$2:$F1000 = A28) * ('Form responses 1'!$A$2:$A1000 &lt;= DATE(2024, 1, 31)))
+ SUMPRODUCT(('Form responses 1'!$G$2:$G1000 = A28) * ('Form responses 1'!$A$2:$A1000 &lt;= DATE(2024, 1, 31)))), 2), "-")
</f>
        <v>0.56</v>
      </c>
      <c r="D28" s="2">
        <f>IFERROR(ROUND(Data!B26/(SUMPRODUCT(('Form responses 1'!$B$2:$B1000 = A28) * ('Form responses 1'!$A$2:$A1000 &lt;= DATE(2024, 2, 29)))
+ SUMPRODUCT(('Form responses 1'!$C$2:$C1000 = A28) * ('Form responses 1'!$A$2:$A1000 &lt;= DATE(2024, 2, 29)))
+ SUMPRODUCT(('Form responses 1'!$D$2:$D1000 = A28) * ('Form responses 1'!$A$2:$A1000 &lt;= DATE(2024, 2, 29)))
+ SUMPRODUCT(('Form responses 1'!$E$2:$E1000 = A28) * ('Form responses 1'!$A$2:$A1000 &lt;= DATE(2024, 2, 29)))
+ SUMPRODUCT(('Form responses 1'!$F$2:$F1000 = A28) * ('Form responses 1'!$A$2:$A1000 &lt;= DATE(2024, 2, 29)))
+ SUMPRODUCT(('Form responses 1'!$G$2:$G1000 = A28) * ('Form responses 1'!$A$2:$A1000 &lt;= DATE(2024, 2, 29)))), 2), "-")
</f>
        <v>0.56</v>
      </c>
      <c r="E28" s="2">
        <f>IFERROR(ROUND(Data!B26/(SUMPRODUCT(('Form responses 1'!$B$2:$B1000 = A28) * ('Form responses 1'!$A$2:$A1000 &lt;= DATE(2024, 3, 31)))
+ SUMPRODUCT(('Form responses 1'!$C$2:$C1000 = A28) * ('Form responses 1'!$A$2:$A1000 &lt;= DATE(2024, 3, 31)))
+ SUMPRODUCT(('Form responses 1'!$D$2:$D1000 = A28) * ('Form responses 1'!$A$2:$A1000 &lt;= DATE(2024, 3, 31)))
+ SUMPRODUCT(('Form responses 1'!$E$2:$E1000 = A28) * ('Form responses 1'!$A$2:$A1000 &lt;= DATE(2024, 3, 31)))
+ SUMPRODUCT(('Form responses 1'!$F$2:$F1000 = A28) * ('Form responses 1'!$A$2:$A1000 &lt;= DATE(2024, 3, 31)))
+ SUMPRODUCT(('Form responses 1'!$G$2:$G1000 = A28) * ('Form responses 1'!$A$2:$A1000 &lt;= DATE(2024, 3, 31)))), 2), "-")
</f>
        <v>0.53</v>
      </c>
      <c r="F28" s="2">
        <f>IFERROR(ROUND(Data!B26/(SUMPRODUCT(('Form responses 1'!$B$2:$B1000 = A28) * ('Form responses 1'!$A$2:$A1000 &lt;= DATE(2024, 4, 30)))
+ SUMPRODUCT(('Form responses 1'!$C$2:$C1000 = A28) * ('Form responses 1'!$A$2:$A1000 &lt;= DATE(2024, 4, 30)))
+ SUMPRODUCT(('Form responses 1'!$D$2:$D1000 = A28) * ('Form responses 1'!$A$2:$A1000 &lt;= DATE(2024, 4, 30)))
+ SUMPRODUCT(('Form responses 1'!$E$2:$E1000 = A28) * ('Form responses 1'!$A$2:$A1000 &lt;= DATE(2024, 4, 30)))
+ SUMPRODUCT(('Form responses 1'!$F$2:$F1000 = A28) * ('Form responses 1'!$A$2:$A1000 &lt;= DATE(2024, 4, 30)))
+ SUMPRODUCT(('Form responses 1'!$G$2:$G1000 = A28) * ('Form responses 1'!$A$2:$A1000 &lt;= DATE(2024, 4, 30)))), 2), "-")
</f>
        <v>0.53</v>
      </c>
      <c r="G28" s="2">
        <f>IFERROR(ROUND(Data!B26/(SUMPRODUCT(('Form responses 1'!$B$2:$B1000 = A28) * ('Form responses 1'!$A$2:$A1000 &lt;= DATE(2024, 5, 31)))
+ SUMPRODUCT(('Form responses 1'!$C$2:$C1000 = A28) * ('Form responses 1'!$A$2:$A1000 &lt;= DATE(2024, 5, 31)))
+ SUMPRODUCT(('Form responses 1'!$D$2:$D1000 = A28) * ('Form responses 1'!$A$2:$A1000 &lt;= DATE(2024, 5, 31)))
+ SUMPRODUCT(('Form responses 1'!$E$2:$E1000 = A28) * ('Form responses 1'!$A$2:$A1000 &lt;= DATE(2024, 5, 31)))
+ SUMPRODUCT(('Form responses 1'!$F$2:$F1000 = A28) * ('Form responses 1'!$A$2:$A1000 &lt;= DATE(2024, 5, 31)))
+ SUMPRODUCT(('Form responses 1'!$G$2:$G1000 = A28) * ('Form responses 1'!$A$2:$A1000 &lt;= DATE(2024, 5, 31)))), 2), "-")
</f>
        <v>0.53</v>
      </c>
      <c r="H28" s="2">
        <f>IFERROR(ROUND(Data!B26/(SUMPRODUCT(('Form responses 1'!$B$2:$B1000 = A28) * ('Form responses 1'!$A$2:$A1000 &lt;= DATE(2024, 6, 30)))
+ SUMPRODUCT(('Form responses 1'!$C$2:$C1000 = A28) * ('Form responses 1'!$A$2:$A1000 &lt;= DATE(2024, 6, 30)))
+ SUMPRODUCT(('Form responses 1'!$D$2:$D1000 = A28) * ('Form responses 1'!$A$2:$A1000 &lt;= DATE(2024, 6, 30)))
+ SUMPRODUCT(('Form responses 1'!$E$2:$E1000 = A28) * ('Form responses 1'!$A$2:$A1000 &lt;= DATE(2024, 6, 30)))
+ SUMPRODUCT(('Form responses 1'!$F$2:$F1000 = A28) * ('Form responses 1'!$A$2:$A1000 &lt;= DATE(2024, 6, 30)))
+ SUMPRODUCT(('Form responses 1'!$G$2:$G1000 = A28) * ('Form responses 1'!$A$2:$A1000 &lt;= DATE(2024, 6, 30)))), 2), "-")
</f>
        <v>0.53</v>
      </c>
      <c r="I28" s="2">
        <f>IFERROR(ROUND(Data!B26/(SUMPRODUCT(('Form responses 1'!$B$2:$B1000 = A28) * ('Form responses 1'!$A$2:$A1000 &lt;= DATE(2024, 7, 31)))
+ SUMPRODUCT(('Form responses 1'!$C$2:$C1000 = A28) * ('Form responses 1'!$A$2:$A1000 &lt;= DATE(2024, 7, 31)))
+ SUMPRODUCT(('Form responses 1'!$D$2:$D1000 = A28) * ('Form responses 1'!$A$2:$A1000 &lt;= DATE(2024, 7, 31)))
+ SUMPRODUCT(('Form responses 1'!$E$2:$E1000 = A28) * ('Form responses 1'!$A$2:$A1000 &lt;= DATE(2024, 7, 31)))
+ SUMPRODUCT(('Form responses 1'!$F$2:$F1000 = A28) * ('Form responses 1'!$A$2:$A1000 &lt;= DATE(2024, 7, 31)))
+ SUMPRODUCT(('Form responses 1'!$G$2:$G1000 = A28) * ('Form responses 1'!$A$2:$A1000 &lt;= DATE(2024, 7, 31)))), 2), "-")
</f>
        <v>0.53</v>
      </c>
      <c r="J28" s="2">
        <f>IFERROR(ROUND(Data!B26/(SUMPRODUCT(('Form responses 1'!$B$2:$B1000 = A28) * ('Form responses 1'!$A$2:$A1000 &lt;= DATE(2024, 8, 31)))
+ SUMPRODUCT(('Form responses 1'!$C$2:$C1000 = A28) * ('Form responses 1'!$A$2:$A1000 &lt;= DATE(2024, 8, 31)))
+ SUMPRODUCT(('Form responses 1'!$D$2:$D1000 = A28) * ('Form responses 1'!$A$2:$A1000 &lt;= DATE(2024, 8, 31)))
+ SUMPRODUCT(('Form responses 1'!$E$2:$E1000 = A28) * ('Form responses 1'!$A$2:$A1000 &lt;= DATE(2024, 8, 31)))
+ SUMPRODUCT(('Form responses 1'!$F$2:$F1000 = A28) * ('Form responses 1'!$A$2:$A1000 &lt;= DATE(2024, 8, 31)))
+ SUMPRODUCT(('Form responses 1'!$G$2:$G1000 = A28) * ('Form responses 1'!$A$2:$A1000 &lt;= DATE(2024, 8, 31)))), 2), "-")
</f>
        <v>0.51</v>
      </c>
      <c r="K28" s="2">
        <f>IFERROR(ROUND(Data!B26/(SUMPRODUCT(('Form responses 1'!$B$2:$B1000 = A28) * ('Form responses 1'!$A$2:$A1000 &lt;= DATE(2024, 9, 30)))
+ SUMPRODUCT(('Form responses 1'!$C$2:$C1000 = A28) * ('Form responses 1'!$A$2:$A1000 &lt;= DATE(2024, 9, 30)))
+ SUMPRODUCT(('Form responses 1'!$D$2:$D1000 = A28) * ('Form responses 1'!$A$2:$A1000 &lt;= DATE(2024, 9, 30)))
+ SUMPRODUCT(('Form responses 1'!$E$2:$E1000 = A28) * ('Form responses 1'!$A$2:$A1000 &lt;= DATE(2024, 9, 30)))
+ SUMPRODUCT(('Form responses 1'!$F$2:$F1000 = A28) * ('Form responses 1'!$A$2:$A1000 &lt;= DATE(2024, 9, 30)))
+ SUMPRODUCT(('Form responses 1'!$G$2:$G1000 = A28) * ('Form responses 1'!$A$2:$A1000 &lt;= DATE(2024, 9, 30)))), 2), "-")
</f>
        <v>0.51</v>
      </c>
      <c r="L28" s="2">
        <f>IFERROR(ROUND(Data!B26/(SUMPRODUCT(('Form responses 1'!$B$2:$B1000 = A28) * ('Form responses 1'!$A$2:$A1000 &lt;= DATE(2024, 10, 31)))
+ SUMPRODUCT(('Form responses 1'!$C$2:$C1000 = A28) * ('Form responses 1'!$A$2:$A1000 &lt;= DATE(2024, 10, 31)))
+ SUMPRODUCT(('Form responses 1'!$D$2:$D1000 = A28) * ('Form responses 1'!$A$2:$A1000 &lt;= DATE(2024, 10, 31)))
+ SUMPRODUCT(('Form responses 1'!$E$2:$E1000 = A28) * ('Form responses 1'!$A$2:$A1000 &lt;= DATE(2024, 10, 31)))
+ SUMPRODUCT(('Form responses 1'!$F$2:$F1000 = A28) * ('Form responses 1'!$A$2:$A1000 &lt;= DATE(2024, 10, 31)))
+ SUMPRODUCT(('Form responses 1'!$G$2:$G1000 = A28) * ('Form responses 1'!$A$2:$A1000 &lt;= DATE(2024, 10, 31)))), 2), "-")
</f>
        <v>0.51</v>
      </c>
      <c r="M28" s="2">
        <f>IFERROR(ROUND(Data!B26/(SUMPRODUCT(('Form responses 1'!$B$2:$B1000 = A28) * ('Form responses 1'!$A$2:$A1000 &lt;= DATE(2024, 11, 30)))
+ SUMPRODUCT(('Form responses 1'!$C$2:$C1000 = A28) * ('Form responses 1'!$A$2:$A1000 &lt;= DATE(2024, 11, 30)))
+ SUMPRODUCT(('Form responses 1'!$D$2:$D1000 = A28) * ('Form responses 1'!$A$2:$A1000 &lt;= DATE(2024, 11, 30)))
+ SUMPRODUCT(('Form responses 1'!$E$2:$E1000 = A28) * ('Form responses 1'!$A$2:$A1000 &lt;= DATE(2024, 11, 30)))
+ SUMPRODUCT(('Form responses 1'!$F$2:$F1000 = A28) * ('Form responses 1'!$A$2:$A1000 &lt;= DATE(2024, 11, 30)))
+ SUMPRODUCT(('Form responses 1'!$G$2:$G1000 = A28) * ('Form responses 1'!$A$2:$A1000 &lt;= DATE(2024, 11, 30)))), 2), "-")
</f>
        <v>0.51</v>
      </c>
      <c r="N28" s="2">
        <f>IFERROR(ROUND(Data!B26/(SUMPRODUCT(('Form responses 1'!$B$2:$B1000 = A28) * ('Form responses 1'!$A$2:$A1000 &lt;= DATE(2024, 12, 31)))
+ SUMPRODUCT(('Form responses 1'!$C$2:$C1000 = A28) * ('Form responses 1'!$A$2:$A1000 &lt;= DATE(2024, 12, 31)))
+ SUMPRODUCT(('Form responses 1'!$D$2:$D1000 = A28) * ('Form responses 1'!$A$2:$A1000 &lt;= DATE(2024, 12, 31)))
+ SUMPRODUCT(('Form responses 1'!$E$2:$E1000 = A28) * ('Form responses 1'!$A$2:$A1000 &lt;= DATE(2024, 12, 31)))
+ SUMPRODUCT(('Form responses 1'!$F$2:$F1000 = A28) * ('Form responses 1'!$A$2:$A1000 &lt;= DATE(2024, 12, 31)))
+ SUMPRODUCT(('Form responses 1'!$G$2:$G1000 = A28) * ('Form responses 1'!$A$2:$A1000 &lt;= DATE(2024, 12, 31)))), 2), "-")
</f>
        <v>0.51</v>
      </c>
      <c r="O28" s="2">
        <f>IFERROR(ROUND(Data!B26/(SUMPRODUCT(('Form responses 1'!$B$2:$B1000 = A28) * ('Form responses 1'!$A$2:$A1000 &lt;= DATE(2025, 1, 31)))
+ SUMPRODUCT(('Form responses 1'!$C$2:$C1000 = A28) * ('Form responses 1'!$A$2:$A1000 &lt;= DATE(2025, 1, 31)))
+ SUMPRODUCT(('Form responses 1'!$D$2:$D1000 = A28) * ('Form responses 1'!$A$2:$A1000 &lt;= DATE(2025, 1, 31)))
+ SUMPRODUCT(('Form responses 1'!$E$2:$E1000 = A28) * ('Form responses 1'!$A$2:$A1000 &lt;= DATE(2025, 1, 31)))
+ SUMPRODUCT(('Form responses 1'!$F$2:$F1000 = A28) * ('Form responses 1'!$A$2:$A1000 &lt;= DATE(2025, 1, 31)))
+ SUMPRODUCT(('Form responses 1'!$G$2:$G1000 = A28) * ('Form responses 1'!$A$2:$A1000 &lt;= DATE(2025, 1, 31)))), 2), "-")
</f>
        <v>0.51</v>
      </c>
      <c r="P28" s="2">
        <f>IFERROR(ROUND(Data!B26/(SUMPRODUCT(('Form responses 1'!$B$2:$B1000 = A28) * ('Form responses 1'!$A$2:$A1000 &lt;= DATE(2025, 2, 28)))
+ SUMPRODUCT(('Form responses 1'!$C$2:$C1000 = A28) * ('Form responses 1'!$A$2:$A1000 &lt;= DATE(2025, 2, 28)))
+ SUMPRODUCT(('Form responses 1'!$D$2:$D1000 = A28) * ('Form responses 1'!$A$2:$A1000 &lt;= DATE(2025, 2, 28)))
+ SUMPRODUCT(('Form responses 1'!$E$2:$E1000 = A28) * ('Form responses 1'!$A$2:$A1000 &lt;= DATE(2025, 2, 28)))
+ SUMPRODUCT(('Form responses 1'!$F$2:$F1000 = A28) * ('Form responses 1'!$A$2:$A1000 &lt;= DATE(2025, 2, 28)))
+ SUMPRODUCT(('Form responses 1'!$G$2:$G1000 = A28) * ('Form responses 1'!$A$2:$A1000 &lt;= DATE(2025, 2, 28)))), 2), "-")
</f>
        <v>0.51</v>
      </c>
      <c r="Q28" s="2">
        <f>IFERROR(ROUND(Data!B26/(SUMPRODUCT(('Form responses 1'!$B$2:$B1000 = A28) * ('Form responses 1'!$A$2:$A1000 &lt;= DATE(2025, 3, 31)))
+ SUMPRODUCT(('Form responses 1'!$C$2:$C1000 = A28) * ('Form responses 1'!$A$2:$A1000 &lt;= DATE(2025, 3, 31)))
+ SUMPRODUCT(('Form responses 1'!$D$2:$D1000 = A28) * ('Form responses 1'!$A$2:$A1000 &lt;= DATE(2025, 3, 31)))
+ SUMPRODUCT(('Form responses 1'!$E$2:$E1000 = A28) * ('Form responses 1'!$A$2:$A1000 &lt;= DATE(2025, 3, 31)))
+ SUMPRODUCT(('Form responses 1'!$F$2:$F1000 = A28) * ('Form responses 1'!$A$2:$A1000 &lt;= DATE(2025, 3, 31)))
+ SUMPRODUCT(('Form responses 1'!$G$2:$G1000 = A28) * ('Form responses 1'!$A$2:$A1000 &lt;= DATE(2025, 3, 31)))),2),"-")</f>
        <v>0.51</v>
      </c>
      <c r="R28" s="2">
        <f>IFERROR(ROUND(Data!B26/(SUMPRODUCT(('Form responses 1'!$B$2:$B1000 = A28) * ('Form responses 1'!$A$2:$A1000 &lt;= DATE(2025, 4, 30)))
+ SUMPRODUCT(('Form responses 1'!$C$2:$C1000 = A28) * ('Form responses 1'!$A$2:$A1000 &lt;= DATE(2025, 4, 30)))
+ SUMPRODUCT(('Form responses 1'!$D$2:$D1000 = A28) * ('Form responses 1'!$A$2:$A1000 &lt;= DATE(2025, 4, 30)))
+ SUMPRODUCT(('Form responses 1'!$E$2:$E1000 = A28) * ('Form responses 1'!$A$2:$A1000 &lt;= DATE(2025, 4, 30)))
+ SUMPRODUCT(('Form responses 1'!$F$2:$F1000 = A28) * ('Form responses 1'!$A$2:$A1000 &lt;= DATE(2025, 4, 30)))
+ SUMPRODUCT(('Form responses 1'!$G$2:$G1000 = A28) * ('Form responses 1'!$A$2:$A1000 &lt;= DATE(2025, 4, 30)))), 2), "-")
</f>
        <v>0.51</v>
      </c>
      <c r="S28" s="2">
        <f>IFERROR(ROUND(Data!B26/(SUMPRODUCT(('Form responses 1'!$B$2:$B1000 = A28) * ('Form responses 1'!$A$2:$A1000 &lt;= DATE(2025, 5, 31)))
+ SUMPRODUCT(('Form responses 1'!$C$2:$C1000 = A28) * ('Form responses 1'!$A$2:$A1000 &lt;= DATE(2025, 5, 31)))
+ SUMPRODUCT(('Form responses 1'!$D$2:$D1000 = A28) * ('Form responses 1'!$A$2:$A1000 &lt;= DATE(2025, 5, 31)))
+ SUMPRODUCT(('Form responses 1'!$E$2:$E1000 = A28) * ('Form responses 1'!$A$2:$A1000 &lt;= DATE(2025, 5, 31)))
+ SUMPRODUCT(('Form responses 1'!$F$2:$F1000 = A28) * ('Form responses 1'!$A$2:$A1000 &lt;= DATE(2025, 5, 31)))
+ SUMPRODUCT(('Form responses 1'!$G$2:$G1000 = A28) * ('Form responses 1'!$A$2:$A1000 &lt;= DATE(2025, 5, 31)))), 2), "-")
</f>
        <v>0.51</v>
      </c>
      <c r="T28" s="2">
        <f>IFERROR(ROUND(Data!B26/(SUMPRODUCT(('Form responses 1'!$B$2:$B1000 = A28) * ('Form responses 1'!$A$2:$A1000 &lt;= DATE(2025, 6, 30)))
+ SUMPRODUCT(('Form responses 1'!$C$2:$C1000 = A28) * ('Form responses 1'!$A$2:$A1000 &lt;= DATE(2025, 6, 30)))
+ SUMPRODUCT(('Form responses 1'!$D$2:$D1000 = A28) * ('Form responses 1'!$A$2:$A1000 &lt;= DATE(2025, 6, 30)))
+ SUMPRODUCT(('Form responses 1'!$E$2:$E1000 = A28) * ('Form responses 1'!$A$2:$A1000 &lt;= DATE(2025, 6, 30)))
+ SUMPRODUCT(('Form responses 1'!$F$2:$F1000 = A28) * ('Form responses 1'!$A$2:$A1000 &lt;= DATE(2025, 6, 30)))
+ SUMPRODUCT(('Form responses 1'!$G$2:$G1000 = A28) * ('Form responses 1'!$A$2:$A1000 &lt;= DATE(2025, 6, 30)))), 2), "-")
</f>
        <v>0.51</v>
      </c>
      <c r="U28" s="2">
        <f>IFERROR(ROUND(Data!B26/(SUMPRODUCT(('Form responses 1'!$B$2:$B1000 = A28) * ('Form responses 1'!$A$2:$A1000 &lt;= DATE(2025, 7, 31)))
+ SUMPRODUCT(('Form responses 1'!$C$2:$C1000 = A28) * ('Form responses 1'!$A$2:$A1000 &lt;= DATE(2025, 7, 31)))
+ SUMPRODUCT(('Form responses 1'!$D$2:$D1000 = A28) * ('Form responses 1'!$A$2:$A1000 &lt;= DATE(2025, 7, 31)))
+ SUMPRODUCT(('Form responses 1'!$E$2:$E1000 = A28) * ('Form responses 1'!$A$2:$A1000 &lt;= DATE(2025, 7, 31)))
+ SUMPRODUCT(('Form responses 1'!$F$2:$F1000 = A28) * ('Form responses 1'!$A$2:$A1000 &lt;= DATE(2025, 7, 31)))
+ SUMPRODUCT(('Form responses 1'!$G$2:$G1000 = A28) * ('Form responses 1'!$A$2:$A1000 &lt;= DATE(2025, 7, 31)))), 2), "-")
</f>
        <v>0.51</v>
      </c>
      <c r="V28" s="2">
        <f>IFERROR(ROUND(Data!B26/(SUMPRODUCT(('Form responses 1'!$B$2:$B1000 = A28) * ('Form responses 1'!$A$2:$A1000 &lt;= DATE(2025, 8, 31)))
+ SUMPRODUCT(('Form responses 1'!$C$2:$C1000 = A28) * ('Form responses 1'!$A$2:$A1000 &lt;= DATE(2025, 8, 31)))
+ SUMPRODUCT(('Form responses 1'!$D$2:$D1000 = A28) * ('Form responses 1'!$A$2:$A1000 &lt;= DATE(2025, 8, 31)))
+ SUMPRODUCT(('Form responses 1'!$E$2:$E1000 = A28) * ('Form responses 1'!$A$2:$A1000 &lt;= DATE(2025, 8, 31)))
+ SUMPRODUCT(('Form responses 1'!$F$2:$F1000 = A28) * ('Form responses 1'!$A$2:$A1000 &lt;= DATE(2025, 8, 31)))
+ SUMPRODUCT(('Form responses 1'!$G$2:$G1000 = A28) * ('Form responses 1'!$A$2:$A1000 &lt;= DATE(2025, 8, 31)))), 2), "-")
</f>
        <v>0.51</v>
      </c>
      <c r="W28" s="2">
        <f>IFERROR(ROUND(Data!B26/(SUMPRODUCT(('Form responses 1'!$B$2:$B1000 = A28) * ('Form responses 1'!$A$2:$A1000 &lt;= DATE(2025, 9, 30)))
+ SUMPRODUCT(('Form responses 1'!$C$2:$C1000 = A28) * ('Form responses 1'!$A$2:$A1000 &lt;= DATE(2025, 9, 30)))
+ SUMPRODUCT(('Form responses 1'!$D$2:$D1000 = A28) * ('Form responses 1'!$A$2:$A1000 &lt;= DATE(2025, 9, 30)))
+ SUMPRODUCT(('Form responses 1'!$E$2:$E1000 = A28) * ('Form responses 1'!$A$2:$A1000 &lt;= DATE(2025, 9, 30)))
+ SUMPRODUCT(('Form responses 1'!$F$2:$F1000 = A28) * ('Form responses 1'!$A$2:$A1000 &lt;= DATE(2025, 9, 30)))
+ SUMPRODUCT(('Form responses 1'!$G$2:$G1000 = A28) * ('Form responses 1'!$A$2:$A1000 &lt;= DATE(2025, 9, 30)))), 2), "-")
</f>
        <v>0.51</v>
      </c>
      <c r="X28" s="2">
        <f>IFERROR(ROUND(Data!B26/(SUMPRODUCT(('Form responses 1'!$B$2:$B1000 = A28) * ('Form responses 1'!$A$2:$A1000 &lt;= DATE(2025, 10, 31)))
+ SUMPRODUCT(('Form responses 1'!$C$2:$C1000 = A28) * ('Form responses 1'!$A$2:$A1000 &lt;= DATE(2025, 10, 31)))
+ SUMPRODUCT(('Form responses 1'!$D$2:$D1000 = A28) * ('Form responses 1'!$A$2:$A1000 &lt;= DATE(2025, 10, 31)))
+ SUMPRODUCT(('Form responses 1'!$E$2:$E1000 = A28) * ('Form responses 1'!$A$2:$A1000 &lt;= DATE(2025, 10, 31)))
+ SUMPRODUCT(('Form responses 1'!$F$2:$F1000 = A28) * ('Form responses 1'!$A$2:$A1000 &lt;= DATE(2025, 10, 31)))
+ SUMPRODUCT(('Form responses 1'!$G$2:$G1000 = A28) * ('Form responses 1'!$A$2:$A1000 &lt;= DATE(2025, 10, 31)))), 2), "-")
</f>
        <v>0.51</v>
      </c>
      <c r="Y28" s="2">
        <f>IFERROR(ROUND(Data!B26/(SUMPRODUCT(('Form responses 1'!$B$2:$B1000 = A28) * ('Form responses 1'!$A$2:$A1000 &lt;= DATE(2025, 11, 30)))
+ SUMPRODUCT(('Form responses 1'!$C$2:$C1000 = A28) * ('Form responses 1'!$A$2:$A1000 &lt;= DATE(2025, 11, 30)))
+ SUMPRODUCT(('Form responses 1'!$D$2:$D1000 = A28) * ('Form responses 1'!$A$2:$A1000 &lt;= DATE(2025, 11, 30)))
+ SUMPRODUCT(('Form responses 1'!$E$2:$E1000 = A28) * ('Form responses 1'!$A$2:$A1000 &lt;= DATE(2025, 11, 30)))
+ SUMPRODUCT(('Form responses 1'!$F$2:$F1000 = A28) * ('Form responses 1'!$A$2:$A1000 &lt;= DATE(2025, 11, 30)))
+ SUMPRODUCT(('Form responses 1'!$G$2:$G1000 = A28) * ('Form responses 1'!$A$2:$A1000 &lt;= DATE(2025, 11, 30)))), 2), "-")
</f>
        <v>0.51</v>
      </c>
      <c r="Z28" s="2">
        <f>IFERROR(ROUND(Data!B26/(SUMPRODUCT(('Form responses 1'!$B$2:$B1000 = A28) * ('Form responses 1'!$A$2:$A1000 &lt;= DATE(2025, 12, 31)))
+ SUMPRODUCT(('Form responses 1'!$C$2:$C1000 = A28) * ('Form responses 1'!$A$2:$A1000 &lt;= DATE(2025, 12, 31)))
+ SUMPRODUCT(('Form responses 1'!$D$2:$D1000 = A28) * ('Form responses 1'!$A$2:$A1000 &lt;= DATE(2025, 12, 31)))
+ SUMPRODUCT(('Form responses 1'!$E$2:$E1000 = A28) * ('Form responses 1'!$A$2:$A1000 &lt;= DATE(2025, 12, 31)))
+ SUMPRODUCT(('Form responses 1'!$F$2:$F1000 = A28) * ('Form responses 1'!$A$2:$A1000 &lt;= DATE(2025, 12, 31)))
+ SUMPRODUCT(('Form responses 1'!$G$2:$G1000 = A28) * ('Form responses 1'!$A$2:$A1000 &lt;= DATE(2025, 12, 31)))), 2), "-")
</f>
        <v>0.51</v>
      </c>
      <c r="AA28" s="2">
        <f>IFERROR(ROUND(Data!$B28/(
  SUMPRODUCT(('Form responses 1'!$B$2:$B1000=$A28)*('Form responses 1'!$A$2:$A1000&lt;=EOMONTH(DATEVALUE("1 "&amp;AA$1),0)))+
  SUMPRODUCT(('Form responses 1'!$C$2:$C1000=$A28)*('Form responses 1'!$A$2:$A1000&lt;=EOMONTH(DATEVALUE("1 "&amp;AA$1),0)))+
  SUMPRODUCT(('Form responses 1'!$D$2:$D1000=$A28)*('Form responses 1'!$A$2:$A1000&lt;=EOMONTH(DATEVALUE("1 "&amp;AA$1),0)))+
  SUMPRODUCT(('Form responses 1'!$E$2:$E1000=$A28)*('Form responses 1'!$A$2:$A1000&lt;=EOMONTH(DATEVALUE("1 "&amp;AA$1),0)))+
  SUMPRODUCT(('Form responses 1'!$F$2:$F1000=$A28)*('Form responses 1'!$A$2:$A1000&lt;=EOMONTH(DATEVALUE("1 "&amp;AA$1),0)))+
  SUMPRODUCT(('Form responses 1'!$G$2:$G1000=$A28)*('Form responses 1'!$A$2:$A1000&lt;=EOMONTH(DATEVALUE("1 "&amp;AA$1),0)))
),2),"-")</f>
        <v>0.34</v>
      </c>
      <c r="AB28" s="2">
        <f>IFERROR(ROUND(Data!$B28/(
  SUMPRODUCT(('Form responses 1'!$B$2:$B1000=$A28)*('Form responses 1'!$A$2:$A1000&lt;=EOMONTH(DATEVALUE("1 "&amp;AB$1),0)))+
  SUMPRODUCT(('Form responses 1'!$C$2:$C1000=$A28)*('Form responses 1'!$A$2:$A1000&lt;=EOMONTH(DATEVALUE("1 "&amp;AB$1),0)))+
  SUMPRODUCT(('Form responses 1'!$D$2:$D1000=$A28)*('Form responses 1'!$A$2:$A1000&lt;=EOMONTH(DATEVALUE("1 "&amp;AB$1),0)))+
  SUMPRODUCT(('Form responses 1'!$E$2:$E1000=$A28)*('Form responses 1'!$A$2:$A1000&lt;=EOMONTH(DATEVALUE("1 "&amp;AB$1),0)))+
  SUMPRODUCT(('Form responses 1'!$F$2:$F1000=$A28)*('Form responses 1'!$A$2:$A1000&lt;=EOMONTH(DATEVALUE("1 "&amp;AB$1),0)))+
  SUMPRODUCT(('Form responses 1'!$G$2:$G1000=$A28)*('Form responses 1'!$A$2:$A1000&lt;=EOMONTH(DATEVALUE("1 "&amp;AB$1),0)))
),2),"-")</f>
        <v>0.34</v>
      </c>
      <c r="AC28" s="2">
        <f>IFERROR(ROUND(Data!$B28/(
  SUMPRODUCT(('Form responses 1'!$B$2:$B1000=$A28)*('Form responses 1'!$A$2:$A1000&lt;=EOMONTH(DATEVALUE("1 "&amp;AC$1),0)))+
  SUMPRODUCT(('Form responses 1'!$C$2:$C1000=$A28)*('Form responses 1'!$A$2:$A1000&lt;=EOMONTH(DATEVALUE("1 "&amp;AC$1),0)))+
  SUMPRODUCT(('Form responses 1'!$D$2:$D1000=$A28)*('Form responses 1'!$A$2:$A1000&lt;=EOMONTH(DATEVALUE("1 "&amp;AC$1),0)))+
  SUMPRODUCT(('Form responses 1'!$E$2:$E1000=$A28)*('Form responses 1'!$A$2:$A1000&lt;=EOMONTH(DATEVALUE("1 "&amp;AC$1),0)))+
  SUMPRODUCT(('Form responses 1'!$F$2:$F1000=$A28)*('Form responses 1'!$A$2:$A1000&lt;=EOMONTH(DATEVALUE("1 "&amp;AC$1),0)))+
  SUMPRODUCT(('Form responses 1'!$G$2:$G1000=$A28)*('Form responses 1'!$A$2:$A1000&lt;=EOMONTH(DATEVALUE("1 "&amp;AC$1),0)))
),2),"-")</f>
        <v>0.34</v>
      </c>
      <c r="AD28" s="2" t="str">
        <f>IFERROR(ROUND(Data!$B28/(
  SUMPRODUCT(('Form responses 1'!$B$2:$B1000=$A28)*('Form responses 1'!$A$2:$A1000&lt;=EOMONTH(DATEVALUE("1 "&amp;AD$1),0)))+
  SUMPRODUCT(('Form responses 1'!$C$2:$C1000=$A28)*('Form responses 1'!$A$2:$A1000&lt;=EOMONTH(DATEVALUE("1 "&amp;AD$1),0)))+
  SUMPRODUCT(('Form responses 1'!$D$2:$D1000=$A28)*('Form responses 1'!$A$2:$A1000&lt;=EOMONTH(DATEVALUE("1 "&amp;AD$1),0)))+
  SUMPRODUCT(('Form responses 1'!$E$2:$E1000=$A28)*('Form responses 1'!$A$2:$A1000&lt;=EOMONTH(DATEVALUE("1 "&amp;AD$1),0)))+
  SUMPRODUCT(('Form responses 1'!$F$2:$F1000=$A28)*('Form responses 1'!$A$2:$A1000&lt;=EOMONTH(DATEVALUE("1 "&amp;AD$1),0)))+
  SUMPRODUCT(('Form responses 1'!$G$2:$G1000=$A28)*('Form responses 1'!$A$2:$A1000&lt;=EOMONTH(DATEVALUE("1 "&amp;AD$1),0)))
),2),"-")</f>
        <v>-</v>
      </c>
      <c r="AE28" s="2" t="str">
        <f>IFERROR(ROUND(Data!$B28/(
  SUMPRODUCT(('Form responses 1'!$B$2:$B1000=$A28)*('Form responses 1'!$A$2:$A1000&lt;=EOMONTH(DATEVALUE("1 "&amp;AE$1),0)))+
  SUMPRODUCT(('Form responses 1'!$C$2:$C1000=$A28)*('Form responses 1'!$A$2:$A1000&lt;=EOMONTH(DATEVALUE("1 "&amp;AE$1),0)))+
  SUMPRODUCT(('Form responses 1'!$D$2:$D1000=$A28)*('Form responses 1'!$A$2:$A1000&lt;=EOMONTH(DATEVALUE("1 "&amp;AE$1),0)))+
  SUMPRODUCT(('Form responses 1'!$E$2:$E1000=$A28)*('Form responses 1'!$A$2:$A1000&lt;=EOMONTH(DATEVALUE("1 "&amp;AE$1),0)))+
  SUMPRODUCT(('Form responses 1'!$F$2:$F1000=$A28)*('Form responses 1'!$A$2:$A1000&lt;=EOMONTH(DATEVALUE("1 "&amp;AE$1),0)))+
  SUMPRODUCT(('Form responses 1'!$G$2:$G1000=$A28)*('Form responses 1'!$A$2:$A1000&lt;=EOMONTH(DATEVALUE("1 "&amp;AE$1),0)))
),2),"-")</f>
        <v>-</v>
      </c>
      <c r="AF28" s="2" t="str">
        <f>IFERROR(ROUND(Data!$B28/(
  SUMPRODUCT(('Form responses 1'!$B$2:$B1000=$A28)*('Form responses 1'!$A$2:$A1000&lt;=EOMONTH(DATEVALUE("1 "&amp;AF$1),0)))+
  SUMPRODUCT(('Form responses 1'!$C$2:$C1000=$A28)*('Form responses 1'!$A$2:$A1000&lt;=EOMONTH(DATEVALUE("1 "&amp;AF$1),0)))+
  SUMPRODUCT(('Form responses 1'!$D$2:$D1000=$A28)*('Form responses 1'!$A$2:$A1000&lt;=EOMONTH(DATEVALUE("1 "&amp;AF$1),0)))+
  SUMPRODUCT(('Form responses 1'!$E$2:$E1000=$A28)*('Form responses 1'!$A$2:$A1000&lt;=EOMONTH(DATEVALUE("1 "&amp;AF$1),0)))+
  SUMPRODUCT(('Form responses 1'!$F$2:$F1000=$A28)*('Form responses 1'!$A$2:$A1000&lt;=EOMONTH(DATEVALUE("1 "&amp;AF$1),0)))+
  SUMPRODUCT(('Form responses 1'!$G$2:$G1000=$A28)*('Form responses 1'!$A$2:$A1000&lt;=EOMONTH(DATEVALUE("1 "&amp;AF$1),0)))
),2),"-")</f>
        <v>-</v>
      </c>
      <c r="AG28" s="2" t="str">
        <f>IFERROR(ROUND(Data!$B28/(
  SUMPRODUCT(('Form responses 1'!$B$2:$B1000=$A28)*('Form responses 1'!$A$2:$A1000&lt;=EOMONTH(DATEVALUE("1 "&amp;AG$1),0)))+
  SUMPRODUCT(('Form responses 1'!$C$2:$C1000=$A28)*('Form responses 1'!$A$2:$A1000&lt;=EOMONTH(DATEVALUE("1 "&amp;AG$1),0)))+
  SUMPRODUCT(('Form responses 1'!$D$2:$D1000=$A28)*('Form responses 1'!$A$2:$A1000&lt;=EOMONTH(DATEVALUE("1 "&amp;AG$1),0)))+
  SUMPRODUCT(('Form responses 1'!$E$2:$E1000=$A28)*('Form responses 1'!$A$2:$A1000&lt;=EOMONTH(DATEVALUE("1 "&amp;AG$1),0)))+
  SUMPRODUCT(('Form responses 1'!$F$2:$F1000=$A28)*('Form responses 1'!$A$2:$A1000&lt;=EOMONTH(DATEVALUE("1 "&amp;AG$1),0)))+
  SUMPRODUCT(('Form responses 1'!$G$2:$G1000=$A28)*('Form responses 1'!$A$2:$A1000&lt;=EOMONTH(DATEVALUE("1 "&amp;AG$1),0)))
),2),"-")</f>
        <v>-</v>
      </c>
      <c r="AH28" s="2" t="str">
        <f>IFERROR(ROUND(Data!$B28/(
  SUMPRODUCT(('Form responses 1'!$B$2:$B1000=$A28)*('Form responses 1'!$A$2:$A1000&lt;=EOMONTH(DATEVALUE("1 "&amp;AH$1),0)))+
  SUMPRODUCT(('Form responses 1'!$C$2:$C1000=$A28)*('Form responses 1'!$A$2:$A1000&lt;=EOMONTH(DATEVALUE("1 "&amp;AH$1),0)))+
  SUMPRODUCT(('Form responses 1'!$D$2:$D1000=$A28)*('Form responses 1'!$A$2:$A1000&lt;=EOMONTH(DATEVALUE("1 "&amp;AH$1),0)))+
  SUMPRODUCT(('Form responses 1'!$E$2:$E1000=$A28)*('Form responses 1'!$A$2:$A1000&lt;=EOMONTH(DATEVALUE("1 "&amp;AH$1),0)))+
  SUMPRODUCT(('Form responses 1'!$F$2:$F1000=$A28)*('Form responses 1'!$A$2:$A1000&lt;=EOMONTH(DATEVALUE("1 "&amp;AH$1),0)))+
  SUMPRODUCT(('Form responses 1'!$G$2:$G1000=$A28)*('Form responses 1'!$A$2:$A1000&lt;=EOMONTH(DATEVALUE("1 "&amp;AH$1),0)))
),2),"-")</f>
        <v>-</v>
      </c>
      <c r="AI28" s="2" t="str">
        <f>IFERROR(ROUND(Data!$B28/(
  SUMPRODUCT(('Form responses 1'!$B$2:$B1000=$A28)*('Form responses 1'!$A$2:$A1000&lt;=EOMONTH(DATEVALUE("1 "&amp;AI$1),0)))+
  SUMPRODUCT(('Form responses 1'!$C$2:$C1000=$A28)*('Form responses 1'!$A$2:$A1000&lt;=EOMONTH(DATEVALUE("1 "&amp;AI$1),0)))+
  SUMPRODUCT(('Form responses 1'!$D$2:$D1000=$A28)*('Form responses 1'!$A$2:$A1000&lt;=EOMONTH(DATEVALUE("1 "&amp;AI$1),0)))+
  SUMPRODUCT(('Form responses 1'!$E$2:$E1000=$A28)*('Form responses 1'!$A$2:$A1000&lt;=EOMONTH(DATEVALUE("1 "&amp;AI$1),0)))+
  SUMPRODUCT(('Form responses 1'!$F$2:$F1000=$A28)*('Form responses 1'!$A$2:$A1000&lt;=EOMONTH(DATEVALUE("1 "&amp;AI$1),0)))+
  SUMPRODUCT(('Form responses 1'!$G$2:$G1000=$A28)*('Form responses 1'!$A$2:$A1000&lt;=EOMONTH(DATEVALUE("1 "&amp;AI$1),0)))
),2),"-")</f>
        <v>-</v>
      </c>
      <c r="AJ28" s="2" t="str">
        <f>IFERROR(ROUND(Data!$B28/(
  SUMPRODUCT(('Form responses 1'!$B$2:$B1000=$A28)*('Form responses 1'!$A$2:$A1000&lt;=EOMONTH(DATEVALUE("1 "&amp;AJ$1),0)))+
  SUMPRODUCT(('Form responses 1'!$C$2:$C1000=$A28)*('Form responses 1'!$A$2:$A1000&lt;=EOMONTH(DATEVALUE("1 "&amp;AJ$1),0)))+
  SUMPRODUCT(('Form responses 1'!$D$2:$D1000=$A28)*('Form responses 1'!$A$2:$A1000&lt;=EOMONTH(DATEVALUE("1 "&amp;AJ$1),0)))+
  SUMPRODUCT(('Form responses 1'!$E$2:$E1000=$A28)*('Form responses 1'!$A$2:$A1000&lt;=EOMONTH(DATEVALUE("1 "&amp;AJ$1),0)))+
  SUMPRODUCT(('Form responses 1'!$F$2:$F1000=$A28)*('Form responses 1'!$A$2:$A1000&lt;=EOMONTH(DATEVALUE("1 "&amp;AJ$1),0)))+
  SUMPRODUCT(('Form responses 1'!$G$2:$G1000=$A28)*('Form responses 1'!$A$2:$A1000&lt;=EOMONTH(DATEVALUE("1 "&amp;AJ$1),0)))
),2),"-")</f>
        <v>-</v>
      </c>
      <c r="AK28" s="2" t="str">
        <f>IFERROR(ROUND(Data!$B28/(
  SUMPRODUCT(('Form responses 1'!$B$2:$B1000=$A28)*('Form responses 1'!$A$2:$A1000&lt;=EOMONTH(DATEVALUE("1 "&amp;AK$1),0)))+
  SUMPRODUCT(('Form responses 1'!$C$2:$C1000=$A28)*('Form responses 1'!$A$2:$A1000&lt;=EOMONTH(DATEVALUE("1 "&amp;AK$1),0)))+
  SUMPRODUCT(('Form responses 1'!$D$2:$D1000=$A28)*('Form responses 1'!$A$2:$A1000&lt;=EOMONTH(DATEVALUE("1 "&amp;AK$1),0)))+
  SUMPRODUCT(('Form responses 1'!$E$2:$E1000=$A28)*('Form responses 1'!$A$2:$A1000&lt;=EOMONTH(DATEVALUE("1 "&amp;AK$1),0)))+
  SUMPRODUCT(('Form responses 1'!$F$2:$F1000=$A28)*('Form responses 1'!$A$2:$A1000&lt;=EOMONTH(DATEVALUE("1 "&amp;AK$1),0)))+
  SUMPRODUCT(('Form responses 1'!$G$2:$G1000=$A28)*('Form responses 1'!$A$2:$A1000&lt;=EOMONTH(DATEVALUE("1 "&amp;AK$1),0)))
),2),"-")</f>
        <v>-</v>
      </c>
      <c r="AL28" s="2" t="str">
        <f>IFERROR(ROUND(Data!$B28/(
  SUMPRODUCT(('Form responses 1'!$B$2:$B1000=$A28)*('Form responses 1'!$A$2:$A1000&lt;=EOMONTH(DATEVALUE("1 "&amp;AL$1),0)))+
  SUMPRODUCT(('Form responses 1'!$C$2:$C1000=$A28)*('Form responses 1'!$A$2:$A1000&lt;=EOMONTH(DATEVALUE("1 "&amp;AL$1),0)))+
  SUMPRODUCT(('Form responses 1'!$D$2:$D1000=$A28)*('Form responses 1'!$A$2:$A1000&lt;=EOMONTH(DATEVALUE("1 "&amp;AL$1),0)))+
  SUMPRODUCT(('Form responses 1'!$E$2:$E1000=$A28)*('Form responses 1'!$A$2:$A1000&lt;=EOMONTH(DATEVALUE("1 "&amp;AL$1),0)))+
  SUMPRODUCT(('Form responses 1'!$F$2:$F1000=$A28)*('Form responses 1'!$A$2:$A1000&lt;=EOMONTH(DATEVALUE("1 "&amp;AL$1),0)))+
  SUMPRODUCT(('Form responses 1'!$G$2:$G1000=$A28)*('Form responses 1'!$A$2:$A1000&lt;=EOMONTH(DATEVALUE("1 "&amp;AL$1),0)))
),2),"-")</f>
        <v>-</v>
      </c>
    </row>
    <row r="29">
      <c r="A29" s="3" t="str">
        <f>IFERROR(__xludf.DUMMYFUNCTION("""COMPUTED_VALUE"""),"Bruin vis t-shirt")</f>
        <v>Bruin vis t-shirt</v>
      </c>
      <c r="B29" s="2">
        <f>Data!F27:F1000</f>
        <v>2.5</v>
      </c>
      <c r="C29" s="2">
        <f>IFERROR(ROUND(Data!B27/(SUMPRODUCT(('Form responses 1'!$B$2:$B1000 = A29) * ('Form responses 1'!$A$2:$A1000 &lt;= DATE(2024, 1, 31)))
+ SUMPRODUCT(('Form responses 1'!$C$2:$C1000 = A29) * ('Form responses 1'!$A$2:$A1000 &lt;= DATE(2024, 1, 31)))
+ SUMPRODUCT(('Form responses 1'!$D$2:$D1000 = A29) * ('Form responses 1'!$A$2:$A1000 &lt;= DATE(2024, 1, 31)))
+ SUMPRODUCT(('Form responses 1'!$E$2:$E1000 = A29) * ('Form responses 1'!$A$2:$A1000 &lt;= DATE(2024, 1, 31)))
+ SUMPRODUCT(('Form responses 1'!$F$2:$F1000 = A29) * ('Form responses 1'!$A$2:$A1000 &lt;= DATE(2024, 1, 31)))
+ SUMPRODUCT(('Form responses 1'!$G$2:$G1000 = A29) * ('Form responses 1'!$A$2:$A1000 &lt;= DATE(2024, 1, 31)))), 2), "-")
</f>
        <v>5.88</v>
      </c>
      <c r="D29" s="2">
        <f>IFERROR(ROUND(Data!B27/(SUMPRODUCT(('Form responses 1'!$B$2:$B1000 = A29) * ('Form responses 1'!$A$2:$A1000 &lt;= DATE(2024, 2, 29)))
+ SUMPRODUCT(('Form responses 1'!$C$2:$C1000 = A29) * ('Form responses 1'!$A$2:$A1000 &lt;= DATE(2024, 2, 29)))
+ SUMPRODUCT(('Form responses 1'!$D$2:$D1000 = A29) * ('Form responses 1'!$A$2:$A1000 &lt;= DATE(2024, 2, 29)))
+ SUMPRODUCT(('Form responses 1'!$E$2:$E1000 = A29) * ('Form responses 1'!$A$2:$A1000 &lt;= DATE(2024, 2, 29)))
+ SUMPRODUCT(('Form responses 1'!$F$2:$F1000 = A29) * ('Form responses 1'!$A$2:$A1000 &lt;= DATE(2024, 2, 29)))
+ SUMPRODUCT(('Form responses 1'!$G$2:$G1000 = A29) * ('Form responses 1'!$A$2:$A1000 &lt;= DATE(2024, 2, 29)))), 2), "-")
</f>
        <v>5.88</v>
      </c>
      <c r="E29" s="2">
        <f>IFERROR(ROUND(Data!B27/(SUMPRODUCT(('Form responses 1'!$B$2:$B1000 = A29) * ('Form responses 1'!$A$2:$A1000 &lt;= DATE(2024, 3, 31)))
+ SUMPRODUCT(('Form responses 1'!$C$2:$C1000 = A29) * ('Form responses 1'!$A$2:$A1000 &lt;= DATE(2024, 3, 31)))
+ SUMPRODUCT(('Form responses 1'!$D$2:$D1000 = A29) * ('Form responses 1'!$A$2:$A1000 &lt;= DATE(2024, 3, 31)))
+ SUMPRODUCT(('Form responses 1'!$E$2:$E1000 = A29) * ('Form responses 1'!$A$2:$A1000 &lt;= DATE(2024, 3, 31)))
+ SUMPRODUCT(('Form responses 1'!$F$2:$F1000 = A29) * ('Form responses 1'!$A$2:$A1000 &lt;= DATE(2024, 3, 31)))
+ SUMPRODUCT(('Form responses 1'!$G$2:$G1000 = A29) * ('Form responses 1'!$A$2:$A1000 &lt;= DATE(2024, 3, 31)))), 2), "-")
</f>
        <v>5.88</v>
      </c>
      <c r="F29" s="2">
        <f>IFERROR(ROUND(Data!B27/(SUMPRODUCT(('Form responses 1'!$B$2:$B1000 = A29) * ('Form responses 1'!$A$2:$A1000 &lt;= DATE(2024, 4, 30)))
+ SUMPRODUCT(('Form responses 1'!$C$2:$C1000 = A29) * ('Form responses 1'!$A$2:$A1000 &lt;= DATE(2024, 4, 30)))
+ SUMPRODUCT(('Form responses 1'!$D$2:$D1000 = A29) * ('Form responses 1'!$A$2:$A1000 &lt;= DATE(2024, 4, 30)))
+ SUMPRODUCT(('Form responses 1'!$E$2:$E1000 = A29) * ('Form responses 1'!$A$2:$A1000 &lt;= DATE(2024, 4, 30)))
+ SUMPRODUCT(('Form responses 1'!$F$2:$F1000 = A29) * ('Form responses 1'!$A$2:$A1000 &lt;= DATE(2024, 4, 30)))
+ SUMPRODUCT(('Form responses 1'!$G$2:$G1000 = A29) * ('Form responses 1'!$A$2:$A1000 &lt;= DATE(2024, 4, 30)))), 2), "-")
</f>
        <v>5.88</v>
      </c>
      <c r="G29" s="2">
        <f>IFERROR(ROUND(Data!B27/(SUMPRODUCT(('Form responses 1'!$B$2:$B1000 = A29) * ('Form responses 1'!$A$2:$A1000 &lt;= DATE(2024, 5, 31)))
+ SUMPRODUCT(('Form responses 1'!$C$2:$C1000 = A29) * ('Form responses 1'!$A$2:$A1000 &lt;= DATE(2024, 5, 31)))
+ SUMPRODUCT(('Form responses 1'!$D$2:$D1000 = A29) * ('Form responses 1'!$A$2:$A1000 &lt;= DATE(2024, 5, 31)))
+ SUMPRODUCT(('Form responses 1'!$E$2:$E1000 = A29) * ('Form responses 1'!$A$2:$A1000 &lt;= DATE(2024, 5, 31)))
+ SUMPRODUCT(('Form responses 1'!$F$2:$F1000 = A29) * ('Form responses 1'!$A$2:$A1000 &lt;= DATE(2024, 5, 31)))
+ SUMPRODUCT(('Form responses 1'!$G$2:$G1000 = A29) * ('Form responses 1'!$A$2:$A1000 &lt;= DATE(2024, 5, 31)))), 2), "-")
</f>
        <v>5.88</v>
      </c>
      <c r="H29" s="2">
        <f>IFERROR(ROUND(Data!B27/(SUMPRODUCT(('Form responses 1'!$B$2:$B1000 = A29) * ('Form responses 1'!$A$2:$A1000 &lt;= DATE(2024, 6, 30)))
+ SUMPRODUCT(('Form responses 1'!$C$2:$C1000 = A29) * ('Form responses 1'!$A$2:$A1000 &lt;= DATE(2024, 6, 30)))
+ SUMPRODUCT(('Form responses 1'!$D$2:$D1000 = A29) * ('Form responses 1'!$A$2:$A1000 &lt;= DATE(2024, 6, 30)))
+ SUMPRODUCT(('Form responses 1'!$E$2:$E1000 = A29) * ('Form responses 1'!$A$2:$A1000 &lt;= DATE(2024, 6, 30)))
+ SUMPRODUCT(('Form responses 1'!$F$2:$F1000 = A29) * ('Form responses 1'!$A$2:$A1000 &lt;= DATE(2024, 6, 30)))
+ SUMPRODUCT(('Form responses 1'!$G$2:$G1000 = A29) * ('Form responses 1'!$A$2:$A1000 &lt;= DATE(2024, 6, 30)))), 2), "-")
</f>
        <v>5.88</v>
      </c>
      <c r="I29" s="2">
        <f>IFERROR(ROUND(Data!B27/(SUMPRODUCT(('Form responses 1'!$B$2:$B1000 = A29) * ('Form responses 1'!$A$2:$A1000 &lt;= DATE(2024, 7, 31)))
+ SUMPRODUCT(('Form responses 1'!$C$2:$C1000 = A29) * ('Form responses 1'!$A$2:$A1000 &lt;= DATE(2024, 7, 31)))
+ SUMPRODUCT(('Form responses 1'!$D$2:$D1000 = A29) * ('Form responses 1'!$A$2:$A1000 &lt;= DATE(2024, 7, 31)))
+ SUMPRODUCT(('Form responses 1'!$E$2:$E1000 = A29) * ('Form responses 1'!$A$2:$A1000 &lt;= DATE(2024, 7, 31)))
+ SUMPRODUCT(('Form responses 1'!$F$2:$F1000 = A29) * ('Form responses 1'!$A$2:$A1000 &lt;= DATE(2024, 7, 31)))
+ SUMPRODUCT(('Form responses 1'!$G$2:$G1000 = A29) * ('Form responses 1'!$A$2:$A1000 &lt;= DATE(2024, 7, 31)))), 2), "-")
</f>
        <v>5.88</v>
      </c>
      <c r="J29" s="2">
        <f>IFERROR(ROUND(Data!B27/(SUMPRODUCT(('Form responses 1'!$B$2:$B1000 = A29) * ('Form responses 1'!$A$2:$A1000 &lt;= DATE(2024, 8, 31)))
+ SUMPRODUCT(('Form responses 1'!$C$2:$C1000 = A29) * ('Form responses 1'!$A$2:$A1000 &lt;= DATE(2024, 8, 31)))
+ SUMPRODUCT(('Form responses 1'!$D$2:$D1000 = A29) * ('Form responses 1'!$A$2:$A1000 &lt;= DATE(2024, 8, 31)))
+ SUMPRODUCT(('Form responses 1'!$E$2:$E1000 = A29) * ('Form responses 1'!$A$2:$A1000 &lt;= DATE(2024, 8, 31)))
+ SUMPRODUCT(('Form responses 1'!$F$2:$F1000 = A29) * ('Form responses 1'!$A$2:$A1000 &lt;= DATE(2024, 8, 31)))
+ SUMPRODUCT(('Form responses 1'!$G$2:$G1000 = A29) * ('Form responses 1'!$A$2:$A1000 &lt;= DATE(2024, 8, 31)))), 2), "-")
</f>
        <v>2.94</v>
      </c>
      <c r="K29" s="2">
        <f>IFERROR(ROUND(Data!B27/(SUMPRODUCT(('Form responses 1'!$B$2:$B1000 = A29) * ('Form responses 1'!$A$2:$A1000 &lt;= DATE(2024, 9, 30)))
+ SUMPRODUCT(('Form responses 1'!$C$2:$C1000 = A29) * ('Form responses 1'!$A$2:$A1000 &lt;= DATE(2024, 9, 30)))
+ SUMPRODUCT(('Form responses 1'!$D$2:$D1000 = A29) * ('Form responses 1'!$A$2:$A1000 &lt;= DATE(2024, 9, 30)))
+ SUMPRODUCT(('Form responses 1'!$E$2:$E1000 = A29) * ('Form responses 1'!$A$2:$A1000 &lt;= DATE(2024, 9, 30)))
+ SUMPRODUCT(('Form responses 1'!$F$2:$F1000 = A29) * ('Form responses 1'!$A$2:$A1000 &lt;= DATE(2024, 9, 30)))
+ SUMPRODUCT(('Form responses 1'!$G$2:$G1000 = A29) * ('Form responses 1'!$A$2:$A1000 &lt;= DATE(2024, 9, 30)))), 2), "-")
</f>
        <v>2.94</v>
      </c>
      <c r="L29" s="2">
        <f>IFERROR(ROUND(Data!B27/(SUMPRODUCT(('Form responses 1'!$B$2:$B1000 = A29) * ('Form responses 1'!$A$2:$A1000 &lt;= DATE(2024, 10, 31)))
+ SUMPRODUCT(('Form responses 1'!$C$2:$C1000 = A29) * ('Form responses 1'!$A$2:$A1000 &lt;= DATE(2024, 10, 31)))
+ SUMPRODUCT(('Form responses 1'!$D$2:$D1000 = A29) * ('Form responses 1'!$A$2:$A1000 &lt;= DATE(2024, 10, 31)))
+ SUMPRODUCT(('Form responses 1'!$E$2:$E1000 = A29) * ('Form responses 1'!$A$2:$A1000 &lt;= DATE(2024, 10, 31)))
+ SUMPRODUCT(('Form responses 1'!$F$2:$F1000 = A29) * ('Form responses 1'!$A$2:$A1000 &lt;= DATE(2024, 10, 31)))
+ SUMPRODUCT(('Form responses 1'!$G$2:$G1000 = A29) * ('Form responses 1'!$A$2:$A1000 &lt;= DATE(2024, 10, 31)))), 2), "-")
</f>
        <v>2.94</v>
      </c>
      <c r="M29" s="2">
        <f>IFERROR(ROUND(Data!B27/(SUMPRODUCT(('Form responses 1'!$B$2:$B1000 = A29) * ('Form responses 1'!$A$2:$A1000 &lt;= DATE(2024, 11, 30)))
+ SUMPRODUCT(('Form responses 1'!$C$2:$C1000 = A29) * ('Form responses 1'!$A$2:$A1000 &lt;= DATE(2024, 11, 30)))
+ SUMPRODUCT(('Form responses 1'!$D$2:$D1000 = A29) * ('Form responses 1'!$A$2:$A1000 &lt;= DATE(2024, 11, 30)))
+ SUMPRODUCT(('Form responses 1'!$E$2:$E1000 = A29) * ('Form responses 1'!$A$2:$A1000 &lt;= DATE(2024, 11, 30)))
+ SUMPRODUCT(('Form responses 1'!$F$2:$F1000 = A29) * ('Form responses 1'!$A$2:$A1000 &lt;= DATE(2024, 11, 30)))
+ SUMPRODUCT(('Form responses 1'!$G$2:$G1000 = A29) * ('Form responses 1'!$A$2:$A1000 &lt;= DATE(2024, 11, 30)))), 2), "-")
</f>
        <v>2.94</v>
      </c>
      <c r="N29" s="2">
        <f>IFERROR(ROUND(Data!B27/(SUMPRODUCT(('Form responses 1'!$B$2:$B1000 = A29) * ('Form responses 1'!$A$2:$A1000 &lt;= DATE(2024, 12, 31)))
+ SUMPRODUCT(('Form responses 1'!$C$2:$C1000 = A29) * ('Form responses 1'!$A$2:$A1000 &lt;= DATE(2024, 12, 31)))
+ SUMPRODUCT(('Form responses 1'!$D$2:$D1000 = A29) * ('Form responses 1'!$A$2:$A1000 &lt;= DATE(2024, 12, 31)))
+ SUMPRODUCT(('Form responses 1'!$E$2:$E1000 = A29) * ('Form responses 1'!$A$2:$A1000 &lt;= DATE(2024, 12, 31)))
+ SUMPRODUCT(('Form responses 1'!$F$2:$F1000 = A29) * ('Form responses 1'!$A$2:$A1000 &lt;= DATE(2024, 12, 31)))
+ SUMPRODUCT(('Form responses 1'!$G$2:$G1000 = A29) * ('Form responses 1'!$A$2:$A1000 &lt;= DATE(2024, 12, 31)))), 2), "-")
</f>
        <v>2.94</v>
      </c>
      <c r="O29" s="2">
        <f>IFERROR(ROUND(Data!B27/(SUMPRODUCT(('Form responses 1'!$B$2:$B1000 = A29) * ('Form responses 1'!$A$2:$A1000 &lt;= DATE(2025, 1, 31)))
+ SUMPRODUCT(('Form responses 1'!$C$2:$C1000 = A29) * ('Form responses 1'!$A$2:$A1000 &lt;= DATE(2025, 1, 31)))
+ SUMPRODUCT(('Form responses 1'!$D$2:$D1000 = A29) * ('Form responses 1'!$A$2:$A1000 &lt;= DATE(2025, 1, 31)))
+ SUMPRODUCT(('Form responses 1'!$E$2:$E1000 = A29) * ('Form responses 1'!$A$2:$A1000 &lt;= DATE(2025, 1, 31)))
+ SUMPRODUCT(('Form responses 1'!$F$2:$F1000 = A29) * ('Form responses 1'!$A$2:$A1000 &lt;= DATE(2025, 1, 31)))
+ SUMPRODUCT(('Form responses 1'!$G$2:$G1000 = A29) * ('Form responses 1'!$A$2:$A1000 &lt;= DATE(2025, 1, 31)))), 2), "-")
</f>
        <v>2.94</v>
      </c>
      <c r="P29" s="2">
        <f>IFERROR(ROUND(Data!B27/(SUMPRODUCT(('Form responses 1'!$B$2:$B1000 = A29) * ('Form responses 1'!$A$2:$A1000 &lt;= DATE(2025, 2, 28)))
+ SUMPRODUCT(('Form responses 1'!$C$2:$C1000 = A29) * ('Form responses 1'!$A$2:$A1000 &lt;= DATE(2025, 2, 28)))
+ SUMPRODUCT(('Form responses 1'!$D$2:$D1000 = A29) * ('Form responses 1'!$A$2:$A1000 &lt;= DATE(2025, 2, 28)))
+ SUMPRODUCT(('Form responses 1'!$E$2:$E1000 = A29) * ('Form responses 1'!$A$2:$A1000 &lt;= DATE(2025, 2, 28)))
+ SUMPRODUCT(('Form responses 1'!$F$2:$F1000 = A29) * ('Form responses 1'!$A$2:$A1000 &lt;= DATE(2025, 2, 28)))
+ SUMPRODUCT(('Form responses 1'!$G$2:$G1000 = A29) * ('Form responses 1'!$A$2:$A1000 &lt;= DATE(2025, 2, 28)))), 2), "-")
</f>
        <v>2.94</v>
      </c>
      <c r="Q29" s="2">
        <f>IFERROR(ROUND(Data!B27/(SUMPRODUCT(('Form responses 1'!$B$2:$B1000 = A29) * ('Form responses 1'!$A$2:$A1000 &lt;= DATE(2025, 3, 31)))
+ SUMPRODUCT(('Form responses 1'!$C$2:$C1000 = A29) * ('Form responses 1'!$A$2:$A1000 &lt;= DATE(2025, 3, 31)))
+ SUMPRODUCT(('Form responses 1'!$D$2:$D1000 = A29) * ('Form responses 1'!$A$2:$A1000 &lt;= DATE(2025, 3, 31)))
+ SUMPRODUCT(('Form responses 1'!$E$2:$E1000 = A29) * ('Form responses 1'!$A$2:$A1000 &lt;= DATE(2025, 3, 31)))
+ SUMPRODUCT(('Form responses 1'!$F$2:$F1000 = A29) * ('Form responses 1'!$A$2:$A1000 &lt;= DATE(2025, 3, 31)))
+ SUMPRODUCT(('Form responses 1'!$G$2:$G1000 = A29) * ('Form responses 1'!$A$2:$A1000 &lt;= DATE(2025, 3, 31)))),2),"-")</f>
        <v>2.94</v>
      </c>
      <c r="R29" s="2">
        <f>IFERROR(ROUND(Data!B27/(SUMPRODUCT(('Form responses 1'!$B$2:$B1000 = A29) * ('Form responses 1'!$A$2:$A1000 &lt;= DATE(2025, 4, 30)))
+ SUMPRODUCT(('Form responses 1'!$C$2:$C1000 = A29) * ('Form responses 1'!$A$2:$A1000 &lt;= DATE(2025, 4, 30)))
+ SUMPRODUCT(('Form responses 1'!$D$2:$D1000 = A29) * ('Form responses 1'!$A$2:$A1000 &lt;= DATE(2025, 4, 30)))
+ SUMPRODUCT(('Form responses 1'!$E$2:$E1000 = A29) * ('Form responses 1'!$A$2:$A1000 &lt;= DATE(2025, 4, 30)))
+ SUMPRODUCT(('Form responses 1'!$F$2:$F1000 = A29) * ('Form responses 1'!$A$2:$A1000 &lt;= DATE(2025, 4, 30)))
+ SUMPRODUCT(('Form responses 1'!$G$2:$G1000 = A29) * ('Form responses 1'!$A$2:$A1000 &lt;= DATE(2025, 4, 30)))), 2), "-")
</f>
        <v>2.94</v>
      </c>
      <c r="S29" s="2">
        <f>IFERROR(ROUND(Data!B27/(SUMPRODUCT(('Form responses 1'!$B$2:$B1000 = A29) * ('Form responses 1'!$A$2:$A1000 &lt;= DATE(2025, 5, 31)))
+ SUMPRODUCT(('Form responses 1'!$C$2:$C1000 = A29) * ('Form responses 1'!$A$2:$A1000 &lt;= DATE(2025, 5, 31)))
+ SUMPRODUCT(('Form responses 1'!$D$2:$D1000 = A29) * ('Form responses 1'!$A$2:$A1000 &lt;= DATE(2025, 5, 31)))
+ SUMPRODUCT(('Form responses 1'!$E$2:$E1000 = A29) * ('Form responses 1'!$A$2:$A1000 &lt;= DATE(2025, 5, 31)))
+ SUMPRODUCT(('Form responses 1'!$F$2:$F1000 = A29) * ('Form responses 1'!$A$2:$A1000 &lt;= DATE(2025, 5, 31)))
+ SUMPRODUCT(('Form responses 1'!$G$2:$G1000 = A29) * ('Form responses 1'!$A$2:$A1000 &lt;= DATE(2025, 5, 31)))), 2), "-")
</f>
        <v>2.94</v>
      </c>
      <c r="T29" s="2">
        <f>IFERROR(ROUND(Data!B27/(SUMPRODUCT(('Form responses 1'!$B$2:$B1000 = A29) * ('Form responses 1'!$A$2:$A1000 &lt;= DATE(2025, 6, 30)))
+ SUMPRODUCT(('Form responses 1'!$C$2:$C1000 = A29) * ('Form responses 1'!$A$2:$A1000 &lt;= DATE(2025, 6, 30)))
+ SUMPRODUCT(('Form responses 1'!$D$2:$D1000 = A29) * ('Form responses 1'!$A$2:$A1000 &lt;= DATE(2025, 6, 30)))
+ SUMPRODUCT(('Form responses 1'!$E$2:$E1000 = A29) * ('Form responses 1'!$A$2:$A1000 &lt;= DATE(2025, 6, 30)))
+ SUMPRODUCT(('Form responses 1'!$F$2:$F1000 = A29) * ('Form responses 1'!$A$2:$A1000 &lt;= DATE(2025, 6, 30)))
+ SUMPRODUCT(('Form responses 1'!$G$2:$G1000 = A29) * ('Form responses 1'!$A$2:$A1000 &lt;= DATE(2025, 6, 30)))), 2), "-")
</f>
        <v>2.94</v>
      </c>
      <c r="U29" s="2">
        <f>IFERROR(ROUND(Data!B27/(SUMPRODUCT(('Form responses 1'!$B$2:$B1000 = A29) * ('Form responses 1'!$A$2:$A1000 &lt;= DATE(2025, 7, 31)))
+ SUMPRODUCT(('Form responses 1'!$C$2:$C1000 = A29) * ('Form responses 1'!$A$2:$A1000 &lt;= DATE(2025, 7, 31)))
+ SUMPRODUCT(('Form responses 1'!$D$2:$D1000 = A29) * ('Form responses 1'!$A$2:$A1000 &lt;= DATE(2025, 7, 31)))
+ SUMPRODUCT(('Form responses 1'!$E$2:$E1000 = A29) * ('Form responses 1'!$A$2:$A1000 &lt;= DATE(2025, 7, 31)))
+ SUMPRODUCT(('Form responses 1'!$F$2:$F1000 = A29) * ('Form responses 1'!$A$2:$A1000 &lt;= DATE(2025, 7, 31)))
+ SUMPRODUCT(('Form responses 1'!$G$2:$G1000 = A29) * ('Form responses 1'!$A$2:$A1000 &lt;= DATE(2025, 7, 31)))), 2), "-")
</f>
        <v>2.94</v>
      </c>
      <c r="V29" s="2">
        <f>IFERROR(ROUND(Data!B27/(SUMPRODUCT(('Form responses 1'!$B$2:$B1000 = A29) * ('Form responses 1'!$A$2:$A1000 &lt;= DATE(2025, 8, 31)))
+ SUMPRODUCT(('Form responses 1'!$C$2:$C1000 = A29) * ('Form responses 1'!$A$2:$A1000 &lt;= DATE(2025, 8, 31)))
+ SUMPRODUCT(('Form responses 1'!$D$2:$D1000 = A29) * ('Form responses 1'!$A$2:$A1000 &lt;= DATE(2025, 8, 31)))
+ SUMPRODUCT(('Form responses 1'!$E$2:$E1000 = A29) * ('Form responses 1'!$A$2:$A1000 &lt;= DATE(2025, 8, 31)))
+ SUMPRODUCT(('Form responses 1'!$F$2:$F1000 = A29) * ('Form responses 1'!$A$2:$A1000 &lt;= DATE(2025, 8, 31)))
+ SUMPRODUCT(('Form responses 1'!$G$2:$G1000 = A29) * ('Form responses 1'!$A$2:$A1000 &lt;= DATE(2025, 8, 31)))), 2), "-")
</f>
        <v>2.94</v>
      </c>
      <c r="W29" s="2">
        <f>IFERROR(ROUND(Data!B27/(SUMPRODUCT(('Form responses 1'!$B$2:$B1000 = A29) * ('Form responses 1'!$A$2:$A1000 &lt;= DATE(2025, 9, 30)))
+ SUMPRODUCT(('Form responses 1'!$C$2:$C1000 = A29) * ('Form responses 1'!$A$2:$A1000 &lt;= DATE(2025, 9, 30)))
+ SUMPRODUCT(('Form responses 1'!$D$2:$D1000 = A29) * ('Form responses 1'!$A$2:$A1000 &lt;= DATE(2025, 9, 30)))
+ SUMPRODUCT(('Form responses 1'!$E$2:$E1000 = A29) * ('Form responses 1'!$A$2:$A1000 &lt;= DATE(2025, 9, 30)))
+ SUMPRODUCT(('Form responses 1'!$F$2:$F1000 = A29) * ('Form responses 1'!$A$2:$A1000 &lt;= DATE(2025, 9, 30)))
+ SUMPRODUCT(('Form responses 1'!$G$2:$G1000 = A29) * ('Form responses 1'!$A$2:$A1000 &lt;= DATE(2025, 9, 30)))), 2), "-")
</f>
        <v>2.94</v>
      </c>
      <c r="X29" s="2">
        <f>IFERROR(ROUND(Data!B27/(SUMPRODUCT(('Form responses 1'!$B$2:$B1000 = A29) * ('Form responses 1'!$A$2:$A1000 &lt;= DATE(2025, 10, 31)))
+ SUMPRODUCT(('Form responses 1'!$C$2:$C1000 = A29) * ('Form responses 1'!$A$2:$A1000 &lt;= DATE(2025, 10, 31)))
+ SUMPRODUCT(('Form responses 1'!$D$2:$D1000 = A29) * ('Form responses 1'!$A$2:$A1000 &lt;= DATE(2025, 10, 31)))
+ SUMPRODUCT(('Form responses 1'!$E$2:$E1000 = A29) * ('Form responses 1'!$A$2:$A1000 &lt;= DATE(2025, 10, 31)))
+ SUMPRODUCT(('Form responses 1'!$F$2:$F1000 = A29) * ('Form responses 1'!$A$2:$A1000 &lt;= DATE(2025, 10, 31)))
+ SUMPRODUCT(('Form responses 1'!$G$2:$G1000 = A29) * ('Form responses 1'!$A$2:$A1000 &lt;= DATE(2025, 10, 31)))), 2), "-")
</f>
        <v>2.94</v>
      </c>
      <c r="Y29" s="2">
        <f>IFERROR(ROUND(Data!B27/(SUMPRODUCT(('Form responses 1'!$B$2:$B1000 = A29) * ('Form responses 1'!$A$2:$A1000 &lt;= DATE(2025, 11, 30)))
+ SUMPRODUCT(('Form responses 1'!$C$2:$C1000 = A29) * ('Form responses 1'!$A$2:$A1000 &lt;= DATE(2025, 11, 30)))
+ SUMPRODUCT(('Form responses 1'!$D$2:$D1000 = A29) * ('Form responses 1'!$A$2:$A1000 &lt;= DATE(2025, 11, 30)))
+ SUMPRODUCT(('Form responses 1'!$E$2:$E1000 = A29) * ('Form responses 1'!$A$2:$A1000 &lt;= DATE(2025, 11, 30)))
+ SUMPRODUCT(('Form responses 1'!$F$2:$F1000 = A29) * ('Form responses 1'!$A$2:$A1000 &lt;= DATE(2025, 11, 30)))
+ SUMPRODUCT(('Form responses 1'!$G$2:$G1000 = A29) * ('Form responses 1'!$A$2:$A1000 &lt;= DATE(2025, 11, 30)))), 2), "-")
</f>
        <v>2.94</v>
      </c>
      <c r="Z29" s="2">
        <f>IFERROR(ROUND(Data!B27/(SUMPRODUCT(('Form responses 1'!$B$2:$B1000 = A29) * ('Form responses 1'!$A$2:$A1000 &lt;= DATE(2025, 12, 31)))
+ SUMPRODUCT(('Form responses 1'!$C$2:$C1000 = A29) * ('Form responses 1'!$A$2:$A1000 &lt;= DATE(2025, 12, 31)))
+ SUMPRODUCT(('Form responses 1'!$D$2:$D1000 = A29) * ('Form responses 1'!$A$2:$A1000 &lt;= DATE(2025, 12, 31)))
+ SUMPRODUCT(('Form responses 1'!$E$2:$E1000 = A29) * ('Form responses 1'!$A$2:$A1000 &lt;= DATE(2025, 12, 31)))
+ SUMPRODUCT(('Form responses 1'!$F$2:$F1000 = A29) * ('Form responses 1'!$A$2:$A1000 &lt;= DATE(2025, 12, 31)))
+ SUMPRODUCT(('Form responses 1'!$G$2:$G1000 = A29) * ('Form responses 1'!$A$2:$A1000 &lt;= DATE(2025, 12, 31)))), 2), "-")
</f>
        <v>2.94</v>
      </c>
      <c r="AA29" s="2">
        <f>IFERROR(ROUND(Data!$B29/(
  SUMPRODUCT(('Form responses 1'!$B$2:$B1000=$A29)*('Form responses 1'!$A$2:$A1000&lt;=EOMONTH(DATEVALUE("1 "&amp;AA$1),0)))+
  SUMPRODUCT(('Form responses 1'!$C$2:$C1000=$A29)*('Form responses 1'!$A$2:$A1000&lt;=EOMONTH(DATEVALUE("1 "&amp;AA$1),0)))+
  SUMPRODUCT(('Form responses 1'!$D$2:$D1000=$A29)*('Form responses 1'!$A$2:$A1000&lt;=EOMONTH(DATEVALUE("1 "&amp;AA$1),0)))+
  SUMPRODUCT(('Form responses 1'!$E$2:$E1000=$A29)*('Form responses 1'!$A$2:$A1000&lt;=EOMONTH(DATEVALUE("1 "&amp;AA$1),0)))+
  SUMPRODUCT(('Form responses 1'!$F$2:$F1000=$A29)*('Form responses 1'!$A$2:$A1000&lt;=EOMONTH(DATEVALUE("1 "&amp;AA$1),0)))+
  SUMPRODUCT(('Form responses 1'!$G$2:$G1000=$A29)*('Form responses 1'!$A$2:$A1000&lt;=EOMONTH(DATEVALUE("1 "&amp;AA$1),0)))
),2),"-")</f>
        <v>6</v>
      </c>
      <c r="AB29" s="2">
        <f>IFERROR(ROUND(Data!$B29/(
  SUMPRODUCT(('Form responses 1'!$B$2:$B1000=$A29)*('Form responses 1'!$A$2:$A1000&lt;=EOMONTH(DATEVALUE("1 "&amp;AB$1),0)))+
  SUMPRODUCT(('Form responses 1'!$C$2:$C1000=$A29)*('Form responses 1'!$A$2:$A1000&lt;=EOMONTH(DATEVALUE("1 "&amp;AB$1),0)))+
  SUMPRODUCT(('Form responses 1'!$D$2:$D1000=$A29)*('Form responses 1'!$A$2:$A1000&lt;=EOMONTH(DATEVALUE("1 "&amp;AB$1),0)))+
  SUMPRODUCT(('Form responses 1'!$E$2:$E1000=$A29)*('Form responses 1'!$A$2:$A1000&lt;=EOMONTH(DATEVALUE("1 "&amp;AB$1),0)))+
  SUMPRODUCT(('Form responses 1'!$F$2:$F1000=$A29)*('Form responses 1'!$A$2:$A1000&lt;=EOMONTH(DATEVALUE("1 "&amp;AB$1),0)))+
  SUMPRODUCT(('Form responses 1'!$G$2:$G1000=$A29)*('Form responses 1'!$A$2:$A1000&lt;=EOMONTH(DATEVALUE("1 "&amp;AB$1),0)))
),2),"-")</f>
        <v>6</v>
      </c>
      <c r="AC29" s="2">
        <f>IFERROR(ROUND(Data!$B29/(
  SUMPRODUCT(('Form responses 1'!$B$2:$B1000=$A29)*('Form responses 1'!$A$2:$A1000&lt;=EOMONTH(DATEVALUE("1 "&amp;AC$1),0)))+
  SUMPRODUCT(('Form responses 1'!$C$2:$C1000=$A29)*('Form responses 1'!$A$2:$A1000&lt;=EOMONTH(DATEVALUE("1 "&amp;AC$1),0)))+
  SUMPRODUCT(('Form responses 1'!$D$2:$D1000=$A29)*('Form responses 1'!$A$2:$A1000&lt;=EOMONTH(DATEVALUE("1 "&amp;AC$1),0)))+
  SUMPRODUCT(('Form responses 1'!$E$2:$E1000=$A29)*('Form responses 1'!$A$2:$A1000&lt;=EOMONTH(DATEVALUE("1 "&amp;AC$1),0)))+
  SUMPRODUCT(('Form responses 1'!$F$2:$F1000=$A29)*('Form responses 1'!$A$2:$A1000&lt;=EOMONTH(DATEVALUE("1 "&amp;AC$1),0)))+
  SUMPRODUCT(('Form responses 1'!$G$2:$G1000=$A29)*('Form responses 1'!$A$2:$A1000&lt;=EOMONTH(DATEVALUE("1 "&amp;AC$1),0)))
),2),"-")</f>
        <v>6</v>
      </c>
      <c r="AD29" s="2" t="str">
        <f>IFERROR(ROUND(Data!$B29/(
  SUMPRODUCT(('Form responses 1'!$B$2:$B1000=$A29)*('Form responses 1'!$A$2:$A1000&lt;=EOMONTH(DATEVALUE("1 "&amp;AD$1),0)))+
  SUMPRODUCT(('Form responses 1'!$C$2:$C1000=$A29)*('Form responses 1'!$A$2:$A1000&lt;=EOMONTH(DATEVALUE("1 "&amp;AD$1),0)))+
  SUMPRODUCT(('Form responses 1'!$D$2:$D1000=$A29)*('Form responses 1'!$A$2:$A1000&lt;=EOMONTH(DATEVALUE("1 "&amp;AD$1),0)))+
  SUMPRODUCT(('Form responses 1'!$E$2:$E1000=$A29)*('Form responses 1'!$A$2:$A1000&lt;=EOMONTH(DATEVALUE("1 "&amp;AD$1),0)))+
  SUMPRODUCT(('Form responses 1'!$F$2:$F1000=$A29)*('Form responses 1'!$A$2:$A1000&lt;=EOMONTH(DATEVALUE("1 "&amp;AD$1),0)))+
  SUMPRODUCT(('Form responses 1'!$G$2:$G1000=$A29)*('Form responses 1'!$A$2:$A1000&lt;=EOMONTH(DATEVALUE("1 "&amp;AD$1),0)))
),2),"-")</f>
        <v>-</v>
      </c>
      <c r="AE29" s="2" t="str">
        <f>IFERROR(ROUND(Data!$B29/(
  SUMPRODUCT(('Form responses 1'!$B$2:$B1000=$A29)*('Form responses 1'!$A$2:$A1000&lt;=EOMONTH(DATEVALUE("1 "&amp;AE$1),0)))+
  SUMPRODUCT(('Form responses 1'!$C$2:$C1000=$A29)*('Form responses 1'!$A$2:$A1000&lt;=EOMONTH(DATEVALUE("1 "&amp;AE$1),0)))+
  SUMPRODUCT(('Form responses 1'!$D$2:$D1000=$A29)*('Form responses 1'!$A$2:$A1000&lt;=EOMONTH(DATEVALUE("1 "&amp;AE$1),0)))+
  SUMPRODUCT(('Form responses 1'!$E$2:$E1000=$A29)*('Form responses 1'!$A$2:$A1000&lt;=EOMONTH(DATEVALUE("1 "&amp;AE$1),0)))+
  SUMPRODUCT(('Form responses 1'!$F$2:$F1000=$A29)*('Form responses 1'!$A$2:$A1000&lt;=EOMONTH(DATEVALUE("1 "&amp;AE$1),0)))+
  SUMPRODUCT(('Form responses 1'!$G$2:$G1000=$A29)*('Form responses 1'!$A$2:$A1000&lt;=EOMONTH(DATEVALUE("1 "&amp;AE$1),0)))
),2),"-")</f>
        <v>-</v>
      </c>
      <c r="AF29" s="2" t="str">
        <f>IFERROR(ROUND(Data!$B29/(
  SUMPRODUCT(('Form responses 1'!$B$2:$B1000=$A29)*('Form responses 1'!$A$2:$A1000&lt;=EOMONTH(DATEVALUE("1 "&amp;AF$1),0)))+
  SUMPRODUCT(('Form responses 1'!$C$2:$C1000=$A29)*('Form responses 1'!$A$2:$A1000&lt;=EOMONTH(DATEVALUE("1 "&amp;AF$1),0)))+
  SUMPRODUCT(('Form responses 1'!$D$2:$D1000=$A29)*('Form responses 1'!$A$2:$A1000&lt;=EOMONTH(DATEVALUE("1 "&amp;AF$1),0)))+
  SUMPRODUCT(('Form responses 1'!$E$2:$E1000=$A29)*('Form responses 1'!$A$2:$A1000&lt;=EOMONTH(DATEVALUE("1 "&amp;AF$1),0)))+
  SUMPRODUCT(('Form responses 1'!$F$2:$F1000=$A29)*('Form responses 1'!$A$2:$A1000&lt;=EOMONTH(DATEVALUE("1 "&amp;AF$1),0)))+
  SUMPRODUCT(('Form responses 1'!$G$2:$G1000=$A29)*('Form responses 1'!$A$2:$A1000&lt;=EOMONTH(DATEVALUE("1 "&amp;AF$1),0)))
),2),"-")</f>
        <v>-</v>
      </c>
      <c r="AG29" s="2" t="str">
        <f>IFERROR(ROUND(Data!$B29/(
  SUMPRODUCT(('Form responses 1'!$B$2:$B1000=$A29)*('Form responses 1'!$A$2:$A1000&lt;=EOMONTH(DATEVALUE("1 "&amp;AG$1),0)))+
  SUMPRODUCT(('Form responses 1'!$C$2:$C1000=$A29)*('Form responses 1'!$A$2:$A1000&lt;=EOMONTH(DATEVALUE("1 "&amp;AG$1),0)))+
  SUMPRODUCT(('Form responses 1'!$D$2:$D1000=$A29)*('Form responses 1'!$A$2:$A1000&lt;=EOMONTH(DATEVALUE("1 "&amp;AG$1),0)))+
  SUMPRODUCT(('Form responses 1'!$E$2:$E1000=$A29)*('Form responses 1'!$A$2:$A1000&lt;=EOMONTH(DATEVALUE("1 "&amp;AG$1),0)))+
  SUMPRODUCT(('Form responses 1'!$F$2:$F1000=$A29)*('Form responses 1'!$A$2:$A1000&lt;=EOMONTH(DATEVALUE("1 "&amp;AG$1),0)))+
  SUMPRODUCT(('Form responses 1'!$G$2:$G1000=$A29)*('Form responses 1'!$A$2:$A1000&lt;=EOMONTH(DATEVALUE("1 "&amp;AG$1),0)))
),2),"-")</f>
        <v>-</v>
      </c>
      <c r="AH29" s="2" t="str">
        <f>IFERROR(ROUND(Data!$B29/(
  SUMPRODUCT(('Form responses 1'!$B$2:$B1000=$A29)*('Form responses 1'!$A$2:$A1000&lt;=EOMONTH(DATEVALUE("1 "&amp;AH$1),0)))+
  SUMPRODUCT(('Form responses 1'!$C$2:$C1000=$A29)*('Form responses 1'!$A$2:$A1000&lt;=EOMONTH(DATEVALUE("1 "&amp;AH$1),0)))+
  SUMPRODUCT(('Form responses 1'!$D$2:$D1000=$A29)*('Form responses 1'!$A$2:$A1000&lt;=EOMONTH(DATEVALUE("1 "&amp;AH$1),0)))+
  SUMPRODUCT(('Form responses 1'!$E$2:$E1000=$A29)*('Form responses 1'!$A$2:$A1000&lt;=EOMONTH(DATEVALUE("1 "&amp;AH$1),0)))+
  SUMPRODUCT(('Form responses 1'!$F$2:$F1000=$A29)*('Form responses 1'!$A$2:$A1000&lt;=EOMONTH(DATEVALUE("1 "&amp;AH$1),0)))+
  SUMPRODUCT(('Form responses 1'!$G$2:$G1000=$A29)*('Form responses 1'!$A$2:$A1000&lt;=EOMONTH(DATEVALUE("1 "&amp;AH$1),0)))
),2),"-")</f>
        <v>-</v>
      </c>
      <c r="AI29" s="2" t="str">
        <f>IFERROR(ROUND(Data!$B29/(
  SUMPRODUCT(('Form responses 1'!$B$2:$B1000=$A29)*('Form responses 1'!$A$2:$A1000&lt;=EOMONTH(DATEVALUE("1 "&amp;AI$1),0)))+
  SUMPRODUCT(('Form responses 1'!$C$2:$C1000=$A29)*('Form responses 1'!$A$2:$A1000&lt;=EOMONTH(DATEVALUE("1 "&amp;AI$1),0)))+
  SUMPRODUCT(('Form responses 1'!$D$2:$D1000=$A29)*('Form responses 1'!$A$2:$A1000&lt;=EOMONTH(DATEVALUE("1 "&amp;AI$1),0)))+
  SUMPRODUCT(('Form responses 1'!$E$2:$E1000=$A29)*('Form responses 1'!$A$2:$A1000&lt;=EOMONTH(DATEVALUE("1 "&amp;AI$1),0)))+
  SUMPRODUCT(('Form responses 1'!$F$2:$F1000=$A29)*('Form responses 1'!$A$2:$A1000&lt;=EOMONTH(DATEVALUE("1 "&amp;AI$1),0)))+
  SUMPRODUCT(('Form responses 1'!$G$2:$G1000=$A29)*('Form responses 1'!$A$2:$A1000&lt;=EOMONTH(DATEVALUE("1 "&amp;AI$1),0)))
),2),"-")</f>
        <v>-</v>
      </c>
      <c r="AJ29" s="2" t="str">
        <f>IFERROR(ROUND(Data!$B29/(
  SUMPRODUCT(('Form responses 1'!$B$2:$B1000=$A29)*('Form responses 1'!$A$2:$A1000&lt;=EOMONTH(DATEVALUE("1 "&amp;AJ$1),0)))+
  SUMPRODUCT(('Form responses 1'!$C$2:$C1000=$A29)*('Form responses 1'!$A$2:$A1000&lt;=EOMONTH(DATEVALUE("1 "&amp;AJ$1),0)))+
  SUMPRODUCT(('Form responses 1'!$D$2:$D1000=$A29)*('Form responses 1'!$A$2:$A1000&lt;=EOMONTH(DATEVALUE("1 "&amp;AJ$1),0)))+
  SUMPRODUCT(('Form responses 1'!$E$2:$E1000=$A29)*('Form responses 1'!$A$2:$A1000&lt;=EOMONTH(DATEVALUE("1 "&amp;AJ$1),0)))+
  SUMPRODUCT(('Form responses 1'!$F$2:$F1000=$A29)*('Form responses 1'!$A$2:$A1000&lt;=EOMONTH(DATEVALUE("1 "&amp;AJ$1),0)))+
  SUMPRODUCT(('Form responses 1'!$G$2:$G1000=$A29)*('Form responses 1'!$A$2:$A1000&lt;=EOMONTH(DATEVALUE("1 "&amp;AJ$1),0)))
),2),"-")</f>
        <v>-</v>
      </c>
      <c r="AK29" s="2" t="str">
        <f>IFERROR(ROUND(Data!$B29/(
  SUMPRODUCT(('Form responses 1'!$B$2:$B1000=$A29)*('Form responses 1'!$A$2:$A1000&lt;=EOMONTH(DATEVALUE("1 "&amp;AK$1),0)))+
  SUMPRODUCT(('Form responses 1'!$C$2:$C1000=$A29)*('Form responses 1'!$A$2:$A1000&lt;=EOMONTH(DATEVALUE("1 "&amp;AK$1),0)))+
  SUMPRODUCT(('Form responses 1'!$D$2:$D1000=$A29)*('Form responses 1'!$A$2:$A1000&lt;=EOMONTH(DATEVALUE("1 "&amp;AK$1),0)))+
  SUMPRODUCT(('Form responses 1'!$E$2:$E1000=$A29)*('Form responses 1'!$A$2:$A1000&lt;=EOMONTH(DATEVALUE("1 "&amp;AK$1),0)))+
  SUMPRODUCT(('Form responses 1'!$F$2:$F1000=$A29)*('Form responses 1'!$A$2:$A1000&lt;=EOMONTH(DATEVALUE("1 "&amp;AK$1),0)))+
  SUMPRODUCT(('Form responses 1'!$G$2:$G1000=$A29)*('Form responses 1'!$A$2:$A1000&lt;=EOMONTH(DATEVALUE("1 "&amp;AK$1),0)))
),2),"-")</f>
        <v>-</v>
      </c>
      <c r="AL29" s="2" t="str">
        <f>IFERROR(ROUND(Data!$B29/(
  SUMPRODUCT(('Form responses 1'!$B$2:$B1000=$A29)*('Form responses 1'!$A$2:$A1000&lt;=EOMONTH(DATEVALUE("1 "&amp;AL$1),0)))+
  SUMPRODUCT(('Form responses 1'!$C$2:$C1000=$A29)*('Form responses 1'!$A$2:$A1000&lt;=EOMONTH(DATEVALUE("1 "&amp;AL$1),0)))+
  SUMPRODUCT(('Form responses 1'!$D$2:$D1000=$A29)*('Form responses 1'!$A$2:$A1000&lt;=EOMONTH(DATEVALUE("1 "&amp;AL$1),0)))+
  SUMPRODUCT(('Form responses 1'!$E$2:$E1000=$A29)*('Form responses 1'!$A$2:$A1000&lt;=EOMONTH(DATEVALUE("1 "&amp;AL$1),0)))+
  SUMPRODUCT(('Form responses 1'!$F$2:$F1000=$A29)*('Form responses 1'!$A$2:$A1000&lt;=EOMONTH(DATEVALUE("1 "&amp;AL$1),0)))+
  SUMPRODUCT(('Form responses 1'!$G$2:$G1000=$A29)*('Form responses 1'!$A$2:$A1000&lt;=EOMONTH(DATEVALUE("1 "&amp;AL$1),0)))
),2),"-")</f>
        <v>-</v>
      </c>
    </row>
    <row r="30">
      <c r="A30" s="3" t="str">
        <f>IFERROR(__xludf.DUMMYFUNCTION("""COMPUTED_VALUE"""),"Groen t-shirt")</f>
        <v>Groen t-shirt</v>
      </c>
      <c r="B30" s="2">
        <f>Data!F28:F1000</f>
        <v>0.71</v>
      </c>
      <c r="C30" s="2">
        <f>IFERROR(ROUND(Data!B28/(SUMPRODUCT(('Form responses 1'!$B$2:$B1000 = A30) * ('Form responses 1'!$A$2:$A1000 &lt;= DATE(2024, 1, 31)))
+ SUMPRODUCT(('Form responses 1'!$C$2:$C1000 = A30) * ('Form responses 1'!$A$2:$A1000 &lt;= DATE(2024, 1, 31)))
+ SUMPRODUCT(('Form responses 1'!$D$2:$D1000 = A30) * ('Form responses 1'!$A$2:$A1000 &lt;= DATE(2024, 1, 31)))
+ SUMPRODUCT(('Form responses 1'!$E$2:$E1000 = A30) * ('Form responses 1'!$A$2:$A1000 &lt;= DATE(2024, 1, 31)))
+ SUMPRODUCT(('Form responses 1'!$F$2:$F1000 = A30) * ('Form responses 1'!$A$2:$A1000 &lt;= DATE(2024, 1, 31)))
+ SUMPRODUCT(('Form responses 1'!$G$2:$G1000 = A30) * ('Form responses 1'!$A$2:$A1000 &lt;= DATE(2024, 1, 31)))), 2), "-")
</f>
        <v>0.54</v>
      </c>
      <c r="D30" s="2">
        <f>IFERROR(ROUND(Data!B28/(SUMPRODUCT(('Form responses 1'!$B$2:$B1000 = A30) * ('Form responses 1'!$A$2:$A1000 &lt;= DATE(2024, 2, 29)))
+ SUMPRODUCT(('Form responses 1'!$C$2:$C1000 = A30) * ('Form responses 1'!$A$2:$A1000 &lt;= DATE(2024, 2, 29)))
+ SUMPRODUCT(('Form responses 1'!$D$2:$D1000 = A30) * ('Form responses 1'!$A$2:$A1000 &lt;= DATE(2024, 2, 29)))
+ SUMPRODUCT(('Form responses 1'!$E$2:$E1000 = A30) * ('Form responses 1'!$A$2:$A1000 &lt;= DATE(2024, 2, 29)))
+ SUMPRODUCT(('Form responses 1'!$F$2:$F1000 = A30) * ('Form responses 1'!$A$2:$A1000 &lt;= DATE(2024, 2, 29)))
+ SUMPRODUCT(('Form responses 1'!$G$2:$G1000 = A30) * ('Form responses 1'!$A$2:$A1000 &lt;= DATE(2024, 2, 29)))), 2), "-")
</f>
        <v>0.54</v>
      </c>
      <c r="E30" s="2">
        <f>IFERROR(ROUND(Data!B28/(SUMPRODUCT(('Form responses 1'!$B$2:$B1000 = A30) * ('Form responses 1'!$A$2:$A1000 &lt;= DATE(2024, 3, 31)))
+ SUMPRODUCT(('Form responses 1'!$C$2:$C1000 = A30) * ('Form responses 1'!$A$2:$A1000 &lt;= DATE(2024, 3, 31)))
+ SUMPRODUCT(('Form responses 1'!$D$2:$D1000 = A30) * ('Form responses 1'!$A$2:$A1000 &lt;= DATE(2024, 3, 31)))
+ SUMPRODUCT(('Form responses 1'!$E$2:$E1000 = A30) * ('Form responses 1'!$A$2:$A1000 &lt;= DATE(2024, 3, 31)))
+ SUMPRODUCT(('Form responses 1'!$F$2:$F1000 = A30) * ('Form responses 1'!$A$2:$A1000 &lt;= DATE(2024, 3, 31)))
+ SUMPRODUCT(('Form responses 1'!$G$2:$G1000 = A30) * ('Form responses 1'!$A$2:$A1000 &lt;= DATE(2024, 3, 31)))), 2), "-")
</f>
        <v>0.54</v>
      </c>
      <c r="F30" s="2">
        <f>IFERROR(ROUND(Data!B28/(SUMPRODUCT(('Form responses 1'!$B$2:$B1000 = A30) * ('Form responses 1'!$A$2:$A1000 &lt;= DATE(2024, 4, 30)))
+ SUMPRODUCT(('Form responses 1'!$C$2:$C1000 = A30) * ('Form responses 1'!$A$2:$A1000 &lt;= DATE(2024, 4, 30)))
+ SUMPRODUCT(('Form responses 1'!$D$2:$D1000 = A30) * ('Form responses 1'!$A$2:$A1000 &lt;= DATE(2024, 4, 30)))
+ SUMPRODUCT(('Form responses 1'!$E$2:$E1000 = A30) * ('Form responses 1'!$A$2:$A1000 &lt;= DATE(2024, 4, 30)))
+ SUMPRODUCT(('Form responses 1'!$F$2:$F1000 = A30) * ('Form responses 1'!$A$2:$A1000 &lt;= DATE(2024, 4, 30)))
+ SUMPRODUCT(('Form responses 1'!$G$2:$G1000 = A30) * ('Form responses 1'!$A$2:$A1000 &lt;= DATE(2024, 4, 30)))), 2), "-")
</f>
        <v>0.54</v>
      </c>
      <c r="G30" s="2">
        <f>IFERROR(ROUND(Data!B28/(SUMPRODUCT(('Form responses 1'!$B$2:$B1000 = A30) * ('Form responses 1'!$A$2:$A1000 &lt;= DATE(2024, 5, 31)))
+ SUMPRODUCT(('Form responses 1'!$C$2:$C1000 = A30) * ('Form responses 1'!$A$2:$A1000 &lt;= DATE(2024, 5, 31)))
+ SUMPRODUCT(('Form responses 1'!$D$2:$D1000 = A30) * ('Form responses 1'!$A$2:$A1000 &lt;= DATE(2024, 5, 31)))
+ SUMPRODUCT(('Form responses 1'!$E$2:$E1000 = A30) * ('Form responses 1'!$A$2:$A1000 &lt;= DATE(2024, 5, 31)))
+ SUMPRODUCT(('Form responses 1'!$F$2:$F1000 = A30) * ('Form responses 1'!$A$2:$A1000 &lt;= DATE(2024, 5, 31)))
+ SUMPRODUCT(('Form responses 1'!$G$2:$G1000 = A30) * ('Form responses 1'!$A$2:$A1000 &lt;= DATE(2024, 5, 31)))), 2), "-")
</f>
        <v>0.54</v>
      </c>
      <c r="H30" s="2">
        <f>IFERROR(ROUND(Data!B28/(SUMPRODUCT(('Form responses 1'!$B$2:$B1000 = A30) * ('Form responses 1'!$A$2:$A1000 &lt;= DATE(2024, 6, 30)))
+ SUMPRODUCT(('Form responses 1'!$C$2:$C1000 = A30) * ('Form responses 1'!$A$2:$A1000 &lt;= DATE(2024, 6, 30)))
+ SUMPRODUCT(('Form responses 1'!$D$2:$D1000 = A30) * ('Form responses 1'!$A$2:$A1000 &lt;= DATE(2024, 6, 30)))
+ SUMPRODUCT(('Form responses 1'!$E$2:$E1000 = A30) * ('Form responses 1'!$A$2:$A1000 &lt;= DATE(2024, 6, 30)))
+ SUMPRODUCT(('Form responses 1'!$F$2:$F1000 = A30) * ('Form responses 1'!$A$2:$A1000 &lt;= DATE(2024, 6, 30)))
+ SUMPRODUCT(('Form responses 1'!$G$2:$G1000 = A30) * ('Form responses 1'!$A$2:$A1000 &lt;= DATE(2024, 6, 30)))), 2), "-")
</f>
        <v>0.54</v>
      </c>
      <c r="I30" s="2">
        <f>IFERROR(ROUND(Data!B28/(SUMPRODUCT(('Form responses 1'!$B$2:$B1000 = A30) * ('Form responses 1'!$A$2:$A1000 &lt;= DATE(2024, 7, 31)))
+ SUMPRODUCT(('Form responses 1'!$C$2:$C1000 = A30) * ('Form responses 1'!$A$2:$A1000 &lt;= DATE(2024, 7, 31)))
+ SUMPRODUCT(('Form responses 1'!$D$2:$D1000 = A30) * ('Form responses 1'!$A$2:$A1000 &lt;= DATE(2024, 7, 31)))
+ SUMPRODUCT(('Form responses 1'!$E$2:$E1000 = A30) * ('Form responses 1'!$A$2:$A1000 &lt;= DATE(2024, 7, 31)))
+ SUMPRODUCT(('Form responses 1'!$F$2:$F1000 = A30) * ('Form responses 1'!$A$2:$A1000 &lt;= DATE(2024, 7, 31)))
+ SUMPRODUCT(('Form responses 1'!$G$2:$G1000 = A30) * ('Form responses 1'!$A$2:$A1000 &lt;= DATE(2024, 7, 31)))), 2), "-")
</f>
        <v>0.54</v>
      </c>
      <c r="J30" s="2">
        <f>IFERROR(ROUND(Data!B28/(SUMPRODUCT(('Form responses 1'!$B$2:$B1000 = A30) * ('Form responses 1'!$A$2:$A1000 &lt;= DATE(2024, 8, 31)))
+ SUMPRODUCT(('Form responses 1'!$C$2:$C1000 = A30) * ('Form responses 1'!$A$2:$A1000 &lt;= DATE(2024, 8, 31)))
+ SUMPRODUCT(('Form responses 1'!$D$2:$D1000 = A30) * ('Form responses 1'!$A$2:$A1000 &lt;= DATE(2024, 8, 31)))
+ SUMPRODUCT(('Form responses 1'!$E$2:$E1000 = A30) * ('Form responses 1'!$A$2:$A1000 &lt;= DATE(2024, 8, 31)))
+ SUMPRODUCT(('Form responses 1'!$F$2:$F1000 = A30) * ('Form responses 1'!$A$2:$A1000 &lt;= DATE(2024, 8, 31)))
+ SUMPRODUCT(('Form responses 1'!$G$2:$G1000 = A30) * ('Form responses 1'!$A$2:$A1000 &lt;= DATE(2024, 8, 31)))), 2), "-")
</f>
        <v>0.54</v>
      </c>
      <c r="K30" s="2">
        <f>IFERROR(ROUND(Data!B28/(SUMPRODUCT(('Form responses 1'!$B$2:$B1000 = A30) * ('Form responses 1'!$A$2:$A1000 &lt;= DATE(2024, 9, 30)))
+ SUMPRODUCT(('Form responses 1'!$C$2:$C1000 = A30) * ('Form responses 1'!$A$2:$A1000 &lt;= DATE(2024, 9, 30)))
+ SUMPRODUCT(('Form responses 1'!$D$2:$D1000 = A30) * ('Form responses 1'!$A$2:$A1000 &lt;= DATE(2024, 9, 30)))
+ SUMPRODUCT(('Form responses 1'!$E$2:$E1000 = A30) * ('Form responses 1'!$A$2:$A1000 &lt;= DATE(2024, 9, 30)))
+ SUMPRODUCT(('Form responses 1'!$F$2:$F1000 = A30) * ('Form responses 1'!$A$2:$A1000 &lt;= DATE(2024, 9, 30)))
+ SUMPRODUCT(('Form responses 1'!$G$2:$G1000 = A30) * ('Form responses 1'!$A$2:$A1000 &lt;= DATE(2024, 9, 30)))), 2), "-")
</f>
        <v>0.54</v>
      </c>
      <c r="L30" s="2">
        <f>IFERROR(ROUND(Data!B28/(SUMPRODUCT(('Form responses 1'!$B$2:$B1000 = A30) * ('Form responses 1'!$A$2:$A1000 &lt;= DATE(2024, 10, 31)))
+ SUMPRODUCT(('Form responses 1'!$C$2:$C1000 = A30) * ('Form responses 1'!$A$2:$A1000 &lt;= DATE(2024, 10, 31)))
+ SUMPRODUCT(('Form responses 1'!$D$2:$D1000 = A30) * ('Form responses 1'!$A$2:$A1000 &lt;= DATE(2024, 10, 31)))
+ SUMPRODUCT(('Form responses 1'!$E$2:$E1000 = A30) * ('Form responses 1'!$A$2:$A1000 &lt;= DATE(2024, 10, 31)))
+ SUMPRODUCT(('Form responses 1'!$F$2:$F1000 = A30) * ('Form responses 1'!$A$2:$A1000 &lt;= DATE(2024, 10, 31)))
+ SUMPRODUCT(('Form responses 1'!$G$2:$G1000 = A30) * ('Form responses 1'!$A$2:$A1000 &lt;= DATE(2024, 10, 31)))), 2), "-")
</f>
        <v>0.54</v>
      </c>
      <c r="M30" s="2">
        <f>IFERROR(ROUND(Data!B28/(SUMPRODUCT(('Form responses 1'!$B$2:$B1000 = A30) * ('Form responses 1'!$A$2:$A1000 &lt;= DATE(2024, 11, 30)))
+ SUMPRODUCT(('Form responses 1'!$C$2:$C1000 = A30) * ('Form responses 1'!$A$2:$A1000 &lt;= DATE(2024, 11, 30)))
+ SUMPRODUCT(('Form responses 1'!$D$2:$D1000 = A30) * ('Form responses 1'!$A$2:$A1000 &lt;= DATE(2024, 11, 30)))
+ SUMPRODUCT(('Form responses 1'!$E$2:$E1000 = A30) * ('Form responses 1'!$A$2:$A1000 &lt;= DATE(2024, 11, 30)))
+ SUMPRODUCT(('Form responses 1'!$F$2:$F1000 = A30) * ('Form responses 1'!$A$2:$A1000 &lt;= DATE(2024, 11, 30)))
+ SUMPRODUCT(('Form responses 1'!$G$2:$G1000 = A30) * ('Form responses 1'!$A$2:$A1000 &lt;= DATE(2024, 11, 30)))), 2), "-")
</f>
        <v>0.54</v>
      </c>
      <c r="N30" s="2">
        <f>IFERROR(ROUND(Data!B28/(SUMPRODUCT(('Form responses 1'!$B$2:$B1000 = A30) * ('Form responses 1'!$A$2:$A1000 &lt;= DATE(2024, 12, 31)))
+ SUMPRODUCT(('Form responses 1'!$C$2:$C1000 = A30) * ('Form responses 1'!$A$2:$A1000 &lt;= DATE(2024, 12, 31)))
+ SUMPRODUCT(('Form responses 1'!$D$2:$D1000 = A30) * ('Form responses 1'!$A$2:$A1000 &lt;= DATE(2024, 12, 31)))
+ SUMPRODUCT(('Form responses 1'!$E$2:$E1000 = A30) * ('Form responses 1'!$A$2:$A1000 &lt;= DATE(2024, 12, 31)))
+ SUMPRODUCT(('Form responses 1'!$F$2:$F1000 = A30) * ('Form responses 1'!$A$2:$A1000 &lt;= DATE(2024, 12, 31)))
+ SUMPRODUCT(('Form responses 1'!$G$2:$G1000 = A30) * ('Form responses 1'!$A$2:$A1000 &lt;= DATE(2024, 12, 31)))), 2), "-")
</f>
        <v>0.54</v>
      </c>
      <c r="O30" s="2">
        <f>IFERROR(ROUND(Data!B28/(SUMPRODUCT(('Form responses 1'!$B$2:$B1000 = A30) * ('Form responses 1'!$A$2:$A1000 &lt;= DATE(2025, 1, 31)))
+ SUMPRODUCT(('Form responses 1'!$C$2:$C1000 = A30) * ('Form responses 1'!$A$2:$A1000 &lt;= DATE(2025, 1, 31)))
+ SUMPRODUCT(('Form responses 1'!$D$2:$D1000 = A30) * ('Form responses 1'!$A$2:$A1000 &lt;= DATE(2025, 1, 31)))
+ SUMPRODUCT(('Form responses 1'!$E$2:$E1000 = A30) * ('Form responses 1'!$A$2:$A1000 &lt;= DATE(2025, 1, 31)))
+ SUMPRODUCT(('Form responses 1'!$F$2:$F1000 = A30) * ('Form responses 1'!$A$2:$A1000 &lt;= DATE(2025, 1, 31)))
+ SUMPRODUCT(('Form responses 1'!$G$2:$G1000 = A30) * ('Form responses 1'!$A$2:$A1000 &lt;= DATE(2025, 1, 31)))), 2), "-")
</f>
        <v>0.54</v>
      </c>
      <c r="P30" s="2">
        <f>IFERROR(ROUND(Data!B28/(SUMPRODUCT(('Form responses 1'!$B$2:$B1000 = A30) * ('Form responses 1'!$A$2:$A1000 &lt;= DATE(2025, 2, 28)))
+ SUMPRODUCT(('Form responses 1'!$C$2:$C1000 = A30) * ('Form responses 1'!$A$2:$A1000 &lt;= DATE(2025, 2, 28)))
+ SUMPRODUCT(('Form responses 1'!$D$2:$D1000 = A30) * ('Form responses 1'!$A$2:$A1000 &lt;= DATE(2025, 2, 28)))
+ SUMPRODUCT(('Form responses 1'!$E$2:$E1000 = A30) * ('Form responses 1'!$A$2:$A1000 &lt;= DATE(2025, 2, 28)))
+ SUMPRODUCT(('Form responses 1'!$F$2:$F1000 = A30) * ('Form responses 1'!$A$2:$A1000 &lt;= DATE(2025, 2, 28)))
+ SUMPRODUCT(('Form responses 1'!$G$2:$G1000 = A30) * ('Form responses 1'!$A$2:$A1000 &lt;= DATE(2025, 2, 28)))), 2), "-")
</f>
        <v>0.54</v>
      </c>
      <c r="Q30" s="2">
        <f>IFERROR(ROUND(Data!B28/(SUMPRODUCT(('Form responses 1'!$B$2:$B1000 = A30) * ('Form responses 1'!$A$2:$A1000 &lt;= DATE(2025, 3, 31)))
+ SUMPRODUCT(('Form responses 1'!$C$2:$C1000 = A30) * ('Form responses 1'!$A$2:$A1000 &lt;= DATE(2025, 3, 31)))
+ SUMPRODUCT(('Form responses 1'!$D$2:$D1000 = A30) * ('Form responses 1'!$A$2:$A1000 &lt;= DATE(2025, 3, 31)))
+ SUMPRODUCT(('Form responses 1'!$E$2:$E1000 = A30) * ('Form responses 1'!$A$2:$A1000 &lt;= DATE(2025, 3, 31)))
+ SUMPRODUCT(('Form responses 1'!$F$2:$F1000 = A30) * ('Form responses 1'!$A$2:$A1000 &lt;= DATE(2025, 3, 31)))
+ SUMPRODUCT(('Form responses 1'!$G$2:$G1000 = A30) * ('Form responses 1'!$A$2:$A1000 &lt;= DATE(2025, 3, 31)))),2),"-")</f>
        <v>0.54</v>
      </c>
      <c r="R30" s="2">
        <f>IFERROR(ROUND(Data!B28/(SUMPRODUCT(('Form responses 1'!$B$2:$B1000 = A30) * ('Form responses 1'!$A$2:$A1000 &lt;= DATE(2025, 4, 30)))
+ SUMPRODUCT(('Form responses 1'!$C$2:$C1000 = A30) * ('Form responses 1'!$A$2:$A1000 &lt;= DATE(2025, 4, 30)))
+ SUMPRODUCT(('Form responses 1'!$D$2:$D1000 = A30) * ('Form responses 1'!$A$2:$A1000 &lt;= DATE(2025, 4, 30)))
+ SUMPRODUCT(('Form responses 1'!$E$2:$E1000 = A30) * ('Form responses 1'!$A$2:$A1000 &lt;= DATE(2025, 4, 30)))
+ SUMPRODUCT(('Form responses 1'!$F$2:$F1000 = A30) * ('Form responses 1'!$A$2:$A1000 &lt;= DATE(2025, 4, 30)))
+ SUMPRODUCT(('Form responses 1'!$G$2:$G1000 = A30) * ('Form responses 1'!$A$2:$A1000 &lt;= DATE(2025, 4, 30)))), 2), "-")
</f>
        <v>0.54</v>
      </c>
      <c r="S30" s="2">
        <f>IFERROR(ROUND(Data!B28/(SUMPRODUCT(('Form responses 1'!$B$2:$B1000 = A30) * ('Form responses 1'!$A$2:$A1000 &lt;= DATE(2025, 5, 31)))
+ SUMPRODUCT(('Form responses 1'!$C$2:$C1000 = A30) * ('Form responses 1'!$A$2:$A1000 &lt;= DATE(2025, 5, 31)))
+ SUMPRODUCT(('Form responses 1'!$D$2:$D1000 = A30) * ('Form responses 1'!$A$2:$A1000 &lt;= DATE(2025, 5, 31)))
+ SUMPRODUCT(('Form responses 1'!$E$2:$E1000 = A30) * ('Form responses 1'!$A$2:$A1000 &lt;= DATE(2025, 5, 31)))
+ SUMPRODUCT(('Form responses 1'!$F$2:$F1000 = A30) * ('Form responses 1'!$A$2:$A1000 &lt;= DATE(2025, 5, 31)))
+ SUMPRODUCT(('Form responses 1'!$G$2:$G1000 = A30) * ('Form responses 1'!$A$2:$A1000 &lt;= DATE(2025, 5, 31)))), 2), "-")
</f>
        <v>0.54</v>
      </c>
      <c r="T30" s="2">
        <f>IFERROR(ROUND(Data!B28/(SUMPRODUCT(('Form responses 1'!$B$2:$B1000 = A30) * ('Form responses 1'!$A$2:$A1000 &lt;= DATE(2025, 6, 30)))
+ SUMPRODUCT(('Form responses 1'!$C$2:$C1000 = A30) * ('Form responses 1'!$A$2:$A1000 &lt;= DATE(2025, 6, 30)))
+ SUMPRODUCT(('Form responses 1'!$D$2:$D1000 = A30) * ('Form responses 1'!$A$2:$A1000 &lt;= DATE(2025, 6, 30)))
+ SUMPRODUCT(('Form responses 1'!$E$2:$E1000 = A30) * ('Form responses 1'!$A$2:$A1000 &lt;= DATE(2025, 6, 30)))
+ SUMPRODUCT(('Form responses 1'!$F$2:$F1000 = A30) * ('Form responses 1'!$A$2:$A1000 &lt;= DATE(2025, 6, 30)))
+ SUMPRODUCT(('Form responses 1'!$G$2:$G1000 = A30) * ('Form responses 1'!$A$2:$A1000 &lt;= DATE(2025, 6, 30)))), 2), "-")
</f>
        <v>0.54</v>
      </c>
      <c r="U30" s="2">
        <f>IFERROR(ROUND(Data!B28/(SUMPRODUCT(('Form responses 1'!$B$2:$B1000 = A30) * ('Form responses 1'!$A$2:$A1000 &lt;= DATE(2025, 7, 31)))
+ SUMPRODUCT(('Form responses 1'!$C$2:$C1000 = A30) * ('Form responses 1'!$A$2:$A1000 &lt;= DATE(2025, 7, 31)))
+ SUMPRODUCT(('Form responses 1'!$D$2:$D1000 = A30) * ('Form responses 1'!$A$2:$A1000 &lt;= DATE(2025, 7, 31)))
+ SUMPRODUCT(('Form responses 1'!$E$2:$E1000 = A30) * ('Form responses 1'!$A$2:$A1000 &lt;= DATE(2025, 7, 31)))
+ SUMPRODUCT(('Form responses 1'!$F$2:$F1000 = A30) * ('Form responses 1'!$A$2:$A1000 &lt;= DATE(2025, 7, 31)))
+ SUMPRODUCT(('Form responses 1'!$G$2:$G1000 = A30) * ('Form responses 1'!$A$2:$A1000 &lt;= DATE(2025, 7, 31)))), 2), "-")
</f>
        <v>0.54</v>
      </c>
      <c r="V30" s="2">
        <f>IFERROR(ROUND(Data!B28/(SUMPRODUCT(('Form responses 1'!$B$2:$B1000 = A30) * ('Form responses 1'!$A$2:$A1000 &lt;= DATE(2025, 8, 31)))
+ SUMPRODUCT(('Form responses 1'!$C$2:$C1000 = A30) * ('Form responses 1'!$A$2:$A1000 &lt;= DATE(2025, 8, 31)))
+ SUMPRODUCT(('Form responses 1'!$D$2:$D1000 = A30) * ('Form responses 1'!$A$2:$A1000 &lt;= DATE(2025, 8, 31)))
+ SUMPRODUCT(('Form responses 1'!$E$2:$E1000 = A30) * ('Form responses 1'!$A$2:$A1000 &lt;= DATE(2025, 8, 31)))
+ SUMPRODUCT(('Form responses 1'!$F$2:$F1000 = A30) * ('Form responses 1'!$A$2:$A1000 &lt;= DATE(2025, 8, 31)))
+ SUMPRODUCT(('Form responses 1'!$G$2:$G1000 = A30) * ('Form responses 1'!$A$2:$A1000 &lt;= DATE(2025, 8, 31)))), 2), "-")
</f>
        <v>0.54</v>
      </c>
      <c r="W30" s="2">
        <f>IFERROR(ROUND(Data!B28/(SUMPRODUCT(('Form responses 1'!$B$2:$B1000 = A30) * ('Form responses 1'!$A$2:$A1000 &lt;= DATE(2025, 9, 30)))
+ SUMPRODUCT(('Form responses 1'!$C$2:$C1000 = A30) * ('Form responses 1'!$A$2:$A1000 &lt;= DATE(2025, 9, 30)))
+ SUMPRODUCT(('Form responses 1'!$D$2:$D1000 = A30) * ('Form responses 1'!$A$2:$A1000 &lt;= DATE(2025, 9, 30)))
+ SUMPRODUCT(('Form responses 1'!$E$2:$E1000 = A30) * ('Form responses 1'!$A$2:$A1000 &lt;= DATE(2025, 9, 30)))
+ SUMPRODUCT(('Form responses 1'!$F$2:$F1000 = A30) * ('Form responses 1'!$A$2:$A1000 &lt;= DATE(2025, 9, 30)))
+ SUMPRODUCT(('Form responses 1'!$G$2:$G1000 = A30) * ('Form responses 1'!$A$2:$A1000 &lt;= DATE(2025, 9, 30)))), 2), "-")
</f>
        <v>0.54</v>
      </c>
      <c r="X30" s="2">
        <f>IFERROR(ROUND(Data!B28/(SUMPRODUCT(('Form responses 1'!$B$2:$B1000 = A30) * ('Form responses 1'!$A$2:$A1000 &lt;= DATE(2025, 10, 31)))
+ SUMPRODUCT(('Form responses 1'!$C$2:$C1000 = A30) * ('Form responses 1'!$A$2:$A1000 &lt;= DATE(2025, 10, 31)))
+ SUMPRODUCT(('Form responses 1'!$D$2:$D1000 = A30) * ('Form responses 1'!$A$2:$A1000 &lt;= DATE(2025, 10, 31)))
+ SUMPRODUCT(('Form responses 1'!$E$2:$E1000 = A30) * ('Form responses 1'!$A$2:$A1000 &lt;= DATE(2025, 10, 31)))
+ SUMPRODUCT(('Form responses 1'!$F$2:$F1000 = A30) * ('Form responses 1'!$A$2:$A1000 &lt;= DATE(2025, 10, 31)))
+ SUMPRODUCT(('Form responses 1'!$G$2:$G1000 = A30) * ('Form responses 1'!$A$2:$A1000 &lt;= DATE(2025, 10, 31)))), 2), "-")
</f>
        <v>0.54</v>
      </c>
      <c r="Y30" s="2">
        <f>IFERROR(ROUND(Data!B28/(SUMPRODUCT(('Form responses 1'!$B$2:$B1000 = A30) * ('Form responses 1'!$A$2:$A1000 &lt;= DATE(2025, 11, 30)))
+ SUMPRODUCT(('Form responses 1'!$C$2:$C1000 = A30) * ('Form responses 1'!$A$2:$A1000 &lt;= DATE(2025, 11, 30)))
+ SUMPRODUCT(('Form responses 1'!$D$2:$D1000 = A30) * ('Form responses 1'!$A$2:$A1000 &lt;= DATE(2025, 11, 30)))
+ SUMPRODUCT(('Form responses 1'!$E$2:$E1000 = A30) * ('Form responses 1'!$A$2:$A1000 &lt;= DATE(2025, 11, 30)))
+ SUMPRODUCT(('Form responses 1'!$F$2:$F1000 = A30) * ('Form responses 1'!$A$2:$A1000 &lt;= DATE(2025, 11, 30)))
+ SUMPRODUCT(('Form responses 1'!$G$2:$G1000 = A30) * ('Form responses 1'!$A$2:$A1000 &lt;= DATE(2025, 11, 30)))), 2), "-")
</f>
        <v>0.54</v>
      </c>
      <c r="Z30" s="2">
        <f>IFERROR(ROUND(Data!B28/(SUMPRODUCT(('Form responses 1'!$B$2:$B1000 = A30) * ('Form responses 1'!$A$2:$A1000 &lt;= DATE(2025, 12, 31)))
+ SUMPRODUCT(('Form responses 1'!$C$2:$C1000 = A30) * ('Form responses 1'!$A$2:$A1000 &lt;= DATE(2025, 12, 31)))
+ SUMPRODUCT(('Form responses 1'!$D$2:$D1000 = A30) * ('Form responses 1'!$A$2:$A1000 &lt;= DATE(2025, 12, 31)))
+ SUMPRODUCT(('Form responses 1'!$E$2:$E1000 = A30) * ('Form responses 1'!$A$2:$A1000 &lt;= DATE(2025, 12, 31)))
+ SUMPRODUCT(('Form responses 1'!$F$2:$F1000 = A30) * ('Form responses 1'!$A$2:$A1000 &lt;= DATE(2025, 12, 31)))
+ SUMPRODUCT(('Form responses 1'!$G$2:$G1000 = A30) * ('Form responses 1'!$A$2:$A1000 &lt;= DATE(2025, 12, 31)))), 2), "-")
</f>
        <v>0.54</v>
      </c>
      <c r="AA30" s="2">
        <f>IFERROR(ROUND(Data!$B30/(
  SUMPRODUCT(('Form responses 1'!$B$2:$B1000=$A30)*('Form responses 1'!$A$2:$A1000&lt;=EOMONTH(DATEVALUE("1 "&amp;AA$1),0)))+
  SUMPRODUCT(('Form responses 1'!$C$2:$C1000=$A30)*('Form responses 1'!$A$2:$A1000&lt;=EOMONTH(DATEVALUE("1 "&amp;AA$1),0)))+
  SUMPRODUCT(('Form responses 1'!$D$2:$D1000=$A30)*('Form responses 1'!$A$2:$A1000&lt;=EOMONTH(DATEVALUE("1 "&amp;AA$1),0)))+
  SUMPRODUCT(('Form responses 1'!$E$2:$E1000=$A30)*('Form responses 1'!$A$2:$A1000&lt;=EOMONTH(DATEVALUE("1 "&amp;AA$1),0)))+
  SUMPRODUCT(('Form responses 1'!$F$2:$F1000=$A30)*('Form responses 1'!$A$2:$A1000&lt;=EOMONTH(DATEVALUE("1 "&amp;AA$1),0)))+
  SUMPRODUCT(('Form responses 1'!$G$2:$G1000=$A30)*('Form responses 1'!$A$2:$A1000&lt;=EOMONTH(DATEVALUE("1 "&amp;AA$1),0)))
),2),"-")</f>
        <v>0.71</v>
      </c>
      <c r="AB30" s="2">
        <f>IFERROR(ROUND(Data!$B30/(
  SUMPRODUCT(('Form responses 1'!$B$2:$B1000=$A30)*('Form responses 1'!$A$2:$A1000&lt;=EOMONTH(DATEVALUE("1 "&amp;AB$1),0)))+
  SUMPRODUCT(('Form responses 1'!$C$2:$C1000=$A30)*('Form responses 1'!$A$2:$A1000&lt;=EOMONTH(DATEVALUE("1 "&amp;AB$1),0)))+
  SUMPRODUCT(('Form responses 1'!$D$2:$D1000=$A30)*('Form responses 1'!$A$2:$A1000&lt;=EOMONTH(DATEVALUE("1 "&amp;AB$1),0)))+
  SUMPRODUCT(('Form responses 1'!$E$2:$E1000=$A30)*('Form responses 1'!$A$2:$A1000&lt;=EOMONTH(DATEVALUE("1 "&amp;AB$1),0)))+
  SUMPRODUCT(('Form responses 1'!$F$2:$F1000=$A30)*('Form responses 1'!$A$2:$A1000&lt;=EOMONTH(DATEVALUE("1 "&amp;AB$1),0)))+
  SUMPRODUCT(('Form responses 1'!$G$2:$G1000=$A30)*('Form responses 1'!$A$2:$A1000&lt;=EOMONTH(DATEVALUE("1 "&amp;AB$1),0)))
),2),"-")</f>
        <v>0.71</v>
      </c>
      <c r="AC30" s="2">
        <f>IFERROR(ROUND(Data!$B30/(
  SUMPRODUCT(('Form responses 1'!$B$2:$B1000=$A30)*('Form responses 1'!$A$2:$A1000&lt;=EOMONTH(DATEVALUE("1 "&amp;AC$1),0)))+
  SUMPRODUCT(('Form responses 1'!$C$2:$C1000=$A30)*('Form responses 1'!$A$2:$A1000&lt;=EOMONTH(DATEVALUE("1 "&amp;AC$1),0)))+
  SUMPRODUCT(('Form responses 1'!$D$2:$D1000=$A30)*('Form responses 1'!$A$2:$A1000&lt;=EOMONTH(DATEVALUE("1 "&amp;AC$1),0)))+
  SUMPRODUCT(('Form responses 1'!$E$2:$E1000=$A30)*('Form responses 1'!$A$2:$A1000&lt;=EOMONTH(DATEVALUE("1 "&amp;AC$1),0)))+
  SUMPRODUCT(('Form responses 1'!$F$2:$F1000=$A30)*('Form responses 1'!$A$2:$A1000&lt;=EOMONTH(DATEVALUE("1 "&amp;AC$1),0)))+
  SUMPRODUCT(('Form responses 1'!$G$2:$G1000=$A30)*('Form responses 1'!$A$2:$A1000&lt;=EOMONTH(DATEVALUE("1 "&amp;AC$1),0)))
),2),"-")</f>
        <v>0.71</v>
      </c>
      <c r="AD30" s="2" t="str">
        <f>IFERROR(ROUND(Data!$B30/(
  SUMPRODUCT(('Form responses 1'!$B$2:$B1000=$A30)*('Form responses 1'!$A$2:$A1000&lt;=EOMONTH(DATEVALUE("1 "&amp;AD$1),0)))+
  SUMPRODUCT(('Form responses 1'!$C$2:$C1000=$A30)*('Form responses 1'!$A$2:$A1000&lt;=EOMONTH(DATEVALUE("1 "&amp;AD$1),0)))+
  SUMPRODUCT(('Form responses 1'!$D$2:$D1000=$A30)*('Form responses 1'!$A$2:$A1000&lt;=EOMONTH(DATEVALUE("1 "&amp;AD$1),0)))+
  SUMPRODUCT(('Form responses 1'!$E$2:$E1000=$A30)*('Form responses 1'!$A$2:$A1000&lt;=EOMONTH(DATEVALUE("1 "&amp;AD$1),0)))+
  SUMPRODUCT(('Form responses 1'!$F$2:$F1000=$A30)*('Form responses 1'!$A$2:$A1000&lt;=EOMONTH(DATEVALUE("1 "&amp;AD$1),0)))+
  SUMPRODUCT(('Form responses 1'!$G$2:$G1000=$A30)*('Form responses 1'!$A$2:$A1000&lt;=EOMONTH(DATEVALUE("1 "&amp;AD$1),0)))
),2),"-")</f>
        <v>-</v>
      </c>
      <c r="AE30" s="2" t="str">
        <f>IFERROR(ROUND(Data!$B30/(
  SUMPRODUCT(('Form responses 1'!$B$2:$B1000=$A30)*('Form responses 1'!$A$2:$A1000&lt;=EOMONTH(DATEVALUE("1 "&amp;AE$1),0)))+
  SUMPRODUCT(('Form responses 1'!$C$2:$C1000=$A30)*('Form responses 1'!$A$2:$A1000&lt;=EOMONTH(DATEVALUE("1 "&amp;AE$1),0)))+
  SUMPRODUCT(('Form responses 1'!$D$2:$D1000=$A30)*('Form responses 1'!$A$2:$A1000&lt;=EOMONTH(DATEVALUE("1 "&amp;AE$1),0)))+
  SUMPRODUCT(('Form responses 1'!$E$2:$E1000=$A30)*('Form responses 1'!$A$2:$A1000&lt;=EOMONTH(DATEVALUE("1 "&amp;AE$1),0)))+
  SUMPRODUCT(('Form responses 1'!$F$2:$F1000=$A30)*('Form responses 1'!$A$2:$A1000&lt;=EOMONTH(DATEVALUE("1 "&amp;AE$1),0)))+
  SUMPRODUCT(('Form responses 1'!$G$2:$G1000=$A30)*('Form responses 1'!$A$2:$A1000&lt;=EOMONTH(DATEVALUE("1 "&amp;AE$1),0)))
),2),"-")</f>
        <v>-</v>
      </c>
      <c r="AF30" s="2" t="str">
        <f>IFERROR(ROUND(Data!$B30/(
  SUMPRODUCT(('Form responses 1'!$B$2:$B1000=$A30)*('Form responses 1'!$A$2:$A1000&lt;=EOMONTH(DATEVALUE("1 "&amp;AF$1),0)))+
  SUMPRODUCT(('Form responses 1'!$C$2:$C1000=$A30)*('Form responses 1'!$A$2:$A1000&lt;=EOMONTH(DATEVALUE("1 "&amp;AF$1),0)))+
  SUMPRODUCT(('Form responses 1'!$D$2:$D1000=$A30)*('Form responses 1'!$A$2:$A1000&lt;=EOMONTH(DATEVALUE("1 "&amp;AF$1),0)))+
  SUMPRODUCT(('Form responses 1'!$E$2:$E1000=$A30)*('Form responses 1'!$A$2:$A1000&lt;=EOMONTH(DATEVALUE("1 "&amp;AF$1),0)))+
  SUMPRODUCT(('Form responses 1'!$F$2:$F1000=$A30)*('Form responses 1'!$A$2:$A1000&lt;=EOMONTH(DATEVALUE("1 "&amp;AF$1),0)))+
  SUMPRODUCT(('Form responses 1'!$G$2:$G1000=$A30)*('Form responses 1'!$A$2:$A1000&lt;=EOMONTH(DATEVALUE("1 "&amp;AF$1),0)))
),2),"-")</f>
        <v>-</v>
      </c>
      <c r="AG30" s="2" t="str">
        <f>IFERROR(ROUND(Data!$B30/(
  SUMPRODUCT(('Form responses 1'!$B$2:$B1000=$A30)*('Form responses 1'!$A$2:$A1000&lt;=EOMONTH(DATEVALUE("1 "&amp;AG$1),0)))+
  SUMPRODUCT(('Form responses 1'!$C$2:$C1000=$A30)*('Form responses 1'!$A$2:$A1000&lt;=EOMONTH(DATEVALUE("1 "&amp;AG$1),0)))+
  SUMPRODUCT(('Form responses 1'!$D$2:$D1000=$A30)*('Form responses 1'!$A$2:$A1000&lt;=EOMONTH(DATEVALUE("1 "&amp;AG$1),0)))+
  SUMPRODUCT(('Form responses 1'!$E$2:$E1000=$A30)*('Form responses 1'!$A$2:$A1000&lt;=EOMONTH(DATEVALUE("1 "&amp;AG$1),0)))+
  SUMPRODUCT(('Form responses 1'!$F$2:$F1000=$A30)*('Form responses 1'!$A$2:$A1000&lt;=EOMONTH(DATEVALUE("1 "&amp;AG$1),0)))+
  SUMPRODUCT(('Form responses 1'!$G$2:$G1000=$A30)*('Form responses 1'!$A$2:$A1000&lt;=EOMONTH(DATEVALUE("1 "&amp;AG$1),0)))
),2),"-")</f>
        <v>-</v>
      </c>
      <c r="AH30" s="2" t="str">
        <f>IFERROR(ROUND(Data!$B30/(
  SUMPRODUCT(('Form responses 1'!$B$2:$B1000=$A30)*('Form responses 1'!$A$2:$A1000&lt;=EOMONTH(DATEVALUE("1 "&amp;AH$1),0)))+
  SUMPRODUCT(('Form responses 1'!$C$2:$C1000=$A30)*('Form responses 1'!$A$2:$A1000&lt;=EOMONTH(DATEVALUE("1 "&amp;AH$1),0)))+
  SUMPRODUCT(('Form responses 1'!$D$2:$D1000=$A30)*('Form responses 1'!$A$2:$A1000&lt;=EOMONTH(DATEVALUE("1 "&amp;AH$1),0)))+
  SUMPRODUCT(('Form responses 1'!$E$2:$E1000=$A30)*('Form responses 1'!$A$2:$A1000&lt;=EOMONTH(DATEVALUE("1 "&amp;AH$1),0)))+
  SUMPRODUCT(('Form responses 1'!$F$2:$F1000=$A30)*('Form responses 1'!$A$2:$A1000&lt;=EOMONTH(DATEVALUE("1 "&amp;AH$1),0)))+
  SUMPRODUCT(('Form responses 1'!$G$2:$G1000=$A30)*('Form responses 1'!$A$2:$A1000&lt;=EOMONTH(DATEVALUE("1 "&amp;AH$1),0)))
),2),"-")</f>
        <v>-</v>
      </c>
      <c r="AI30" s="2" t="str">
        <f>IFERROR(ROUND(Data!$B30/(
  SUMPRODUCT(('Form responses 1'!$B$2:$B1000=$A30)*('Form responses 1'!$A$2:$A1000&lt;=EOMONTH(DATEVALUE("1 "&amp;AI$1),0)))+
  SUMPRODUCT(('Form responses 1'!$C$2:$C1000=$A30)*('Form responses 1'!$A$2:$A1000&lt;=EOMONTH(DATEVALUE("1 "&amp;AI$1),0)))+
  SUMPRODUCT(('Form responses 1'!$D$2:$D1000=$A30)*('Form responses 1'!$A$2:$A1000&lt;=EOMONTH(DATEVALUE("1 "&amp;AI$1),0)))+
  SUMPRODUCT(('Form responses 1'!$E$2:$E1000=$A30)*('Form responses 1'!$A$2:$A1000&lt;=EOMONTH(DATEVALUE("1 "&amp;AI$1),0)))+
  SUMPRODUCT(('Form responses 1'!$F$2:$F1000=$A30)*('Form responses 1'!$A$2:$A1000&lt;=EOMONTH(DATEVALUE("1 "&amp;AI$1),0)))+
  SUMPRODUCT(('Form responses 1'!$G$2:$G1000=$A30)*('Form responses 1'!$A$2:$A1000&lt;=EOMONTH(DATEVALUE("1 "&amp;AI$1),0)))
),2),"-")</f>
        <v>-</v>
      </c>
      <c r="AJ30" s="2" t="str">
        <f>IFERROR(ROUND(Data!$B30/(
  SUMPRODUCT(('Form responses 1'!$B$2:$B1000=$A30)*('Form responses 1'!$A$2:$A1000&lt;=EOMONTH(DATEVALUE("1 "&amp;AJ$1),0)))+
  SUMPRODUCT(('Form responses 1'!$C$2:$C1000=$A30)*('Form responses 1'!$A$2:$A1000&lt;=EOMONTH(DATEVALUE("1 "&amp;AJ$1),0)))+
  SUMPRODUCT(('Form responses 1'!$D$2:$D1000=$A30)*('Form responses 1'!$A$2:$A1000&lt;=EOMONTH(DATEVALUE("1 "&amp;AJ$1),0)))+
  SUMPRODUCT(('Form responses 1'!$E$2:$E1000=$A30)*('Form responses 1'!$A$2:$A1000&lt;=EOMONTH(DATEVALUE("1 "&amp;AJ$1),0)))+
  SUMPRODUCT(('Form responses 1'!$F$2:$F1000=$A30)*('Form responses 1'!$A$2:$A1000&lt;=EOMONTH(DATEVALUE("1 "&amp;AJ$1),0)))+
  SUMPRODUCT(('Form responses 1'!$G$2:$G1000=$A30)*('Form responses 1'!$A$2:$A1000&lt;=EOMONTH(DATEVALUE("1 "&amp;AJ$1),0)))
),2),"-")</f>
        <v>-</v>
      </c>
      <c r="AK30" s="2" t="str">
        <f>IFERROR(ROUND(Data!$B30/(
  SUMPRODUCT(('Form responses 1'!$B$2:$B1000=$A30)*('Form responses 1'!$A$2:$A1000&lt;=EOMONTH(DATEVALUE("1 "&amp;AK$1),0)))+
  SUMPRODUCT(('Form responses 1'!$C$2:$C1000=$A30)*('Form responses 1'!$A$2:$A1000&lt;=EOMONTH(DATEVALUE("1 "&amp;AK$1),0)))+
  SUMPRODUCT(('Form responses 1'!$D$2:$D1000=$A30)*('Form responses 1'!$A$2:$A1000&lt;=EOMONTH(DATEVALUE("1 "&amp;AK$1),0)))+
  SUMPRODUCT(('Form responses 1'!$E$2:$E1000=$A30)*('Form responses 1'!$A$2:$A1000&lt;=EOMONTH(DATEVALUE("1 "&amp;AK$1),0)))+
  SUMPRODUCT(('Form responses 1'!$F$2:$F1000=$A30)*('Form responses 1'!$A$2:$A1000&lt;=EOMONTH(DATEVALUE("1 "&amp;AK$1),0)))+
  SUMPRODUCT(('Form responses 1'!$G$2:$G1000=$A30)*('Form responses 1'!$A$2:$A1000&lt;=EOMONTH(DATEVALUE("1 "&amp;AK$1),0)))
),2),"-")</f>
        <v>-</v>
      </c>
      <c r="AL30" s="2" t="str">
        <f>IFERROR(ROUND(Data!$B30/(
  SUMPRODUCT(('Form responses 1'!$B$2:$B1000=$A30)*('Form responses 1'!$A$2:$A1000&lt;=EOMONTH(DATEVALUE("1 "&amp;AL$1),0)))+
  SUMPRODUCT(('Form responses 1'!$C$2:$C1000=$A30)*('Form responses 1'!$A$2:$A1000&lt;=EOMONTH(DATEVALUE("1 "&amp;AL$1),0)))+
  SUMPRODUCT(('Form responses 1'!$D$2:$D1000=$A30)*('Form responses 1'!$A$2:$A1000&lt;=EOMONTH(DATEVALUE("1 "&amp;AL$1),0)))+
  SUMPRODUCT(('Form responses 1'!$E$2:$E1000=$A30)*('Form responses 1'!$A$2:$A1000&lt;=EOMONTH(DATEVALUE("1 "&amp;AL$1),0)))+
  SUMPRODUCT(('Form responses 1'!$F$2:$F1000=$A30)*('Form responses 1'!$A$2:$A1000&lt;=EOMONTH(DATEVALUE("1 "&amp;AL$1),0)))+
  SUMPRODUCT(('Form responses 1'!$G$2:$G1000=$A30)*('Form responses 1'!$A$2:$A1000&lt;=EOMONTH(DATEVALUE("1 "&amp;AL$1),0)))
),2),"-")</f>
        <v>-</v>
      </c>
    </row>
    <row r="31">
      <c r="A31" s="3" t="str">
        <f>IFERROR(__xludf.DUMMYFUNCTION("""COMPUTED_VALUE"""),"Rood t-shirt")</f>
        <v>Rood t-shirt</v>
      </c>
      <c r="B31" s="2">
        <f>Data!F29:F1000</f>
        <v>3.33</v>
      </c>
      <c r="C31" s="2">
        <f>IFERROR(ROUND(Data!B29/(SUMPRODUCT(('Form responses 1'!$B$2:$B1000 = A31) * ('Form responses 1'!$A$2:$A1000 &lt;= DATE(2024, 1, 31)))
+ SUMPRODUCT(('Form responses 1'!$C$2:$C1000 = A31) * ('Form responses 1'!$A$2:$A1000 &lt;= DATE(2024, 1, 31)))
+ SUMPRODUCT(('Form responses 1'!$D$2:$D1000 = A31) * ('Form responses 1'!$A$2:$A1000 &lt;= DATE(2024, 1, 31)))
+ SUMPRODUCT(('Form responses 1'!$E$2:$E1000 = A31) * ('Form responses 1'!$A$2:$A1000 &lt;= DATE(2024, 1, 31)))
+ SUMPRODUCT(('Form responses 1'!$F$2:$F1000 = A31) * ('Form responses 1'!$A$2:$A1000 &lt;= DATE(2024, 1, 31)))
+ SUMPRODUCT(('Form responses 1'!$G$2:$G1000 = A31) * ('Form responses 1'!$A$2:$A1000 &lt;= DATE(2024, 1, 31)))), 2), "-")
</f>
        <v>4</v>
      </c>
      <c r="D31" s="2">
        <f>IFERROR(ROUND(Data!B29/(SUMPRODUCT(('Form responses 1'!$B$2:$B1000 = A31) * ('Form responses 1'!$A$2:$A1000 &lt;= DATE(2024, 2, 29)))
+ SUMPRODUCT(('Form responses 1'!$C$2:$C1000 = A31) * ('Form responses 1'!$A$2:$A1000 &lt;= DATE(2024, 2, 29)))
+ SUMPRODUCT(('Form responses 1'!$D$2:$D1000 = A31) * ('Form responses 1'!$A$2:$A1000 &lt;= DATE(2024, 2, 29)))
+ SUMPRODUCT(('Form responses 1'!$E$2:$E1000 = A31) * ('Form responses 1'!$A$2:$A1000 &lt;= DATE(2024, 2, 29)))
+ SUMPRODUCT(('Form responses 1'!$F$2:$F1000 = A31) * ('Form responses 1'!$A$2:$A1000 &lt;= DATE(2024, 2, 29)))
+ SUMPRODUCT(('Form responses 1'!$G$2:$G1000 = A31) * ('Form responses 1'!$A$2:$A1000 &lt;= DATE(2024, 2, 29)))), 2), "-")
</f>
        <v>4</v>
      </c>
      <c r="E31" s="2">
        <f>IFERROR(ROUND(Data!B29/(SUMPRODUCT(('Form responses 1'!$B$2:$B1000 = A31) * ('Form responses 1'!$A$2:$A1000 &lt;= DATE(2024, 3, 31)))
+ SUMPRODUCT(('Form responses 1'!$C$2:$C1000 = A31) * ('Form responses 1'!$A$2:$A1000 &lt;= DATE(2024, 3, 31)))
+ SUMPRODUCT(('Form responses 1'!$D$2:$D1000 = A31) * ('Form responses 1'!$A$2:$A1000 &lt;= DATE(2024, 3, 31)))
+ SUMPRODUCT(('Form responses 1'!$E$2:$E1000 = A31) * ('Form responses 1'!$A$2:$A1000 &lt;= DATE(2024, 3, 31)))
+ SUMPRODUCT(('Form responses 1'!$F$2:$F1000 = A31) * ('Form responses 1'!$A$2:$A1000 &lt;= DATE(2024, 3, 31)))
+ SUMPRODUCT(('Form responses 1'!$G$2:$G1000 = A31) * ('Form responses 1'!$A$2:$A1000 &lt;= DATE(2024, 3, 31)))), 2), "-")
</f>
        <v>4</v>
      </c>
      <c r="F31" s="2">
        <f>IFERROR(ROUND(Data!B29/(SUMPRODUCT(('Form responses 1'!$B$2:$B1000 = A31) * ('Form responses 1'!$A$2:$A1000 &lt;= DATE(2024, 4, 30)))
+ SUMPRODUCT(('Form responses 1'!$C$2:$C1000 = A31) * ('Form responses 1'!$A$2:$A1000 &lt;= DATE(2024, 4, 30)))
+ SUMPRODUCT(('Form responses 1'!$D$2:$D1000 = A31) * ('Form responses 1'!$A$2:$A1000 &lt;= DATE(2024, 4, 30)))
+ SUMPRODUCT(('Form responses 1'!$E$2:$E1000 = A31) * ('Form responses 1'!$A$2:$A1000 &lt;= DATE(2024, 4, 30)))
+ SUMPRODUCT(('Form responses 1'!$F$2:$F1000 = A31) * ('Form responses 1'!$A$2:$A1000 &lt;= DATE(2024, 4, 30)))
+ SUMPRODUCT(('Form responses 1'!$G$2:$G1000 = A31) * ('Form responses 1'!$A$2:$A1000 &lt;= DATE(2024, 4, 30)))), 2), "-")
</f>
        <v>4</v>
      </c>
      <c r="G31" s="2">
        <f>IFERROR(ROUND(Data!B29/(SUMPRODUCT(('Form responses 1'!$B$2:$B1000 = A31) * ('Form responses 1'!$A$2:$A1000 &lt;= DATE(2024, 5, 31)))
+ SUMPRODUCT(('Form responses 1'!$C$2:$C1000 = A31) * ('Form responses 1'!$A$2:$A1000 &lt;= DATE(2024, 5, 31)))
+ SUMPRODUCT(('Form responses 1'!$D$2:$D1000 = A31) * ('Form responses 1'!$A$2:$A1000 &lt;= DATE(2024, 5, 31)))
+ SUMPRODUCT(('Form responses 1'!$E$2:$E1000 = A31) * ('Form responses 1'!$A$2:$A1000 &lt;= DATE(2024, 5, 31)))
+ SUMPRODUCT(('Form responses 1'!$F$2:$F1000 = A31) * ('Form responses 1'!$A$2:$A1000 &lt;= DATE(2024, 5, 31)))
+ SUMPRODUCT(('Form responses 1'!$G$2:$G1000 = A31) * ('Form responses 1'!$A$2:$A1000 &lt;= DATE(2024, 5, 31)))), 2), "-")
</f>
        <v>4</v>
      </c>
      <c r="H31" s="2">
        <f>IFERROR(ROUND(Data!B29/(SUMPRODUCT(('Form responses 1'!$B$2:$B1000 = A31) * ('Form responses 1'!$A$2:$A1000 &lt;= DATE(2024, 6, 30)))
+ SUMPRODUCT(('Form responses 1'!$C$2:$C1000 = A31) * ('Form responses 1'!$A$2:$A1000 &lt;= DATE(2024, 6, 30)))
+ SUMPRODUCT(('Form responses 1'!$D$2:$D1000 = A31) * ('Form responses 1'!$A$2:$A1000 &lt;= DATE(2024, 6, 30)))
+ SUMPRODUCT(('Form responses 1'!$E$2:$E1000 = A31) * ('Form responses 1'!$A$2:$A1000 &lt;= DATE(2024, 6, 30)))
+ SUMPRODUCT(('Form responses 1'!$F$2:$F1000 = A31) * ('Form responses 1'!$A$2:$A1000 &lt;= DATE(2024, 6, 30)))
+ SUMPRODUCT(('Form responses 1'!$G$2:$G1000 = A31) * ('Form responses 1'!$A$2:$A1000 &lt;= DATE(2024, 6, 30)))), 2), "-")
</f>
        <v>4</v>
      </c>
      <c r="I31" s="2">
        <f>IFERROR(ROUND(Data!B29/(SUMPRODUCT(('Form responses 1'!$B$2:$B1000 = A31) * ('Form responses 1'!$A$2:$A1000 &lt;= DATE(2024, 7, 31)))
+ SUMPRODUCT(('Form responses 1'!$C$2:$C1000 = A31) * ('Form responses 1'!$A$2:$A1000 &lt;= DATE(2024, 7, 31)))
+ SUMPRODUCT(('Form responses 1'!$D$2:$D1000 = A31) * ('Form responses 1'!$A$2:$A1000 &lt;= DATE(2024, 7, 31)))
+ SUMPRODUCT(('Form responses 1'!$E$2:$E1000 = A31) * ('Form responses 1'!$A$2:$A1000 &lt;= DATE(2024, 7, 31)))
+ SUMPRODUCT(('Form responses 1'!$F$2:$F1000 = A31) * ('Form responses 1'!$A$2:$A1000 &lt;= DATE(2024, 7, 31)))
+ SUMPRODUCT(('Form responses 1'!$G$2:$G1000 = A31) * ('Form responses 1'!$A$2:$A1000 &lt;= DATE(2024, 7, 31)))), 2), "-")
</f>
        <v>4</v>
      </c>
      <c r="J31" s="2">
        <f>IFERROR(ROUND(Data!B29/(SUMPRODUCT(('Form responses 1'!$B$2:$B1000 = A31) * ('Form responses 1'!$A$2:$A1000 &lt;= DATE(2024, 8, 31)))
+ SUMPRODUCT(('Form responses 1'!$C$2:$C1000 = A31) * ('Form responses 1'!$A$2:$A1000 &lt;= DATE(2024, 8, 31)))
+ SUMPRODUCT(('Form responses 1'!$D$2:$D1000 = A31) * ('Form responses 1'!$A$2:$A1000 &lt;= DATE(2024, 8, 31)))
+ SUMPRODUCT(('Form responses 1'!$E$2:$E1000 = A31) * ('Form responses 1'!$A$2:$A1000 &lt;= DATE(2024, 8, 31)))
+ SUMPRODUCT(('Form responses 1'!$F$2:$F1000 = A31) * ('Form responses 1'!$A$2:$A1000 &lt;= DATE(2024, 8, 31)))
+ SUMPRODUCT(('Form responses 1'!$G$2:$G1000 = A31) * ('Form responses 1'!$A$2:$A1000 &lt;= DATE(2024, 8, 31)))), 2), "-")
</f>
        <v>4</v>
      </c>
      <c r="K31" s="2">
        <f>IFERROR(ROUND(Data!B29/(SUMPRODUCT(('Form responses 1'!$B$2:$B1000 = A31) * ('Form responses 1'!$A$2:$A1000 &lt;= DATE(2024, 9, 30)))
+ SUMPRODUCT(('Form responses 1'!$C$2:$C1000 = A31) * ('Form responses 1'!$A$2:$A1000 &lt;= DATE(2024, 9, 30)))
+ SUMPRODUCT(('Form responses 1'!$D$2:$D1000 = A31) * ('Form responses 1'!$A$2:$A1000 &lt;= DATE(2024, 9, 30)))
+ SUMPRODUCT(('Form responses 1'!$E$2:$E1000 = A31) * ('Form responses 1'!$A$2:$A1000 &lt;= DATE(2024, 9, 30)))
+ SUMPRODUCT(('Form responses 1'!$F$2:$F1000 = A31) * ('Form responses 1'!$A$2:$A1000 &lt;= DATE(2024, 9, 30)))
+ SUMPRODUCT(('Form responses 1'!$G$2:$G1000 = A31) * ('Form responses 1'!$A$2:$A1000 &lt;= DATE(2024, 9, 30)))), 2), "-")
</f>
        <v>4</v>
      </c>
      <c r="L31" s="2">
        <f>IFERROR(ROUND(Data!B29/(SUMPRODUCT(('Form responses 1'!$B$2:$B1000 = A31) * ('Form responses 1'!$A$2:$A1000 &lt;= DATE(2024, 10, 31)))
+ SUMPRODUCT(('Form responses 1'!$C$2:$C1000 = A31) * ('Form responses 1'!$A$2:$A1000 &lt;= DATE(2024, 10, 31)))
+ SUMPRODUCT(('Form responses 1'!$D$2:$D1000 = A31) * ('Form responses 1'!$A$2:$A1000 &lt;= DATE(2024, 10, 31)))
+ SUMPRODUCT(('Form responses 1'!$E$2:$E1000 = A31) * ('Form responses 1'!$A$2:$A1000 &lt;= DATE(2024, 10, 31)))
+ SUMPRODUCT(('Form responses 1'!$F$2:$F1000 = A31) * ('Form responses 1'!$A$2:$A1000 &lt;= DATE(2024, 10, 31)))
+ SUMPRODUCT(('Form responses 1'!$G$2:$G1000 = A31) * ('Form responses 1'!$A$2:$A1000 &lt;= DATE(2024, 10, 31)))), 2), "-")
</f>
        <v>4</v>
      </c>
      <c r="M31" s="2">
        <f>IFERROR(ROUND(Data!B29/(SUMPRODUCT(('Form responses 1'!$B$2:$B1000 = A31) * ('Form responses 1'!$A$2:$A1000 &lt;= DATE(2024, 11, 30)))
+ SUMPRODUCT(('Form responses 1'!$C$2:$C1000 = A31) * ('Form responses 1'!$A$2:$A1000 &lt;= DATE(2024, 11, 30)))
+ SUMPRODUCT(('Form responses 1'!$D$2:$D1000 = A31) * ('Form responses 1'!$A$2:$A1000 &lt;= DATE(2024, 11, 30)))
+ SUMPRODUCT(('Form responses 1'!$E$2:$E1000 = A31) * ('Form responses 1'!$A$2:$A1000 &lt;= DATE(2024, 11, 30)))
+ SUMPRODUCT(('Form responses 1'!$F$2:$F1000 = A31) * ('Form responses 1'!$A$2:$A1000 &lt;= DATE(2024, 11, 30)))
+ SUMPRODUCT(('Form responses 1'!$G$2:$G1000 = A31) * ('Form responses 1'!$A$2:$A1000 &lt;= DATE(2024, 11, 30)))), 2), "-")
</f>
        <v>4</v>
      </c>
      <c r="N31" s="2">
        <f>IFERROR(ROUND(Data!B29/(SUMPRODUCT(('Form responses 1'!$B$2:$B1000 = A31) * ('Form responses 1'!$A$2:$A1000 &lt;= DATE(2024, 12, 31)))
+ SUMPRODUCT(('Form responses 1'!$C$2:$C1000 = A31) * ('Form responses 1'!$A$2:$A1000 &lt;= DATE(2024, 12, 31)))
+ SUMPRODUCT(('Form responses 1'!$D$2:$D1000 = A31) * ('Form responses 1'!$A$2:$A1000 &lt;= DATE(2024, 12, 31)))
+ SUMPRODUCT(('Form responses 1'!$E$2:$E1000 = A31) * ('Form responses 1'!$A$2:$A1000 &lt;= DATE(2024, 12, 31)))
+ SUMPRODUCT(('Form responses 1'!$F$2:$F1000 = A31) * ('Form responses 1'!$A$2:$A1000 &lt;= DATE(2024, 12, 31)))
+ SUMPRODUCT(('Form responses 1'!$G$2:$G1000 = A31) * ('Form responses 1'!$A$2:$A1000 &lt;= DATE(2024, 12, 31)))), 2), "-")
</f>
        <v>4</v>
      </c>
      <c r="O31" s="2">
        <f>IFERROR(ROUND(Data!B29/(SUMPRODUCT(('Form responses 1'!$B$2:$B1000 = A31) * ('Form responses 1'!$A$2:$A1000 &lt;= DATE(2025, 1, 31)))
+ SUMPRODUCT(('Form responses 1'!$C$2:$C1000 = A31) * ('Form responses 1'!$A$2:$A1000 &lt;= DATE(2025, 1, 31)))
+ SUMPRODUCT(('Form responses 1'!$D$2:$D1000 = A31) * ('Form responses 1'!$A$2:$A1000 &lt;= DATE(2025, 1, 31)))
+ SUMPRODUCT(('Form responses 1'!$E$2:$E1000 = A31) * ('Form responses 1'!$A$2:$A1000 &lt;= DATE(2025, 1, 31)))
+ SUMPRODUCT(('Form responses 1'!$F$2:$F1000 = A31) * ('Form responses 1'!$A$2:$A1000 &lt;= DATE(2025, 1, 31)))
+ SUMPRODUCT(('Form responses 1'!$G$2:$G1000 = A31) * ('Form responses 1'!$A$2:$A1000 &lt;= DATE(2025, 1, 31)))), 2), "-")
</f>
        <v>4</v>
      </c>
      <c r="P31" s="2">
        <f>IFERROR(ROUND(Data!B29/(SUMPRODUCT(('Form responses 1'!$B$2:$B1000 = A31) * ('Form responses 1'!$A$2:$A1000 &lt;= DATE(2025, 2, 28)))
+ SUMPRODUCT(('Form responses 1'!$C$2:$C1000 = A31) * ('Form responses 1'!$A$2:$A1000 &lt;= DATE(2025, 2, 28)))
+ SUMPRODUCT(('Form responses 1'!$D$2:$D1000 = A31) * ('Form responses 1'!$A$2:$A1000 &lt;= DATE(2025, 2, 28)))
+ SUMPRODUCT(('Form responses 1'!$E$2:$E1000 = A31) * ('Form responses 1'!$A$2:$A1000 &lt;= DATE(2025, 2, 28)))
+ SUMPRODUCT(('Form responses 1'!$F$2:$F1000 = A31) * ('Form responses 1'!$A$2:$A1000 &lt;= DATE(2025, 2, 28)))
+ SUMPRODUCT(('Form responses 1'!$G$2:$G1000 = A31) * ('Form responses 1'!$A$2:$A1000 &lt;= DATE(2025, 2, 28)))), 2), "-")
</f>
        <v>4</v>
      </c>
      <c r="Q31" s="2">
        <f>IFERROR(ROUND(Data!B29/(SUMPRODUCT(('Form responses 1'!$B$2:$B1000 = A31) * ('Form responses 1'!$A$2:$A1000 &lt;= DATE(2025, 3, 31)))
+ SUMPRODUCT(('Form responses 1'!$C$2:$C1000 = A31) * ('Form responses 1'!$A$2:$A1000 &lt;= DATE(2025, 3, 31)))
+ SUMPRODUCT(('Form responses 1'!$D$2:$D1000 = A31) * ('Form responses 1'!$A$2:$A1000 &lt;= DATE(2025, 3, 31)))
+ SUMPRODUCT(('Form responses 1'!$E$2:$E1000 = A31) * ('Form responses 1'!$A$2:$A1000 &lt;= DATE(2025, 3, 31)))
+ SUMPRODUCT(('Form responses 1'!$F$2:$F1000 = A31) * ('Form responses 1'!$A$2:$A1000 &lt;= DATE(2025, 3, 31)))
+ SUMPRODUCT(('Form responses 1'!$G$2:$G1000 = A31) * ('Form responses 1'!$A$2:$A1000 &lt;= DATE(2025, 3, 31)))),2),"-")</f>
        <v>4</v>
      </c>
      <c r="R31" s="2">
        <f>IFERROR(ROUND(Data!B29/(SUMPRODUCT(('Form responses 1'!$B$2:$B1000 = A31) * ('Form responses 1'!$A$2:$A1000 &lt;= DATE(2025, 4, 30)))
+ SUMPRODUCT(('Form responses 1'!$C$2:$C1000 = A31) * ('Form responses 1'!$A$2:$A1000 &lt;= DATE(2025, 4, 30)))
+ SUMPRODUCT(('Form responses 1'!$D$2:$D1000 = A31) * ('Form responses 1'!$A$2:$A1000 &lt;= DATE(2025, 4, 30)))
+ SUMPRODUCT(('Form responses 1'!$E$2:$E1000 = A31) * ('Form responses 1'!$A$2:$A1000 &lt;= DATE(2025, 4, 30)))
+ SUMPRODUCT(('Form responses 1'!$F$2:$F1000 = A31) * ('Form responses 1'!$A$2:$A1000 &lt;= DATE(2025, 4, 30)))
+ SUMPRODUCT(('Form responses 1'!$G$2:$G1000 = A31) * ('Form responses 1'!$A$2:$A1000 &lt;= DATE(2025, 4, 30)))), 2), "-")
</f>
        <v>4</v>
      </c>
      <c r="S31" s="2">
        <f>IFERROR(ROUND(Data!B29/(SUMPRODUCT(('Form responses 1'!$B$2:$B1000 = A31) * ('Form responses 1'!$A$2:$A1000 &lt;= DATE(2025, 5, 31)))
+ SUMPRODUCT(('Form responses 1'!$C$2:$C1000 = A31) * ('Form responses 1'!$A$2:$A1000 &lt;= DATE(2025, 5, 31)))
+ SUMPRODUCT(('Form responses 1'!$D$2:$D1000 = A31) * ('Form responses 1'!$A$2:$A1000 &lt;= DATE(2025, 5, 31)))
+ SUMPRODUCT(('Form responses 1'!$E$2:$E1000 = A31) * ('Form responses 1'!$A$2:$A1000 &lt;= DATE(2025, 5, 31)))
+ SUMPRODUCT(('Form responses 1'!$F$2:$F1000 = A31) * ('Form responses 1'!$A$2:$A1000 &lt;= DATE(2025, 5, 31)))
+ SUMPRODUCT(('Form responses 1'!$G$2:$G1000 = A31) * ('Form responses 1'!$A$2:$A1000 &lt;= DATE(2025, 5, 31)))), 2), "-")
</f>
        <v>4</v>
      </c>
      <c r="T31" s="2">
        <f>IFERROR(ROUND(Data!B29/(SUMPRODUCT(('Form responses 1'!$B$2:$B1000 = A31) * ('Form responses 1'!$A$2:$A1000 &lt;= DATE(2025, 6, 30)))
+ SUMPRODUCT(('Form responses 1'!$C$2:$C1000 = A31) * ('Form responses 1'!$A$2:$A1000 &lt;= DATE(2025, 6, 30)))
+ SUMPRODUCT(('Form responses 1'!$D$2:$D1000 = A31) * ('Form responses 1'!$A$2:$A1000 &lt;= DATE(2025, 6, 30)))
+ SUMPRODUCT(('Form responses 1'!$E$2:$E1000 = A31) * ('Form responses 1'!$A$2:$A1000 &lt;= DATE(2025, 6, 30)))
+ SUMPRODUCT(('Form responses 1'!$F$2:$F1000 = A31) * ('Form responses 1'!$A$2:$A1000 &lt;= DATE(2025, 6, 30)))
+ SUMPRODUCT(('Form responses 1'!$G$2:$G1000 = A31) * ('Form responses 1'!$A$2:$A1000 &lt;= DATE(2025, 6, 30)))), 2), "-")
</f>
        <v>4</v>
      </c>
      <c r="U31" s="2">
        <f>IFERROR(ROUND(Data!B29/(SUMPRODUCT(('Form responses 1'!$B$2:$B1000 = A31) * ('Form responses 1'!$A$2:$A1000 &lt;= DATE(2025, 7, 31)))
+ SUMPRODUCT(('Form responses 1'!$C$2:$C1000 = A31) * ('Form responses 1'!$A$2:$A1000 &lt;= DATE(2025, 7, 31)))
+ SUMPRODUCT(('Form responses 1'!$D$2:$D1000 = A31) * ('Form responses 1'!$A$2:$A1000 &lt;= DATE(2025, 7, 31)))
+ SUMPRODUCT(('Form responses 1'!$E$2:$E1000 = A31) * ('Form responses 1'!$A$2:$A1000 &lt;= DATE(2025, 7, 31)))
+ SUMPRODUCT(('Form responses 1'!$F$2:$F1000 = A31) * ('Form responses 1'!$A$2:$A1000 &lt;= DATE(2025, 7, 31)))
+ SUMPRODUCT(('Form responses 1'!$G$2:$G1000 = A31) * ('Form responses 1'!$A$2:$A1000 &lt;= DATE(2025, 7, 31)))), 2), "-")
</f>
        <v>4</v>
      </c>
      <c r="V31" s="2">
        <f>IFERROR(ROUND(Data!B29/(SUMPRODUCT(('Form responses 1'!$B$2:$B1000 = A31) * ('Form responses 1'!$A$2:$A1000 &lt;= DATE(2025, 8, 31)))
+ SUMPRODUCT(('Form responses 1'!$C$2:$C1000 = A31) * ('Form responses 1'!$A$2:$A1000 &lt;= DATE(2025, 8, 31)))
+ SUMPRODUCT(('Form responses 1'!$D$2:$D1000 = A31) * ('Form responses 1'!$A$2:$A1000 &lt;= DATE(2025, 8, 31)))
+ SUMPRODUCT(('Form responses 1'!$E$2:$E1000 = A31) * ('Form responses 1'!$A$2:$A1000 &lt;= DATE(2025, 8, 31)))
+ SUMPRODUCT(('Form responses 1'!$F$2:$F1000 = A31) * ('Form responses 1'!$A$2:$A1000 &lt;= DATE(2025, 8, 31)))
+ SUMPRODUCT(('Form responses 1'!$G$2:$G1000 = A31) * ('Form responses 1'!$A$2:$A1000 &lt;= DATE(2025, 8, 31)))), 2), "-")
</f>
        <v>4</v>
      </c>
      <c r="W31" s="2">
        <f>IFERROR(ROUND(Data!B29/(SUMPRODUCT(('Form responses 1'!$B$2:$B1000 = A31) * ('Form responses 1'!$A$2:$A1000 &lt;= DATE(2025, 9, 30)))
+ SUMPRODUCT(('Form responses 1'!$C$2:$C1000 = A31) * ('Form responses 1'!$A$2:$A1000 &lt;= DATE(2025, 9, 30)))
+ SUMPRODUCT(('Form responses 1'!$D$2:$D1000 = A31) * ('Form responses 1'!$A$2:$A1000 &lt;= DATE(2025, 9, 30)))
+ SUMPRODUCT(('Form responses 1'!$E$2:$E1000 = A31) * ('Form responses 1'!$A$2:$A1000 &lt;= DATE(2025, 9, 30)))
+ SUMPRODUCT(('Form responses 1'!$F$2:$F1000 = A31) * ('Form responses 1'!$A$2:$A1000 &lt;= DATE(2025, 9, 30)))
+ SUMPRODUCT(('Form responses 1'!$G$2:$G1000 = A31) * ('Form responses 1'!$A$2:$A1000 &lt;= DATE(2025, 9, 30)))), 2), "-")
</f>
        <v>4</v>
      </c>
      <c r="X31" s="2">
        <f>IFERROR(ROUND(Data!B29/(SUMPRODUCT(('Form responses 1'!$B$2:$B1000 = A31) * ('Form responses 1'!$A$2:$A1000 &lt;= DATE(2025, 10, 31)))
+ SUMPRODUCT(('Form responses 1'!$C$2:$C1000 = A31) * ('Form responses 1'!$A$2:$A1000 &lt;= DATE(2025, 10, 31)))
+ SUMPRODUCT(('Form responses 1'!$D$2:$D1000 = A31) * ('Form responses 1'!$A$2:$A1000 &lt;= DATE(2025, 10, 31)))
+ SUMPRODUCT(('Form responses 1'!$E$2:$E1000 = A31) * ('Form responses 1'!$A$2:$A1000 &lt;= DATE(2025, 10, 31)))
+ SUMPRODUCT(('Form responses 1'!$F$2:$F1000 = A31) * ('Form responses 1'!$A$2:$A1000 &lt;= DATE(2025, 10, 31)))
+ SUMPRODUCT(('Form responses 1'!$G$2:$G1000 = A31) * ('Form responses 1'!$A$2:$A1000 &lt;= DATE(2025, 10, 31)))), 2), "-")
</f>
        <v>4</v>
      </c>
      <c r="Y31" s="2">
        <f>IFERROR(ROUND(Data!B29/(SUMPRODUCT(('Form responses 1'!$B$2:$B1000 = A31) * ('Form responses 1'!$A$2:$A1000 &lt;= DATE(2025, 11, 30)))
+ SUMPRODUCT(('Form responses 1'!$C$2:$C1000 = A31) * ('Form responses 1'!$A$2:$A1000 &lt;= DATE(2025, 11, 30)))
+ SUMPRODUCT(('Form responses 1'!$D$2:$D1000 = A31) * ('Form responses 1'!$A$2:$A1000 &lt;= DATE(2025, 11, 30)))
+ SUMPRODUCT(('Form responses 1'!$E$2:$E1000 = A31) * ('Form responses 1'!$A$2:$A1000 &lt;= DATE(2025, 11, 30)))
+ SUMPRODUCT(('Form responses 1'!$F$2:$F1000 = A31) * ('Form responses 1'!$A$2:$A1000 &lt;= DATE(2025, 11, 30)))
+ SUMPRODUCT(('Form responses 1'!$G$2:$G1000 = A31) * ('Form responses 1'!$A$2:$A1000 &lt;= DATE(2025, 11, 30)))), 2), "-")
</f>
        <v>4</v>
      </c>
      <c r="Z31" s="2">
        <f>IFERROR(ROUND(Data!B29/(SUMPRODUCT(('Form responses 1'!$B$2:$B1000 = A31) * ('Form responses 1'!$A$2:$A1000 &lt;= DATE(2025, 12, 31)))
+ SUMPRODUCT(('Form responses 1'!$C$2:$C1000 = A31) * ('Form responses 1'!$A$2:$A1000 &lt;= DATE(2025, 12, 31)))
+ SUMPRODUCT(('Form responses 1'!$D$2:$D1000 = A31) * ('Form responses 1'!$A$2:$A1000 &lt;= DATE(2025, 12, 31)))
+ SUMPRODUCT(('Form responses 1'!$E$2:$E1000 = A31) * ('Form responses 1'!$A$2:$A1000 &lt;= DATE(2025, 12, 31)))
+ SUMPRODUCT(('Form responses 1'!$F$2:$F1000 = A31) * ('Form responses 1'!$A$2:$A1000 &lt;= DATE(2025, 12, 31)))
+ SUMPRODUCT(('Form responses 1'!$G$2:$G1000 = A31) * ('Form responses 1'!$A$2:$A1000 &lt;= DATE(2025, 12, 31)))), 2), "-")
</f>
        <v>4</v>
      </c>
      <c r="AA31" s="2">
        <f>IFERROR(ROUND(Data!$B31/(
  SUMPRODUCT(('Form responses 1'!$B$2:$B1000=$A31)*('Form responses 1'!$A$2:$A1000&lt;=EOMONTH(DATEVALUE("1 "&amp;AA$1),0)))+
  SUMPRODUCT(('Form responses 1'!$C$2:$C1000=$A31)*('Form responses 1'!$A$2:$A1000&lt;=EOMONTH(DATEVALUE("1 "&amp;AA$1),0)))+
  SUMPRODUCT(('Form responses 1'!$D$2:$D1000=$A31)*('Form responses 1'!$A$2:$A1000&lt;=EOMONTH(DATEVALUE("1 "&amp;AA$1),0)))+
  SUMPRODUCT(('Form responses 1'!$E$2:$E1000=$A31)*('Form responses 1'!$A$2:$A1000&lt;=EOMONTH(DATEVALUE("1 "&amp;AA$1),0)))+
  SUMPRODUCT(('Form responses 1'!$F$2:$F1000=$A31)*('Form responses 1'!$A$2:$A1000&lt;=EOMONTH(DATEVALUE("1 "&amp;AA$1),0)))+
  SUMPRODUCT(('Form responses 1'!$G$2:$G1000=$A31)*('Form responses 1'!$A$2:$A1000&lt;=EOMONTH(DATEVALUE("1 "&amp;AA$1),0)))
),2),"-")</f>
        <v>3.33</v>
      </c>
      <c r="AB31" s="2">
        <f>IFERROR(ROUND(Data!$B31/(
  SUMPRODUCT(('Form responses 1'!$B$2:$B1000=$A31)*('Form responses 1'!$A$2:$A1000&lt;=EOMONTH(DATEVALUE("1 "&amp;AB$1),0)))+
  SUMPRODUCT(('Form responses 1'!$C$2:$C1000=$A31)*('Form responses 1'!$A$2:$A1000&lt;=EOMONTH(DATEVALUE("1 "&amp;AB$1),0)))+
  SUMPRODUCT(('Form responses 1'!$D$2:$D1000=$A31)*('Form responses 1'!$A$2:$A1000&lt;=EOMONTH(DATEVALUE("1 "&amp;AB$1),0)))+
  SUMPRODUCT(('Form responses 1'!$E$2:$E1000=$A31)*('Form responses 1'!$A$2:$A1000&lt;=EOMONTH(DATEVALUE("1 "&amp;AB$1),0)))+
  SUMPRODUCT(('Form responses 1'!$F$2:$F1000=$A31)*('Form responses 1'!$A$2:$A1000&lt;=EOMONTH(DATEVALUE("1 "&amp;AB$1),0)))+
  SUMPRODUCT(('Form responses 1'!$G$2:$G1000=$A31)*('Form responses 1'!$A$2:$A1000&lt;=EOMONTH(DATEVALUE("1 "&amp;AB$1),0)))
),2),"-")</f>
        <v>3.33</v>
      </c>
      <c r="AC31" s="2">
        <f>IFERROR(ROUND(Data!$B31/(
  SUMPRODUCT(('Form responses 1'!$B$2:$B1000=$A31)*('Form responses 1'!$A$2:$A1000&lt;=EOMONTH(DATEVALUE("1 "&amp;AC$1),0)))+
  SUMPRODUCT(('Form responses 1'!$C$2:$C1000=$A31)*('Form responses 1'!$A$2:$A1000&lt;=EOMONTH(DATEVALUE("1 "&amp;AC$1),0)))+
  SUMPRODUCT(('Form responses 1'!$D$2:$D1000=$A31)*('Form responses 1'!$A$2:$A1000&lt;=EOMONTH(DATEVALUE("1 "&amp;AC$1),0)))+
  SUMPRODUCT(('Form responses 1'!$E$2:$E1000=$A31)*('Form responses 1'!$A$2:$A1000&lt;=EOMONTH(DATEVALUE("1 "&amp;AC$1),0)))+
  SUMPRODUCT(('Form responses 1'!$F$2:$F1000=$A31)*('Form responses 1'!$A$2:$A1000&lt;=EOMONTH(DATEVALUE("1 "&amp;AC$1),0)))+
  SUMPRODUCT(('Form responses 1'!$G$2:$G1000=$A31)*('Form responses 1'!$A$2:$A1000&lt;=EOMONTH(DATEVALUE("1 "&amp;AC$1),0)))
),2),"-")</f>
        <v>3.33</v>
      </c>
      <c r="AD31" s="2" t="str">
        <f>IFERROR(ROUND(Data!$B31/(
  SUMPRODUCT(('Form responses 1'!$B$2:$B1000=$A31)*('Form responses 1'!$A$2:$A1000&lt;=EOMONTH(DATEVALUE("1 "&amp;AD$1),0)))+
  SUMPRODUCT(('Form responses 1'!$C$2:$C1000=$A31)*('Form responses 1'!$A$2:$A1000&lt;=EOMONTH(DATEVALUE("1 "&amp;AD$1),0)))+
  SUMPRODUCT(('Form responses 1'!$D$2:$D1000=$A31)*('Form responses 1'!$A$2:$A1000&lt;=EOMONTH(DATEVALUE("1 "&amp;AD$1),0)))+
  SUMPRODUCT(('Form responses 1'!$E$2:$E1000=$A31)*('Form responses 1'!$A$2:$A1000&lt;=EOMONTH(DATEVALUE("1 "&amp;AD$1),0)))+
  SUMPRODUCT(('Form responses 1'!$F$2:$F1000=$A31)*('Form responses 1'!$A$2:$A1000&lt;=EOMONTH(DATEVALUE("1 "&amp;AD$1),0)))+
  SUMPRODUCT(('Form responses 1'!$G$2:$G1000=$A31)*('Form responses 1'!$A$2:$A1000&lt;=EOMONTH(DATEVALUE("1 "&amp;AD$1),0)))
),2),"-")</f>
        <v>-</v>
      </c>
      <c r="AE31" s="2" t="str">
        <f>IFERROR(ROUND(Data!$B31/(
  SUMPRODUCT(('Form responses 1'!$B$2:$B1000=$A31)*('Form responses 1'!$A$2:$A1000&lt;=EOMONTH(DATEVALUE("1 "&amp;AE$1),0)))+
  SUMPRODUCT(('Form responses 1'!$C$2:$C1000=$A31)*('Form responses 1'!$A$2:$A1000&lt;=EOMONTH(DATEVALUE("1 "&amp;AE$1),0)))+
  SUMPRODUCT(('Form responses 1'!$D$2:$D1000=$A31)*('Form responses 1'!$A$2:$A1000&lt;=EOMONTH(DATEVALUE("1 "&amp;AE$1),0)))+
  SUMPRODUCT(('Form responses 1'!$E$2:$E1000=$A31)*('Form responses 1'!$A$2:$A1000&lt;=EOMONTH(DATEVALUE("1 "&amp;AE$1),0)))+
  SUMPRODUCT(('Form responses 1'!$F$2:$F1000=$A31)*('Form responses 1'!$A$2:$A1000&lt;=EOMONTH(DATEVALUE("1 "&amp;AE$1),0)))+
  SUMPRODUCT(('Form responses 1'!$G$2:$G1000=$A31)*('Form responses 1'!$A$2:$A1000&lt;=EOMONTH(DATEVALUE("1 "&amp;AE$1),0)))
),2),"-")</f>
        <v>-</v>
      </c>
      <c r="AF31" s="2" t="str">
        <f>IFERROR(ROUND(Data!$B31/(
  SUMPRODUCT(('Form responses 1'!$B$2:$B1000=$A31)*('Form responses 1'!$A$2:$A1000&lt;=EOMONTH(DATEVALUE("1 "&amp;AF$1),0)))+
  SUMPRODUCT(('Form responses 1'!$C$2:$C1000=$A31)*('Form responses 1'!$A$2:$A1000&lt;=EOMONTH(DATEVALUE("1 "&amp;AF$1),0)))+
  SUMPRODUCT(('Form responses 1'!$D$2:$D1000=$A31)*('Form responses 1'!$A$2:$A1000&lt;=EOMONTH(DATEVALUE("1 "&amp;AF$1),0)))+
  SUMPRODUCT(('Form responses 1'!$E$2:$E1000=$A31)*('Form responses 1'!$A$2:$A1000&lt;=EOMONTH(DATEVALUE("1 "&amp;AF$1),0)))+
  SUMPRODUCT(('Form responses 1'!$F$2:$F1000=$A31)*('Form responses 1'!$A$2:$A1000&lt;=EOMONTH(DATEVALUE("1 "&amp;AF$1),0)))+
  SUMPRODUCT(('Form responses 1'!$G$2:$G1000=$A31)*('Form responses 1'!$A$2:$A1000&lt;=EOMONTH(DATEVALUE("1 "&amp;AF$1),0)))
),2),"-")</f>
        <v>-</v>
      </c>
      <c r="AG31" s="2" t="str">
        <f>IFERROR(ROUND(Data!$B31/(
  SUMPRODUCT(('Form responses 1'!$B$2:$B1000=$A31)*('Form responses 1'!$A$2:$A1000&lt;=EOMONTH(DATEVALUE("1 "&amp;AG$1),0)))+
  SUMPRODUCT(('Form responses 1'!$C$2:$C1000=$A31)*('Form responses 1'!$A$2:$A1000&lt;=EOMONTH(DATEVALUE("1 "&amp;AG$1),0)))+
  SUMPRODUCT(('Form responses 1'!$D$2:$D1000=$A31)*('Form responses 1'!$A$2:$A1000&lt;=EOMONTH(DATEVALUE("1 "&amp;AG$1),0)))+
  SUMPRODUCT(('Form responses 1'!$E$2:$E1000=$A31)*('Form responses 1'!$A$2:$A1000&lt;=EOMONTH(DATEVALUE("1 "&amp;AG$1),0)))+
  SUMPRODUCT(('Form responses 1'!$F$2:$F1000=$A31)*('Form responses 1'!$A$2:$A1000&lt;=EOMONTH(DATEVALUE("1 "&amp;AG$1),0)))+
  SUMPRODUCT(('Form responses 1'!$G$2:$G1000=$A31)*('Form responses 1'!$A$2:$A1000&lt;=EOMONTH(DATEVALUE("1 "&amp;AG$1),0)))
),2),"-")</f>
        <v>-</v>
      </c>
      <c r="AH31" s="2" t="str">
        <f>IFERROR(ROUND(Data!$B31/(
  SUMPRODUCT(('Form responses 1'!$B$2:$B1000=$A31)*('Form responses 1'!$A$2:$A1000&lt;=EOMONTH(DATEVALUE("1 "&amp;AH$1),0)))+
  SUMPRODUCT(('Form responses 1'!$C$2:$C1000=$A31)*('Form responses 1'!$A$2:$A1000&lt;=EOMONTH(DATEVALUE("1 "&amp;AH$1),0)))+
  SUMPRODUCT(('Form responses 1'!$D$2:$D1000=$A31)*('Form responses 1'!$A$2:$A1000&lt;=EOMONTH(DATEVALUE("1 "&amp;AH$1),0)))+
  SUMPRODUCT(('Form responses 1'!$E$2:$E1000=$A31)*('Form responses 1'!$A$2:$A1000&lt;=EOMONTH(DATEVALUE("1 "&amp;AH$1),0)))+
  SUMPRODUCT(('Form responses 1'!$F$2:$F1000=$A31)*('Form responses 1'!$A$2:$A1000&lt;=EOMONTH(DATEVALUE("1 "&amp;AH$1),0)))+
  SUMPRODUCT(('Form responses 1'!$G$2:$G1000=$A31)*('Form responses 1'!$A$2:$A1000&lt;=EOMONTH(DATEVALUE("1 "&amp;AH$1),0)))
),2),"-")</f>
        <v>-</v>
      </c>
      <c r="AI31" s="2" t="str">
        <f>IFERROR(ROUND(Data!$B31/(
  SUMPRODUCT(('Form responses 1'!$B$2:$B1000=$A31)*('Form responses 1'!$A$2:$A1000&lt;=EOMONTH(DATEVALUE("1 "&amp;AI$1),0)))+
  SUMPRODUCT(('Form responses 1'!$C$2:$C1000=$A31)*('Form responses 1'!$A$2:$A1000&lt;=EOMONTH(DATEVALUE("1 "&amp;AI$1),0)))+
  SUMPRODUCT(('Form responses 1'!$D$2:$D1000=$A31)*('Form responses 1'!$A$2:$A1000&lt;=EOMONTH(DATEVALUE("1 "&amp;AI$1),0)))+
  SUMPRODUCT(('Form responses 1'!$E$2:$E1000=$A31)*('Form responses 1'!$A$2:$A1000&lt;=EOMONTH(DATEVALUE("1 "&amp;AI$1),0)))+
  SUMPRODUCT(('Form responses 1'!$F$2:$F1000=$A31)*('Form responses 1'!$A$2:$A1000&lt;=EOMONTH(DATEVALUE("1 "&amp;AI$1),0)))+
  SUMPRODUCT(('Form responses 1'!$G$2:$G1000=$A31)*('Form responses 1'!$A$2:$A1000&lt;=EOMONTH(DATEVALUE("1 "&amp;AI$1),0)))
),2),"-")</f>
        <v>-</v>
      </c>
      <c r="AJ31" s="2" t="str">
        <f>IFERROR(ROUND(Data!$B31/(
  SUMPRODUCT(('Form responses 1'!$B$2:$B1000=$A31)*('Form responses 1'!$A$2:$A1000&lt;=EOMONTH(DATEVALUE("1 "&amp;AJ$1),0)))+
  SUMPRODUCT(('Form responses 1'!$C$2:$C1000=$A31)*('Form responses 1'!$A$2:$A1000&lt;=EOMONTH(DATEVALUE("1 "&amp;AJ$1),0)))+
  SUMPRODUCT(('Form responses 1'!$D$2:$D1000=$A31)*('Form responses 1'!$A$2:$A1000&lt;=EOMONTH(DATEVALUE("1 "&amp;AJ$1),0)))+
  SUMPRODUCT(('Form responses 1'!$E$2:$E1000=$A31)*('Form responses 1'!$A$2:$A1000&lt;=EOMONTH(DATEVALUE("1 "&amp;AJ$1),0)))+
  SUMPRODUCT(('Form responses 1'!$F$2:$F1000=$A31)*('Form responses 1'!$A$2:$A1000&lt;=EOMONTH(DATEVALUE("1 "&amp;AJ$1),0)))+
  SUMPRODUCT(('Form responses 1'!$G$2:$G1000=$A31)*('Form responses 1'!$A$2:$A1000&lt;=EOMONTH(DATEVALUE("1 "&amp;AJ$1),0)))
),2),"-")</f>
        <v>-</v>
      </c>
      <c r="AK31" s="2" t="str">
        <f>IFERROR(ROUND(Data!$B31/(
  SUMPRODUCT(('Form responses 1'!$B$2:$B1000=$A31)*('Form responses 1'!$A$2:$A1000&lt;=EOMONTH(DATEVALUE("1 "&amp;AK$1),0)))+
  SUMPRODUCT(('Form responses 1'!$C$2:$C1000=$A31)*('Form responses 1'!$A$2:$A1000&lt;=EOMONTH(DATEVALUE("1 "&amp;AK$1),0)))+
  SUMPRODUCT(('Form responses 1'!$D$2:$D1000=$A31)*('Form responses 1'!$A$2:$A1000&lt;=EOMONTH(DATEVALUE("1 "&amp;AK$1),0)))+
  SUMPRODUCT(('Form responses 1'!$E$2:$E1000=$A31)*('Form responses 1'!$A$2:$A1000&lt;=EOMONTH(DATEVALUE("1 "&amp;AK$1),0)))+
  SUMPRODUCT(('Form responses 1'!$F$2:$F1000=$A31)*('Form responses 1'!$A$2:$A1000&lt;=EOMONTH(DATEVALUE("1 "&amp;AK$1),0)))+
  SUMPRODUCT(('Form responses 1'!$G$2:$G1000=$A31)*('Form responses 1'!$A$2:$A1000&lt;=EOMONTH(DATEVALUE("1 "&amp;AK$1),0)))
),2),"-")</f>
        <v>-</v>
      </c>
      <c r="AL31" s="2" t="str">
        <f>IFERROR(ROUND(Data!$B31/(
  SUMPRODUCT(('Form responses 1'!$B$2:$B1000=$A31)*('Form responses 1'!$A$2:$A1000&lt;=EOMONTH(DATEVALUE("1 "&amp;AL$1),0)))+
  SUMPRODUCT(('Form responses 1'!$C$2:$C1000=$A31)*('Form responses 1'!$A$2:$A1000&lt;=EOMONTH(DATEVALUE("1 "&amp;AL$1),0)))+
  SUMPRODUCT(('Form responses 1'!$D$2:$D1000=$A31)*('Form responses 1'!$A$2:$A1000&lt;=EOMONTH(DATEVALUE("1 "&amp;AL$1),0)))+
  SUMPRODUCT(('Form responses 1'!$E$2:$E1000=$A31)*('Form responses 1'!$A$2:$A1000&lt;=EOMONTH(DATEVALUE("1 "&amp;AL$1),0)))+
  SUMPRODUCT(('Form responses 1'!$F$2:$F1000=$A31)*('Form responses 1'!$A$2:$A1000&lt;=EOMONTH(DATEVALUE("1 "&amp;AL$1),0)))+
  SUMPRODUCT(('Form responses 1'!$G$2:$G1000=$A31)*('Form responses 1'!$A$2:$A1000&lt;=EOMONTH(DATEVALUE("1 "&amp;AL$1),0)))
),2),"-")</f>
        <v>-</v>
      </c>
    </row>
    <row r="32">
      <c r="A32" s="3" t="str">
        <f>IFERROR(__xludf.DUMMYFUNCTION("""COMPUTED_VALUE"""),"Grijs t-shirt")</f>
        <v>Grijs t-shirt</v>
      </c>
      <c r="B32" s="2">
        <f>Data!F30:F1000</f>
        <v>0.87</v>
      </c>
      <c r="C32" s="2">
        <f>IFERROR(ROUND(Data!B30/(SUMPRODUCT(('Form responses 1'!$B$2:$B1000 = A32) * ('Form responses 1'!$A$2:$A1000 &lt;= DATE(2024, 1, 31)))
+ SUMPRODUCT(('Form responses 1'!$C$2:$C1000 = A32) * ('Form responses 1'!$A$2:$A1000 &lt;= DATE(2024, 1, 31)))
+ SUMPRODUCT(('Form responses 1'!$D$2:$D1000 = A32) * ('Form responses 1'!$A$2:$A1000 &lt;= DATE(2024, 1, 31)))
+ SUMPRODUCT(('Form responses 1'!$E$2:$E1000 = A32) * ('Form responses 1'!$A$2:$A1000 &lt;= DATE(2024, 1, 31)))
+ SUMPRODUCT(('Form responses 1'!$F$2:$F1000 = A32) * ('Form responses 1'!$A$2:$A1000 &lt;= DATE(2024, 1, 31)))
+ SUMPRODUCT(('Form responses 1'!$G$2:$G1000 = A32) * ('Form responses 1'!$A$2:$A1000 &lt;= DATE(2024, 1, 31)))), 2), "-")
</f>
        <v>0.91</v>
      </c>
      <c r="D32" s="2">
        <f>IFERROR(ROUND(Data!B30/(SUMPRODUCT(('Form responses 1'!$B$2:$B1000 = A32) * ('Form responses 1'!$A$2:$A1000 &lt;= DATE(2024, 2, 29)))
+ SUMPRODUCT(('Form responses 1'!$C$2:$C1000 = A32) * ('Form responses 1'!$A$2:$A1000 &lt;= DATE(2024, 2, 29)))
+ SUMPRODUCT(('Form responses 1'!$D$2:$D1000 = A32) * ('Form responses 1'!$A$2:$A1000 &lt;= DATE(2024, 2, 29)))
+ SUMPRODUCT(('Form responses 1'!$E$2:$E1000 = A32) * ('Form responses 1'!$A$2:$A1000 &lt;= DATE(2024, 2, 29)))
+ SUMPRODUCT(('Form responses 1'!$F$2:$F1000 = A32) * ('Form responses 1'!$A$2:$A1000 &lt;= DATE(2024, 2, 29)))
+ SUMPRODUCT(('Form responses 1'!$G$2:$G1000 = A32) * ('Form responses 1'!$A$2:$A1000 &lt;= DATE(2024, 2, 29)))), 2), "-")
</f>
        <v>0.91</v>
      </c>
      <c r="E32" s="2">
        <f>IFERROR(ROUND(Data!B30/(SUMPRODUCT(('Form responses 1'!$B$2:$B1000 = A32) * ('Form responses 1'!$A$2:$A1000 &lt;= DATE(2024, 3, 31)))
+ SUMPRODUCT(('Form responses 1'!$C$2:$C1000 = A32) * ('Form responses 1'!$A$2:$A1000 &lt;= DATE(2024, 3, 31)))
+ SUMPRODUCT(('Form responses 1'!$D$2:$D1000 = A32) * ('Form responses 1'!$A$2:$A1000 &lt;= DATE(2024, 3, 31)))
+ SUMPRODUCT(('Form responses 1'!$E$2:$E1000 = A32) * ('Form responses 1'!$A$2:$A1000 &lt;= DATE(2024, 3, 31)))
+ SUMPRODUCT(('Form responses 1'!$F$2:$F1000 = A32) * ('Form responses 1'!$A$2:$A1000 &lt;= DATE(2024, 3, 31)))
+ SUMPRODUCT(('Form responses 1'!$G$2:$G1000 = A32) * ('Form responses 1'!$A$2:$A1000 &lt;= DATE(2024, 3, 31)))), 2), "-")
</f>
        <v>0.91</v>
      </c>
      <c r="F32" s="2">
        <f>IFERROR(ROUND(Data!B30/(SUMPRODUCT(('Form responses 1'!$B$2:$B1000 = A32) * ('Form responses 1'!$A$2:$A1000 &lt;= DATE(2024, 4, 30)))
+ SUMPRODUCT(('Form responses 1'!$C$2:$C1000 = A32) * ('Form responses 1'!$A$2:$A1000 &lt;= DATE(2024, 4, 30)))
+ SUMPRODUCT(('Form responses 1'!$D$2:$D1000 = A32) * ('Form responses 1'!$A$2:$A1000 &lt;= DATE(2024, 4, 30)))
+ SUMPRODUCT(('Form responses 1'!$E$2:$E1000 = A32) * ('Form responses 1'!$A$2:$A1000 &lt;= DATE(2024, 4, 30)))
+ SUMPRODUCT(('Form responses 1'!$F$2:$F1000 = A32) * ('Form responses 1'!$A$2:$A1000 &lt;= DATE(2024, 4, 30)))
+ SUMPRODUCT(('Form responses 1'!$G$2:$G1000 = A32) * ('Form responses 1'!$A$2:$A1000 &lt;= DATE(2024, 4, 30)))), 2), "-")
</f>
        <v>0.91</v>
      </c>
      <c r="G32" s="2">
        <f>IFERROR(ROUND(Data!B30/(SUMPRODUCT(('Form responses 1'!$B$2:$B1000 = A32) * ('Form responses 1'!$A$2:$A1000 &lt;= DATE(2024, 5, 31)))
+ SUMPRODUCT(('Form responses 1'!$C$2:$C1000 = A32) * ('Form responses 1'!$A$2:$A1000 &lt;= DATE(2024, 5, 31)))
+ SUMPRODUCT(('Form responses 1'!$D$2:$D1000 = A32) * ('Form responses 1'!$A$2:$A1000 &lt;= DATE(2024, 5, 31)))
+ SUMPRODUCT(('Form responses 1'!$E$2:$E1000 = A32) * ('Form responses 1'!$A$2:$A1000 &lt;= DATE(2024, 5, 31)))
+ SUMPRODUCT(('Form responses 1'!$F$2:$F1000 = A32) * ('Form responses 1'!$A$2:$A1000 &lt;= DATE(2024, 5, 31)))
+ SUMPRODUCT(('Form responses 1'!$G$2:$G1000 = A32) * ('Form responses 1'!$A$2:$A1000 &lt;= DATE(2024, 5, 31)))), 2), "-")
</f>
        <v>0.91</v>
      </c>
      <c r="H32" s="2">
        <f>IFERROR(ROUND(Data!B30/(SUMPRODUCT(('Form responses 1'!$B$2:$B1000 = A32) * ('Form responses 1'!$A$2:$A1000 &lt;= DATE(2024, 6, 30)))
+ SUMPRODUCT(('Form responses 1'!$C$2:$C1000 = A32) * ('Form responses 1'!$A$2:$A1000 &lt;= DATE(2024, 6, 30)))
+ SUMPRODUCT(('Form responses 1'!$D$2:$D1000 = A32) * ('Form responses 1'!$A$2:$A1000 &lt;= DATE(2024, 6, 30)))
+ SUMPRODUCT(('Form responses 1'!$E$2:$E1000 = A32) * ('Form responses 1'!$A$2:$A1000 &lt;= DATE(2024, 6, 30)))
+ SUMPRODUCT(('Form responses 1'!$F$2:$F1000 = A32) * ('Form responses 1'!$A$2:$A1000 &lt;= DATE(2024, 6, 30)))
+ SUMPRODUCT(('Form responses 1'!$G$2:$G1000 = A32) * ('Form responses 1'!$A$2:$A1000 &lt;= DATE(2024, 6, 30)))), 2), "-")
</f>
        <v>0.91</v>
      </c>
      <c r="I32" s="2">
        <f>IFERROR(ROUND(Data!B30/(SUMPRODUCT(('Form responses 1'!$B$2:$B1000 = A32) * ('Form responses 1'!$A$2:$A1000 &lt;= DATE(2024, 7, 31)))
+ SUMPRODUCT(('Form responses 1'!$C$2:$C1000 = A32) * ('Form responses 1'!$A$2:$A1000 &lt;= DATE(2024, 7, 31)))
+ SUMPRODUCT(('Form responses 1'!$D$2:$D1000 = A32) * ('Form responses 1'!$A$2:$A1000 &lt;= DATE(2024, 7, 31)))
+ SUMPRODUCT(('Form responses 1'!$E$2:$E1000 = A32) * ('Form responses 1'!$A$2:$A1000 &lt;= DATE(2024, 7, 31)))
+ SUMPRODUCT(('Form responses 1'!$F$2:$F1000 = A32) * ('Form responses 1'!$A$2:$A1000 &lt;= DATE(2024, 7, 31)))
+ SUMPRODUCT(('Form responses 1'!$G$2:$G1000 = A32) * ('Form responses 1'!$A$2:$A1000 &lt;= DATE(2024, 7, 31)))), 2), "-")
</f>
        <v>0.87</v>
      </c>
      <c r="J32" s="2">
        <f>IFERROR(ROUND(Data!B30/(SUMPRODUCT(('Form responses 1'!$B$2:$B1000 = A32) * ('Form responses 1'!$A$2:$A1000 &lt;= DATE(2024, 8, 31)))
+ SUMPRODUCT(('Form responses 1'!$C$2:$C1000 = A32) * ('Form responses 1'!$A$2:$A1000 &lt;= DATE(2024, 8, 31)))
+ SUMPRODUCT(('Form responses 1'!$D$2:$D1000 = A32) * ('Form responses 1'!$A$2:$A1000 &lt;= DATE(2024, 8, 31)))
+ SUMPRODUCT(('Form responses 1'!$E$2:$E1000 = A32) * ('Form responses 1'!$A$2:$A1000 &lt;= DATE(2024, 8, 31)))
+ SUMPRODUCT(('Form responses 1'!$F$2:$F1000 = A32) * ('Form responses 1'!$A$2:$A1000 &lt;= DATE(2024, 8, 31)))
+ SUMPRODUCT(('Form responses 1'!$G$2:$G1000 = A32) * ('Form responses 1'!$A$2:$A1000 &lt;= DATE(2024, 8, 31)))), 2), "-")
</f>
        <v>0.87</v>
      </c>
      <c r="K32" s="2">
        <f>IFERROR(ROUND(Data!B30/(SUMPRODUCT(('Form responses 1'!$B$2:$B1000 = A32) * ('Form responses 1'!$A$2:$A1000 &lt;= DATE(2024, 9, 30)))
+ SUMPRODUCT(('Form responses 1'!$C$2:$C1000 = A32) * ('Form responses 1'!$A$2:$A1000 &lt;= DATE(2024, 9, 30)))
+ SUMPRODUCT(('Form responses 1'!$D$2:$D1000 = A32) * ('Form responses 1'!$A$2:$A1000 &lt;= DATE(2024, 9, 30)))
+ SUMPRODUCT(('Form responses 1'!$E$2:$E1000 = A32) * ('Form responses 1'!$A$2:$A1000 &lt;= DATE(2024, 9, 30)))
+ SUMPRODUCT(('Form responses 1'!$F$2:$F1000 = A32) * ('Form responses 1'!$A$2:$A1000 &lt;= DATE(2024, 9, 30)))
+ SUMPRODUCT(('Form responses 1'!$G$2:$G1000 = A32) * ('Form responses 1'!$A$2:$A1000 &lt;= DATE(2024, 9, 30)))), 2), "-")
</f>
        <v>0.87</v>
      </c>
      <c r="L32" s="2">
        <f>IFERROR(ROUND(Data!B30/(SUMPRODUCT(('Form responses 1'!$B$2:$B1000 = A32) * ('Form responses 1'!$A$2:$A1000 &lt;= DATE(2024, 10, 31)))
+ SUMPRODUCT(('Form responses 1'!$C$2:$C1000 = A32) * ('Form responses 1'!$A$2:$A1000 &lt;= DATE(2024, 10, 31)))
+ SUMPRODUCT(('Form responses 1'!$D$2:$D1000 = A32) * ('Form responses 1'!$A$2:$A1000 &lt;= DATE(2024, 10, 31)))
+ SUMPRODUCT(('Form responses 1'!$E$2:$E1000 = A32) * ('Form responses 1'!$A$2:$A1000 &lt;= DATE(2024, 10, 31)))
+ SUMPRODUCT(('Form responses 1'!$F$2:$F1000 = A32) * ('Form responses 1'!$A$2:$A1000 &lt;= DATE(2024, 10, 31)))
+ SUMPRODUCT(('Form responses 1'!$G$2:$G1000 = A32) * ('Form responses 1'!$A$2:$A1000 &lt;= DATE(2024, 10, 31)))), 2), "-")
</f>
        <v>0.87</v>
      </c>
      <c r="M32" s="2">
        <f>IFERROR(ROUND(Data!B30/(SUMPRODUCT(('Form responses 1'!$B$2:$B1000 = A32) * ('Form responses 1'!$A$2:$A1000 &lt;= DATE(2024, 11, 30)))
+ SUMPRODUCT(('Form responses 1'!$C$2:$C1000 = A32) * ('Form responses 1'!$A$2:$A1000 &lt;= DATE(2024, 11, 30)))
+ SUMPRODUCT(('Form responses 1'!$D$2:$D1000 = A32) * ('Form responses 1'!$A$2:$A1000 &lt;= DATE(2024, 11, 30)))
+ SUMPRODUCT(('Form responses 1'!$E$2:$E1000 = A32) * ('Form responses 1'!$A$2:$A1000 &lt;= DATE(2024, 11, 30)))
+ SUMPRODUCT(('Form responses 1'!$F$2:$F1000 = A32) * ('Form responses 1'!$A$2:$A1000 &lt;= DATE(2024, 11, 30)))
+ SUMPRODUCT(('Form responses 1'!$G$2:$G1000 = A32) * ('Form responses 1'!$A$2:$A1000 &lt;= DATE(2024, 11, 30)))), 2), "-")
</f>
        <v>0.87</v>
      </c>
      <c r="N32" s="2">
        <f>IFERROR(ROUND(Data!B30/(SUMPRODUCT(('Form responses 1'!$B$2:$B1000 = A32) * ('Form responses 1'!$A$2:$A1000 &lt;= DATE(2024, 12, 31)))
+ SUMPRODUCT(('Form responses 1'!$C$2:$C1000 = A32) * ('Form responses 1'!$A$2:$A1000 &lt;= DATE(2024, 12, 31)))
+ SUMPRODUCT(('Form responses 1'!$D$2:$D1000 = A32) * ('Form responses 1'!$A$2:$A1000 &lt;= DATE(2024, 12, 31)))
+ SUMPRODUCT(('Form responses 1'!$E$2:$E1000 = A32) * ('Form responses 1'!$A$2:$A1000 &lt;= DATE(2024, 12, 31)))
+ SUMPRODUCT(('Form responses 1'!$F$2:$F1000 = A32) * ('Form responses 1'!$A$2:$A1000 &lt;= DATE(2024, 12, 31)))
+ SUMPRODUCT(('Form responses 1'!$G$2:$G1000 = A32) * ('Form responses 1'!$A$2:$A1000 &lt;= DATE(2024, 12, 31)))), 2), "-")
</f>
        <v>0.87</v>
      </c>
      <c r="O32" s="2">
        <f>IFERROR(ROUND(Data!B30/(SUMPRODUCT(('Form responses 1'!$B$2:$B1000 = A32) * ('Form responses 1'!$A$2:$A1000 &lt;= DATE(2025, 1, 31)))
+ SUMPRODUCT(('Form responses 1'!$C$2:$C1000 = A32) * ('Form responses 1'!$A$2:$A1000 &lt;= DATE(2025, 1, 31)))
+ SUMPRODUCT(('Form responses 1'!$D$2:$D1000 = A32) * ('Form responses 1'!$A$2:$A1000 &lt;= DATE(2025, 1, 31)))
+ SUMPRODUCT(('Form responses 1'!$E$2:$E1000 = A32) * ('Form responses 1'!$A$2:$A1000 &lt;= DATE(2025, 1, 31)))
+ SUMPRODUCT(('Form responses 1'!$F$2:$F1000 = A32) * ('Form responses 1'!$A$2:$A1000 &lt;= DATE(2025, 1, 31)))
+ SUMPRODUCT(('Form responses 1'!$G$2:$G1000 = A32) * ('Form responses 1'!$A$2:$A1000 &lt;= DATE(2025, 1, 31)))), 2), "-")
</f>
        <v>0.87</v>
      </c>
      <c r="P32" s="2">
        <f>IFERROR(ROUND(Data!B30/(SUMPRODUCT(('Form responses 1'!$B$2:$B1000 = A32) * ('Form responses 1'!$A$2:$A1000 &lt;= DATE(2025, 2, 28)))
+ SUMPRODUCT(('Form responses 1'!$C$2:$C1000 = A32) * ('Form responses 1'!$A$2:$A1000 &lt;= DATE(2025, 2, 28)))
+ SUMPRODUCT(('Form responses 1'!$D$2:$D1000 = A32) * ('Form responses 1'!$A$2:$A1000 &lt;= DATE(2025, 2, 28)))
+ SUMPRODUCT(('Form responses 1'!$E$2:$E1000 = A32) * ('Form responses 1'!$A$2:$A1000 &lt;= DATE(2025, 2, 28)))
+ SUMPRODUCT(('Form responses 1'!$F$2:$F1000 = A32) * ('Form responses 1'!$A$2:$A1000 &lt;= DATE(2025, 2, 28)))
+ SUMPRODUCT(('Form responses 1'!$G$2:$G1000 = A32) * ('Form responses 1'!$A$2:$A1000 &lt;= DATE(2025, 2, 28)))), 2), "-")
</f>
        <v>0.87</v>
      </c>
      <c r="Q32" s="2">
        <f>IFERROR(ROUND(Data!B30/(SUMPRODUCT(('Form responses 1'!$B$2:$B1000 = A32) * ('Form responses 1'!$A$2:$A1000 &lt;= DATE(2025, 3, 31)))
+ SUMPRODUCT(('Form responses 1'!$C$2:$C1000 = A32) * ('Form responses 1'!$A$2:$A1000 &lt;= DATE(2025, 3, 31)))
+ SUMPRODUCT(('Form responses 1'!$D$2:$D1000 = A32) * ('Form responses 1'!$A$2:$A1000 &lt;= DATE(2025, 3, 31)))
+ SUMPRODUCT(('Form responses 1'!$E$2:$E1000 = A32) * ('Form responses 1'!$A$2:$A1000 &lt;= DATE(2025, 3, 31)))
+ SUMPRODUCT(('Form responses 1'!$F$2:$F1000 = A32) * ('Form responses 1'!$A$2:$A1000 &lt;= DATE(2025, 3, 31)))
+ SUMPRODUCT(('Form responses 1'!$G$2:$G1000 = A32) * ('Form responses 1'!$A$2:$A1000 &lt;= DATE(2025, 3, 31)))),2),"-")</f>
        <v>0.87</v>
      </c>
      <c r="R32" s="2">
        <f>IFERROR(ROUND(Data!B30/(SUMPRODUCT(('Form responses 1'!$B$2:$B1000 = A32) * ('Form responses 1'!$A$2:$A1000 &lt;= DATE(2025, 4, 30)))
+ SUMPRODUCT(('Form responses 1'!$C$2:$C1000 = A32) * ('Form responses 1'!$A$2:$A1000 &lt;= DATE(2025, 4, 30)))
+ SUMPRODUCT(('Form responses 1'!$D$2:$D1000 = A32) * ('Form responses 1'!$A$2:$A1000 &lt;= DATE(2025, 4, 30)))
+ SUMPRODUCT(('Form responses 1'!$E$2:$E1000 = A32) * ('Form responses 1'!$A$2:$A1000 &lt;= DATE(2025, 4, 30)))
+ SUMPRODUCT(('Form responses 1'!$F$2:$F1000 = A32) * ('Form responses 1'!$A$2:$A1000 &lt;= DATE(2025, 4, 30)))
+ SUMPRODUCT(('Form responses 1'!$G$2:$G1000 = A32) * ('Form responses 1'!$A$2:$A1000 &lt;= DATE(2025, 4, 30)))), 2), "-")
</f>
        <v>0.87</v>
      </c>
      <c r="S32" s="2">
        <f>IFERROR(ROUND(Data!B30/(SUMPRODUCT(('Form responses 1'!$B$2:$B1000 = A32) * ('Form responses 1'!$A$2:$A1000 &lt;= DATE(2025, 5, 31)))
+ SUMPRODUCT(('Form responses 1'!$C$2:$C1000 = A32) * ('Form responses 1'!$A$2:$A1000 &lt;= DATE(2025, 5, 31)))
+ SUMPRODUCT(('Form responses 1'!$D$2:$D1000 = A32) * ('Form responses 1'!$A$2:$A1000 &lt;= DATE(2025, 5, 31)))
+ SUMPRODUCT(('Form responses 1'!$E$2:$E1000 = A32) * ('Form responses 1'!$A$2:$A1000 &lt;= DATE(2025, 5, 31)))
+ SUMPRODUCT(('Form responses 1'!$F$2:$F1000 = A32) * ('Form responses 1'!$A$2:$A1000 &lt;= DATE(2025, 5, 31)))
+ SUMPRODUCT(('Form responses 1'!$G$2:$G1000 = A32) * ('Form responses 1'!$A$2:$A1000 &lt;= DATE(2025, 5, 31)))), 2), "-")
</f>
        <v>0.87</v>
      </c>
      <c r="T32" s="2">
        <f>IFERROR(ROUND(Data!B30/(SUMPRODUCT(('Form responses 1'!$B$2:$B1000 = A32) * ('Form responses 1'!$A$2:$A1000 &lt;= DATE(2025, 6, 30)))
+ SUMPRODUCT(('Form responses 1'!$C$2:$C1000 = A32) * ('Form responses 1'!$A$2:$A1000 &lt;= DATE(2025, 6, 30)))
+ SUMPRODUCT(('Form responses 1'!$D$2:$D1000 = A32) * ('Form responses 1'!$A$2:$A1000 &lt;= DATE(2025, 6, 30)))
+ SUMPRODUCT(('Form responses 1'!$E$2:$E1000 = A32) * ('Form responses 1'!$A$2:$A1000 &lt;= DATE(2025, 6, 30)))
+ SUMPRODUCT(('Form responses 1'!$F$2:$F1000 = A32) * ('Form responses 1'!$A$2:$A1000 &lt;= DATE(2025, 6, 30)))
+ SUMPRODUCT(('Form responses 1'!$G$2:$G1000 = A32) * ('Form responses 1'!$A$2:$A1000 &lt;= DATE(2025, 6, 30)))), 2), "-")
</f>
        <v>0.87</v>
      </c>
      <c r="U32" s="2">
        <f>IFERROR(ROUND(Data!B30/(SUMPRODUCT(('Form responses 1'!$B$2:$B1000 = A32) * ('Form responses 1'!$A$2:$A1000 &lt;= DATE(2025, 7, 31)))
+ SUMPRODUCT(('Form responses 1'!$C$2:$C1000 = A32) * ('Form responses 1'!$A$2:$A1000 &lt;= DATE(2025, 7, 31)))
+ SUMPRODUCT(('Form responses 1'!$D$2:$D1000 = A32) * ('Form responses 1'!$A$2:$A1000 &lt;= DATE(2025, 7, 31)))
+ SUMPRODUCT(('Form responses 1'!$E$2:$E1000 = A32) * ('Form responses 1'!$A$2:$A1000 &lt;= DATE(2025, 7, 31)))
+ SUMPRODUCT(('Form responses 1'!$F$2:$F1000 = A32) * ('Form responses 1'!$A$2:$A1000 &lt;= DATE(2025, 7, 31)))
+ SUMPRODUCT(('Form responses 1'!$G$2:$G1000 = A32) * ('Form responses 1'!$A$2:$A1000 &lt;= DATE(2025, 7, 31)))), 2), "-")
</f>
        <v>0.87</v>
      </c>
      <c r="V32" s="2">
        <f>IFERROR(ROUND(Data!B30/(SUMPRODUCT(('Form responses 1'!$B$2:$B1000 = A32) * ('Form responses 1'!$A$2:$A1000 &lt;= DATE(2025, 8, 31)))
+ SUMPRODUCT(('Form responses 1'!$C$2:$C1000 = A32) * ('Form responses 1'!$A$2:$A1000 &lt;= DATE(2025, 8, 31)))
+ SUMPRODUCT(('Form responses 1'!$D$2:$D1000 = A32) * ('Form responses 1'!$A$2:$A1000 &lt;= DATE(2025, 8, 31)))
+ SUMPRODUCT(('Form responses 1'!$E$2:$E1000 = A32) * ('Form responses 1'!$A$2:$A1000 &lt;= DATE(2025, 8, 31)))
+ SUMPRODUCT(('Form responses 1'!$F$2:$F1000 = A32) * ('Form responses 1'!$A$2:$A1000 &lt;= DATE(2025, 8, 31)))
+ SUMPRODUCT(('Form responses 1'!$G$2:$G1000 = A32) * ('Form responses 1'!$A$2:$A1000 &lt;= DATE(2025, 8, 31)))), 2), "-")
</f>
        <v>0.87</v>
      </c>
      <c r="W32" s="2">
        <f>IFERROR(ROUND(Data!B30/(SUMPRODUCT(('Form responses 1'!$B$2:$B1000 = A32) * ('Form responses 1'!$A$2:$A1000 &lt;= DATE(2025, 9, 30)))
+ SUMPRODUCT(('Form responses 1'!$C$2:$C1000 = A32) * ('Form responses 1'!$A$2:$A1000 &lt;= DATE(2025, 9, 30)))
+ SUMPRODUCT(('Form responses 1'!$D$2:$D1000 = A32) * ('Form responses 1'!$A$2:$A1000 &lt;= DATE(2025, 9, 30)))
+ SUMPRODUCT(('Form responses 1'!$E$2:$E1000 = A32) * ('Form responses 1'!$A$2:$A1000 &lt;= DATE(2025, 9, 30)))
+ SUMPRODUCT(('Form responses 1'!$F$2:$F1000 = A32) * ('Form responses 1'!$A$2:$A1000 &lt;= DATE(2025, 9, 30)))
+ SUMPRODUCT(('Form responses 1'!$G$2:$G1000 = A32) * ('Form responses 1'!$A$2:$A1000 &lt;= DATE(2025, 9, 30)))), 2), "-")
</f>
        <v>0.87</v>
      </c>
      <c r="X32" s="2">
        <f>IFERROR(ROUND(Data!B30/(SUMPRODUCT(('Form responses 1'!$B$2:$B1000 = A32) * ('Form responses 1'!$A$2:$A1000 &lt;= DATE(2025, 10, 31)))
+ SUMPRODUCT(('Form responses 1'!$C$2:$C1000 = A32) * ('Form responses 1'!$A$2:$A1000 &lt;= DATE(2025, 10, 31)))
+ SUMPRODUCT(('Form responses 1'!$D$2:$D1000 = A32) * ('Form responses 1'!$A$2:$A1000 &lt;= DATE(2025, 10, 31)))
+ SUMPRODUCT(('Form responses 1'!$E$2:$E1000 = A32) * ('Form responses 1'!$A$2:$A1000 &lt;= DATE(2025, 10, 31)))
+ SUMPRODUCT(('Form responses 1'!$F$2:$F1000 = A32) * ('Form responses 1'!$A$2:$A1000 &lt;= DATE(2025, 10, 31)))
+ SUMPRODUCT(('Form responses 1'!$G$2:$G1000 = A32) * ('Form responses 1'!$A$2:$A1000 &lt;= DATE(2025, 10, 31)))), 2), "-")
</f>
        <v>0.87</v>
      </c>
      <c r="Y32" s="2">
        <f>IFERROR(ROUND(Data!B30/(SUMPRODUCT(('Form responses 1'!$B$2:$B1000 = A32) * ('Form responses 1'!$A$2:$A1000 &lt;= DATE(2025, 11, 30)))
+ SUMPRODUCT(('Form responses 1'!$C$2:$C1000 = A32) * ('Form responses 1'!$A$2:$A1000 &lt;= DATE(2025, 11, 30)))
+ SUMPRODUCT(('Form responses 1'!$D$2:$D1000 = A32) * ('Form responses 1'!$A$2:$A1000 &lt;= DATE(2025, 11, 30)))
+ SUMPRODUCT(('Form responses 1'!$E$2:$E1000 = A32) * ('Form responses 1'!$A$2:$A1000 &lt;= DATE(2025, 11, 30)))
+ SUMPRODUCT(('Form responses 1'!$F$2:$F1000 = A32) * ('Form responses 1'!$A$2:$A1000 &lt;= DATE(2025, 11, 30)))
+ SUMPRODUCT(('Form responses 1'!$G$2:$G1000 = A32) * ('Form responses 1'!$A$2:$A1000 &lt;= DATE(2025, 11, 30)))), 2), "-")
</f>
        <v>0.87</v>
      </c>
      <c r="Z32" s="2">
        <f>IFERROR(ROUND(Data!B30/(SUMPRODUCT(('Form responses 1'!$B$2:$B1000 = A32) * ('Form responses 1'!$A$2:$A1000 &lt;= DATE(2025, 12, 31)))
+ SUMPRODUCT(('Form responses 1'!$C$2:$C1000 = A32) * ('Form responses 1'!$A$2:$A1000 &lt;= DATE(2025, 12, 31)))
+ SUMPRODUCT(('Form responses 1'!$D$2:$D1000 = A32) * ('Form responses 1'!$A$2:$A1000 &lt;= DATE(2025, 12, 31)))
+ SUMPRODUCT(('Form responses 1'!$E$2:$E1000 = A32) * ('Form responses 1'!$A$2:$A1000 &lt;= DATE(2025, 12, 31)))
+ SUMPRODUCT(('Form responses 1'!$F$2:$F1000 = A32) * ('Form responses 1'!$A$2:$A1000 &lt;= DATE(2025, 12, 31)))
+ SUMPRODUCT(('Form responses 1'!$G$2:$G1000 = A32) * ('Form responses 1'!$A$2:$A1000 &lt;= DATE(2025, 12, 31)))), 2), "-")
</f>
        <v>0.87</v>
      </c>
      <c r="AA32" s="2">
        <f>IFERROR(ROUND(Data!$B32/(
  SUMPRODUCT(('Form responses 1'!$B$2:$B1000=$A32)*('Form responses 1'!$A$2:$A1000&lt;=EOMONTH(DATEVALUE("1 "&amp;AA$1),0)))+
  SUMPRODUCT(('Form responses 1'!$C$2:$C1000=$A32)*('Form responses 1'!$A$2:$A1000&lt;=EOMONTH(DATEVALUE("1 "&amp;AA$1),0)))+
  SUMPRODUCT(('Form responses 1'!$D$2:$D1000=$A32)*('Form responses 1'!$A$2:$A1000&lt;=EOMONTH(DATEVALUE("1 "&amp;AA$1),0)))+
  SUMPRODUCT(('Form responses 1'!$E$2:$E1000=$A32)*('Form responses 1'!$A$2:$A1000&lt;=EOMONTH(DATEVALUE("1 "&amp;AA$1),0)))+
  SUMPRODUCT(('Form responses 1'!$F$2:$F1000=$A32)*('Form responses 1'!$A$2:$A1000&lt;=EOMONTH(DATEVALUE("1 "&amp;AA$1),0)))+
  SUMPRODUCT(('Form responses 1'!$G$2:$G1000=$A32)*('Form responses 1'!$A$2:$A1000&lt;=EOMONTH(DATEVALUE("1 "&amp;AA$1),0)))
),2),"-")</f>
        <v>0.87</v>
      </c>
      <c r="AB32" s="2">
        <f>IFERROR(ROUND(Data!$B32/(
  SUMPRODUCT(('Form responses 1'!$B$2:$B1000=$A32)*('Form responses 1'!$A$2:$A1000&lt;=EOMONTH(DATEVALUE("1 "&amp;AB$1),0)))+
  SUMPRODUCT(('Form responses 1'!$C$2:$C1000=$A32)*('Form responses 1'!$A$2:$A1000&lt;=EOMONTH(DATEVALUE("1 "&amp;AB$1),0)))+
  SUMPRODUCT(('Form responses 1'!$D$2:$D1000=$A32)*('Form responses 1'!$A$2:$A1000&lt;=EOMONTH(DATEVALUE("1 "&amp;AB$1),0)))+
  SUMPRODUCT(('Form responses 1'!$E$2:$E1000=$A32)*('Form responses 1'!$A$2:$A1000&lt;=EOMONTH(DATEVALUE("1 "&amp;AB$1),0)))+
  SUMPRODUCT(('Form responses 1'!$F$2:$F1000=$A32)*('Form responses 1'!$A$2:$A1000&lt;=EOMONTH(DATEVALUE("1 "&amp;AB$1),0)))+
  SUMPRODUCT(('Form responses 1'!$G$2:$G1000=$A32)*('Form responses 1'!$A$2:$A1000&lt;=EOMONTH(DATEVALUE("1 "&amp;AB$1),0)))
),2),"-")</f>
        <v>0.87</v>
      </c>
      <c r="AC32" s="2">
        <f>IFERROR(ROUND(Data!$B32/(
  SUMPRODUCT(('Form responses 1'!$B$2:$B1000=$A32)*('Form responses 1'!$A$2:$A1000&lt;=EOMONTH(DATEVALUE("1 "&amp;AC$1),0)))+
  SUMPRODUCT(('Form responses 1'!$C$2:$C1000=$A32)*('Form responses 1'!$A$2:$A1000&lt;=EOMONTH(DATEVALUE("1 "&amp;AC$1),0)))+
  SUMPRODUCT(('Form responses 1'!$D$2:$D1000=$A32)*('Form responses 1'!$A$2:$A1000&lt;=EOMONTH(DATEVALUE("1 "&amp;AC$1),0)))+
  SUMPRODUCT(('Form responses 1'!$E$2:$E1000=$A32)*('Form responses 1'!$A$2:$A1000&lt;=EOMONTH(DATEVALUE("1 "&amp;AC$1),0)))+
  SUMPRODUCT(('Form responses 1'!$F$2:$F1000=$A32)*('Form responses 1'!$A$2:$A1000&lt;=EOMONTH(DATEVALUE("1 "&amp;AC$1),0)))+
  SUMPRODUCT(('Form responses 1'!$G$2:$G1000=$A32)*('Form responses 1'!$A$2:$A1000&lt;=EOMONTH(DATEVALUE("1 "&amp;AC$1),0)))
),2),"-")</f>
        <v>0.87</v>
      </c>
      <c r="AD32" s="2" t="str">
        <f>IFERROR(ROUND(Data!$B32/(
  SUMPRODUCT(('Form responses 1'!$B$2:$B1000=$A32)*('Form responses 1'!$A$2:$A1000&lt;=EOMONTH(DATEVALUE("1 "&amp;AD$1),0)))+
  SUMPRODUCT(('Form responses 1'!$C$2:$C1000=$A32)*('Form responses 1'!$A$2:$A1000&lt;=EOMONTH(DATEVALUE("1 "&amp;AD$1),0)))+
  SUMPRODUCT(('Form responses 1'!$D$2:$D1000=$A32)*('Form responses 1'!$A$2:$A1000&lt;=EOMONTH(DATEVALUE("1 "&amp;AD$1),0)))+
  SUMPRODUCT(('Form responses 1'!$E$2:$E1000=$A32)*('Form responses 1'!$A$2:$A1000&lt;=EOMONTH(DATEVALUE("1 "&amp;AD$1),0)))+
  SUMPRODUCT(('Form responses 1'!$F$2:$F1000=$A32)*('Form responses 1'!$A$2:$A1000&lt;=EOMONTH(DATEVALUE("1 "&amp;AD$1),0)))+
  SUMPRODUCT(('Form responses 1'!$G$2:$G1000=$A32)*('Form responses 1'!$A$2:$A1000&lt;=EOMONTH(DATEVALUE("1 "&amp;AD$1),0)))
),2),"-")</f>
        <v>-</v>
      </c>
      <c r="AE32" s="2" t="str">
        <f>IFERROR(ROUND(Data!$B32/(
  SUMPRODUCT(('Form responses 1'!$B$2:$B1000=$A32)*('Form responses 1'!$A$2:$A1000&lt;=EOMONTH(DATEVALUE("1 "&amp;AE$1),0)))+
  SUMPRODUCT(('Form responses 1'!$C$2:$C1000=$A32)*('Form responses 1'!$A$2:$A1000&lt;=EOMONTH(DATEVALUE("1 "&amp;AE$1),0)))+
  SUMPRODUCT(('Form responses 1'!$D$2:$D1000=$A32)*('Form responses 1'!$A$2:$A1000&lt;=EOMONTH(DATEVALUE("1 "&amp;AE$1),0)))+
  SUMPRODUCT(('Form responses 1'!$E$2:$E1000=$A32)*('Form responses 1'!$A$2:$A1000&lt;=EOMONTH(DATEVALUE("1 "&amp;AE$1),0)))+
  SUMPRODUCT(('Form responses 1'!$F$2:$F1000=$A32)*('Form responses 1'!$A$2:$A1000&lt;=EOMONTH(DATEVALUE("1 "&amp;AE$1),0)))+
  SUMPRODUCT(('Form responses 1'!$G$2:$G1000=$A32)*('Form responses 1'!$A$2:$A1000&lt;=EOMONTH(DATEVALUE("1 "&amp;AE$1),0)))
),2),"-")</f>
        <v>-</v>
      </c>
      <c r="AF32" s="2" t="str">
        <f>IFERROR(ROUND(Data!$B32/(
  SUMPRODUCT(('Form responses 1'!$B$2:$B1000=$A32)*('Form responses 1'!$A$2:$A1000&lt;=EOMONTH(DATEVALUE("1 "&amp;AF$1),0)))+
  SUMPRODUCT(('Form responses 1'!$C$2:$C1000=$A32)*('Form responses 1'!$A$2:$A1000&lt;=EOMONTH(DATEVALUE("1 "&amp;AF$1),0)))+
  SUMPRODUCT(('Form responses 1'!$D$2:$D1000=$A32)*('Form responses 1'!$A$2:$A1000&lt;=EOMONTH(DATEVALUE("1 "&amp;AF$1),0)))+
  SUMPRODUCT(('Form responses 1'!$E$2:$E1000=$A32)*('Form responses 1'!$A$2:$A1000&lt;=EOMONTH(DATEVALUE("1 "&amp;AF$1),0)))+
  SUMPRODUCT(('Form responses 1'!$F$2:$F1000=$A32)*('Form responses 1'!$A$2:$A1000&lt;=EOMONTH(DATEVALUE("1 "&amp;AF$1),0)))+
  SUMPRODUCT(('Form responses 1'!$G$2:$G1000=$A32)*('Form responses 1'!$A$2:$A1000&lt;=EOMONTH(DATEVALUE("1 "&amp;AF$1),0)))
),2),"-")</f>
        <v>-</v>
      </c>
      <c r="AG32" s="2" t="str">
        <f>IFERROR(ROUND(Data!$B32/(
  SUMPRODUCT(('Form responses 1'!$B$2:$B1000=$A32)*('Form responses 1'!$A$2:$A1000&lt;=EOMONTH(DATEVALUE("1 "&amp;AG$1),0)))+
  SUMPRODUCT(('Form responses 1'!$C$2:$C1000=$A32)*('Form responses 1'!$A$2:$A1000&lt;=EOMONTH(DATEVALUE("1 "&amp;AG$1),0)))+
  SUMPRODUCT(('Form responses 1'!$D$2:$D1000=$A32)*('Form responses 1'!$A$2:$A1000&lt;=EOMONTH(DATEVALUE("1 "&amp;AG$1),0)))+
  SUMPRODUCT(('Form responses 1'!$E$2:$E1000=$A32)*('Form responses 1'!$A$2:$A1000&lt;=EOMONTH(DATEVALUE("1 "&amp;AG$1),0)))+
  SUMPRODUCT(('Form responses 1'!$F$2:$F1000=$A32)*('Form responses 1'!$A$2:$A1000&lt;=EOMONTH(DATEVALUE("1 "&amp;AG$1),0)))+
  SUMPRODUCT(('Form responses 1'!$G$2:$G1000=$A32)*('Form responses 1'!$A$2:$A1000&lt;=EOMONTH(DATEVALUE("1 "&amp;AG$1),0)))
),2),"-")</f>
        <v>-</v>
      </c>
      <c r="AH32" s="2" t="str">
        <f>IFERROR(ROUND(Data!$B32/(
  SUMPRODUCT(('Form responses 1'!$B$2:$B1000=$A32)*('Form responses 1'!$A$2:$A1000&lt;=EOMONTH(DATEVALUE("1 "&amp;AH$1),0)))+
  SUMPRODUCT(('Form responses 1'!$C$2:$C1000=$A32)*('Form responses 1'!$A$2:$A1000&lt;=EOMONTH(DATEVALUE("1 "&amp;AH$1),0)))+
  SUMPRODUCT(('Form responses 1'!$D$2:$D1000=$A32)*('Form responses 1'!$A$2:$A1000&lt;=EOMONTH(DATEVALUE("1 "&amp;AH$1),0)))+
  SUMPRODUCT(('Form responses 1'!$E$2:$E1000=$A32)*('Form responses 1'!$A$2:$A1000&lt;=EOMONTH(DATEVALUE("1 "&amp;AH$1),0)))+
  SUMPRODUCT(('Form responses 1'!$F$2:$F1000=$A32)*('Form responses 1'!$A$2:$A1000&lt;=EOMONTH(DATEVALUE("1 "&amp;AH$1),0)))+
  SUMPRODUCT(('Form responses 1'!$G$2:$G1000=$A32)*('Form responses 1'!$A$2:$A1000&lt;=EOMONTH(DATEVALUE("1 "&amp;AH$1),0)))
),2),"-")</f>
        <v>-</v>
      </c>
      <c r="AI32" s="2" t="str">
        <f>IFERROR(ROUND(Data!$B32/(
  SUMPRODUCT(('Form responses 1'!$B$2:$B1000=$A32)*('Form responses 1'!$A$2:$A1000&lt;=EOMONTH(DATEVALUE("1 "&amp;AI$1),0)))+
  SUMPRODUCT(('Form responses 1'!$C$2:$C1000=$A32)*('Form responses 1'!$A$2:$A1000&lt;=EOMONTH(DATEVALUE("1 "&amp;AI$1),0)))+
  SUMPRODUCT(('Form responses 1'!$D$2:$D1000=$A32)*('Form responses 1'!$A$2:$A1000&lt;=EOMONTH(DATEVALUE("1 "&amp;AI$1),0)))+
  SUMPRODUCT(('Form responses 1'!$E$2:$E1000=$A32)*('Form responses 1'!$A$2:$A1000&lt;=EOMONTH(DATEVALUE("1 "&amp;AI$1),0)))+
  SUMPRODUCT(('Form responses 1'!$F$2:$F1000=$A32)*('Form responses 1'!$A$2:$A1000&lt;=EOMONTH(DATEVALUE("1 "&amp;AI$1),0)))+
  SUMPRODUCT(('Form responses 1'!$G$2:$G1000=$A32)*('Form responses 1'!$A$2:$A1000&lt;=EOMONTH(DATEVALUE("1 "&amp;AI$1),0)))
),2),"-")</f>
        <v>-</v>
      </c>
      <c r="AJ32" s="2" t="str">
        <f>IFERROR(ROUND(Data!$B32/(
  SUMPRODUCT(('Form responses 1'!$B$2:$B1000=$A32)*('Form responses 1'!$A$2:$A1000&lt;=EOMONTH(DATEVALUE("1 "&amp;AJ$1),0)))+
  SUMPRODUCT(('Form responses 1'!$C$2:$C1000=$A32)*('Form responses 1'!$A$2:$A1000&lt;=EOMONTH(DATEVALUE("1 "&amp;AJ$1),0)))+
  SUMPRODUCT(('Form responses 1'!$D$2:$D1000=$A32)*('Form responses 1'!$A$2:$A1000&lt;=EOMONTH(DATEVALUE("1 "&amp;AJ$1),0)))+
  SUMPRODUCT(('Form responses 1'!$E$2:$E1000=$A32)*('Form responses 1'!$A$2:$A1000&lt;=EOMONTH(DATEVALUE("1 "&amp;AJ$1),0)))+
  SUMPRODUCT(('Form responses 1'!$F$2:$F1000=$A32)*('Form responses 1'!$A$2:$A1000&lt;=EOMONTH(DATEVALUE("1 "&amp;AJ$1),0)))+
  SUMPRODUCT(('Form responses 1'!$G$2:$G1000=$A32)*('Form responses 1'!$A$2:$A1000&lt;=EOMONTH(DATEVALUE("1 "&amp;AJ$1),0)))
),2),"-")</f>
        <v>-</v>
      </c>
      <c r="AK32" s="2" t="str">
        <f>IFERROR(ROUND(Data!$B32/(
  SUMPRODUCT(('Form responses 1'!$B$2:$B1000=$A32)*('Form responses 1'!$A$2:$A1000&lt;=EOMONTH(DATEVALUE("1 "&amp;AK$1),0)))+
  SUMPRODUCT(('Form responses 1'!$C$2:$C1000=$A32)*('Form responses 1'!$A$2:$A1000&lt;=EOMONTH(DATEVALUE("1 "&amp;AK$1),0)))+
  SUMPRODUCT(('Form responses 1'!$D$2:$D1000=$A32)*('Form responses 1'!$A$2:$A1000&lt;=EOMONTH(DATEVALUE("1 "&amp;AK$1),0)))+
  SUMPRODUCT(('Form responses 1'!$E$2:$E1000=$A32)*('Form responses 1'!$A$2:$A1000&lt;=EOMONTH(DATEVALUE("1 "&amp;AK$1),0)))+
  SUMPRODUCT(('Form responses 1'!$F$2:$F1000=$A32)*('Form responses 1'!$A$2:$A1000&lt;=EOMONTH(DATEVALUE("1 "&amp;AK$1),0)))+
  SUMPRODUCT(('Form responses 1'!$G$2:$G1000=$A32)*('Form responses 1'!$A$2:$A1000&lt;=EOMONTH(DATEVALUE("1 "&amp;AK$1),0)))
),2),"-")</f>
        <v>-</v>
      </c>
      <c r="AL32" s="2" t="str">
        <f>IFERROR(ROUND(Data!$B32/(
  SUMPRODUCT(('Form responses 1'!$B$2:$B1000=$A32)*('Form responses 1'!$A$2:$A1000&lt;=EOMONTH(DATEVALUE("1 "&amp;AL$1),0)))+
  SUMPRODUCT(('Form responses 1'!$C$2:$C1000=$A32)*('Form responses 1'!$A$2:$A1000&lt;=EOMONTH(DATEVALUE("1 "&amp;AL$1),0)))+
  SUMPRODUCT(('Form responses 1'!$D$2:$D1000=$A32)*('Form responses 1'!$A$2:$A1000&lt;=EOMONTH(DATEVALUE("1 "&amp;AL$1),0)))+
  SUMPRODUCT(('Form responses 1'!$E$2:$E1000=$A32)*('Form responses 1'!$A$2:$A1000&lt;=EOMONTH(DATEVALUE("1 "&amp;AL$1),0)))+
  SUMPRODUCT(('Form responses 1'!$F$2:$F1000=$A32)*('Form responses 1'!$A$2:$A1000&lt;=EOMONTH(DATEVALUE("1 "&amp;AL$1),0)))+
  SUMPRODUCT(('Form responses 1'!$G$2:$G1000=$A32)*('Form responses 1'!$A$2:$A1000&lt;=EOMONTH(DATEVALUE("1 "&amp;AL$1),0)))
),2),"-")</f>
        <v>-</v>
      </c>
    </row>
    <row r="33">
      <c r="A33" s="3" t="str">
        <f>IFERROR(__xludf.DUMMYFUNCTION("""COMPUTED_VALUE"""),"Groene trui knitted")</f>
        <v>Groene trui knitted</v>
      </c>
      <c r="B33" s="2">
        <f>Data!F31:F1000</f>
        <v>0.54</v>
      </c>
      <c r="C33" s="2">
        <f>IFERROR(ROUND(Data!B31/(SUMPRODUCT(('Form responses 1'!$B$2:$B1000 = A33) * ('Form responses 1'!$A$2:$A1000 &lt;= DATE(2024, 1, 31)))
+ SUMPRODUCT(('Form responses 1'!$C$2:$C1000 = A33) * ('Form responses 1'!$A$2:$A1000 &lt;= DATE(2024, 1, 31)))
+ SUMPRODUCT(('Form responses 1'!$D$2:$D1000 = A33) * ('Form responses 1'!$A$2:$A1000 &lt;= DATE(2024, 1, 31)))
+ SUMPRODUCT(('Form responses 1'!$E$2:$E1000 = A33) * ('Form responses 1'!$A$2:$A1000 &lt;= DATE(2024, 1, 31)))
+ SUMPRODUCT(('Form responses 1'!$F$2:$F1000 = A33) * ('Form responses 1'!$A$2:$A1000 &lt;= DATE(2024, 1, 31)))
+ SUMPRODUCT(('Form responses 1'!$G$2:$G1000 = A33) * ('Form responses 1'!$A$2:$A1000 &lt;= DATE(2024, 1, 31)))), 2), "-")
</f>
        <v>0.3</v>
      </c>
      <c r="D33" s="2">
        <f>IFERROR(ROUND(Data!B31/(SUMPRODUCT(('Form responses 1'!$B$2:$B1000 = A33) * ('Form responses 1'!$A$2:$A1000 &lt;= DATE(2024, 2, 29)))
+ SUMPRODUCT(('Form responses 1'!$C$2:$C1000 = A33) * ('Form responses 1'!$A$2:$A1000 &lt;= DATE(2024, 2, 29)))
+ SUMPRODUCT(('Form responses 1'!$D$2:$D1000 = A33) * ('Form responses 1'!$A$2:$A1000 &lt;= DATE(2024, 2, 29)))
+ SUMPRODUCT(('Form responses 1'!$E$2:$E1000 = A33) * ('Form responses 1'!$A$2:$A1000 &lt;= DATE(2024, 2, 29)))
+ SUMPRODUCT(('Form responses 1'!$F$2:$F1000 = A33) * ('Form responses 1'!$A$2:$A1000 &lt;= DATE(2024, 2, 29)))
+ SUMPRODUCT(('Form responses 1'!$G$2:$G1000 = A33) * ('Form responses 1'!$A$2:$A1000 &lt;= DATE(2024, 2, 29)))), 2), "-")
</f>
        <v>0.3</v>
      </c>
      <c r="E33" s="2">
        <f>IFERROR(ROUND(Data!B31/(SUMPRODUCT(('Form responses 1'!$B$2:$B1000 = A33) * ('Form responses 1'!$A$2:$A1000 &lt;= DATE(2024, 3, 31)))
+ SUMPRODUCT(('Form responses 1'!$C$2:$C1000 = A33) * ('Form responses 1'!$A$2:$A1000 &lt;= DATE(2024, 3, 31)))
+ SUMPRODUCT(('Form responses 1'!$D$2:$D1000 = A33) * ('Form responses 1'!$A$2:$A1000 &lt;= DATE(2024, 3, 31)))
+ SUMPRODUCT(('Form responses 1'!$E$2:$E1000 = A33) * ('Form responses 1'!$A$2:$A1000 &lt;= DATE(2024, 3, 31)))
+ SUMPRODUCT(('Form responses 1'!$F$2:$F1000 = A33) * ('Form responses 1'!$A$2:$A1000 &lt;= DATE(2024, 3, 31)))
+ SUMPRODUCT(('Form responses 1'!$G$2:$G1000 = A33) * ('Form responses 1'!$A$2:$A1000 &lt;= DATE(2024, 3, 31)))), 2), "-")
</f>
        <v>0.29</v>
      </c>
      <c r="F33" s="2">
        <f>IFERROR(ROUND(Data!B31/(SUMPRODUCT(('Form responses 1'!$B$2:$B1000 = A33) * ('Form responses 1'!$A$2:$A1000 &lt;= DATE(2024, 4, 30)))
+ SUMPRODUCT(('Form responses 1'!$C$2:$C1000 = A33) * ('Form responses 1'!$A$2:$A1000 &lt;= DATE(2024, 4, 30)))
+ SUMPRODUCT(('Form responses 1'!$D$2:$D1000 = A33) * ('Form responses 1'!$A$2:$A1000 &lt;= DATE(2024, 4, 30)))
+ SUMPRODUCT(('Form responses 1'!$E$2:$E1000 = A33) * ('Form responses 1'!$A$2:$A1000 &lt;= DATE(2024, 4, 30)))
+ SUMPRODUCT(('Form responses 1'!$F$2:$F1000 = A33) * ('Form responses 1'!$A$2:$A1000 &lt;= DATE(2024, 4, 30)))
+ SUMPRODUCT(('Form responses 1'!$G$2:$G1000 = A33) * ('Form responses 1'!$A$2:$A1000 &lt;= DATE(2024, 4, 30)))), 2), "-")
</f>
        <v>0.28</v>
      </c>
      <c r="G33" s="2">
        <f>IFERROR(ROUND(Data!B31/(SUMPRODUCT(('Form responses 1'!$B$2:$B1000 = A33) * ('Form responses 1'!$A$2:$A1000 &lt;= DATE(2024, 5, 31)))
+ SUMPRODUCT(('Form responses 1'!$C$2:$C1000 = A33) * ('Form responses 1'!$A$2:$A1000 &lt;= DATE(2024, 5, 31)))
+ SUMPRODUCT(('Form responses 1'!$D$2:$D1000 = A33) * ('Form responses 1'!$A$2:$A1000 &lt;= DATE(2024, 5, 31)))
+ SUMPRODUCT(('Form responses 1'!$E$2:$E1000 = A33) * ('Form responses 1'!$A$2:$A1000 &lt;= DATE(2024, 5, 31)))
+ SUMPRODUCT(('Form responses 1'!$F$2:$F1000 = A33) * ('Form responses 1'!$A$2:$A1000 &lt;= DATE(2024, 5, 31)))
+ SUMPRODUCT(('Form responses 1'!$G$2:$G1000 = A33) * ('Form responses 1'!$A$2:$A1000 &lt;= DATE(2024, 5, 31)))), 2), "-")
</f>
        <v>0.28</v>
      </c>
      <c r="H33" s="2">
        <f>IFERROR(ROUND(Data!B31/(SUMPRODUCT(('Form responses 1'!$B$2:$B1000 = A33) * ('Form responses 1'!$A$2:$A1000 &lt;= DATE(2024, 6, 30)))
+ SUMPRODUCT(('Form responses 1'!$C$2:$C1000 = A33) * ('Form responses 1'!$A$2:$A1000 &lt;= DATE(2024, 6, 30)))
+ SUMPRODUCT(('Form responses 1'!$D$2:$D1000 = A33) * ('Form responses 1'!$A$2:$A1000 &lt;= DATE(2024, 6, 30)))
+ SUMPRODUCT(('Form responses 1'!$E$2:$E1000 = A33) * ('Form responses 1'!$A$2:$A1000 &lt;= DATE(2024, 6, 30)))
+ SUMPRODUCT(('Form responses 1'!$F$2:$F1000 = A33) * ('Form responses 1'!$A$2:$A1000 &lt;= DATE(2024, 6, 30)))
+ SUMPRODUCT(('Form responses 1'!$G$2:$G1000 = A33) * ('Form responses 1'!$A$2:$A1000 &lt;= DATE(2024, 6, 30)))), 2), "-")
</f>
        <v>0.28</v>
      </c>
      <c r="I33" s="2">
        <f>IFERROR(ROUND(Data!B31/(SUMPRODUCT(('Form responses 1'!$B$2:$B1000 = A33) * ('Form responses 1'!$A$2:$A1000 &lt;= DATE(2024, 7, 31)))
+ SUMPRODUCT(('Form responses 1'!$C$2:$C1000 = A33) * ('Form responses 1'!$A$2:$A1000 &lt;= DATE(2024, 7, 31)))
+ SUMPRODUCT(('Form responses 1'!$D$2:$D1000 = A33) * ('Form responses 1'!$A$2:$A1000 &lt;= DATE(2024, 7, 31)))
+ SUMPRODUCT(('Form responses 1'!$E$2:$E1000 = A33) * ('Form responses 1'!$A$2:$A1000 &lt;= DATE(2024, 7, 31)))
+ SUMPRODUCT(('Form responses 1'!$F$2:$F1000 = A33) * ('Form responses 1'!$A$2:$A1000 &lt;= DATE(2024, 7, 31)))
+ SUMPRODUCT(('Form responses 1'!$G$2:$G1000 = A33) * ('Form responses 1'!$A$2:$A1000 &lt;= DATE(2024, 7, 31)))), 2), "-")
</f>
        <v>0.28</v>
      </c>
      <c r="J33" s="2">
        <f>IFERROR(ROUND(Data!B31/(SUMPRODUCT(('Form responses 1'!$B$2:$B1000 = A33) * ('Form responses 1'!$A$2:$A1000 &lt;= DATE(2024, 8, 31)))
+ SUMPRODUCT(('Form responses 1'!$C$2:$C1000 = A33) * ('Form responses 1'!$A$2:$A1000 &lt;= DATE(2024, 8, 31)))
+ SUMPRODUCT(('Form responses 1'!$D$2:$D1000 = A33) * ('Form responses 1'!$A$2:$A1000 &lt;= DATE(2024, 8, 31)))
+ SUMPRODUCT(('Form responses 1'!$E$2:$E1000 = A33) * ('Form responses 1'!$A$2:$A1000 &lt;= DATE(2024, 8, 31)))
+ SUMPRODUCT(('Form responses 1'!$F$2:$F1000 = A33) * ('Form responses 1'!$A$2:$A1000 &lt;= DATE(2024, 8, 31)))
+ SUMPRODUCT(('Form responses 1'!$G$2:$G1000 = A33) * ('Form responses 1'!$A$2:$A1000 &lt;= DATE(2024, 8, 31)))), 2), "-")
</f>
        <v>0.28</v>
      </c>
      <c r="K33" s="2">
        <f>IFERROR(ROUND(Data!B31/(SUMPRODUCT(('Form responses 1'!$B$2:$B1000 = A33) * ('Form responses 1'!$A$2:$A1000 &lt;= DATE(2024, 9, 30)))
+ SUMPRODUCT(('Form responses 1'!$C$2:$C1000 = A33) * ('Form responses 1'!$A$2:$A1000 &lt;= DATE(2024, 9, 30)))
+ SUMPRODUCT(('Form responses 1'!$D$2:$D1000 = A33) * ('Form responses 1'!$A$2:$A1000 &lt;= DATE(2024, 9, 30)))
+ SUMPRODUCT(('Form responses 1'!$E$2:$E1000 = A33) * ('Form responses 1'!$A$2:$A1000 &lt;= DATE(2024, 9, 30)))
+ SUMPRODUCT(('Form responses 1'!$F$2:$F1000 = A33) * ('Form responses 1'!$A$2:$A1000 &lt;= DATE(2024, 9, 30)))
+ SUMPRODUCT(('Form responses 1'!$G$2:$G1000 = A33) * ('Form responses 1'!$A$2:$A1000 &lt;= DATE(2024, 9, 30)))), 2), "-")
</f>
        <v>0.28</v>
      </c>
      <c r="L33" s="2">
        <f>IFERROR(ROUND(Data!B31/(SUMPRODUCT(('Form responses 1'!$B$2:$B1000 = A33) * ('Form responses 1'!$A$2:$A1000 &lt;= DATE(2024, 10, 31)))
+ SUMPRODUCT(('Form responses 1'!$C$2:$C1000 = A33) * ('Form responses 1'!$A$2:$A1000 &lt;= DATE(2024, 10, 31)))
+ SUMPRODUCT(('Form responses 1'!$D$2:$D1000 = A33) * ('Form responses 1'!$A$2:$A1000 &lt;= DATE(2024, 10, 31)))
+ SUMPRODUCT(('Form responses 1'!$E$2:$E1000 = A33) * ('Form responses 1'!$A$2:$A1000 &lt;= DATE(2024, 10, 31)))
+ SUMPRODUCT(('Form responses 1'!$F$2:$F1000 = A33) * ('Form responses 1'!$A$2:$A1000 &lt;= DATE(2024, 10, 31)))
+ SUMPRODUCT(('Form responses 1'!$G$2:$G1000 = A33) * ('Form responses 1'!$A$2:$A1000 &lt;= DATE(2024, 10, 31)))), 2), "-")
</f>
        <v>0.28</v>
      </c>
      <c r="M33" s="2">
        <f>IFERROR(ROUND(Data!B31/(SUMPRODUCT(('Form responses 1'!$B$2:$B1000 = A33) * ('Form responses 1'!$A$2:$A1000 &lt;= DATE(2024, 11, 30)))
+ SUMPRODUCT(('Form responses 1'!$C$2:$C1000 = A33) * ('Form responses 1'!$A$2:$A1000 &lt;= DATE(2024, 11, 30)))
+ SUMPRODUCT(('Form responses 1'!$D$2:$D1000 = A33) * ('Form responses 1'!$A$2:$A1000 &lt;= DATE(2024, 11, 30)))
+ SUMPRODUCT(('Form responses 1'!$E$2:$E1000 = A33) * ('Form responses 1'!$A$2:$A1000 &lt;= DATE(2024, 11, 30)))
+ SUMPRODUCT(('Form responses 1'!$F$2:$F1000 = A33) * ('Form responses 1'!$A$2:$A1000 &lt;= DATE(2024, 11, 30)))
+ SUMPRODUCT(('Form responses 1'!$G$2:$G1000 = A33) * ('Form responses 1'!$A$2:$A1000 &lt;= DATE(2024, 11, 30)))), 2), "-")
</f>
        <v>0.28</v>
      </c>
      <c r="N33" s="2">
        <f>IFERROR(ROUND(Data!B31/(SUMPRODUCT(('Form responses 1'!$B$2:$B1000 = A33) * ('Form responses 1'!$A$2:$A1000 &lt;= DATE(2024, 12, 31)))
+ SUMPRODUCT(('Form responses 1'!$C$2:$C1000 = A33) * ('Form responses 1'!$A$2:$A1000 &lt;= DATE(2024, 12, 31)))
+ SUMPRODUCT(('Form responses 1'!$D$2:$D1000 = A33) * ('Form responses 1'!$A$2:$A1000 &lt;= DATE(2024, 12, 31)))
+ SUMPRODUCT(('Form responses 1'!$E$2:$E1000 = A33) * ('Form responses 1'!$A$2:$A1000 &lt;= DATE(2024, 12, 31)))
+ SUMPRODUCT(('Form responses 1'!$F$2:$F1000 = A33) * ('Form responses 1'!$A$2:$A1000 &lt;= DATE(2024, 12, 31)))
+ SUMPRODUCT(('Form responses 1'!$G$2:$G1000 = A33) * ('Form responses 1'!$A$2:$A1000 &lt;= DATE(2024, 12, 31)))), 2), "-")
</f>
        <v>0.28</v>
      </c>
      <c r="O33" s="2">
        <f>IFERROR(ROUND(Data!B31/(SUMPRODUCT(('Form responses 1'!$B$2:$B1000 = A33) * ('Form responses 1'!$A$2:$A1000 &lt;= DATE(2025, 1, 31)))
+ SUMPRODUCT(('Form responses 1'!$C$2:$C1000 = A33) * ('Form responses 1'!$A$2:$A1000 &lt;= DATE(2025, 1, 31)))
+ SUMPRODUCT(('Form responses 1'!$D$2:$D1000 = A33) * ('Form responses 1'!$A$2:$A1000 &lt;= DATE(2025, 1, 31)))
+ SUMPRODUCT(('Form responses 1'!$E$2:$E1000 = A33) * ('Form responses 1'!$A$2:$A1000 &lt;= DATE(2025, 1, 31)))
+ SUMPRODUCT(('Form responses 1'!$F$2:$F1000 = A33) * ('Form responses 1'!$A$2:$A1000 &lt;= DATE(2025, 1, 31)))
+ SUMPRODUCT(('Form responses 1'!$G$2:$G1000 = A33) * ('Form responses 1'!$A$2:$A1000 &lt;= DATE(2025, 1, 31)))), 2), "-")
</f>
        <v>0.28</v>
      </c>
      <c r="P33" s="2">
        <f>IFERROR(ROUND(Data!B31/(SUMPRODUCT(('Form responses 1'!$B$2:$B1000 = A33) * ('Form responses 1'!$A$2:$A1000 &lt;= DATE(2025, 2, 28)))
+ SUMPRODUCT(('Form responses 1'!$C$2:$C1000 = A33) * ('Form responses 1'!$A$2:$A1000 &lt;= DATE(2025, 2, 28)))
+ SUMPRODUCT(('Form responses 1'!$D$2:$D1000 = A33) * ('Form responses 1'!$A$2:$A1000 &lt;= DATE(2025, 2, 28)))
+ SUMPRODUCT(('Form responses 1'!$E$2:$E1000 = A33) * ('Form responses 1'!$A$2:$A1000 &lt;= DATE(2025, 2, 28)))
+ SUMPRODUCT(('Form responses 1'!$F$2:$F1000 = A33) * ('Form responses 1'!$A$2:$A1000 &lt;= DATE(2025, 2, 28)))
+ SUMPRODUCT(('Form responses 1'!$G$2:$G1000 = A33) * ('Form responses 1'!$A$2:$A1000 &lt;= DATE(2025, 2, 28)))), 2), "-")
</f>
        <v>0.28</v>
      </c>
      <c r="Q33" s="2">
        <f>IFERROR(ROUND(Data!B31/(SUMPRODUCT(('Form responses 1'!$B$2:$B1000 = A33) * ('Form responses 1'!$A$2:$A1000 &lt;= DATE(2025, 3, 31)))
+ SUMPRODUCT(('Form responses 1'!$C$2:$C1000 = A33) * ('Form responses 1'!$A$2:$A1000 &lt;= DATE(2025, 3, 31)))
+ SUMPRODUCT(('Form responses 1'!$D$2:$D1000 = A33) * ('Form responses 1'!$A$2:$A1000 &lt;= DATE(2025, 3, 31)))
+ SUMPRODUCT(('Form responses 1'!$E$2:$E1000 = A33) * ('Form responses 1'!$A$2:$A1000 &lt;= DATE(2025, 3, 31)))
+ SUMPRODUCT(('Form responses 1'!$F$2:$F1000 = A33) * ('Form responses 1'!$A$2:$A1000 &lt;= DATE(2025, 3, 31)))
+ SUMPRODUCT(('Form responses 1'!$G$2:$G1000 = A33) * ('Form responses 1'!$A$2:$A1000 &lt;= DATE(2025, 3, 31)))),2),"-")</f>
        <v>0.28</v>
      </c>
      <c r="R33" s="2">
        <f>IFERROR(ROUND(Data!B31/(SUMPRODUCT(('Form responses 1'!$B$2:$B1000 = A33) * ('Form responses 1'!$A$2:$A1000 &lt;= DATE(2025, 4, 30)))
+ SUMPRODUCT(('Form responses 1'!$C$2:$C1000 = A33) * ('Form responses 1'!$A$2:$A1000 &lt;= DATE(2025, 4, 30)))
+ SUMPRODUCT(('Form responses 1'!$D$2:$D1000 = A33) * ('Form responses 1'!$A$2:$A1000 &lt;= DATE(2025, 4, 30)))
+ SUMPRODUCT(('Form responses 1'!$E$2:$E1000 = A33) * ('Form responses 1'!$A$2:$A1000 &lt;= DATE(2025, 4, 30)))
+ SUMPRODUCT(('Form responses 1'!$F$2:$F1000 = A33) * ('Form responses 1'!$A$2:$A1000 &lt;= DATE(2025, 4, 30)))
+ SUMPRODUCT(('Form responses 1'!$G$2:$G1000 = A33) * ('Form responses 1'!$A$2:$A1000 &lt;= DATE(2025, 4, 30)))), 2), "-")
</f>
        <v>0.28</v>
      </c>
      <c r="S33" s="2">
        <f>IFERROR(ROUND(Data!B31/(SUMPRODUCT(('Form responses 1'!$B$2:$B1000 = A33) * ('Form responses 1'!$A$2:$A1000 &lt;= DATE(2025, 5, 31)))
+ SUMPRODUCT(('Form responses 1'!$C$2:$C1000 = A33) * ('Form responses 1'!$A$2:$A1000 &lt;= DATE(2025, 5, 31)))
+ SUMPRODUCT(('Form responses 1'!$D$2:$D1000 = A33) * ('Form responses 1'!$A$2:$A1000 &lt;= DATE(2025, 5, 31)))
+ SUMPRODUCT(('Form responses 1'!$E$2:$E1000 = A33) * ('Form responses 1'!$A$2:$A1000 &lt;= DATE(2025, 5, 31)))
+ SUMPRODUCT(('Form responses 1'!$F$2:$F1000 = A33) * ('Form responses 1'!$A$2:$A1000 &lt;= DATE(2025, 5, 31)))
+ SUMPRODUCT(('Form responses 1'!$G$2:$G1000 = A33) * ('Form responses 1'!$A$2:$A1000 &lt;= DATE(2025, 5, 31)))), 2), "-")
</f>
        <v>0.28</v>
      </c>
      <c r="T33" s="2">
        <f>IFERROR(ROUND(Data!B31/(SUMPRODUCT(('Form responses 1'!$B$2:$B1000 = A33) * ('Form responses 1'!$A$2:$A1000 &lt;= DATE(2025, 6, 30)))
+ SUMPRODUCT(('Form responses 1'!$C$2:$C1000 = A33) * ('Form responses 1'!$A$2:$A1000 &lt;= DATE(2025, 6, 30)))
+ SUMPRODUCT(('Form responses 1'!$D$2:$D1000 = A33) * ('Form responses 1'!$A$2:$A1000 &lt;= DATE(2025, 6, 30)))
+ SUMPRODUCT(('Form responses 1'!$E$2:$E1000 = A33) * ('Form responses 1'!$A$2:$A1000 &lt;= DATE(2025, 6, 30)))
+ SUMPRODUCT(('Form responses 1'!$F$2:$F1000 = A33) * ('Form responses 1'!$A$2:$A1000 &lt;= DATE(2025, 6, 30)))
+ SUMPRODUCT(('Form responses 1'!$G$2:$G1000 = A33) * ('Form responses 1'!$A$2:$A1000 &lt;= DATE(2025, 6, 30)))), 2), "-")
</f>
        <v>0.28</v>
      </c>
      <c r="U33" s="2">
        <f>IFERROR(ROUND(Data!B31/(SUMPRODUCT(('Form responses 1'!$B$2:$B1000 = A33) * ('Form responses 1'!$A$2:$A1000 &lt;= DATE(2025, 7, 31)))
+ SUMPRODUCT(('Form responses 1'!$C$2:$C1000 = A33) * ('Form responses 1'!$A$2:$A1000 &lt;= DATE(2025, 7, 31)))
+ SUMPRODUCT(('Form responses 1'!$D$2:$D1000 = A33) * ('Form responses 1'!$A$2:$A1000 &lt;= DATE(2025, 7, 31)))
+ SUMPRODUCT(('Form responses 1'!$E$2:$E1000 = A33) * ('Form responses 1'!$A$2:$A1000 &lt;= DATE(2025, 7, 31)))
+ SUMPRODUCT(('Form responses 1'!$F$2:$F1000 = A33) * ('Form responses 1'!$A$2:$A1000 &lt;= DATE(2025, 7, 31)))
+ SUMPRODUCT(('Form responses 1'!$G$2:$G1000 = A33) * ('Form responses 1'!$A$2:$A1000 &lt;= DATE(2025, 7, 31)))), 2), "-")
</f>
        <v>0.28</v>
      </c>
      <c r="V33" s="2">
        <f>IFERROR(ROUND(Data!B31/(SUMPRODUCT(('Form responses 1'!$B$2:$B1000 = A33) * ('Form responses 1'!$A$2:$A1000 &lt;= DATE(2025, 8, 31)))
+ SUMPRODUCT(('Form responses 1'!$C$2:$C1000 = A33) * ('Form responses 1'!$A$2:$A1000 &lt;= DATE(2025, 8, 31)))
+ SUMPRODUCT(('Form responses 1'!$D$2:$D1000 = A33) * ('Form responses 1'!$A$2:$A1000 &lt;= DATE(2025, 8, 31)))
+ SUMPRODUCT(('Form responses 1'!$E$2:$E1000 = A33) * ('Form responses 1'!$A$2:$A1000 &lt;= DATE(2025, 8, 31)))
+ SUMPRODUCT(('Form responses 1'!$F$2:$F1000 = A33) * ('Form responses 1'!$A$2:$A1000 &lt;= DATE(2025, 8, 31)))
+ SUMPRODUCT(('Form responses 1'!$G$2:$G1000 = A33) * ('Form responses 1'!$A$2:$A1000 &lt;= DATE(2025, 8, 31)))), 2), "-")
</f>
        <v>0.28</v>
      </c>
      <c r="W33" s="2">
        <f>IFERROR(ROUND(Data!B31/(SUMPRODUCT(('Form responses 1'!$B$2:$B1000 = A33) * ('Form responses 1'!$A$2:$A1000 &lt;= DATE(2025, 9, 30)))
+ SUMPRODUCT(('Form responses 1'!$C$2:$C1000 = A33) * ('Form responses 1'!$A$2:$A1000 &lt;= DATE(2025, 9, 30)))
+ SUMPRODUCT(('Form responses 1'!$D$2:$D1000 = A33) * ('Form responses 1'!$A$2:$A1000 &lt;= DATE(2025, 9, 30)))
+ SUMPRODUCT(('Form responses 1'!$E$2:$E1000 = A33) * ('Form responses 1'!$A$2:$A1000 &lt;= DATE(2025, 9, 30)))
+ SUMPRODUCT(('Form responses 1'!$F$2:$F1000 = A33) * ('Form responses 1'!$A$2:$A1000 &lt;= DATE(2025, 9, 30)))
+ SUMPRODUCT(('Form responses 1'!$G$2:$G1000 = A33) * ('Form responses 1'!$A$2:$A1000 &lt;= DATE(2025, 9, 30)))), 2), "-")
</f>
        <v>0.28</v>
      </c>
      <c r="X33" s="2">
        <f>IFERROR(ROUND(Data!B31/(SUMPRODUCT(('Form responses 1'!$B$2:$B1000 = A33) * ('Form responses 1'!$A$2:$A1000 &lt;= DATE(2025, 10, 31)))
+ SUMPRODUCT(('Form responses 1'!$C$2:$C1000 = A33) * ('Form responses 1'!$A$2:$A1000 &lt;= DATE(2025, 10, 31)))
+ SUMPRODUCT(('Form responses 1'!$D$2:$D1000 = A33) * ('Form responses 1'!$A$2:$A1000 &lt;= DATE(2025, 10, 31)))
+ SUMPRODUCT(('Form responses 1'!$E$2:$E1000 = A33) * ('Form responses 1'!$A$2:$A1000 &lt;= DATE(2025, 10, 31)))
+ SUMPRODUCT(('Form responses 1'!$F$2:$F1000 = A33) * ('Form responses 1'!$A$2:$A1000 &lt;= DATE(2025, 10, 31)))
+ SUMPRODUCT(('Form responses 1'!$G$2:$G1000 = A33) * ('Form responses 1'!$A$2:$A1000 &lt;= DATE(2025, 10, 31)))), 2), "-")
</f>
        <v>0.28</v>
      </c>
      <c r="Y33" s="2">
        <f>IFERROR(ROUND(Data!B31/(SUMPRODUCT(('Form responses 1'!$B$2:$B1000 = A33) * ('Form responses 1'!$A$2:$A1000 &lt;= DATE(2025, 11, 30)))
+ SUMPRODUCT(('Form responses 1'!$C$2:$C1000 = A33) * ('Form responses 1'!$A$2:$A1000 &lt;= DATE(2025, 11, 30)))
+ SUMPRODUCT(('Form responses 1'!$D$2:$D1000 = A33) * ('Form responses 1'!$A$2:$A1000 &lt;= DATE(2025, 11, 30)))
+ SUMPRODUCT(('Form responses 1'!$E$2:$E1000 = A33) * ('Form responses 1'!$A$2:$A1000 &lt;= DATE(2025, 11, 30)))
+ SUMPRODUCT(('Form responses 1'!$F$2:$F1000 = A33) * ('Form responses 1'!$A$2:$A1000 &lt;= DATE(2025, 11, 30)))
+ SUMPRODUCT(('Form responses 1'!$G$2:$G1000 = A33) * ('Form responses 1'!$A$2:$A1000 &lt;= DATE(2025, 11, 30)))), 2), "-")
</f>
        <v>0.28</v>
      </c>
      <c r="Z33" s="2">
        <f>IFERROR(ROUND(Data!B31/(SUMPRODUCT(('Form responses 1'!$B$2:$B1000 = A33) * ('Form responses 1'!$A$2:$A1000 &lt;= DATE(2025, 12, 31)))
+ SUMPRODUCT(('Form responses 1'!$C$2:$C1000 = A33) * ('Form responses 1'!$A$2:$A1000 &lt;= DATE(2025, 12, 31)))
+ SUMPRODUCT(('Form responses 1'!$D$2:$D1000 = A33) * ('Form responses 1'!$A$2:$A1000 &lt;= DATE(2025, 12, 31)))
+ SUMPRODUCT(('Form responses 1'!$E$2:$E1000 = A33) * ('Form responses 1'!$A$2:$A1000 &lt;= DATE(2025, 12, 31)))
+ SUMPRODUCT(('Form responses 1'!$F$2:$F1000 = A33) * ('Form responses 1'!$A$2:$A1000 &lt;= DATE(2025, 12, 31)))
+ SUMPRODUCT(('Form responses 1'!$G$2:$G1000 = A33) * ('Form responses 1'!$A$2:$A1000 &lt;= DATE(2025, 12, 31)))), 2), "-")
</f>
        <v>0.28</v>
      </c>
      <c r="AA33" s="2">
        <f>IFERROR(ROUND(Data!$B33/(
  SUMPRODUCT(('Form responses 1'!$B$2:$B1000=$A33)*('Form responses 1'!$A$2:$A1000&lt;=EOMONTH(DATEVALUE("1 "&amp;AA$1),0)))+
  SUMPRODUCT(('Form responses 1'!$C$2:$C1000=$A33)*('Form responses 1'!$A$2:$A1000&lt;=EOMONTH(DATEVALUE("1 "&amp;AA$1),0)))+
  SUMPRODUCT(('Form responses 1'!$D$2:$D1000=$A33)*('Form responses 1'!$A$2:$A1000&lt;=EOMONTH(DATEVALUE("1 "&amp;AA$1),0)))+
  SUMPRODUCT(('Form responses 1'!$E$2:$E1000=$A33)*('Form responses 1'!$A$2:$A1000&lt;=EOMONTH(DATEVALUE("1 "&amp;AA$1),0)))+
  SUMPRODUCT(('Form responses 1'!$F$2:$F1000=$A33)*('Form responses 1'!$A$2:$A1000&lt;=EOMONTH(DATEVALUE("1 "&amp;AA$1),0)))+
  SUMPRODUCT(('Form responses 1'!$G$2:$G1000=$A33)*('Form responses 1'!$A$2:$A1000&lt;=EOMONTH(DATEVALUE("1 "&amp;AA$1),0)))
),2),"-")</f>
        <v>0.54</v>
      </c>
      <c r="AB33" s="2">
        <f>IFERROR(ROUND(Data!$B33/(
  SUMPRODUCT(('Form responses 1'!$B$2:$B1000=$A33)*('Form responses 1'!$A$2:$A1000&lt;=EOMONTH(DATEVALUE("1 "&amp;AB$1),0)))+
  SUMPRODUCT(('Form responses 1'!$C$2:$C1000=$A33)*('Form responses 1'!$A$2:$A1000&lt;=EOMONTH(DATEVALUE("1 "&amp;AB$1),0)))+
  SUMPRODUCT(('Form responses 1'!$D$2:$D1000=$A33)*('Form responses 1'!$A$2:$A1000&lt;=EOMONTH(DATEVALUE("1 "&amp;AB$1),0)))+
  SUMPRODUCT(('Form responses 1'!$E$2:$E1000=$A33)*('Form responses 1'!$A$2:$A1000&lt;=EOMONTH(DATEVALUE("1 "&amp;AB$1),0)))+
  SUMPRODUCT(('Form responses 1'!$F$2:$F1000=$A33)*('Form responses 1'!$A$2:$A1000&lt;=EOMONTH(DATEVALUE("1 "&amp;AB$1),0)))+
  SUMPRODUCT(('Form responses 1'!$G$2:$G1000=$A33)*('Form responses 1'!$A$2:$A1000&lt;=EOMONTH(DATEVALUE("1 "&amp;AB$1),0)))
),2),"-")</f>
        <v>0.54</v>
      </c>
      <c r="AC33" s="2">
        <f>IFERROR(ROUND(Data!$B33/(
  SUMPRODUCT(('Form responses 1'!$B$2:$B1000=$A33)*('Form responses 1'!$A$2:$A1000&lt;=EOMONTH(DATEVALUE("1 "&amp;AC$1),0)))+
  SUMPRODUCT(('Form responses 1'!$C$2:$C1000=$A33)*('Form responses 1'!$A$2:$A1000&lt;=EOMONTH(DATEVALUE("1 "&amp;AC$1),0)))+
  SUMPRODUCT(('Form responses 1'!$D$2:$D1000=$A33)*('Form responses 1'!$A$2:$A1000&lt;=EOMONTH(DATEVALUE("1 "&amp;AC$1),0)))+
  SUMPRODUCT(('Form responses 1'!$E$2:$E1000=$A33)*('Form responses 1'!$A$2:$A1000&lt;=EOMONTH(DATEVALUE("1 "&amp;AC$1),0)))+
  SUMPRODUCT(('Form responses 1'!$F$2:$F1000=$A33)*('Form responses 1'!$A$2:$A1000&lt;=EOMONTH(DATEVALUE("1 "&amp;AC$1),0)))+
  SUMPRODUCT(('Form responses 1'!$G$2:$G1000=$A33)*('Form responses 1'!$A$2:$A1000&lt;=EOMONTH(DATEVALUE("1 "&amp;AC$1),0)))
),2),"-")</f>
        <v>0.54</v>
      </c>
      <c r="AD33" s="2" t="str">
        <f>IFERROR(ROUND(Data!$B33/(
  SUMPRODUCT(('Form responses 1'!$B$2:$B1000=$A33)*('Form responses 1'!$A$2:$A1000&lt;=EOMONTH(DATEVALUE("1 "&amp;AD$1),0)))+
  SUMPRODUCT(('Form responses 1'!$C$2:$C1000=$A33)*('Form responses 1'!$A$2:$A1000&lt;=EOMONTH(DATEVALUE("1 "&amp;AD$1),0)))+
  SUMPRODUCT(('Form responses 1'!$D$2:$D1000=$A33)*('Form responses 1'!$A$2:$A1000&lt;=EOMONTH(DATEVALUE("1 "&amp;AD$1),0)))+
  SUMPRODUCT(('Form responses 1'!$E$2:$E1000=$A33)*('Form responses 1'!$A$2:$A1000&lt;=EOMONTH(DATEVALUE("1 "&amp;AD$1),0)))+
  SUMPRODUCT(('Form responses 1'!$F$2:$F1000=$A33)*('Form responses 1'!$A$2:$A1000&lt;=EOMONTH(DATEVALUE("1 "&amp;AD$1),0)))+
  SUMPRODUCT(('Form responses 1'!$G$2:$G1000=$A33)*('Form responses 1'!$A$2:$A1000&lt;=EOMONTH(DATEVALUE("1 "&amp;AD$1),0)))
),2),"-")</f>
        <v>-</v>
      </c>
      <c r="AE33" s="2" t="str">
        <f>IFERROR(ROUND(Data!$B33/(
  SUMPRODUCT(('Form responses 1'!$B$2:$B1000=$A33)*('Form responses 1'!$A$2:$A1000&lt;=EOMONTH(DATEVALUE("1 "&amp;AE$1),0)))+
  SUMPRODUCT(('Form responses 1'!$C$2:$C1000=$A33)*('Form responses 1'!$A$2:$A1000&lt;=EOMONTH(DATEVALUE("1 "&amp;AE$1),0)))+
  SUMPRODUCT(('Form responses 1'!$D$2:$D1000=$A33)*('Form responses 1'!$A$2:$A1000&lt;=EOMONTH(DATEVALUE("1 "&amp;AE$1),0)))+
  SUMPRODUCT(('Form responses 1'!$E$2:$E1000=$A33)*('Form responses 1'!$A$2:$A1000&lt;=EOMONTH(DATEVALUE("1 "&amp;AE$1),0)))+
  SUMPRODUCT(('Form responses 1'!$F$2:$F1000=$A33)*('Form responses 1'!$A$2:$A1000&lt;=EOMONTH(DATEVALUE("1 "&amp;AE$1),0)))+
  SUMPRODUCT(('Form responses 1'!$G$2:$G1000=$A33)*('Form responses 1'!$A$2:$A1000&lt;=EOMONTH(DATEVALUE("1 "&amp;AE$1),0)))
),2),"-")</f>
        <v>-</v>
      </c>
      <c r="AF33" s="2" t="str">
        <f>IFERROR(ROUND(Data!$B33/(
  SUMPRODUCT(('Form responses 1'!$B$2:$B1000=$A33)*('Form responses 1'!$A$2:$A1000&lt;=EOMONTH(DATEVALUE("1 "&amp;AF$1),0)))+
  SUMPRODUCT(('Form responses 1'!$C$2:$C1000=$A33)*('Form responses 1'!$A$2:$A1000&lt;=EOMONTH(DATEVALUE("1 "&amp;AF$1),0)))+
  SUMPRODUCT(('Form responses 1'!$D$2:$D1000=$A33)*('Form responses 1'!$A$2:$A1000&lt;=EOMONTH(DATEVALUE("1 "&amp;AF$1),0)))+
  SUMPRODUCT(('Form responses 1'!$E$2:$E1000=$A33)*('Form responses 1'!$A$2:$A1000&lt;=EOMONTH(DATEVALUE("1 "&amp;AF$1),0)))+
  SUMPRODUCT(('Form responses 1'!$F$2:$F1000=$A33)*('Form responses 1'!$A$2:$A1000&lt;=EOMONTH(DATEVALUE("1 "&amp;AF$1),0)))+
  SUMPRODUCT(('Form responses 1'!$G$2:$G1000=$A33)*('Form responses 1'!$A$2:$A1000&lt;=EOMONTH(DATEVALUE("1 "&amp;AF$1),0)))
),2),"-")</f>
        <v>-</v>
      </c>
      <c r="AG33" s="2" t="str">
        <f>IFERROR(ROUND(Data!$B33/(
  SUMPRODUCT(('Form responses 1'!$B$2:$B1000=$A33)*('Form responses 1'!$A$2:$A1000&lt;=EOMONTH(DATEVALUE("1 "&amp;AG$1),0)))+
  SUMPRODUCT(('Form responses 1'!$C$2:$C1000=$A33)*('Form responses 1'!$A$2:$A1000&lt;=EOMONTH(DATEVALUE("1 "&amp;AG$1),0)))+
  SUMPRODUCT(('Form responses 1'!$D$2:$D1000=$A33)*('Form responses 1'!$A$2:$A1000&lt;=EOMONTH(DATEVALUE("1 "&amp;AG$1),0)))+
  SUMPRODUCT(('Form responses 1'!$E$2:$E1000=$A33)*('Form responses 1'!$A$2:$A1000&lt;=EOMONTH(DATEVALUE("1 "&amp;AG$1),0)))+
  SUMPRODUCT(('Form responses 1'!$F$2:$F1000=$A33)*('Form responses 1'!$A$2:$A1000&lt;=EOMONTH(DATEVALUE("1 "&amp;AG$1),0)))+
  SUMPRODUCT(('Form responses 1'!$G$2:$G1000=$A33)*('Form responses 1'!$A$2:$A1000&lt;=EOMONTH(DATEVALUE("1 "&amp;AG$1),0)))
),2),"-")</f>
        <v>-</v>
      </c>
      <c r="AH33" s="2" t="str">
        <f>IFERROR(ROUND(Data!$B33/(
  SUMPRODUCT(('Form responses 1'!$B$2:$B1000=$A33)*('Form responses 1'!$A$2:$A1000&lt;=EOMONTH(DATEVALUE("1 "&amp;AH$1),0)))+
  SUMPRODUCT(('Form responses 1'!$C$2:$C1000=$A33)*('Form responses 1'!$A$2:$A1000&lt;=EOMONTH(DATEVALUE("1 "&amp;AH$1),0)))+
  SUMPRODUCT(('Form responses 1'!$D$2:$D1000=$A33)*('Form responses 1'!$A$2:$A1000&lt;=EOMONTH(DATEVALUE("1 "&amp;AH$1),0)))+
  SUMPRODUCT(('Form responses 1'!$E$2:$E1000=$A33)*('Form responses 1'!$A$2:$A1000&lt;=EOMONTH(DATEVALUE("1 "&amp;AH$1),0)))+
  SUMPRODUCT(('Form responses 1'!$F$2:$F1000=$A33)*('Form responses 1'!$A$2:$A1000&lt;=EOMONTH(DATEVALUE("1 "&amp;AH$1),0)))+
  SUMPRODUCT(('Form responses 1'!$G$2:$G1000=$A33)*('Form responses 1'!$A$2:$A1000&lt;=EOMONTH(DATEVALUE("1 "&amp;AH$1),0)))
),2),"-")</f>
        <v>-</v>
      </c>
      <c r="AI33" s="2" t="str">
        <f>IFERROR(ROUND(Data!$B33/(
  SUMPRODUCT(('Form responses 1'!$B$2:$B1000=$A33)*('Form responses 1'!$A$2:$A1000&lt;=EOMONTH(DATEVALUE("1 "&amp;AI$1),0)))+
  SUMPRODUCT(('Form responses 1'!$C$2:$C1000=$A33)*('Form responses 1'!$A$2:$A1000&lt;=EOMONTH(DATEVALUE("1 "&amp;AI$1),0)))+
  SUMPRODUCT(('Form responses 1'!$D$2:$D1000=$A33)*('Form responses 1'!$A$2:$A1000&lt;=EOMONTH(DATEVALUE("1 "&amp;AI$1),0)))+
  SUMPRODUCT(('Form responses 1'!$E$2:$E1000=$A33)*('Form responses 1'!$A$2:$A1000&lt;=EOMONTH(DATEVALUE("1 "&amp;AI$1),0)))+
  SUMPRODUCT(('Form responses 1'!$F$2:$F1000=$A33)*('Form responses 1'!$A$2:$A1000&lt;=EOMONTH(DATEVALUE("1 "&amp;AI$1),0)))+
  SUMPRODUCT(('Form responses 1'!$G$2:$G1000=$A33)*('Form responses 1'!$A$2:$A1000&lt;=EOMONTH(DATEVALUE("1 "&amp;AI$1),0)))
),2),"-")</f>
        <v>-</v>
      </c>
      <c r="AJ33" s="2" t="str">
        <f>IFERROR(ROUND(Data!$B33/(
  SUMPRODUCT(('Form responses 1'!$B$2:$B1000=$A33)*('Form responses 1'!$A$2:$A1000&lt;=EOMONTH(DATEVALUE("1 "&amp;AJ$1),0)))+
  SUMPRODUCT(('Form responses 1'!$C$2:$C1000=$A33)*('Form responses 1'!$A$2:$A1000&lt;=EOMONTH(DATEVALUE("1 "&amp;AJ$1),0)))+
  SUMPRODUCT(('Form responses 1'!$D$2:$D1000=$A33)*('Form responses 1'!$A$2:$A1000&lt;=EOMONTH(DATEVALUE("1 "&amp;AJ$1),0)))+
  SUMPRODUCT(('Form responses 1'!$E$2:$E1000=$A33)*('Form responses 1'!$A$2:$A1000&lt;=EOMONTH(DATEVALUE("1 "&amp;AJ$1),0)))+
  SUMPRODUCT(('Form responses 1'!$F$2:$F1000=$A33)*('Form responses 1'!$A$2:$A1000&lt;=EOMONTH(DATEVALUE("1 "&amp;AJ$1),0)))+
  SUMPRODUCT(('Form responses 1'!$G$2:$G1000=$A33)*('Form responses 1'!$A$2:$A1000&lt;=EOMONTH(DATEVALUE("1 "&amp;AJ$1),0)))
),2),"-")</f>
        <v>-</v>
      </c>
      <c r="AK33" s="2" t="str">
        <f>IFERROR(ROUND(Data!$B33/(
  SUMPRODUCT(('Form responses 1'!$B$2:$B1000=$A33)*('Form responses 1'!$A$2:$A1000&lt;=EOMONTH(DATEVALUE("1 "&amp;AK$1),0)))+
  SUMPRODUCT(('Form responses 1'!$C$2:$C1000=$A33)*('Form responses 1'!$A$2:$A1000&lt;=EOMONTH(DATEVALUE("1 "&amp;AK$1),0)))+
  SUMPRODUCT(('Form responses 1'!$D$2:$D1000=$A33)*('Form responses 1'!$A$2:$A1000&lt;=EOMONTH(DATEVALUE("1 "&amp;AK$1),0)))+
  SUMPRODUCT(('Form responses 1'!$E$2:$E1000=$A33)*('Form responses 1'!$A$2:$A1000&lt;=EOMONTH(DATEVALUE("1 "&amp;AK$1),0)))+
  SUMPRODUCT(('Form responses 1'!$F$2:$F1000=$A33)*('Form responses 1'!$A$2:$A1000&lt;=EOMONTH(DATEVALUE("1 "&amp;AK$1),0)))+
  SUMPRODUCT(('Form responses 1'!$G$2:$G1000=$A33)*('Form responses 1'!$A$2:$A1000&lt;=EOMONTH(DATEVALUE("1 "&amp;AK$1),0)))
),2),"-")</f>
        <v>-</v>
      </c>
      <c r="AL33" s="2" t="str">
        <f>IFERROR(ROUND(Data!$B33/(
  SUMPRODUCT(('Form responses 1'!$B$2:$B1000=$A33)*('Form responses 1'!$A$2:$A1000&lt;=EOMONTH(DATEVALUE("1 "&amp;AL$1),0)))+
  SUMPRODUCT(('Form responses 1'!$C$2:$C1000=$A33)*('Form responses 1'!$A$2:$A1000&lt;=EOMONTH(DATEVALUE("1 "&amp;AL$1),0)))+
  SUMPRODUCT(('Form responses 1'!$D$2:$D1000=$A33)*('Form responses 1'!$A$2:$A1000&lt;=EOMONTH(DATEVALUE("1 "&amp;AL$1),0)))+
  SUMPRODUCT(('Form responses 1'!$E$2:$E1000=$A33)*('Form responses 1'!$A$2:$A1000&lt;=EOMONTH(DATEVALUE("1 "&amp;AL$1),0)))+
  SUMPRODUCT(('Form responses 1'!$F$2:$F1000=$A33)*('Form responses 1'!$A$2:$A1000&lt;=EOMONTH(DATEVALUE("1 "&amp;AL$1),0)))+
  SUMPRODUCT(('Form responses 1'!$G$2:$G1000=$A33)*('Form responses 1'!$A$2:$A1000&lt;=EOMONTH(DATEVALUE("1 "&amp;AL$1),0)))
),2),"-")</f>
        <v>-</v>
      </c>
    </row>
    <row r="34">
      <c r="A34" s="3" t="str">
        <f>IFERROR(__xludf.DUMMYFUNCTION("""COMPUTED_VALUE"""),"Witte trui knitted")</f>
        <v>Witte trui knitted</v>
      </c>
      <c r="B34" s="2">
        <f>Data!F32:F1000</f>
        <v>0.49</v>
      </c>
      <c r="C34" s="2">
        <f>IFERROR(ROUND(Data!B32/(SUMPRODUCT(('Form responses 1'!$B$2:$B1000 = A34) * ('Form responses 1'!$A$2:$A1000 &lt;= DATE(2024, 1, 31)))
+ SUMPRODUCT(('Form responses 1'!$C$2:$C1000 = A34) * ('Form responses 1'!$A$2:$A1000 &lt;= DATE(2024, 1, 31)))
+ SUMPRODUCT(('Form responses 1'!$D$2:$D1000 = A34) * ('Form responses 1'!$A$2:$A1000 &lt;= DATE(2024, 1, 31)))
+ SUMPRODUCT(('Form responses 1'!$E$2:$E1000 = A34) * ('Form responses 1'!$A$2:$A1000 &lt;= DATE(2024, 1, 31)))
+ SUMPRODUCT(('Form responses 1'!$F$2:$F1000 = A34) * ('Form responses 1'!$A$2:$A1000 &lt;= DATE(2024, 1, 31)))
+ SUMPRODUCT(('Form responses 1'!$G$2:$G1000 = A34) * ('Form responses 1'!$A$2:$A1000 &lt;= DATE(2024, 1, 31)))), 2), "-")
</f>
        <v>0.36</v>
      </c>
      <c r="D34" s="2">
        <f>IFERROR(ROUND(Data!B32/(SUMPRODUCT(('Form responses 1'!$B$2:$B1000 = A34) * ('Form responses 1'!$A$2:$A1000 &lt;= DATE(2024, 2, 29)))
+ SUMPRODUCT(('Form responses 1'!$C$2:$C1000 = A34) * ('Form responses 1'!$A$2:$A1000 &lt;= DATE(2024, 2, 29)))
+ SUMPRODUCT(('Form responses 1'!$D$2:$D1000 = A34) * ('Form responses 1'!$A$2:$A1000 &lt;= DATE(2024, 2, 29)))
+ SUMPRODUCT(('Form responses 1'!$E$2:$E1000 = A34) * ('Form responses 1'!$A$2:$A1000 &lt;= DATE(2024, 2, 29)))
+ SUMPRODUCT(('Form responses 1'!$F$2:$F1000 = A34) * ('Form responses 1'!$A$2:$A1000 &lt;= DATE(2024, 2, 29)))
+ SUMPRODUCT(('Form responses 1'!$G$2:$G1000 = A34) * ('Form responses 1'!$A$2:$A1000 &lt;= DATE(2024, 2, 29)))), 2), "-")
</f>
        <v>0.35</v>
      </c>
      <c r="E34" s="2">
        <f>IFERROR(ROUND(Data!B32/(SUMPRODUCT(('Form responses 1'!$B$2:$B1000 = A34) * ('Form responses 1'!$A$2:$A1000 &lt;= DATE(2024, 3, 31)))
+ SUMPRODUCT(('Form responses 1'!$C$2:$C1000 = A34) * ('Form responses 1'!$A$2:$A1000 &lt;= DATE(2024, 3, 31)))
+ SUMPRODUCT(('Form responses 1'!$D$2:$D1000 = A34) * ('Form responses 1'!$A$2:$A1000 &lt;= DATE(2024, 3, 31)))
+ SUMPRODUCT(('Form responses 1'!$E$2:$E1000 = A34) * ('Form responses 1'!$A$2:$A1000 &lt;= DATE(2024, 3, 31)))
+ SUMPRODUCT(('Form responses 1'!$F$2:$F1000 = A34) * ('Form responses 1'!$A$2:$A1000 &lt;= DATE(2024, 3, 31)))
+ SUMPRODUCT(('Form responses 1'!$G$2:$G1000 = A34) * ('Form responses 1'!$A$2:$A1000 &lt;= DATE(2024, 3, 31)))), 2), "-")
</f>
        <v>0.34</v>
      </c>
      <c r="F34" s="2">
        <f>IFERROR(ROUND(Data!B32/(SUMPRODUCT(('Form responses 1'!$B$2:$B1000 = A34) * ('Form responses 1'!$A$2:$A1000 &lt;= DATE(2024, 4, 30)))
+ SUMPRODUCT(('Form responses 1'!$C$2:$C1000 = A34) * ('Form responses 1'!$A$2:$A1000 &lt;= DATE(2024, 4, 30)))
+ SUMPRODUCT(('Form responses 1'!$D$2:$D1000 = A34) * ('Form responses 1'!$A$2:$A1000 &lt;= DATE(2024, 4, 30)))
+ SUMPRODUCT(('Form responses 1'!$E$2:$E1000 = A34) * ('Form responses 1'!$A$2:$A1000 &lt;= DATE(2024, 4, 30)))
+ SUMPRODUCT(('Form responses 1'!$F$2:$F1000 = A34) * ('Form responses 1'!$A$2:$A1000 &lt;= DATE(2024, 4, 30)))
+ SUMPRODUCT(('Form responses 1'!$G$2:$G1000 = A34) * ('Form responses 1'!$A$2:$A1000 &lt;= DATE(2024, 4, 30)))), 2), "-")
</f>
        <v>0.34</v>
      </c>
      <c r="G34" s="2">
        <f>IFERROR(ROUND(Data!B32/(SUMPRODUCT(('Form responses 1'!$B$2:$B1000 = A34) * ('Form responses 1'!$A$2:$A1000 &lt;= DATE(2024, 5, 31)))
+ SUMPRODUCT(('Form responses 1'!$C$2:$C1000 = A34) * ('Form responses 1'!$A$2:$A1000 &lt;= DATE(2024, 5, 31)))
+ SUMPRODUCT(('Form responses 1'!$D$2:$D1000 = A34) * ('Form responses 1'!$A$2:$A1000 &lt;= DATE(2024, 5, 31)))
+ SUMPRODUCT(('Form responses 1'!$E$2:$E1000 = A34) * ('Form responses 1'!$A$2:$A1000 &lt;= DATE(2024, 5, 31)))
+ SUMPRODUCT(('Form responses 1'!$F$2:$F1000 = A34) * ('Form responses 1'!$A$2:$A1000 &lt;= DATE(2024, 5, 31)))
+ SUMPRODUCT(('Form responses 1'!$G$2:$G1000 = A34) * ('Form responses 1'!$A$2:$A1000 &lt;= DATE(2024, 5, 31)))), 2), "-")
</f>
        <v>0.32</v>
      </c>
      <c r="H34" s="2">
        <f>IFERROR(ROUND(Data!B32/(SUMPRODUCT(('Form responses 1'!$B$2:$B1000 = A34) * ('Form responses 1'!$A$2:$A1000 &lt;= DATE(2024, 6, 30)))
+ SUMPRODUCT(('Form responses 1'!$C$2:$C1000 = A34) * ('Form responses 1'!$A$2:$A1000 &lt;= DATE(2024, 6, 30)))
+ SUMPRODUCT(('Form responses 1'!$D$2:$D1000 = A34) * ('Form responses 1'!$A$2:$A1000 &lt;= DATE(2024, 6, 30)))
+ SUMPRODUCT(('Form responses 1'!$E$2:$E1000 = A34) * ('Form responses 1'!$A$2:$A1000 &lt;= DATE(2024, 6, 30)))
+ SUMPRODUCT(('Form responses 1'!$F$2:$F1000 = A34) * ('Form responses 1'!$A$2:$A1000 &lt;= DATE(2024, 6, 30)))
+ SUMPRODUCT(('Form responses 1'!$G$2:$G1000 = A34) * ('Form responses 1'!$A$2:$A1000 &lt;= DATE(2024, 6, 30)))), 2), "-")
</f>
        <v>0.31</v>
      </c>
      <c r="I34" s="2">
        <f>IFERROR(ROUND(Data!B32/(SUMPRODUCT(('Form responses 1'!$B$2:$B1000 = A34) * ('Form responses 1'!$A$2:$A1000 &lt;= DATE(2024, 7, 31)))
+ SUMPRODUCT(('Form responses 1'!$C$2:$C1000 = A34) * ('Form responses 1'!$A$2:$A1000 &lt;= DATE(2024, 7, 31)))
+ SUMPRODUCT(('Form responses 1'!$D$2:$D1000 = A34) * ('Form responses 1'!$A$2:$A1000 &lt;= DATE(2024, 7, 31)))
+ SUMPRODUCT(('Form responses 1'!$E$2:$E1000 = A34) * ('Form responses 1'!$A$2:$A1000 &lt;= DATE(2024, 7, 31)))
+ SUMPRODUCT(('Form responses 1'!$F$2:$F1000 = A34) * ('Form responses 1'!$A$2:$A1000 &lt;= DATE(2024, 7, 31)))
+ SUMPRODUCT(('Form responses 1'!$G$2:$G1000 = A34) * ('Form responses 1'!$A$2:$A1000 &lt;= DATE(2024, 7, 31)))), 2), "-")
</f>
        <v>0.31</v>
      </c>
      <c r="J34" s="2">
        <f>IFERROR(ROUND(Data!B32/(SUMPRODUCT(('Form responses 1'!$B$2:$B1000 = A34) * ('Form responses 1'!$A$2:$A1000 &lt;= DATE(2024, 8, 31)))
+ SUMPRODUCT(('Form responses 1'!$C$2:$C1000 = A34) * ('Form responses 1'!$A$2:$A1000 &lt;= DATE(2024, 8, 31)))
+ SUMPRODUCT(('Form responses 1'!$D$2:$D1000 = A34) * ('Form responses 1'!$A$2:$A1000 &lt;= DATE(2024, 8, 31)))
+ SUMPRODUCT(('Form responses 1'!$E$2:$E1000 = A34) * ('Form responses 1'!$A$2:$A1000 &lt;= DATE(2024, 8, 31)))
+ SUMPRODUCT(('Form responses 1'!$F$2:$F1000 = A34) * ('Form responses 1'!$A$2:$A1000 &lt;= DATE(2024, 8, 31)))
+ SUMPRODUCT(('Form responses 1'!$G$2:$G1000 = A34) * ('Form responses 1'!$A$2:$A1000 &lt;= DATE(2024, 8, 31)))), 2), "-")
</f>
        <v>0.31</v>
      </c>
      <c r="K34" s="2">
        <f>IFERROR(ROUND(Data!B32/(SUMPRODUCT(('Form responses 1'!$B$2:$B1000 = A34) * ('Form responses 1'!$A$2:$A1000 &lt;= DATE(2024, 9, 30)))
+ SUMPRODUCT(('Form responses 1'!$C$2:$C1000 = A34) * ('Form responses 1'!$A$2:$A1000 &lt;= DATE(2024, 9, 30)))
+ SUMPRODUCT(('Form responses 1'!$D$2:$D1000 = A34) * ('Form responses 1'!$A$2:$A1000 &lt;= DATE(2024, 9, 30)))
+ SUMPRODUCT(('Form responses 1'!$E$2:$E1000 = A34) * ('Form responses 1'!$A$2:$A1000 &lt;= DATE(2024, 9, 30)))
+ SUMPRODUCT(('Form responses 1'!$F$2:$F1000 = A34) * ('Form responses 1'!$A$2:$A1000 &lt;= DATE(2024, 9, 30)))
+ SUMPRODUCT(('Form responses 1'!$G$2:$G1000 = A34) * ('Form responses 1'!$A$2:$A1000 &lt;= DATE(2024, 9, 30)))), 2), "-")
</f>
        <v>0.31</v>
      </c>
      <c r="L34" s="2">
        <f>IFERROR(ROUND(Data!B32/(SUMPRODUCT(('Form responses 1'!$B$2:$B1000 = A34) * ('Form responses 1'!$A$2:$A1000 &lt;= DATE(2024, 10, 31)))
+ SUMPRODUCT(('Form responses 1'!$C$2:$C1000 = A34) * ('Form responses 1'!$A$2:$A1000 &lt;= DATE(2024, 10, 31)))
+ SUMPRODUCT(('Form responses 1'!$D$2:$D1000 = A34) * ('Form responses 1'!$A$2:$A1000 &lt;= DATE(2024, 10, 31)))
+ SUMPRODUCT(('Form responses 1'!$E$2:$E1000 = A34) * ('Form responses 1'!$A$2:$A1000 &lt;= DATE(2024, 10, 31)))
+ SUMPRODUCT(('Form responses 1'!$F$2:$F1000 = A34) * ('Form responses 1'!$A$2:$A1000 &lt;= DATE(2024, 10, 31)))
+ SUMPRODUCT(('Form responses 1'!$G$2:$G1000 = A34) * ('Form responses 1'!$A$2:$A1000 &lt;= DATE(2024, 10, 31)))), 2), "-")
</f>
        <v>0.31</v>
      </c>
      <c r="M34" s="2">
        <f>IFERROR(ROUND(Data!B32/(SUMPRODUCT(('Form responses 1'!$B$2:$B1000 = A34) * ('Form responses 1'!$A$2:$A1000 &lt;= DATE(2024, 11, 30)))
+ SUMPRODUCT(('Form responses 1'!$C$2:$C1000 = A34) * ('Form responses 1'!$A$2:$A1000 &lt;= DATE(2024, 11, 30)))
+ SUMPRODUCT(('Form responses 1'!$D$2:$D1000 = A34) * ('Form responses 1'!$A$2:$A1000 &lt;= DATE(2024, 11, 30)))
+ SUMPRODUCT(('Form responses 1'!$E$2:$E1000 = A34) * ('Form responses 1'!$A$2:$A1000 &lt;= DATE(2024, 11, 30)))
+ SUMPRODUCT(('Form responses 1'!$F$2:$F1000 = A34) * ('Form responses 1'!$A$2:$A1000 &lt;= DATE(2024, 11, 30)))
+ SUMPRODUCT(('Form responses 1'!$G$2:$G1000 = A34) * ('Form responses 1'!$A$2:$A1000 &lt;= DATE(2024, 11, 30)))), 2), "-")
</f>
        <v>0.31</v>
      </c>
      <c r="N34" s="2">
        <f>IFERROR(ROUND(Data!B32/(SUMPRODUCT(('Form responses 1'!$B$2:$B1000 = A34) * ('Form responses 1'!$A$2:$A1000 &lt;= DATE(2024, 12, 31)))
+ SUMPRODUCT(('Form responses 1'!$C$2:$C1000 = A34) * ('Form responses 1'!$A$2:$A1000 &lt;= DATE(2024, 12, 31)))
+ SUMPRODUCT(('Form responses 1'!$D$2:$D1000 = A34) * ('Form responses 1'!$A$2:$A1000 &lt;= DATE(2024, 12, 31)))
+ SUMPRODUCT(('Form responses 1'!$E$2:$E1000 = A34) * ('Form responses 1'!$A$2:$A1000 &lt;= DATE(2024, 12, 31)))
+ SUMPRODUCT(('Form responses 1'!$F$2:$F1000 = A34) * ('Form responses 1'!$A$2:$A1000 &lt;= DATE(2024, 12, 31)))
+ SUMPRODUCT(('Form responses 1'!$G$2:$G1000 = A34) * ('Form responses 1'!$A$2:$A1000 &lt;= DATE(2024, 12, 31)))), 2), "-")
</f>
        <v>0.31</v>
      </c>
      <c r="O34" s="2">
        <f>IFERROR(ROUND(Data!B32/(SUMPRODUCT(('Form responses 1'!$B$2:$B1000 = A34) * ('Form responses 1'!$A$2:$A1000 &lt;= DATE(2025, 1, 31)))
+ SUMPRODUCT(('Form responses 1'!$C$2:$C1000 = A34) * ('Form responses 1'!$A$2:$A1000 &lt;= DATE(2025, 1, 31)))
+ SUMPRODUCT(('Form responses 1'!$D$2:$D1000 = A34) * ('Form responses 1'!$A$2:$A1000 &lt;= DATE(2025, 1, 31)))
+ SUMPRODUCT(('Form responses 1'!$E$2:$E1000 = A34) * ('Form responses 1'!$A$2:$A1000 &lt;= DATE(2025, 1, 31)))
+ SUMPRODUCT(('Form responses 1'!$F$2:$F1000 = A34) * ('Form responses 1'!$A$2:$A1000 &lt;= DATE(2025, 1, 31)))
+ SUMPRODUCT(('Form responses 1'!$G$2:$G1000 = A34) * ('Form responses 1'!$A$2:$A1000 &lt;= DATE(2025, 1, 31)))), 2), "-")
</f>
        <v>0.3</v>
      </c>
      <c r="P34" s="2">
        <f>IFERROR(ROUND(Data!B32/(SUMPRODUCT(('Form responses 1'!$B$2:$B1000 = A34) * ('Form responses 1'!$A$2:$A1000 &lt;= DATE(2025, 2, 28)))
+ SUMPRODUCT(('Form responses 1'!$C$2:$C1000 = A34) * ('Form responses 1'!$A$2:$A1000 &lt;= DATE(2025, 2, 28)))
+ SUMPRODUCT(('Form responses 1'!$D$2:$D1000 = A34) * ('Form responses 1'!$A$2:$A1000 &lt;= DATE(2025, 2, 28)))
+ SUMPRODUCT(('Form responses 1'!$E$2:$E1000 = A34) * ('Form responses 1'!$A$2:$A1000 &lt;= DATE(2025, 2, 28)))
+ SUMPRODUCT(('Form responses 1'!$F$2:$F1000 = A34) * ('Form responses 1'!$A$2:$A1000 &lt;= DATE(2025, 2, 28)))
+ SUMPRODUCT(('Form responses 1'!$G$2:$G1000 = A34) * ('Form responses 1'!$A$2:$A1000 &lt;= DATE(2025, 2, 28)))), 2), "-")
</f>
        <v>0.3</v>
      </c>
      <c r="Q34" s="2">
        <f>IFERROR(ROUND(Data!B32/(SUMPRODUCT(('Form responses 1'!$B$2:$B1000 = A34) * ('Form responses 1'!$A$2:$A1000 &lt;= DATE(2025, 3, 31)))
+ SUMPRODUCT(('Form responses 1'!$C$2:$C1000 = A34) * ('Form responses 1'!$A$2:$A1000 &lt;= DATE(2025, 3, 31)))
+ SUMPRODUCT(('Form responses 1'!$D$2:$D1000 = A34) * ('Form responses 1'!$A$2:$A1000 &lt;= DATE(2025, 3, 31)))
+ SUMPRODUCT(('Form responses 1'!$E$2:$E1000 = A34) * ('Form responses 1'!$A$2:$A1000 &lt;= DATE(2025, 3, 31)))
+ SUMPRODUCT(('Form responses 1'!$F$2:$F1000 = A34) * ('Form responses 1'!$A$2:$A1000 &lt;= DATE(2025, 3, 31)))
+ SUMPRODUCT(('Form responses 1'!$G$2:$G1000 = A34) * ('Form responses 1'!$A$2:$A1000 &lt;= DATE(2025, 3, 31)))),2),"-")</f>
        <v>0.29</v>
      </c>
      <c r="R34" s="2">
        <f>IFERROR(ROUND(Data!B32/(SUMPRODUCT(('Form responses 1'!$B$2:$B1000 = A34) * ('Form responses 1'!$A$2:$A1000 &lt;= DATE(2025, 4, 30)))
+ SUMPRODUCT(('Form responses 1'!$C$2:$C1000 = A34) * ('Form responses 1'!$A$2:$A1000 &lt;= DATE(2025, 4, 30)))
+ SUMPRODUCT(('Form responses 1'!$D$2:$D1000 = A34) * ('Form responses 1'!$A$2:$A1000 &lt;= DATE(2025, 4, 30)))
+ SUMPRODUCT(('Form responses 1'!$E$2:$E1000 = A34) * ('Form responses 1'!$A$2:$A1000 &lt;= DATE(2025, 4, 30)))
+ SUMPRODUCT(('Form responses 1'!$F$2:$F1000 = A34) * ('Form responses 1'!$A$2:$A1000 &lt;= DATE(2025, 4, 30)))
+ SUMPRODUCT(('Form responses 1'!$G$2:$G1000 = A34) * ('Form responses 1'!$A$2:$A1000 &lt;= DATE(2025, 4, 30)))), 2), "-")
</f>
        <v>0.29</v>
      </c>
      <c r="S34" s="2">
        <f>IFERROR(ROUND(Data!B32/(SUMPRODUCT(('Form responses 1'!$B$2:$B1000 = A34) * ('Form responses 1'!$A$2:$A1000 &lt;= DATE(2025, 5, 31)))
+ SUMPRODUCT(('Form responses 1'!$C$2:$C1000 = A34) * ('Form responses 1'!$A$2:$A1000 &lt;= DATE(2025, 5, 31)))
+ SUMPRODUCT(('Form responses 1'!$D$2:$D1000 = A34) * ('Form responses 1'!$A$2:$A1000 &lt;= DATE(2025, 5, 31)))
+ SUMPRODUCT(('Form responses 1'!$E$2:$E1000 = A34) * ('Form responses 1'!$A$2:$A1000 &lt;= DATE(2025, 5, 31)))
+ SUMPRODUCT(('Form responses 1'!$F$2:$F1000 = A34) * ('Form responses 1'!$A$2:$A1000 &lt;= DATE(2025, 5, 31)))
+ SUMPRODUCT(('Form responses 1'!$G$2:$G1000 = A34) * ('Form responses 1'!$A$2:$A1000 &lt;= DATE(2025, 5, 31)))), 2), "-")
</f>
        <v>0.29</v>
      </c>
      <c r="T34" s="2">
        <f>IFERROR(ROUND(Data!B32/(SUMPRODUCT(('Form responses 1'!$B$2:$B1000 = A34) * ('Form responses 1'!$A$2:$A1000 &lt;= DATE(2025, 6, 30)))
+ SUMPRODUCT(('Form responses 1'!$C$2:$C1000 = A34) * ('Form responses 1'!$A$2:$A1000 &lt;= DATE(2025, 6, 30)))
+ SUMPRODUCT(('Form responses 1'!$D$2:$D1000 = A34) * ('Form responses 1'!$A$2:$A1000 &lt;= DATE(2025, 6, 30)))
+ SUMPRODUCT(('Form responses 1'!$E$2:$E1000 = A34) * ('Form responses 1'!$A$2:$A1000 &lt;= DATE(2025, 6, 30)))
+ SUMPRODUCT(('Form responses 1'!$F$2:$F1000 = A34) * ('Form responses 1'!$A$2:$A1000 &lt;= DATE(2025, 6, 30)))
+ SUMPRODUCT(('Form responses 1'!$G$2:$G1000 = A34) * ('Form responses 1'!$A$2:$A1000 &lt;= DATE(2025, 6, 30)))), 2), "-")
</f>
        <v>0.29</v>
      </c>
      <c r="U34" s="2">
        <f>IFERROR(ROUND(Data!B32/(SUMPRODUCT(('Form responses 1'!$B$2:$B1000 = A34) * ('Form responses 1'!$A$2:$A1000 &lt;= DATE(2025, 7, 31)))
+ SUMPRODUCT(('Form responses 1'!$C$2:$C1000 = A34) * ('Form responses 1'!$A$2:$A1000 &lt;= DATE(2025, 7, 31)))
+ SUMPRODUCT(('Form responses 1'!$D$2:$D1000 = A34) * ('Form responses 1'!$A$2:$A1000 &lt;= DATE(2025, 7, 31)))
+ SUMPRODUCT(('Form responses 1'!$E$2:$E1000 = A34) * ('Form responses 1'!$A$2:$A1000 &lt;= DATE(2025, 7, 31)))
+ SUMPRODUCT(('Form responses 1'!$F$2:$F1000 = A34) * ('Form responses 1'!$A$2:$A1000 &lt;= DATE(2025, 7, 31)))
+ SUMPRODUCT(('Form responses 1'!$G$2:$G1000 = A34) * ('Form responses 1'!$A$2:$A1000 &lt;= DATE(2025, 7, 31)))), 2), "-")
</f>
        <v>0.29</v>
      </c>
      <c r="V34" s="2">
        <f>IFERROR(ROUND(Data!B32/(SUMPRODUCT(('Form responses 1'!$B$2:$B1000 = A34) * ('Form responses 1'!$A$2:$A1000 &lt;= DATE(2025, 8, 31)))
+ SUMPRODUCT(('Form responses 1'!$C$2:$C1000 = A34) * ('Form responses 1'!$A$2:$A1000 &lt;= DATE(2025, 8, 31)))
+ SUMPRODUCT(('Form responses 1'!$D$2:$D1000 = A34) * ('Form responses 1'!$A$2:$A1000 &lt;= DATE(2025, 8, 31)))
+ SUMPRODUCT(('Form responses 1'!$E$2:$E1000 = A34) * ('Form responses 1'!$A$2:$A1000 &lt;= DATE(2025, 8, 31)))
+ SUMPRODUCT(('Form responses 1'!$F$2:$F1000 = A34) * ('Form responses 1'!$A$2:$A1000 &lt;= DATE(2025, 8, 31)))
+ SUMPRODUCT(('Form responses 1'!$G$2:$G1000 = A34) * ('Form responses 1'!$A$2:$A1000 &lt;= DATE(2025, 8, 31)))), 2), "-")
</f>
        <v>0.29</v>
      </c>
      <c r="W34" s="2">
        <f>IFERROR(ROUND(Data!B32/(SUMPRODUCT(('Form responses 1'!$B$2:$B1000 = A34) * ('Form responses 1'!$A$2:$A1000 &lt;= DATE(2025, 9, 30)))
+ SUMPRODUCT(('Form responses 1'!$C$2:$C1000 = A34) * ('Form responses 1'!$A$2:$A1000 &lt;= DATE(2025, 9, 30)))
+ SUMPRODUCT(('Form responses 1'!$D$2:$D1000 = A34) * ('Form responses 1'!$A$2:$A1000 &lt;= DATE(2025, 9, 30)))
+ SUMPRODUCT(('Form responses 1'!$E$2:$E1000 = A34) * ('Form responses 1'!$A$2:$A1000 &lt;= DATE(2025, 9, 30)))
+ SUMPRODUCT(('Form responses 1'!$F$2:$F1000 = A34) * ('Form responses 1'!$A$2:$A1000 &lt;= DATE(2025, 9, 30)))
+ SUMPRODUCT(('Form responses 1'!$G$2:$G1000 = A34) * ('Form responses 1'!$A$2:$A1000 &lt;= DATE(2025, 9, 30)))), 2), "-")
</f>
        <v>0.29</v>
      </c>
      <c r="X34" s="2">
        <f>IFERROR(ROUND(Data!B32/(SUMPRODUCT(('Form responses 1'!$B$2:$B1000 = A34) * ('Form responses 1'!$A$2:$A1000 &lt;= DATE(2025, 10, 31)))
+ SUMPRODUCT(('Form responses 1'!$C$2:$C1000 = A34) * ('Form responses 1'!$A$2:$A1000 &lt;= DATE(2025, 10, 31)))
+ SUMPRODUCT(('Form responses 1'!$D$2:$D1000 = A34) * ('Form responses 1'!$A$2:$A1000 &lt;= DATE(2025, 10, 31)))
+ SUMPRODUCT(('Form responses 1'!$E$2:$E1000 = A34) * ('Form responses 1'!$A$2:$A1000 &lt;= DATE(2025, 10, 31)))
+ SUMPRODUCT(('Form responses 1'!$F$2:$F1000 = A34) * ('Form responses 1'!$A$2:$A1000 &lt;= DATE(2025, 10, 31)))
+ SUMPRODUCT(('Form responses 1'!$G$2:$G1000 = A34) * ('Form responses 1'!$A$2:$A1000 &lt;= DATE(2025, 10, 31)))), 2), "-")
</f>
        <v>0.27</v>
      </c>
      <c r="Y34" s="2">
        <f>IFERROR(ROUND(Data!B32/(SUMPRODUCT(('Form responses 1'!$B$2:$B1000 = A34) * ('Form responses 1'!$A$2:$A1000 &lt;= DATE(2025, 11, 30)))
+ SUMPRODUCT(('Form responses 1'!$C$2:$C1000 = A34) * ('Form responses 1'!$A$2:$A1000 &lt;= DATE(2025, 11, 30)))
+ SUMPRODUCT(('Form responses 1'!$D$2:$D1000 = A34) * ('Form responses 1'!$A$2:$A1000 &lt;= DATE(2025, 11, 30)))
+ SUMPRODUCT(('Form responses 1'!$E$2:$E1000 = A34) * ('Form responses 1'!$A$2:$A1000 &lt;= DATE(2025, 11, 30)))
+ SUMPRODUCT(('Form responses 1'!$F$2:$F1000 = A34) * ('Form responses 1'!$A$2:$A1000 &lt;= DATE(2025, 11, 30)))
+ SUMPRODUCT(('Form responses 1'!$G$2:$G1000 = A34) * ('Form responses 1'!$A$2:$A1000 &lt;= DATE(2025, 11, 30)))), 2), "-")
</f>
        <v>0.27</v>
      </c>
      <c r="Z34" s="2">
        <f>IFERROR(ROUND(Data!B32/(SUMPRODUCT(('Form responses 1'!$B$2:$B1000 = A34) * ('Form responses 1'!$A$2:$A1000 &lt;= DATE(2025, 12, 31)))
+ SUMPRODUCT(('Form responses 1'!$C$2:$C1000 = A34) * ('Form responses 1'!$A$2:$A1000 &lt;= DATE(2025, 12, 31)))
+ SUMPRODUCT(('Form responses 1'!$D$2:$D1000 = A34) * ('Form responses 1'!$A$2:$A1000 &lt;= DATE(2025, 12, 31)))
+ SUMPRODUCT(('Form responses 1'!$E$2:$E1000 = A34) * ('Form responses 1'!$A$2:$A1000 &lt;= DATE(2025, 12, 31)))
+ SUMPRODUCT(('Form responses 1'!$F$2:$F1000 = A34) * ('Form responses 1'!$A$2:$A1000 &lt;= DATE(2025, 12, 31)))
+ SUMPRODUCT(('Form responses 1'!$G$2:$G1000 = A34) * ('Form responses 1'!$A$2:$A1000 &lt;= DATE(2025, 12, 31)))), 2), "-")
</f>
        <v>0.26</v>
      </c>
      <c r="AA34" s="2">
        <f>IFERROR(ROUND(Data!$B34/(
  SUMPRODUCT(('Form responses 1'!$B$2:$B1000=$A34)*('Form responses 1'!$A$2:$A1000&lt;=EOMONTH(DATEVALUE("1 "&amp;AA$1),0)))+
  SUMPRODUCT(('Form responses 1'!$C$2:$C1000=$A34)*('Form responses 1'!$A$2:$A1000&lt;=EOMONTH(DATEVALUE("1 "&amp;AA$1),0)))+
  SUMPRODUCT(('Form responses 1'!$D$2:$D1000=$A34)*('Form responses 1'!$A$2:$A1000&lt;=EOMONTH(DATEVALUE("1 "&amp;AA$1),0)))+
  SUMPRODUCT(('Form responses 1'!$E$2:$E1000=$A34)*('Form responses 1'!$A$2:$A1000&lt;=EOMONTH(DATEVALUE("1 "&amp;AA$1),0)))+
  SUMPRODUCT(('Form responses 1'!$F$2:$F1000=$A34)*('Form responses 1'!$A$2:$A1000&lt;=EOMONTH(DATEVALUE("1 "&amp;AA$1),0)))+
  SUMPRODUCT(('Form responses 1'!$G$2:$G1000=$A34)*('Form responses 1'!$A$2:$A1000&lt;=EOMONTH(DATEVALUE("1 "&amp;AA$1),0)))
),2),"-")</f>
        <v>0.53</v>
      </c>
      <c r="AB34" s="2">
        <f>IFERROR(ROUND(Data!$B34/(
  SUMPRODUCT(('Form responses 1'!$B$2:$B1000=$A34)*('Form responses 1'!$A$2:$A1000&lt;=EOMONTH(DATEVALUE("1 "&amp;AB$1),0)))+
  SUMPRODUCT(('Form responses 1'!$C$2:$C1000=$A34)*('Form responses 1'!$A$2:$A1000&lt;=EOMONTH(DATEVALUE("1 "&amp;AB$1),0)))+
  SUMPRODUCT(('Form responses 1'!$D$2:$D1000=$A34)*('Form responses 1'!$A$2:$A1000&lt;=EOMONTH(DATEVALUE("1 "&amp;AB$1),0)))+
  SUMPRODUCT(('Form responses 1'!$E$2:$E1000=$A34)*('Form responses 1'!$A$2:$A1000&lt;=EOMONTH(DATEVALUE("1 "&amp;AB$1),0)))+
  SUMPRODUCT(('Form responses 1'!$F$2:$F1000=$A34)*('Form responses 1'!$A$2:$A1000&lt;=EOMONTH(DATEVALUE("1 "&amp;AB$1),0)))+
  SUMPRODUCT(('Form responses 1'!$G$2:$G1000=$A34)*('Form responses 1'!$A$2:$A1000&lt;=EOMONTH(DATEVALUE("1 "&amp;AB$1),0)))
),2),"-")</f>
        <v>0.51</v>
      </c>
      <c r="AC34" s="2">
        <f>IFERROR(ROUND(Data!$B34/(
  SUMPRODUCT(('Form responses 1'!$B$2:$B1000=$A34)*('Form responses 1'!$A$2:$A1000&lt;=EOMONTH(DATEVALUE("1 "&amp;AC$1),0)))+
  SUMPRODUCT(('Form responses 1'!$C$2:$C1000=$A34)*('Form responses 1'!$A$2:$A1000&lt;=EOMONTH(DATEVALUE("1 "&amp;AC$1),0)))+
  SUMPRODUCT(('Form responses 1'!$D$2:$D1000=$A34)*('Form responses 1'!$A$2:$A1000&lt;=EOMONTH(DATEVALUE("1 "&amp;AC$1),0)))+
  SUMPRODUCT(('Form responses 1'!$E$2:$E1000=$A34)*('Form responses 1'!$A$2:$A1000&lt;=EOMONTH(DATEVALUE("1 "&amp;AC$1),0)))+
  SUMPRODUCT(('Form responses 1'!$F$2:$F1000=$A34)*('Form responses 1'!$A$2:$A1000&lt;=EOMONTH(DATEVALUE("1 "&amp;AC$1),0)))+
  SUMPRODUCT(('Form responses 1'!$G$2:$G1000=$A34)*('Form responses 1'!$A$2:$A1000&lt;=EOMONTH(DATEVALUE("1 "&amp;AC$1),0)))
),2),"-")</f>
        <v>0.5</v>
      </c>
      <c r="AD34" s="2" t="str">
        <f>IFERROR(ROUND(Data!$B34/(
  SUMPRODUCT(('Form responses 1'!$B$2:$B1000=$A34)*('Form responses 1'!$A$2:$A1000&lt;=EOMONTH(DATEVALUE("1 "&amp;AD$1),0)))+
  SUMPRODUCT(('Form responses 1'!$C$2:$C1000=$A34)*('Form responses 1'!$A$2:$A1000&lt;=EOMONTH(DATEVALUE("1 "&amp;AD$1),0)))+
  SUMPRODUCT(('Form responses 1'!$D$2:$D1000=$A34)*('Form responses 1'!$A$2:$A1000&lt;=EOMONTH(DATEVALUE("1 "&amp;AD$1),0)))+
  SUMPRODUCT(('Form responses 1'!$E$2:$E1000=$A34)*('Form responses 1'!$A$2:$A1000&lt;=EOMONTH(DATEVALUE("1 "&amp;AD$1),0)))+
  SUMPRODUCT(('Form responses 1'!$F$2:$F1000=$A34)*('Form responses 1'!$A$2:$A1000&lt;=EOMONTH(DATEVALUE("1 "&amp;AD$1),0)))+
  SUMPRODUCT(('Form responses 1'!$G$2:$G1000=$A34)*('Form responses 1'!$A$2:$A1000&lt;=EOMONTH(DATEVALUE("1 "&amp;AD$1),0)))
),2),"-")</f>
        <v>-</v>
      </c>
      <c r="AE34" s="2" t="str">
        <f>IFERROR(ROUND(Data!$B34/(
  SUMPRODUCT(('Form responses 1'!$B$2:$B1000=$A34)*('Form responses 1'!$A$2:$A1000&lt;=EOMONTH(DATEVALUE("1 "&amp;AE$1),0)))+
  SUMPRODUCT(('Form responses 1'!$C$2:$C1000=$A34)*('Form responses 1'!$A$2:$A1000&lt;=EOMONTH(DATEVALUE("1 "&amp;AE$1),0)))+
  SUMPRODUCT(('Form responses 1'!$D$2:$D1000=$A34)*('Form responses 1'!$A$2:$A1000&lt;=EOMONTH(DATEVALUE("1 "&amp;AE$1),0)))+
  SUMPRODUCT(('Form responses 1'!$E$2:$E1000=$A34)*('Form responses 1'!$A$2:$A1000&lt;=EOMONTH(DATEVALUE("1 "&amp;AE$1),0)))+
  SUMPRODUCT(('Form responses 1'!$F$2:$F1000=$A34)*('Form responses 1'!$A$2:$A1000&lt;=EOMONTH(DATEVALUE("1 "&amp;AE$1),0)))+
  SUMPRODUCT(('Form responses 1'!$G$2:$G1000=$A34)*('Form responses 1'!$A$2:$A1000&lt;=EOMONTH(DATEVALUE("1 "&amp;AE$1),0)))
),2),"-")</f>
        <v>-</v>
      </c>
      <c r="AF34" s="2" t="str">
        <f>IFERROR(ROUND(Data!$B34/(
  SUMPRODUCT(('Form responses 1'!$B$2:$B1000=$A34)*('Form responses 1'!$A$2:$A1000&lt;=EOMONTH(DATEVALUE("1 "&amp;AF$1),0)))+
  SUMPRODUCT(('Form responses 1'!$C$2:$C1000=$A34)*('Form responses 1'!$A$2:$A1000&lt;=EOMONTH(DATEVALUE("1 "&amp;AF$1),0)))+
  SUMPRODUCT(('Form responses 1'!$D$2:$D1000=$A34)*('Form responses 1'!$A$2:$A1000&lt;=EOMONTH(DATEVALUE("1 "&amp;AF$1),0)))+
  SUMPRODUCT(('Form responses 1'!$E$2:$E1000=$A34)*('Form responses 1'!$A$2:$A1000&lt;=EOMONTH(DATEVALUE("1 "&amp;AF$1),0)))+
  SUMPRODUCT(('Form responses 1'!$F$2:$F1000=$A34)*('Form responses 1'!$A$2:$A1000&lt;=EOMONTH(DATEVALUE("1 "&amp;AF$1),0)))+
  SUMPRODUCT(('Form responses 1'!$G$2:$G1000=$A34)*('Form responses 1'!$A$2:$A1000&lt;=EOMONTH(DATEVALUE("1 "&amp;AF$1),0)))
),2),"-")</f>
        <v>-</v>
      </c>
      <c r="AG34" s="2" t="str">
        <f>IFERROR(ROUND(Data!$B34/(
  SUMPRODUCT(('Form responses 1'!$B$2:$B1000=$A34)*('Form responses 1'!$A$2:$A1000&lt;=EOMONTH(DATEVALUE("1 "&amp;AG$1),0)))+
  SUMPRODUCT(('Form responses 1'!$C$2:$C1000=$A34)*('Form responses 1'!$A$2:$A1000&lt;=EOMONTH(DATEVALUE("1 "&amp;AG$1),0)))+
  SUMPRODUCT(('Form responses 1'!$D$2:$D1000=$A34)*('Form responses 1'!$A$2:$A1000&lt;=EOMONTH(DATEVALUE("1 "&amp;AG$1),0)))+
  SUMPRODUCT(('Form responses 1'!$E$2:$E1000=$A34)*('Form responses 1'!$A$2:$A1000&lt;=EOMONTH(DATEVALUE("1 "&amp;AG$1),0)))+
  SUMPRODUCT(('Form responses 1'!$F$2:$F1000=$A34)*('Form responses 1'!$A$2:$A1000&lt;=EOMONTH(DATEVALUE("1 "&amp;AG$1),0)))+
  SUMPRODUCT(('Form responses 1'!$G$2:$G1000=$A34)*('Form responses 1'!$A$2:$A1000&lt;=EOMONTH(DATEVALUE("1 "&amp;AG$1),0)))
),2),"-")</f>
        <v>-</v>
      </c>
      <c r="AH34" s="2" t="str">
        <f>IFERROR(ROUND(Data!$B34/(
  SUMPRODUCT(('Form responses 1'!$B$2:$B1000=$A34)*('Form responses 1'!$A$2:$A1000&lt;=EOMONTH(DATEVALUE("1 "&amp;AH$1),0)))+
  SUMPRODUCT(('Form responses 1'!$C$2:$C1000=$A34)*('Form responses 1'!$A$2:$A1000&lt;=EOMONTH(DATEVALUE("1 "&amp;AH$1),0)))+
  SUMPRODUCT(('Form responses 1'!$D$2:$D1000=$A34)*('Form responses 1'!$A$2:$A1000&lt;=EOMONTH(DATEVALUE("1 "&amp;AH$1),0)))+
  SUMPRODUCT(('Form responses 1'!$E$2:$E1000=$A34)*('Form responses 1'!$A$2:$A1000&lt;=EOMONTH(DATEVALUE("1 "&amp;AH$1),0)))+
  SUMPRODUCT(('Form responses 1'!$F$2:$F1000=$A34)*('Form responses 1'!$A$2:$A1000&lt;=EOMONTH(DATEVALUE("1 "&amp;AH$1),0)))+
  SUMPRODUCT(('Form responses 1'!$G$2:$G1000=$A34)*('Form responses 1'!$A$2:$A1000&lt;=EOMONTH(DATEVALUE("1 "&amp;AH$1),0)))
),2),"-")</f>
        <v>-</v>
      </c>
      <c r="AI34" s="2" t="str">
        <f>IFERROR(ROUND(Data!$B34/(
  SUMPRODUCT(('Form responses 1'!$B$2:$B1000=$A34)*('Form responses 1'!$A$2:$A1000&lt;=EOMONTH(DATEVALUE("1 "&amp;AI$1),0)))+
  SUMPRODUCT(('Form responses 1'!$C$2:$C1000=$A34)*('Form responses 1'!$A$2:$A1000&lt;=EOMONTH(DATEVALUE("1 "&amp;AI$1),0)))+
  SUMPRODUCT(('Form responses 1'!$D$2:$D1000=$A34)*('Form responses 1'!$A$2:$A1000&lt;=EOMONTH(DATEVALUE("1 "&amp;AI$1),0)))+
  SUMPRODUCT(('Form responses 1'!$E$2:$E1000=$A34)*('Form responses 1'!$A$2:$A1000&lt;=EOMONTH(DATEVALUE("1 "&amp;AI$1),0)))+
  SUMPRODUCT(('Form responses 1'!$F$2:$F1000=$A34)*('Form responses 1'!$A$2:$A1000&lt;=EOMONTH(DATEVALUE("1 "&amp;AI$1),0)))+
  SUMPRODUCT(('Form responses 1'!$G$2:$G1000=$A34)*('Form responses 1'!$A$2:$A1000&lt;=EOMONTH(DATEVALUE("1 "&amp;AI$1),0)))
),2),"-")</f>
        <v>-</v>
      </c>
      <c r="AJ34" s="2" t="str">
        <f>IFERROR(ROUND(Data!$B34/(
  SUMPRODUCT(('Form responses 1'!$B$2:$B1000=$A34)*('Form responses 1'!$A$2:$A1000&lt;=EOMONTH(DATEVALUE("1 "&amp;AJ$1),0)))+
  SUMPRODUCT(('Form responses 1'!$C$2:$C1000=$A34)*('Form responses 1'!$A$2:$A1000&lt;=EOMONTH(DATEVALUE("1 "&amp;AJ$1),0)))+
  SUMPRODUCT(('Form responses 1'!$D$2:$D1000=$A34)*('Form responses 1'!$A$2:$A1000&lt;=EOMONTH(DATEVALUE("1 "&amp;AJ$1),0)))+
  SUMPRODUCT(('Form responses 1'!$E$2:$E1000=$A34)*('Form responses 1'!$A$2:$A1000&lt;=EOMONTH(DATEVALUE("1 "&amp;AJ$1),0)))+
  SUMPRODUCT(('Form responses 1'!$F$2:$F1000=$A34)*('Form responses 1'!$A$2:$A1000&lt;=EOMONTH(DATEVALUE("1 "&amp;AJ$1),0)))+
  SUMPRODUCT(('Form responses 1'!$G$2:$G1000=$A34)*('Form responses 1'!$A$2:$A1000&lt;=EOMONTH(DATEVALUE("1 "&amp;AJ$1),0)))
),2),"-")</f>
        <v>-</v>
      </c>
      <c r="AK34" s="2" t="str">
        <f>IFERROR(ROUND(Data!$B34/(
  SUMPRODUCT(('Form responses 1'!$B$2:$B1000=$A34)*('Form responses 1'!$A$2:$A1000&lt;=EOMONTH(DATEVALUE("1 "&amp;AK$1),0)))+
  SUMPRODUCT(('Form responses 1'!$C$2:$C1000=$A34)*('Form responses 1'!$A$2:$A1000&lt;=EOMONTH(DATEVALUE("1 "&amp;AK$1),0)))+
  SUMPRODUCT(('Form responses 1'!$D$2:$D1000=$A34)*('Form responses 1'!$A$2:$A1000&lt;=EOMONTH(DATEVALUE("1 "&amp;AK$1),0)))+
  SUMPRODUCT(('Form responses 1'!$E$2:$E1000=$A34)*('Form responses 1'!$A$2:$A1000&lt;=EOMONTH(DATEVALUE("1 "&amp;AK$1),0)))+
  SUMPRODUCT(('Form responses 1'!$F$2:$F1000=$A34)*('Form responses 1'!$A$2:$A1000&lt;=EOMONTH(DATEVALUE("1 "&amp;AK$1),0)))+
  SUMPRODUCT(('Form responses 1'!$G$2:$G1000=$A34)*('Form responses 1'!$A$2:$A1000&lt;=EOMONTH(DATEVALUE("1 "&amp;AK$1),0)))
),2),"-")</f>
        <v>-</v>
      </c>
      <c r="AL34" s="2" t="str">
        <f>IFERROR(ROUND(Data!$B34/(
  SUMPRODUCT(('Form responses 1'!$B$2:$B1000=$A34)*('Form responses 1'!$A$2:$A1000&lt;=EOMONTH(DATEVALUE("1 "&amp;AL$1),0)))+
  SUMPRODUCT(('Form responses 1'!$C$2:$C1000=$A34)*('Form responses 1'!$A$2:$A1000&lt;=EOMONTH(DATEVALUE("1 "&amp;AL$1),0)))+
  SUMPRODUCT(('Form responses 1'!$D$2:$D1000=$A34)*('Form responses 1'!$A$2:$A1000&lt;=EOMONTH(DATEVALUE("1 "&amp;AL$1),0)))+
  SUMPRODUCT(('Form responses 1'!$E$2:$E1000=$A34)*('Form responses 1'!$A$2:$A1000&lt;=EOMONTH(DATEVALUE("1 "&amp;AL$1),0)))+
  SUMPRODUCT(('Form responses 1'!$F$2:$F1000=$A34)*('Form responses 1'!$A$2:$A1000&lt;=EOMONTH(DATEVALUE("1 "&amp;AL$1),0)))+
  SUMPRODUCT(('Form responses 1'!$G$2:$G1000=$A34)*('Form responses 1'!$A$2:$A1000&lt;=EOMONTH(DATEVALUE("1 "&amp;AL$1),0)))
),2),"-")</f>
        <v>-</v>
      </c>
    </row>
    <row r="35">
      <c r="A35" s="3" t="str">
        <f>IFERROR(__xludf.DUMMYFUNCTION("""COMPUTED_VALUE"""),"Coltrui wit")</f>
        <v>Coltrui wit</v>
      </c>
      <c r="B35" s="2">
        <f>Data!F33:F1000</f>
        <v>3.5</v>
      </c>
      <c r="C35" s="2">
        <f>IFERROR(ROUND(Data!B33/(SUMPRODUCT(('Form responses 1'!$B$2:$B1000 = A35) * ('Form responses 1'!$A$2:$A1000 &lt;= DATE(2024, 1, 31)))
+ SUMPRODUCT(('Form responses 1'!$C$2:$C1000 = A35) * ('Form responses 1'!$A$2:$A1000 &lt;= DATE(2024, 1, 31)))
+ SUMPRODUCT(('Form responses 1'!$D$2:$D1000 = A35) * ('Form responses 1'!$A$2:$A1000 &lt;= DATE(2024, 1, 31)))
+ SUMPRODUCT(('Form responses 1'!$E$2:$E1000 = A35) * ('Form responses 1'!$A$2:$A1000 &lt;= DATE(2024, 1, 31)))
+ SUMPRODUCT(('Form responses 1'!$F$2:$F1000 = A35) * ('Form responses 1'!$A$2:$A1000 &lt;= DATE(2024, 1, 31)))
+ SUMPRODUCT(('Form responses 1'!$G$2:$G1000 = A35) * ('Form responses 1'!$A$2:$A1000 &lt;= DATE(2024, 1, 31)))), 2), "-")
</f>
        <v>3.85</v>
      </c>
      <c r="D35" s="2">
        <f>IFERROR(ROUND(Data!B33/(SUMPRODUCT(('Form responses 1'!$B$2:$B1000 = A35) * ('Form responses 1'!$A$2:$A1000 &lt;= DATE(2024, 2, 29)))
+ SUMPRODUCT(('Form responses 1'!$C$2:$C1000 = A35) * ('Form responses 1'!$A$2:$A1000 &lt;= DATE(2024, 2, 29)))
+ SUMPRODUCT(('Form responses 1'!$D$2:$D1000 = A35) * ('Form responses 1'!$A$2:$A1000 &lt;= DATE(2024, 2, 29)))
+ SUMPRODUCT(('Form responses 1'!$E$2:$E1000 = A35) * ('Form responses 1'!$A$2:$A1000 &lt;= DATE(2024, 2, 29)))
+ SUMPRODUCT(('Form responses 1'!$F$2:$F1000 = A35) * ('Form responses 1'!$A$2:$A1000 &lt;= DATE(2024, 2, 29)))
+ SUMPRODUCT(('Form responses 1'!$G$2:$G1000 = A35) * ('Form responses 1'!$A$2:$A1000 &lt;= DATE(2024, 2, 29)))), 2), "-")
</f>
        <v>3.85</v>
      </c>
      <c r="E35" s="2">
        <f>IFERROR(ROUND(Data!B33/(SUMPRODUCT(('Form responses 1'!$B$2:$B1000 = A35) * ('Form responses 1'!$A$2:$A1000 &lt;= DATE(2024, 3, 31)))
+ SUMPRODUCT(('Form responses 1'!$C$2:$C1000 = A35) * ('Form responses 1'!$A$2:$A1000 &lt;= DATE(2024, 3, 31)))
+ SUMPRODUCT(('Form responses 1'!$D$2:$D1000 = A35) * ('Form responses 1'!$A$2:$A1000 &lt;= DATE(2024, 3, 31)))
+ SUMPRODUCT(('Form responses 1'!$E$2:$E1000 = A35) * ('Form responses 1'!$A$2:$A1000 &lt;= DATE(2024, 3, 31)))
+ SUMPRODUCT(('Form responses 1'!$F$2:$F1000 = A35) * ('Form responses 1'!$A$2:$A1000 &lt;= DATE(2024, 3, 31)))
+ SUMPRODUCT(('Form responses 1'!$G$2:$G1000 = A35) * ('Form responses 1'!$A$2:$A1000 &lt;= DATE(2024, 3, 31)))), 2), "-")
</f>
        <v>3.85</v>
      </c>
      <c r="F35" s="2">
        <f>IFERROR(ROUND(Data!B33/(SUMPRODUCT(('Form responses 1'!$B$2:$B1000 = A35) * ('Form responses 1'!$A$2:$A1000 &lt;= DATE(2024, 4, 30)))
+ SUMPRODUCT(('Form responses 1'!$C$2:$C1000 = A35) * ('Form responses 1'!$A$2:$A1000 &lt;= DATE(2024, 4, 30)))
+ SUMPRODUCT(('Form responses 1'!$D$2:$D1000 = A35) * ('Form responses 1'!$A$2:$A1000 &lt;= DATE(2024, 4, 30)))
+ SUMPRODUCT(('Form responses 1'!$E$2:$E1000 = A35) * ('Form responses 1'!$A$2:$A1000 &lt;= DATE(2024, 4, 30)))
+ SUMPRODUCT(('Form responses 1'!$F$2:$F1000 = A35) * ('Form responses 1'!$A$2:$A1000 &lt;= DATE(2024, 4, 30)))
+ SUMPRODUCT(('Form responses 1'!$G$2:$G1000 = A35) * ('Form responses 1'!$A$2:$A1000 &lt;= DATE(2024, 4, 30)))), 2), "-")
</f>
        <v>3.85</v>
      </c>
      <c r="G35" s="2">
        <f>IFERROR(ROUND(Data!B33/(SUMPRODUCT(('Form responses 1'!$B$2:$B1000 = A35) * ('Form responses 1'!$A$2:$A1000 &lt;= DATE(2024, 5, 31)))
+ SUMPRODUCT(('Form responses 1'!$C$2:$C1000 = A35) * ('Form responses 1'!$A$2:$A1000 &lt;= DATE(2024, 5, 31)))
+ SUMPRODUCT(('Form responses 1'!$D$2:$D1000 = A35) * ('Form responses 1'!$A$2:$A1000 &lt;= DATE(2024, 5, 31)))
+ SUMPRODUCT(('Form responses 1'!$E$2:$E1000 = A35) * ('Form responses 1'!$A$2:$A1000 &lt;= DATE(2024, 5, 31)))
+ SUMPRODUCT(('Form responses 1'!$F$2:$F1000 = A35) * ('Form responses 1'!$A$2:$A1000 &lt;= DATE(2024, 5, 31)))
+ SUMPRODUCT(('Form responses 1'!$G$2:$G1000 = A35) * ('Form responses 1'!$A$2:$A1000 &lt;= DATE(2024, 5, 31)))), 2), "-")
</f>
        <v>3.85</v>
      </c>
      <c r="H35" s="2">
        <f>IFERROR(ROUND(Data!B33/(SUMPRODUCT(('Form responses 1'!$B$2:$B1000 = A35) * ('Form responses 1'!$A$2:$A1000 &lt;= DATE(2024, 6, 30)))
+ SUMPRODUCT(('Form responses 1'!$C$2:$C1000 = A35) * ('Form responses 1'!$A$2:$A1000 &lt;= DATE(2024, 6, 30)))
+ SUMPRODUCT(('Form responses 1'!$D$2:$D1000 = A35) * ('Form responses 1'!$A$2:$A1000 &lt;= DATE(2024, 6, 30)))
+ SUMPRODUCT(('Form responses 1'!$E$2:$E1000 = A35) * ('Form responses 1'!$A$2:$A1000 &lt;= DATE(2024, 6, 30)))
+ SUMPRODUCT(('Form responses 1'!$F$2:$F1000 = A35) * ('Form responses 1'!$A$2:$A1000 &lt;= DATE(2024, 6, 30)))
+ SUMPRODUCT(('Form responses 1'!$G$2:$G1000 = A35) * ('Form responses 1'!$A$2:$A1000 &lt;= DATE(2024, 6, 30)))), 2), "-")
</f>
        <v>3.85</v>
      </c>
      <c r="I35" s="2">
        <f>IFERROR(ROUND(Data!B33/(SUMPRODUCT(('Form responses 1'!$B$2:$B1000 = A35) * ('Form responses 1'!$A$2:$A1000 &lt;= DATE(2024, 7, 31)))
+ SUMPRODUCT(('Form responses 1'!$C$2:$C1000 = A35) * ('Form responses 1'!$A$2:$A1000 &lt;= DATE(2024, 7, 31)))
+ SUMPRODUCT(('Form responses 1'!$D$2:$D1000 = A35) * ('Form responses 1'!$A$2:$A1000 &lt;= DATE(2024, 7, 31)))
+ SUMPRODUCT(('Form responses 1'!$E$2:$E1000 = A35) * ('Form responses 1'!$A$2:$A1000 &lt;= DATE(2024, 7, 31)))
+ SUMPRODUCT(('Form responses 1'!$F$2:$F1000 = A35) * ('Form responses 1'!$A$2:$A1000 &lt;= DATE(2024, 7, 31)))
+ SUMPRODUCT(('Form responses 1'!$G$2:$G1000 = A35) * ('Form responses 1'!$A$2:$A1000 &lt;= DATE(2024, 7, 31)))), 2), "-")
</f>
        <v>3.85</v>
      </c>
      <c r="J35" s="2">
        <f>IFERROR(ROUND(Data!B33/(SUMPRODUCT(('Form responses 1'!$B$2:$B1000 = A35) * ('Form responses 1'!$A$2:$A1000 &lt;= DATE(2024, 8, 31)))
+ SUMPRODUCT(('Form responses 1'!$C$2:$C1000 = A35) * ('Form responses 1'!$A$2:$A1000 &lt;= DATE(2024, 8, 31)))
+ SUMPRODUCT(('Form responses 1'!$D$2:$D1000 = A35) * ('Form responses 1'!$A$2:$A1000 &lt;= DATE(2024, 8, 31)))
+ SUMPRODUCT(('Form responses 1'!$E$2:$E1000 = A35) * ('Form responses 1'!$A$2:$A1000 &lt;= DATE(2024, 8, 31)))
+ SUMPRODUCT(('Form responses 1'!$F$2:$F1000 = A35) * ('Form responses 1'!$A$2:$A1000 &lt;= DATE(2024, 8, 31)))
+ SUMPRODUCT(('Form responses 1'!$G$2:$G1000 = A35) * ('Form responses 1'!$A$2:$A1000 &lt;= DATE(2024, 8, 31)))), 2), "-")
</f>
        <v>3.85</v>
      </c>
      <c r="K35" s="2">
        <f>IFERROR(ROUND(Data!B33/(SUMPRODUCT(('Form responses 1'!$B$2:$B1000 = A35) * ('Form responses 1'!$A$2:$A1000 &lt;= DATE(2024, 9, 30)))
+ SUMPRODUCT(('Form responses 1'!$C$2:$C1000 = A35) * ('Form responses 1'!$A$2:$A1000 &lt;= DATE(2024, 9, 30)))
+ SUMPRODUCT(('Form responses 1'!$D$2:$D1000 = A35) * ('Form responses 1'!$A$2:$A1000 &lt;= DATE(2024, 9, 30)))
+ SUMPRODUCT(('Form responses 1'!$E$2:$E1000 = A35) * ('Form responses 1'!$A$2:$A1000 &lt;= DATE(2024, 9, 30)))
+ SUMPRODUCT(('Form responses 1'!$F$2:$F1000 = A35) * ('Form responses 1'!$A$2:$A1000 &lt;= DATE(2024, 9, 30)))
+ SUMPRODUCT(('Form responses 1'!$G$2:$G1000 = A35) * ('Form responses 1'!$A$2:$A1000 &lt;= DATE(2024, 9, 30)))), 2), "-")
</f>
        <v>3.85</v>
      </c>
      <c r="L35" s="2">
        <f>IFERROR(ROUND(Data!B33/(SUMPRODUCT(('Form responses 1'!$B$2:$B1000 = A35) * ('Form responses 1'!$A$2:$A1000 &lt;= DATE(2024, 10, 31)))
+ SUMPRODUCT(('Form responses 1'!$C$2:$C1000 = A35) * ('Form responses 1'!$A$2:$A1000 &lt;= DATE(2024, 10, 31)))
+ SUMPRODUCT(('Form responses 1'!$D$2:$D1000 = A35) * ('Form responses 1'!$A$2:$A1000 &lt;= DATE(2024, 10, 31)))
+ SUMPRODUCT(('Form responses 1'!$E$2:$E1000 = A35) * ('Form responses 1'!$A$2:$A1000 &lt;= DATE(2024, 10, 31)))
+ SUMPRODUCT(('Form responses 1'!$F$2:$F1000 = A35) * ('Form responses 1'!$A$2:$A1000 &lt;= DATE(2024, 10, 31)))
+ SUMPRODUCT(('Form responses 1'!$G$2:$G1000 = A35) * ('Form responses 1'!$A$2:$A1000 &lt;= DATE(2024, 10, 31)))), 2), "-")
</f>
        <v>3.85</v>
      </c>
      <c r="M35" s="2">
        <f>IFERROR(ROUND(Data!B33/(SUMPRODUCT(('Form responses 1'!$B$2:$B1000 = A35) * ('Form responses 1'!$A$2:$A1000 &lt;= DATE(2024, 11, 30)))
+ SUMPRODUCT(('Form responses 1'!$C$2:$C1000 = A35) * ('Form responses 1'!$A$2:$A1000 &lt;= DATE(2024, 11, 30)))
+ SUMPRODUCT(('Form responses 1'!$D$2:$D1000 = A35) * ('Form responses 1'!$A$2:$A1000 &lt;= DATE(2024, 11, 30)))
+ SUMPRODUCT(('Form responses 1'!$E$2:$E1000 = A35) * ('Form responses 1'!$A$2:$A1000 &lt;= DATE(2024, 11, 30)))
+ SUMPRODUCT(('Form responses 1'!$F$2:$F1000 = A35) * ('Form responses 1'!$A$2:$A1000 &lt;= DATE(2024, 11, 30)))
+ SUMPRODUCT(('Form responses 1'!$G$2:$G1000 = A35) * ('Form responses 1'!$A$2:$A1000 &lt;= DATE(2024, 11, 30)))), 2), "-")
</f>
        <v>3.85</v>
      </c>
      <c r="N35" s="2">
        <f>IFERROR(ROUND(Data!B33/(SUMPRODUCT(('Form responses 1'!$B$2:$B1000 = A35) * ('Form responses 1'!$A$2:$A1000 &lt;= DATE(2024, 12, 31)))
+ SUMPRODUCT(('Form responses 1'!$C$2:$C1000 = A35) * ('Form responses 1'!$A$2:$A1000 &lt;= DATE(2024, 12, 31)))
+ SUMPRODUCT(('Form responses 1'!$D$2:$D1000 = A35) * ('Form responses 1'!$A$2:$A1000 &lt;= DATE(2024, 12, 31)))
+ SUMPRODUCT(('Form responses 1'!$E$2:$E1000 = A35) * ('Form responses 1'!$A$2:$A1000 &lt;= DATE(2024, 12, 31)))
+ SUMPRODUCT(('Form responses 1'!$F$2:$F1000 = A35) * ('Form responses 1'!$A$2:$A1000 &lt;= DATE(2024, 12, 31)))
+ SUMPRODUCT(('Form responses 1'!$G$2:$G1000 = A35) * ('Form responses 1'!$A$2:$A1000 &lt;= DATE(2024, 12, 31)))), 2), "-")
</f>
        <v>3.85</v>
      </c>
      <c r="O35" s="2">
        <f>IFERROR(ROUND(Data!B33/(SUMPRODUCT(('Form responses 1'!$B$2:$B1000 = A35) * ('Form responses 1'!$A$2:$A1000 &lt;= DATE(2025, 1, 31)))
+ SUMPRODUCT(('Form responses 1'!$C$2:$C1000 = A35) * ('Form responses 1'!$A$2:$A1000 &lt;= DATE(2025, 1, 31)))
+ SUMPRODUCT(('Form responses 1'!$D$2:$D1000 = A35) * ('Form responses 1'!$A$2:$A1000 &lt;= DATE(2025, 1, 31)))
+ SUMPRODUCT(('Form responses 1'!$E$2:$E1000 = A35) * ('Form responses 1'!$A$2:$A1000 &lt;= DATE(2025, 1, 31)))
+ SUMPRODUCT(('Form responses 1'!$F$2:$F1000 = A35) * ('Form responses 1'!$A$2:$A1000 &lt;= DATE(2025, 1, 31)))
+ SUMPRODUCT(('Form responses 1'!$G$2:$G1000 = A35) * ('Form responses 1'!$A$2:$A1000 &lt;= DATE(2025, 1, 31)))), 2), "-")
</f>
        <v>3.85</v>
      </c>
      <c r="P35" s="2">
        <f>IFERROR(ROUND(Data!B33/(SUMPRODUCT(('Form responses 1'!$B$2:$B1000 = A35) * ('Form responses 1'!$A$2:$A1000 &lt;= DATE(2025, 2, 28)))
+ SUMPRODUCT(('Form responses 1'!$C$2:$C1000 = A35) * ('Form responses 1'!$A$2:$A1000 &lt;= DATE(2025, 2, 28)))
+ SUMPRODUCT(('Form responses 1'!$D$2:$D1000 = A35) * ('Form responses 1'!$A$2:$A1000 &lt;= DATE(2025, 2, 28)))
+ SUMPRODUCT(('Form responses 1'!$E$2:$E1000 = A35) * ('Form responses 1'!$A$2:$A1000 &lt;= DATE(2025, 2, 28)))
+ SUMPRODUCT(('Form responses 1'!$F$2:$F1000 = A35) * ('Form responses 1'!$A$2:$A1000 &lt;= DATE(2025, 2, 28)))
+ SUMPRODUCT(('Form responses 1'!$G$2:$G1000 = A35) * ('Form responses 1'!$A$2:$A1000 &lt;= DATE(2025, 2, 28)))), 2), "-")
</f>
        <v>3.85</v>
      </c>
      <c r="Q35" s="2">
        <f>IFERROR(ROUND(Data!B33/(SUMPRODUCT(('Form responses 1'!$B$2:$B1000 = A35) * ('Form responses 1'!$A$2:$A1000 &lt;= DATE(2025, 3, 31)))
+ SUMPRODUCT(('Form responses 1'!$C$2:$C1000 = A35) * ('Form responses 1'!$A$2:$A1000 &lt;= DATE(2025, 3, 31)))
+ SUMPRODUCT(('Form responses 1'!$D$2:$D1000 = A35) * ('Form responses 1'!$A$2:$A1000 &lt;= DATE(2025, 3, 31)))
+ SUMPRODUCT(('Form responses 1'!$E$2:$E1000 = A35) * ('Form responses 1'!$A$2:$A1000 &lt;= DATE(2025, 3, 31)))
+ SUMPRODUCT(('Form responses 1'!$F$2:$F1000 = A35) * ('Form responses 1'!$A$2:$A1000 &lt;= DATE(2025, 3, 31)))
+ SUMPRODUCT(('Form responses 1'!$G$2:$G1000 = A35) * ('Form responses 1'!$A$2:$A1000 &lt;= DATE(2025, 3, 31)))),2),"-")</f>
        <v>3.85</v>
      </c>
      <c r="R35" s="2">
        <f>IFERROR(ROUND(Data!B33/(SUMPRODUCT(('Form responses 1'!$B$2:$B1000 = A35) * ('Form responses 1'!$A$2:$A1000 &lt;= DATE(2025, 4, 30)))
+ SUMPRODUCT(('Form responses 1'!$C$2:$C1000 = A35) * ('Form responses 1'!$A$2:$A1000 &lt;= DATE(2025, 4, 30)))
+ SUMPRODUCT(('Form responses 1'!$D$2:$D1000 = A35) * ('Form responses 1'!$A$2:$A1000 &lt;= DATE(2025, 4, 30)))
+ SUMPRODUCT(('Form responses 1'!$E$2:$E1000 = A35) * ('Form responses 1'!$A$2:$A1000 &lt;= DATE(2025, 4, 30)))
+ SUMPRODUCT(('Form responses 1'!$F$2:$F1000 = A35) * ('Form responses 1'!$A$2:$A1000 &lt;= DATE(2025, 4, 30)))
+ SUMPRODUCT(('Form responses 1'!$G$2:$G1000 = A35) * ('Form responses 1'!$A$2:$A1000 &lt;= DATE(2025, 4, 30)))), 2), "-")
</f>
        <v>3.85</v>
      </c>
      <c r="S35" s="2">
        <f>IFERROR(ROUND(Data!B33/(SUMPRODUCT(('Form responses 1'!$B$2:$B1000 = A35) * ('Form responses 1'!$A$2:$A1000 &lt;= DATE(2025, 5, 31)))
+ SUMPRODUCT(('Form responses 1'!$C$2:$C1000 = A35) * ('Form responses 1'!$A$2:$A1000 &lt;= DATE(2025, 5, 31)))
+ SUMPRODUCT(('Form responses 1'!$D$2:$D1000 = A35) * ('Form responses 1'!$A$2:$A1000 &lt;= DATE(2025, 5, 31)))
+ SUMPRODUCT(('Form responses 1'!$E$2:$E1000 = A35) * ('Form responses 1'!$A$2:$A1000 &lt;= DATE(2025, 5, 31)))
+ SUMPRODUCT(('Form responses 1'!$F$2:$F1000 = A35) * ('Form responses 1'!$A$2:$A1000 &lt;= DATE(2025, 5, 31)))
+ SUMPRODUCT(('Form responses 1'!$G$2:$G1000 = A35) * ('Form responses 1'!$A$2:$A1000 &lt;= DATE(2025, 5, 31)))), 2), "-")
</f>
        <v>3.85</v>
      </c>
      <c r="T35" s="2">
        <f>IFERROR(ROUND(Data!B33/(SUMPRODUCT(('Form responses 1'!$B$2:$B1000 = A35) * ('Form responses 1'!$A$2:$A1000 &lt;= DATE(2025, 6, 30)))
+ SUMPRODUCT(('Form responses 1'!$C$2:$C1000 = A35) * ('Form responses 1'!$A$2:$A1000 &lt;= DATE(2025, 6, 30)))
+ SUMPRODUCT(('Form responses 1'!$D$2:$D1000 = A35) * ('Form responses 1'!$A$2:$A1000 &lt;= DATE(2025, 6, 30)))
+ SUMPRODUCT(('Form responses 1'!$E$2:$E1000 = A35) * ('Form responses 1'!$A$2:$A1000 &lt;= DATE(2025, 6, 30)))
+ SUMPRODUCT(('Form responses 1'!$F$2:$F1000 = A35) * ('Form responses 1'!$A$2:$A1000 &lt;= DATE(2025, 6, 30)))
+ SUMPRODUCT(('Form responses 1'!$G$2:$G1000 = A35) * ('Form responses 1'!$A$2:$A1000 &lt;= DATE(2025, 6, 30)))), 2), "-")
</f>
        <v>3.85</v>
      </c>
      <c r="U35" s="2">
        <f>IFERROR(ROUND(Data!B33/(SUMPRODUCT(('Form responses 1'!$B$2:$B1000 = A35) * ('Form responses 1'!$A$2:$A1000 &lt;= DATE(2025, 7, 31)))
+ SUMPRODUCT(('Form responses 1'!$C$2:$C1000 = A35) * ('Form responses 1'!$A$2:$A1000 &lt;= DATE(2025, 7, 31)))
+ SUMPRODUCT(('Form responses 1'!$D$2:$D1000 = A35) * ('Form responses 1'!$A$2:$A1000 &lt;= DATE(2025, 7, 31)))
+ SUMPRODUCT(('Form responses 1'!$E$2:$E1000 = A35) * ('Form responses 1'!$A$2:$A1000 &lt;= DATE(2025, 7, 31)))
+ SUMPRODUCT(('Form responses 1'!$F$2:$F1000 = A35) * ('Form responses 1'!$A$2:$A1000 &lt;= DATE(2025, 7, 31)))
+ SUMPRODUCT(('Form responses 1'!$G$2:$G1000 = A35) * ('Form responses 1'!$A$2:$A1000 &lt;= DATE(2025, 7, 31)))), 2), "-")
</f>
        <v>3.85</v>
      </c>
      <c r="V35" s="2">
        <f>IFERROR(ROUND(Data!B33/(SUMPRODUCT(('Form responses 1'!$B$2:$B1000 = A35) * ('Form responses 1'!$A$2:$A1000 &lt;= DATE(2025, 8, 31)))
+ SUMPRODUCT(('Form responses 1'!$C$2:$C1000 = A35) * ('Form responses 1'!$A$2:$A1000 &lt;= DATE(2025, 8, 31)))
+ SUMPRODUCT(('Form responses 1'!$D$2:$D1000 = A35) * ('Form responses 1'!$A$2:$A1000 &lt;= DATE(2025, 8, 31)))
+ SUMPRODUCT(('Form responses 1'!$E$2:$E1000 = A35) * ('Form responses 1'!$A$2:$A1000 &lt;= DATE(2025, 8, 31)))
+ SUMPRODUCT(('Form responses 1'!$F$2:$F1000 = A35) * ('Form responses 1'!$A$2:$A1000 &lt;= DATE(2025, 8, 31)))
+ SUMPRODUCT(('Form responses 1'!$G$2:$G1000 = A35) * ('Form responses 1'!$A$2:$A1000 &lt;= DATE(2025, 8, 31)))), 2), "-")
</f>
        <v>3.85</v>
      </c>
      <c r="W35" s="2">
        <f>IFERROR(ROUND(Data!B33/(SUMPRODUCT(('Form responses 1'!$B$2:$B1000 = A35) * ('Form responses 1'!$A$2:$A1000 &lt;= DATE(2025, 9, 30)))
+ SUMPRODUCT(('Form responses 1'!$C$2:$C1000 = A35) * ('Form responses 1'!$A$2:$A1000 &lt;= DATE(2025, 9, 30)))
+ SUMPRODUCT(('Form responses 1'!$D$2:$D1000 = A35) * ('Form responses 1'!$A$2:$A1000 &lt;= DATE(2025, 9, 30)))
+ SUMPRODUCT(('Form responses 1'!$E$2:$E1000 = A35) * ('Form responses 1'!$A$2:$A1000 &lt;= DATE(2025, 9, 30)))
+ SUMPRODUCT(('Form responses 1'!$F$2:$F1000 = A35) * ('Form responses 1'!$A$2:$A1000 &lt;= DATE(2025, 9, 30)))
+ SUMPRODUCT(('Form responses 1'!$G$2:$G1000 = A35) * ('Form responses 1'!$A$2:$A1000 &lt;= DATE(2025, 9, 30)))), 2), "-")
</f>
        <v>3.85</v>
      </c>
      <c r="X35" s="2">
        <f>IFERROR(ROUND(Data!B33/(SUMPRODUCT(('Form responses 1'!$B$2:$B1000 = A35) * ('Form responses 1'!$A$2:$A1000 &lt;= DATE(2025, 10, 31)))
+ SUMPRODUCT(('Form responses 1'!$C$2:$C1000 = A35) * ('Form responses 1'!$A$2:$A1000 &lt;= DATE(2025, 10, 31)))
+ SUMPRODUCT(('Form responses 1'!$D$2:$D1000 = A35) * ('Form responses 1'!$A$2:$A1000 &lt;= DATE(2025, 10, 31)))
+ SUMPRODUCT(('Form responses 1'!$E$2:$E1000 = A35) * ('Form responses 1'!$A$2:$A1000 &lt;= DATE(2025, 10, 31)))
+ SUMPRODUCT(('Form responses 1'!$F$2:$F1000 = A35) * ('Form responses 1'!$A$2:$A1000 &lt;= DATE(2025, 10, 31)))
+ SUMPRODUCT(('Form responses 1'!$G$2:$G1000 = A35) * ('Form responses 1'!$A$2:$A1000 &lt;= DATE(2025, 10, 31)))), 2), "-")
</f>
        <v>3.85</v>
      </c>
      <c r="Y35" s="2">
        <f>IFERROR(ROUND(Data!B33/(SUMPRODUCT(('Form responses 1'!$B$2:$B1000 = A35) * ('Form responses 1'!$A$2:$A1000 &lt;= DATE(2025, 11, 30)))
+ SUMPRODUCT(('Form responses 1'!$C$2:$C1000 = A35) * ('Form responses 1'!$A$2:$A1000 &lt;= DATE(2025, 11, 30)))
+ SUMPRODUCT(('Form responses 1'!$D$2:$D1000 = A35) * ('Form responses 1'!$A$2:$A1000 &lt;= DATE(2025, 11, 30)))
+ SUMPRODUCT(('Form responses 1'!$E$2:$E1000 = A35) * ('Form responses 1'!$A$2:$A1000 &lt;= DATE(2025, 11, 30)))
+ SUMPRODUCT(('Form responses 1'!$F$2:$F1000 = A35) * ('Form responses 1'!$A$2:$A1000 &lt;= DATE(2025, 11, 30)))
+ SUMPRODUCT(('Form responses 1'!$G$2:$G1000 = A35) * ('Form responses 1'!$A$2:$A1000 &lt;= DATE(2025, 11, 30)))), 2), "-")
</f>
        <v>3.85</v>
      </c>
      <c r="Z35" s="2">
        <f>IFERROR(ROUND(Data!B33/(SUMPRODUCT(('Form responses 1'!$B$2:$B1000 = A35) * ('Form responses 1'!$A$2:$A1000 &lt;= DATE(2025, 12, 31)))
+ SUMPRODUCT(('Form responses 1'!$C$2:$C1000 = A35) * ('Form responses 1'!$A$2:$A1000 &lt;= DATE(2025, 12, 31)))
+ SUMPRODUCT(('Form responses 1'!$D$2:$D1000 = A35) * ('Form responses 1'!$A$2:$A1000 &lt;= DATE(2025, 12, 31)))
+ SUMPRODUCT(('Form responses 1'!$E$2:$E1000 = A35) * ('Form responses 1'!$A$2:$A1000 &lt;= DATE(2025, 12, 31)))
+ SUMPRODUCT(('Form responses 1'!$F$2:$F1000 = A35) * ('Form responses 1'!$A$2:$A1000 &lt;= DATE(2025, 12, 31)))
+ SUMPRODUCT(('Form responses 1'!$G$2:$G1000 = A35) * ('Form responses 1'!$A$2:$A1000 &lt;= DATE(2025, 12, 31)))), 2), "-")
</f>
        <v>3.85</v>
      </c>
      <c r="AA35" s="2">
        <f>IFERROR(ROUND(Data!$B35/(
  SUMPRODUCT(('Form responses 1'!$B$2:$B1000=$A35)*('Form responses 1'!$A$2:$A1000&lt;=EOMONTH(DATEVALUE("1 "&amp;AA$1),0)))+
  SUMPRODUCT(('Form responses 1'!$C$2:$C1000=$A35)*('Form responses 1'!$A$2:$A1000&lt;=EOMONTH(DATEVALUE("1 "&amp;AA$1),0)))+
  SUMPRODUCT(('Form responses 1'!$D$2:$D1000=$A35)*('Form responses 1'!$A$2:$A1000&lt;=EOMONTH(DATEVALUE("1 "&amp;AA$1),0)))+
  SUMPRODUCT(('Form responses 1'!$E$2:$E1000=$A35)*('Form responses 1'!$A$2:$A1000&lt;=EOMONTH(DATEVALUE("1 "&amp;AA$1),0)))+
  SUMPRODUCT(('Form responses 1'!$F$2:$F1000=$A35)*('Form responses 1'!$A$2:$A1000&lt;=EOMONTH(DATEVALUE("1 "&amp;AA$1),0)))+
  SUMPRODUCT(('Form responses 1'!$G$2:$G1000=$A35)*('Form responses 1'!$A$2:$A1000&lt;=EOMONTH(DATEVALUE("1 "&amp;AA$1),0)))
),2),"-")</f>
        <v>3.5</v>
      </c>
      <c r="AB35" s="2">
        <f>IFERROR(ROUND(Data!$B35/(
  SUMPRODUCT(('Form responses 1'!$B$2:$B1000=$A35)*('Form responses 1'!$A$2:$A1000&lt;=EOMONTH(DATEVALUE("1 "&amp;AB$1),0)))+
  SUMPRODUCT(('Form responses 1'!$C$2:$C1000=$A35)*('Form responses 1'!$A$2:$A1000&lt;=EOMONTH(DATEVALUE("1 "&amp;AB$1),0)))+
  SUMPRODUCT(('Form responses 1'!$D$2:$D1000=$A35)*('Form responses 1'!$A$2:$A1000&lt;=EOMONTH(DATEVALUE("1 "&amp;AB$1),0)))+
  SUMPRODUCT(('Form responses 1'!$E$2:$E1000=$A35)*('Form responses 1'!$A$2:$A1000&lt;=EOMONTH(DATEVALUE("1 "&amp;AB$1),0)))+
  SUMPRODUCT(('Form responses 1'!$F$2:$F1000=$A35)*('Form responses 1'!$A$2:$A1000&lt;=EOMONTH(DATEVALUE("1 "&amp;AB$1),0)))+
  SUMPRODUCT(('Form responses 1'!$G$2:$G1000=$A35)*('Form responses 1'!$A$2:$A1000&lt;=EOMONTH(DATEVALUE("1 "&amp;AB$1),0)))
),2),"-")</f>
        <v>3.5</v>
      </c>
      <c r="AC35" s="2">
        <f>IFERROR(ROUND(Data!$B35/(
  SUMPRODUCT(('Form responses 1'!$B$2:$B1000=$A35)*('Form responses 1'!$A$2:$A1000&lt;=EOMONTH(DATEVALUE("1 "&amp;AC$1),0)))+
  SUMPRODUCT(('Form responses 1'!$C$2:$C1000=$A35)*('Form responses 1'!$A$2:$A1000&lt;=EOMONTH(DATEVALUE("1 "&amp;AC$1),0)))+
  SUMPRODUCT(('Form responses 1'!$D$2:$D1000=$A35)*('Form responses 1'!$A$2:$A1000&lt;=EOMONTH(DATEVALUE("1 "&amp;AC$1),0)))+
  SUMPRODUCT(('Form responses 1'!$E$2:$E1000=$A35)*('Form responses 1'!$A$2:$A1000&lt;=EOMONTH(DATEVALUE("1 "&amp;AC$1),0)))+
  SUMPRODUCT(('Form responses 1'!$F$2:$F1000=$A35)*('Form responses 1'!$A$2:$A1000&lt;=EOMONTH(DATEVALUE("1 "&amp;AC$1),0)))+
  SUMPRODUCT(('Form responses 1'!$G$2:$G1000=$A35)*('Form responses 1'!$A$2:$A1000&lt;=EOMONTH(DATEVALUE("1 "&amp;AC$1),0)))
),2),"-")</f>
        <v>3.5</v>
      </c>
      <c r="AD35" s="2" t="str">
        <f>IFERROR(ROUND(Data!$B35/(
  SUMPRODUCT(('Form responses 1'!$B$2:$B1000=$A35)*('Form responses 1'!$A$2:$A1000&lt;=EOMONTH(DATEVALUE("1 "&amp;AD$1),0)))+
  SUMPRODUCT(('Form responses 1'!$C$2:$C1000=$A35)*('Form responses 1'!$A$2:$A1000&lt;=EOMONTH(DATEVALUE("1 "&amp;AD$1),0)))+
  SUMPRODUCT(('Form responses 1'!$D$2:$D1000=$A35)*('Form responses 1'!$A$2:$A1000&lt;=EOMONTH(DATEVALUE("1 "&amp;AD$1),0)))+
  SUMPRODUCT(('Form responses 1'!$E$2:$E1000=$A35)*('Form responses 1'!$A$2:$A1000&lt;=EOMONTH(DATEVALUE("1 "&amp;AD$1),0)))+
  SUMPRODUCT(('Form responses 1'!$F$2:$F1000=$A35)*('Form responses 1'!$A$2:$A1000&lt;=EOMONTH(DATEVALUE("1 "&amp;AD$1),0)))+
  SUMPRODUCT(('Form responses 1'!$G$2:$G1000=$A35)*('Form responses 1'!$A$2:$A1000&lt;=EOMONTH(DATEVALUE("1 "&amp;AD$1),0)))
),2),"-")</f>
        <v>-</v>
      </c>
      <c r="AE35" s="2" t="str">
        <f>IFERROR(ROUND(Data!$B35/(
  SUMPRODUCT(('Form responses 1'!$B$2:$B1000=$A35)*('Form responses 1'!$A$2:$A1000&lt;=EOMONTH(DATEVALUE("1 "&amp;AE$1),0)))+
  SUMPRODUCT(('Form responses 1'!$C$2:$C1000=$A35)*('Form responses 1'!$A$2:$A1000&lt;=EOMONTH(DATEVALUE("1 "&amp;AE$1),0)))+
  SUMPRODUCT(('Form responses 1'!$D$2:$D1000=$A35)*('Form responses 1'!$A$2:$A1000&lt;=EOMONTH(DATEVALUE("1 "&amp;AE$1),0)))+
  SUMPRODUCT(('Form responses 1'!$E$2:$E1000=$A35)*('Form responses 1'!$A$2:$A1000&lt;=EOMONTH(DATEVALUE("1 "&amp;AE$1),0)))+
  SUMPRODUCT(('Form responses 1'!$F$2:$F1000=$A35)*('Form responses 1'!$A$2:$A1000&lt;=EOMONTH(DATEVALUE("1 "&amp;AE$1),0)))+
  SUMPRODUCT(('Form responses 1'!$G$2:$G1000=$A35)*('Form responses 1'!$A$2:$A1000&lt;=EOMONTH(DATEVALUE("1 "&amp;AE$1),0)))
),2),"-")</f>
        <v>-</v>
      </c>
      <c r="AF35" s="2" t="str">
        <f>IFERROR(ROUND(Data!$B35/(
  SUMPRODUCT(('Form responses 1'!$B$2:$B1000=$A35)*('Form responses 1'!$A$2:$A1000&lt;=EOMONTH(DATEVALUE("1 "&amp;AF$1),0)))+
  SUMPRODUCT(('Form responses 1'!$C$2:$C1000=$A35)*('Form responses 1'!$A$2:$A1000&lt;=EOMONTH(DATEVALUE("1 "&amp;AF$1),0)))+
  SUMPRODUCT(('Form responses 1'!$D$2:$D1000=$A35)*('Form responses 1'!$A$2:$A1000&lt;=EOMONTH(DATEVALUE("1 "&amp;AF$1),0)))+
  SUMPRODUCT(('Form responses 1'!$E$2:$E1000=$A35)*('Form responses 1'!$A$2:$A1000&lt;=EOMONTH(DATEVALUE("1 "&amp;AF$1),0)))+
  SUMPRODUCT(('Form responses 1'!$F$2:$F1000=$A35)*('Form responses 1'!$A$2:$A1000&lt;=EOMONTH(DATEVALUE("1 "&amp;AF$1),0)))+
  SUMPRODUCT(('Form responses 1'!$G$2:$G1000=$A35)*('Form responses 1'!$A$2:$A1000&lt;=EOMONTH(DATEVALUE("1 "&amp;AF$1),0)))
),2),"-")</f>
        <v>-</v>
      </c>
      <c r="AG35" s="2" t="str">
        <f>IFERROR(ROUND(Data!$B35/(
  SUMPRODUCT(('Form responses 1'!$B$2:$B1000=$A35)*('Form responses 1'!$A$2:$A1000&lt;=EOMONTH(DATEVALUE("1 "&amp;AG$1),0)))+
  SUMPRODUCT(('Form responses 1'!$C$2:$C1000=$A35)*('Form responses 1'!$A$2:$A1000&lt;=EOMONTH(DATEVALUE("1 "&amp;AG$1),0)))+
  SUMPRODUCT(('Form responses 1'!$D$2:$D1000=$A35)*('Form responses 1'!$A$2:$A1000&lt;=EOMONTH(DATEVALUE("1 "&amp;AG$1),0)))+
  SUMPRODUCT(('Form responses 1'!$E$2:$E1000=$A35)*('Form responses 1'!$A$2:$A1000&lt;=EOMONTH(DATEVALUE("1 "&amp;AG$1),0)))+
  SUMPRODUCT(('Form responses 1'!$F$2:$F1000=$A35)*('Form responses 1'!$A$2:$A1000&lt;=EOMONTH(DATEVALUE("1 "&amp;AG$1),0)))+
  SUMPRODUCT(('Form responses 1'!$G$2:$G1000=$A35)*('Form responses 1'!$A$2:$A1000&lt;=EOMONTH(DATEVALUE("1 "&amp;AG$1),0)))
),2),"-")</f>
        <v>-</v>
      </c>
      <c r="AH35" s="2" t="str">
        <f>IFERROR(ROUND(Data!$B35/(
  SUMPRODUCT(('Form responses 1'!$B$2:$B1000=$A35)*('Form responses 1'!$A$2:$A1000&lt;=EOMONTH(DATEVALUE("1 "&amp;AH$1),0)))+
  SUMPRODUCT(('Form responses 1'!$C$2:$C1000=$A35)*('Form responses 1'!$A$2:$A1000&lt;=EOMONTH(DATEVALUE("1 "&amp;AH$1),0)))+
  SUMPRODUCT(('Form responses 1'!$D$2:$D1000=$A35)*('Form responses 1'!$A$2:$A1000&lt;=EOMONTH(DATEVALUE("1 "&amp;AH$1),0)))+
  SUMPRODUCT(('Form responses 1'!$E$2:$E1000=$A35)*('Form responses 1'!$A$2:$A1000&lt;=EOMONTH(DATEVALUE("1 "&amp;AH$1),0)))+
  SUMPRODUCT(('Form responses 1'!$F$2:$F1000=$A35)*('Form responses 1'!$A$2:$A1000&lt;=EOMONTH(DATEVALUE("1 "&amp;AH$1),0)))+
  SUMPRODUCT(('Form responses 1'!$G$2:$G1000=$A35)*('Form responses 1'!$A$2:$A1000&lt;=EOMONTH(DATEVALUE("1 "&amp;AH$1),0)))
),2),"-")</f>
        <v>-</v>
      </c>
      <c r="AI35" s="2" t="str">
        <f>IFERROR(ROUND(Data!$B35/(
  SUMPRODUCT(('Form responses 1'!$B$2:$B1000=$A35)*('Form responses 1'!$A$2:$A1000&lt;=EOMONTH(DATEVALUE("1 "&amp;AI$1),0)))+
  SUMPRODUCT(('Form responses 1'!$C$2:$C1000=$A35)*('Form responses 1'!$A$2:$A1000&lt;=EOMONTH(DATEVALUE("1 "&amp;AI$1),0)))+
  SUMPRODUCT(('Form responses 1'!$D$2:$D1000=$A35)*('Form responses 1'!$A$2:$A1000&lt;=EOMONTH(DATEVALUE("1 "&amp;AI$1),0)))+
  SUMPRODUCT(('Form responses 1'!$E$2:$E1000=$A35)*('Form responses 1'!$A$2:$A1000&lt;=EOMONTH(DATEVALUE("1 "&amp;AI$1),0)))+
  SUMPRODUCT(('Form responses 1'!$F$2:$F1000=$A35)*('Form responses 1'!$A$2:$A1000&lt;=EOMONTH(DATEVALUE("1 "&amp;AI$1),0)))+
  SUMPRODUCT(('Form responses 1'!$G$2:$G1000=$A35)*('Form responses 1'!$A$2:$A1000&lt;=EOMONTH(DATEVALUE("1 "&amp;AI$1),0)))
),2),"-")</f>
        <v>-</v>
      </c>
      <c r="AJ35" s="2" t="str">
        <f>IFERROR(ROUND(Data!$B35/(
  SUMPRODUCT(('Form responses 1'!$B$2:$B1000=$A35)*('Form responses 1'!$A$2:$A1000&lt;=EOMONTH(DATEVALUE("1 "&amp;AJ$1),0)))+
  SUMPRODUCT(('Form responses 1'!$C$2:$C1000=$A35)*('Form responses 1'!$A$2:$A1000&lt;=EOMONTH(DATEVALUE("1 "&amp;AJ$1),0)))+
  SUMPRODUCT(('Form responses 1'!$D$2:$D1000=$A35)*('Form responses 1'!$A$2:$A1000&lt;=EOMONTH(DATEVALUE("1 "&amp;AJ$1),0)))+
  SUMPRODUCT(('Form responses 1'!$E$2:$E1000=$A35)*('Form responses 1'!$A$2:$A1000&lt;=EOMONTH(DATEVALUE("1 "&amp;AJ$1),0)))+
  SUMPRODUCT(('Form responses 1'!$F$2:$F1000=$A35)*('Form responses 1'!$A$2:$A1000&lt;=EOMONTH(DATEVALUE("1 "&amp;AJ$1),0)))+
  SUMPRODUCT(('Form responses 1'!$G$2:$G1000=$A35)*('Form responses 1'!$A$2:$A1000&lt;=EOMONTH(DATEVALUE("1 "&amp;AJ$1),0)))
),2),"-")</f>
        <v>-</v>
      </c>
      <c r="AK35" s="2" t="str">
        <f>IFERROR(ROUND(Data!$B35/(
  SUMPRODUCT(('Form responses 1'!$B$2:$B1000=$A35)*('Form responses 1'!$A$2:$A1000&lt;=EOMONTH(DATEVALUE("1 "&amp;AK$1),0)))+
  SUMPRODUCT(('Form responses 1'!$C$2:$C1000=$A35)*('Form responses 1'!$A$2:$A1000&lt;=EOMONTH(DATEVALUE("1 "&amp;AK$1),0)))+
  SUMPRODUCT(('Form responses 1'!$D$2:$D1000=$A35)*('Form responses 1'!$A$2:$A1000&lt;=EOMONTH(DATEVALUE("1 "&amp;AK$1),0)))+
  SUMPRODUCT(('Form responses 1'!$E$2:$E1000=$A35)*('Form responses 1'!$A$2:$A1000&lt;=EOMONTH(DATEVALUE("1 "&amp;AK$1),0)))+
  SUMPRODUCT(('Form responses 1'!$F$2:$F1000=$A35)*('Form responses 1'!$A$2:$A1000&lt;=EOMONTH(DATEVALUE("1 "&amp;AK$1),0)))+
  SUMPRODUCT(('Form responses 1'!$G$2:$G1000=$A35)*('Form responses 1'!$A$2:$A1000&lt;=EOMONTH(DATEVALUE("1 "&amp;AK$1),0)))
),2),"-")</f>
        <v>-</v>
      </c>
      <c r="AL35" s="2" t="str">
        <f>IFERROR(ROUND(Data!$B35/(
  SUMPRODUCT(('Form responses 1'!$B$2:$B1000=$A35)*('Form responses 1'!$A$2:$A1000&lt;=EOMONTH(DATEVALUE("1 "&amp;AL$1),0)))+
  SUMPRODUCT(('Form responses 1'!$C$2:$C1000=$A35)*('Form responses 1'!$A$2:$A1000&lt;=EOMONTH(DATEVALUE("1 "&amp;AL$1),0)))+
  SUMPRODUCT(('Form responses 1'!$D$2:$D1000=$A35)*('Form responses 1'!$A$2:$A1000&lt;=EOMONTH(DATEVALUE("1 "&amp;AL$1),0)))+
  SUMPRODUCT(('Form responses 1'!$E$2:$E1000=$A35)*('Form responses 1'!$A$2:$A1000&lt;=EOMONTH(DATEVALUE("1 "&amp;AL$1),0)))+
  SUMPRODUCT(('Form responses 1'!$F$2:$F1000=$A35)*('Form responses 1'!$A$2:$A1000&lt;=EOMONTH(DATEVALUE("1 "&amp;AL$1),0)))+
  SUMPRODUCT(('Form responses 1'!$G$2:$G1000=$A35)*('Form responses 1'!$A$2:$A1000&lt;=EOMONTH(DATEVALUE("1 "&amp;AL$1),0)))
),2),"-")</f>
        <v>-</v>
      </c>
    </row>
    <row r="36">
      <c r="A36" s="3" t="str">
        <f>IFERROR(__xludf.DUMMYFUNCTION("""COMPUTED_VALUE"""),"Grijze trui, witte strepen")</f>
        <v>Grijze trui, witte strepen</v>
      </c>
      <c r="B36" s="2">
        <f>Data!F34:F1000</f>
        <v>1.33</v>
      </c>
      <c r="C36" s="2">
        <f>IFERROR(ROUND(Data!B34/(SUMPRODUCT(('Form responses 1'!$B$2:$B1000 = A36) * ('Form responses 1'!$A$2:$A1000 &lt;= DATE(2024, 1, 31)))
+ SUMPRODUCT(('Form responses 1'!$C$2:$C1000 = A36) * ('Form responses 1'!$A$2:$A1000 &lt;= DATE(2024, 1, 31)))
+ SUMPRODUCT(('Form responses 1'!$D$2:$D1000 = A36) * ('Form responses 1'!$A$2:$A1000 &lt;= DATE(2024, 1, 31)))
+ SUMPRODUCT(('Form responses 1'!$E$2:$E1000 = A36) * ('Form responses 1'!$A$2:$A1000 &lt;= DATE(2024, 1, 31)))
+ SUMPRODUCT(('Form responses 1'!$F$2:$F1000 = A36) * ('Form responses 1'!$A$2:$A1000 &lt;= DATE(2024, 1, 31)))
+ SUMPRODUCT(('Form responses 1'!$G$2:$G1000 = A36) * ('Form responses 1'!$A$2:$A1000 &lt;= DATE(2024, 1, 31)))), 2), "-")
</f>
        <v>1.43</v>
      </c>
      <c r="D36" s="2">
        <f>IFERROR(ROUND(Data!B34/(SUMPRODUCT(('Form responses 1'!$B$2:$B1000 = A36) * ('Form responses 1'!$A$2:$A1000 &lt;= DATE(2024, 2, 29)))
+ SUMPRODUCT(('Form responses 1'!$C$2:$C1000 = A36) * ('Form responses 1'!$A$2:$A1000 &lt;= DATE(2024, 2, 29)))
+ SUMPRODUCT(('Form responses 1'!$D$2:$D1000 = A36) * ('Form responses 1'!$A$2:$A1000 &lt;= DATE(2024, 2, 29)))
+ SUMPRODUCT(('Form responses 1'!$E$2:$E1000 = A36) * ('Form responses 1'!$A$2:$A1000 &lt;= DATE(2024, 2, 29)))
+ SUMPRODUCT(('Form responses 1'!$F$2:$F1000 = A36) * ('Form responses 1'!$A$2:$A1000 &lt;= DATE(2024, 2, 29)))
+ SUMPRODUCT(('Form responses 1'!$G$2:$G1000 = A36) * ('Form responses 1'!$A$2:$A1000 &lt;= DATE(2024, 2, 29)))), 2), "-")
</f>
        <v>1.33</v>
      </c>
      <c r="E36" s="2">
        <f>IFERROR(ROUND(Data!B34/(SUMPRODUCT(('Form responses 1'!$B$2:$B1000 = A36) * ('Form responses 1'!$A$2:$A1000 &lt;= DATE(2024, 3, 31)))
+ SUMPRODUCT(('Form responses 1'!$C$2:$C1000 = A36) * ('Form responses 1'!$A$2:$A1000 &lt;= DATE(2024, 3, 31)))
+ SUMPRODUCT(('Form responses 1'!$D$2:$D1000 = A36) * ('Form responses 1'!$A$2:$A1000 &lt;= DATE(2024, 3, 31)))
+ SUMPRODUCT(('Form responses 1'!$E$2:$E1000 = A36) * ('Form responses 1'!$A$2:$A1000 &lt;= DATE(2024, 3, 31)))
+ SUMPRODUCT(('Form responses 1'!$F$2:$F1000 = A36) * ('Form responses 1'!$A$2:$A1000 &lt;= DATE(2024, 3, 31)))
+ SUMPRODUCT(('Form responses 1'!$G$2:$G1000 = A36) * ('Form responses 1'!$A$2:$A1000 &lt;= DATE(2024, 3, 31)))), 2), "-")
</f>
        <v>1.33</v>
      </c>
      <c r="F36" s="2">
        <f>IFERROR(ROUND(Data!B34/(SUMPRODUCT(('Form responses 1'!$B$2:$B1000 = A36) * ('Form responses 1'!$A$2:$A1000 &lt;= DATE(2024, 4, 30)))
+ SUMPRODUCT(('Form responses 1'!$C$2:$C1000 = A36) * ('Form responses 1'!$A$2:$A1000 &lt;= DATE(2024, 4, 30)))
+ SUMPRODUCT(('Form responses 1'!$D$2:$D1000 = A36) * ('Form responses 1'!$A$2:$A1000 &lt;= DATE(2024, 4, 30)))
+ SUMPRODUCT(('Form responses 1'!$E$2:$E1000 = A36) * ('Form responses 1'!$A$2:$A1000 &lt;= DATE(2024, 4, 30)))
+ SUMPRODUCT(('Form responses 1'!$F$2:$F1000 = A36) * ('Form responses 1'!$A$2:$A1000 &lt;= DATE(2024, 4, 30)))
+ SUMPRODUCT(('Form responses 1'!$G$2:$G1000 = A36) * ('Form responses 1'!$A$2:$A1000 &lt;= DATE(2024, 4, 30)))), 2), "-")
</f>
        <v>1.33</v>
      </c>
      <c r="G36" s="2">
        <f>IFERROR(ROUND(Data!B34/(SUMPRODUCT(('Form responses 1'!$B$2:$B1000 = A36) * ('Form responses 1'!$A$2:$A1000 &lt;= DATE(2024, 5, 31)))
+ SUMPRODUCT(('Form responses 1'!$C$2:$C1000 = A36) * ('Form responses 1'!$A$2:$A1000 &lt;= DATE(2024, 5, 31)))
+ SUMPRODUCT(('Form responses 1'!$D$2:$D1000 = A36) * ('Form responses 1'!$A$2:$A1000 &lt;= DATE(2024, 5, 31)))
+ SUMPRODUCT(('Form responses 1'!$E$2:$E1000 = A36) * ('Form responses 1'!$A$2:$A1000 &lt;= DATE(2024, 5, 31)))
+ SUMPRODUCT(('Form responses 1'!$F$2:$F1000 = A36) * ('Form responses 1'!$A$2:$A1000 &lt;= DATE(2024, 5, 31)))
+ SUMPRODUCT(('Form responses 1'!$G$2:$G1000 = A36) * ('Form responses 1'!$A$2:$A1000 &lt;= DATE(2024, 5, 31)))), 2), "-")
</f>
        <v>1.33</v>
      </c>
      <c r="H36" s="2">
        <f>IFERROR(ROUND(Data!B34/(SUMPRODUCT(('Form responses 1'!$B$2:$B1000 = A36) * ('Form responses 1'!$A$2:$A1000 &lt;= DATE(2024, 6, 30)))
+ SUMPRODUCT(('Form responses 1'!$C$2:$C1000 = A36) * ('Form responses 1'!$A$2:$A1000 &lt;= DATE(2024, 6, 30)))
+ SUMPRODUCT(('Form responses 1'!$D$2:$D1000 = A36) * ('Form responses 1'!$A$2:$A1000 &lt;= DATE(2024, 6, 30)))
+ SUMPRODUCT(('Form responses 1'!$E$2:$E1000 = A36) * ('Form responses 1'!$A$2:$A1000 &lt;= DATE(2024, 6, 30)))
+ SUMPRODUCT(('Form responses 1'!$F$2:$F1000 = A36) * ('Form responses 1'!$A$2:$A1000 &lt;= DATE(2024, 6, 30)))
+ SUMPRODUCT(('Form responses 1'!$G$2:$G1000 = A36) * ('Form responses 1'!$A$2:$A1000 &lt;= DATE(2024, 6, 30)))), 2), "-")
</f>
        <v>1.33</v>
      </c>
      <c r="I36" s="2">
        <f>IFERROR(ROUND(Data!B34/(SUMPRODUCT(('Form responses 1'!$B$2:$B1000 = A36) * ('Form responses 1'!$A$2:$A1000 &lt;= DATE(2024, 7, 31)))
+ SUMPRODUCT(('Form responses 1'!$C$2:$C1000 = A36) * ('Form responses 1'!$A$2:$A1000 &lt;= DATE(2024, 7, 31)))
+ SUMPRODUCT(('Form responses 1'!$D$2:$D1000 = A36) * ('Form responses 1'!$A$2:$A1000 &lt;= DATE(2024, 7, 31)))
+ SUMPRODUCT(('Form responses 1'!$E$2:$E1000 = A36) * ('Form responses 1'!$A$2:$A1000 &lt;= DATE(2024, 7, 31)))
+ SUMPRODUCT(('Form responses 1'!$F$2:$F1000 = A36) * ('Form responses 1'!$A$2:$A1000 &lt;= DATE(2024, 7, 31)))
+ SUMPRODUCT(('Form responses 1'!$G$2:$G1000 = A36) * ('Form responses 1'!$A$2:$A1000 &lt;= DATE(2024, 7, 31)))), 2), "-")
</f>
        <v>1.33</v>
      </c>
      <c r="J36" s="2">
        <f>IFERROR(ROUND(Data!B34/(SUMPRODUCT(('Form responses 1'!$B$2:$B1000 = A36) * ('Form responses 1'!$A$2:$A1000 &lt;= DATE(2024, 8, 31)))
+ SUMPRODUCT(('Form responses 1'!$C$2:$C1000 = A36) * ('Form responses 1'!$A$2:$A1000 &lt;= DATE(2024, 8, 31)))
+ SUMPRODUCT(('Form responses 1'!$D$2:$D1000 = A36) * ('Form responses 1'!$A$2:$A1000 &lt;= DATE(2024, 8, 31)))
+ SUMPRODUCT(('Form responses 1'!$E$2:$E1000 = A36) * ('Form responses 1'!$A$2:$A1000 &lt;= DATE(2024, 8, 31)))
+ SUMPRODUCT(('Form responses 1'!$F$2:$F1000 = A36) * ('Form responses 1'!$A$2:$A1000 &lt;= DATE(2024, 8, 31)))
+ SUMPRODUCT(('Form responses 1'!$G$2:$G1000 = A36) * ('Form responses 1'!$A$2:$A1000 &lt;= DATE(2024, 8, 31)))), 2), "-")
</f>
        <v>1.33</v>
      </c>
      <c r="K36" s="2">
        <f>IFERROR(ROUND(Data!B34/(SUMPRODUCT(('Form responses 1'!$B$2:$B1000 = A36) * ('Form responses 1'!$A$2:$A1000 &lt;= DATE(2024, 9, 30)))
+ SUMPRODUCT(('Form responses 1'!$C$2:$C1000 = A36) * ('Form responses 1'!$A$2:$A1000 &lt;= DATE(2024, 9, 30)))
+ SUMPRODUCT(('Form responses 1'!$D$2:$D1000 = A36) * ('Form responses 1'!$A$2:$A1000 &lt;= DATE(2024, 9, 30)))
+ SUMPRODUCT(('Form responses 1'!$E$2:$E1000 = A36) * ('Form responses 1'!$A$2:$A1000 &lt;= DATE(2024, 9, 30)))
+ SUMPRODUCT(('Form responses 1'!$F$2:$F1000 = A36) * ('Form responses 1'!$A$2:$A1000 &lt;= DATE(2024, 9, 30)))
+ SUMPRODUCT(('Form responses 1'!$G$2:$G1000 = A36) * ('Form responses 1'!$A$2:$A1000 &lt;= DATE(2024, 9, 30)))), 2), "-")
</f>
        <v>1.33</v>
      </c>
      <c r="L36" s="2">
        <f>IFERROR(ROUND(Data!B34/(SUMPRODUCT(('Form responses 1'!$B$2:$B1000 = A36) * ('Form responses 1'!$A$2:$A1000 &lt;= DATE(2024, 10, 31)))
+ SUMPRODUCT(('Form responses 1'!$C$2:$C1000 = A36) * ('Form responses 1'!$A$2:$A1000 &lt;= DATE(2024, 10, 31)))
+ SUMPRODUCT(('Form responses 1'!$D$2:$D1000 = A36) * ('Form responses 1'!$A$2:$A1000 &lt;= DATE(2024, 10, 31)))
+ SUMPRODUCT(('Form responses 1'!$E$2:$E1000 = A36) * ('Form responses 1'!$A$2:$A1000 &lt;= DATE(2024, 10, 31)))
+ SUMPRODUCT(('Form responses 1'!$F$2:$F1000 = A36) * ('Form responses 1'!$A$2:$A1000 &lt;= DATE(2024, 10, 31)))
+ SUMPRODUCT(('Form responses 1'!$G$2:$G1000 = A36) * ('Form responses 1'!$A$2:$A1000 &lt;= DATE(2024, 10, 31)))), 2), "-")
</f>
        <v>1.33</v>
      </c>
      <c r="M36" s="2">
        <f>IFERROR(ROUND(Data!B34/(SUMPRODUCT(('Form responses 1'!$B$2:$B1000 = A36) * ('Form responses 1'!$A$2:$A1000 &lt;= DATE(2024, 11, 30)))
+ SUMPRODUCT(('Form responses 1'!$C$2:$C1000 = A36) * ('Form responses 1'!$A$2:$A1000 &lt;= DATE(2024, 11, 30)))
+ SUMPRODUCT(('Form responses 1'!$D$2:$D1000 = A36) * ('Form responses 1'!$A$2:$A1000 &lt;= DATE(2024, 11, 30)))
+ SUMPRODUCT(('Form responses 1'!$E$2:$E1000 = A36) * ('Form responses 1'!$A$2:$A1000 &lt;= DATE(2024, 11, 30)))
+ SUMPRODUCT(('Form responses 1'!$F$2:$F1000 = A36) * ('Form responses 1'!$A$2:$A1000 &lt;= DATE(2024, 11, 30)))
+ SUMPRODUCT(('Form responses 1'!$G$2:$G1000 = A36) * ('Form responses 1'!$A$2:$A1000 &lt;= DATE(2024, 11, 30)))), 2), "-")
</f>
        <v>1.33</v>
      </c>
      <c r="N36" s="2">
        <f>IFERROR(ROUND(Data!B34/(SUMPRODUCT(('Form responses 1'!$B$2:$B1000 = A36) * ('Form responses 1'!$A$2:$A1000 &lt;= DATE(2024, 12, 31)))
+ SUMPRODUCT(('Form responses 1'!$C$2:$C1000 = A36) * ('Form responses 1'!$A$2:$A1000 &lt;= DATE(2024, 12, 31)))
+ SUMPRODUCT(('Form responses 1'!$D$2:$D1000 = A36) * ('Form responses 1'!$A$2:$A1000 &lt;= DATE(2024, 12, 31)))
+ SUMPRODUCT(('Form responses 1'!$E$2:$E1000 = A36) * ('Form responses 1'!$A$2:$A1000 &lt;= DATE(2024, 12, 31)))
+ SUMPRODUCT(('Form responses 1'!$F$2:$F1000 = A36) * ('Form responses 1'!$A$2:$A1000 &lt;= DATE(2024, 12, 31)))
+ SUMPRODUCT(('Form responses 1'!$G$2:$G1000 = A36) * ('Form responses 1'!$A$2:$A1000 &lt;= DATE(2024, 12, 31)))), 2), "-")
</f>
        <v>1.33</v>
      </c>
      <c r="O36" s="2">
        <f>IFERROR(ROUND(Data!B34/(SUMPRODUCT(('Form responses 1'!$B$2:$B1000 = A36) * ('Form responses 1'!$A$2:$A1000 &lt;= DATE(2025, 1, 31)))
+ SUMPRODUCT(('Form responses 1'!$C$2:$C1000 = A36) * ('Form responses 1'!$A$2:$A1000 &lt;= DATE(2025, 1, 31)))
+ SUMPRODUCT(('Form responses 1'!$D$2:$D1000 = A36) * ('Form responses 1'!$A$2:$A1000 &lt;= DATE(2025, 1, 31)))
+ SUMPRODUCT(('Form responses 1'!$E$2:$E1000 = A36) * ('Form responses 1'!$A$2:$A1000 &lt;= DATE(2025, 1, 31)))
+ SUMPRODUCT(('Form responses 1'!$F$2:$F1000 = A36) * ('Form responses 1'!$A$2:$A1000 &lt;= DATE(2025, 1, 31)))
+ SUMPRODUCT(('Form responses 1'!$G$2:$G1000 = A36) * ('Form responses 1'!$A$2:$A1000 &lt;= DATE(2025, 1, 31)))), 2), "-")
</f>
        <v>1.33</v>
      </c>
      <c r="P36" s="2">
        <f>IFERROR(ROUND(Data!B34/(SUMPRODUCT(('Form responses 1'!$B$2:$B1000 = A36) * ('Form responses 1'!$A$2:$A1000 &lt;= DATE(2025, 2, 28)))
+ SUMPRODUCT(('Form responses 1'!$C$2:$C1000 = A36) * ('Form responses 1'!$A$2:$A1000 &lt;= DATE(2025, 2, 28)))
+ SUMPRODUCT(('Form responses 1'!$D$2:$D1000 = A36) * ('Form responses 1'!$A$2:$A1000 &lt;= DATE(2025, 2, 28)))
+ SUMPRODUCT(('Form responses 1'!$E$2:$E1000 = A36) * ('Form responses 1'!$A$2:$A1000 &lt;= DATE(2025, 2, 28)))
+ SUMPRODUCT(('Form responses 1'!$F$2:$F1000 = A36) * ('Form responses 1'!$A$2:$A1000 &lt;= DATE(2025, 2, 28)))
+ SUMPRODUCT(('Form responses 1'!$G$2:$G1000 = A36) * ('Form responses 1'!$A$2:$A1000 &lt;= DATE(2025, 2, 28)))), 2), "-")
</f>
        <v>1.33</v>
      </c>
      <c r="Q36" s="2">
        <f>IFERROR(ROUND(Data!B34/(SUMPRODUCT(('Form responses 1'!$B$2:$B1000 = A36) * ('Form responses 1'!$A$2:$A1000 &lt;= DATE(2025, 3, 31)))
+ SUMPRODUCT(('Form responses 1'!$C$2:$C1000 = A36) * ('Form responses 1'!$A$2:$A1000 &lt;= DATE(2025, 3, 31)))
+ SUMPRODUCT(('Form responses 1'!$D$2:$D1000 = A36) * ('Form responses 1'!$A$2:$A1000 &lt;= DATE(2025, 3, 31)))
+ SUMPRODUCT(('Form responses 1'!$E$2:$E1000 = A36) * ('Form responses 1'!$A$2:$A1000 &lt;= DATE(2025, 3, 31)))
+ SUMPRODUCT(('Form responses 1'!$F$2:$F1000 = A36) * ('Form responses 1'!$A$2:$A1000 &lt;= DATE(2025, 3, 31)))
+ SUMPRODUCT(('Form responses 1'!$G$2:$G1000 = A36) * ('Form responses 1'!$A$2:$A1000 &lt;= DATE(2025, 3, 31)))),2),"-")</f>
        <v>1.33</v>
      </c>
      <c r="R36" s="2">
        <f>IFERROR(ROUND(Data!B34/(SUMPRODUCT(('Form responses 1'!$B$2:$B1000 = A36) * ('Form responses 1'!$A$2:$A1000 &lt;= DATE(2025, 4, 30)))
+ SUMPRODUCT(('Form responses 1'!$C$2:$C1000 = A36) * ('Form responses 1'!$A$2:$A1000 &lt;= DATE(2025, 4, 30)))
+ SUMPRODUCT(('Form responses 1'!$D$2:$D1000 = A36) * ('Form responses 1'!$A$2:$A1000 &lt;= DATE(2025, 4, 30)))
+ SUMPRODUCT(('Form responses 1'!$E$2:$E1000 = A36) * ('Form responses 1'!$A$2:$A1000 &lt;= DATE(2025, 4, 30)))
+ SUMPRODUCT(('Form responses 1'!$F$2:$F1000 = A36) * ('Form responses 1'!$A$2:$A1000 &lt;= DATE(2025, 4, 30)))
+ SUMPRODUCT(('Form responses 1'!$G$2:$G1000 = A36) * ('Form responses 1'!$A$2:$A1000 &lt;= DATE(2025, 4, 30)))), 2), "-")
</f>
        <v>1.33</v>
      </c>
      <c r="S36" s="2">
        <f>IFERROR(ROUND(Data!B34/(SUMPRODUCT(('Form responses 1'!$B$2:$B1000 = A36) * ('Form responses 1'!$A$2:$A1000 &lt;= DATE(2025, 5, 31)))
+ SUMPRODUCT(('Form responses 1'!$C$2:$C1000 = A36) * ('Form responses 1'!$A$2:$A1000 &lt;= DATE(2025, 5, 31)))
+ SUMPRODUCT(('Form responses 1'!$D$2:$D1000 = A36) * ('Form responses 1'!$A$2:$A1000 &lt;= DATE(2025, 5, 31)))
+ SUMPRODUCT(('Form responses 1'!$E$2:$E1000 = A36) * ('Form responses 1'!$A$2:$A1000 &lt;= DATE(2025, 5, 31)))
+ SUMPRODUCT(('Form responses 1'!$F$2:$F1000 = A36) * ('Form responses 1'!$A$2:$A1000 &lt;= DATE(2025, 5, 31)))
+ SUMPRODUCT(('Form responses 1'!$G$2:$G1000 = A36) * ('Form responses 1'!$A$2:$A1000 &lt;= DATE(2025, 5, 31)))), 2), "-")
</f>
        <v>1.33</v>
      </c>
      <c r="T36" s="2">
        <f>IFERROR(ROUND(Data!B34/(SUMPRODUCT(('Form responses 1'!$B$2:$B1000 = A36) * ('Form responses 1'!$A$2:$A1000 &lt;= DATE(2025, 6, 30)))
+ SUMPRODUCT(('Form responses 1'!$C$2:$C1000 = A36) * ('Form responses 1'!$A$2:$A1000 &lt;= DATE(2025, 6, 30)))
+ SUMPRODUCT(('Form responses 1'!$D$2:$D1000 = A36) * ('Form responses 1'!$A$2:$A1000 &lt;= DATE(2025, 6, 30)))
+ SUMPRODUCT(('Form responses 1'!$E$2:$E1000 = A36) * ('Form responses 1'!$A$2:$A1000 &lt;= DATE(2025, 6, 30)))
+ SUMPRODUCT(('Form responses 1'!$F$2:$F1000 = A36) * ('Form responses 1'!$A$2:$A1000 &lt;= DATE(2025, 6, 30)))
+ SUMPRODUCT(('Form responses 1'!$G$2:$G1000 = A36) * ('Form responses 1'!$A$2:$A1000 &lt;= DATE(2025, 6, 30)))), 2), "-")
</f>
        <v>1.33</v>
      </c>
      <c r="U36" s="2">
        <f>IFERROR(ROUND(Data!B34/(SUMPRODUCT(('Form responses 1'!$B$2:$B1000 = A36) * ('Form responses 1'!$A$2:$A1000 &lt;= DATE(2025, 7, 31)))
+ SUMPRODUCT(('Form responses 1'!$C$2:$C1000 = A36) * ('Form responses 1'!$A$2:$A1000 &lt;= DATE(2025, 7, 31)))
+ SUMPRODUCT(('Form responses 1'!$D$2:$D1000 = A36) * ('Form responses 1'!$A$2:$A1000 &lt;= DATE(2025, 7, 31)))
+ SUMPRODUCT(('Form responses 1'!$E$2:$E1000 = A36) * ('Form responses 1'!$A$2:$A1000 &lt;= DATE(2025, 7, 31)))
+ SUMPRODUCT(('Form responses 1'!$F$2:$F1000 = A36) * ('Form responses 1'!$A$2:$A1000 &lt;= DATE(2025, 7, 31)))
+ SUMPRODUCT(('Form responses 1'!$G$2:$G1000 = A36) * ('Form responses 1'!$A$2:$A1000 &lt;= DATE(2025, 7, 31)))), 2), "-")
</f>
        <v>1.33</v>
      </c>
      <c r="V36" s="2">
        <f>IFERROR(ROUND(Data!B34/(SUMPRODUCT(('Form responses 1'!$B$2:$B1000 = A36) * ('Form responses 1'!$A$2:$A1000 &lt;= DATE(2025, 8, 31)))
+ SUMPRODUCT(('Form responses 1'!$C$2:$C1000 = A36) * ('Form responses 1'!$A$2:$A1000 &lt;= DATE(2025, 8, 31)))
+ SUMPRODUCT(('Form responses 1'!$D$2:$D1000 = A36) * ('Form responses 1'!$A$2:$A1000 &lt;= DATE(2025, 8, 31)))
+ SUMPRODUCT(('Form responses 1'!$E$2:$E1000 = A36) * ('Form responses 1'!$A$2:$A1000 &lt;= DATE(2025, 8, 31)))
+ SUMPRODUCT(('Form responses 1'!$F$2:$F1000 = A36) * ('Form responses 1'!$A$2:$A1000 &lt;= DATE(2025, 8, 31)))
+ SUMPRODUCT(('Form responses 1'!$G$2:$G1000 = A36) * ('Form responses 1'!$A$2:$A1000 &lt;= DATE(2025, 8, 31)))), 2), "-")
</f>
        <v>1.33</v>
      </c>
      <c r="W36" s="2">
        <f>IFERROR(ROUND(Data!B34/(SUMPRODUCT(('Form responses 1'!$B$2:$B1000 = A36) * ('Form responses 1'!$A$2:$A1000 &lt;= DATE(2025, 9, 30)))
+ SUMPRODUCT(('Form responses 1'!$C$2:$C1000 = A36) * ('Form responses 1'!$A$2:$A1000 &lt;= DATE(2025, 9, 30)))
+ SUMPRODUCT(('Form responses 1'!$D$2:$D1000 = A36) * ('Form responses 1'!$A$2:$A1000 &lt;= DATE(2025, 9, 30)))
+ SUMPRODUCT(('Form responses 1'!$E$2:$E1000 = A36) * ('Form responses 1'!$A$2:$A1000 &lt;= DATE(2025, 9, 30)))
+ SUMPRODUCT(('Form responses 1'!$F$2:$F1000 = A36) * ('Form responses 1'!$A$2:$A1000 &lt;= DATE(2025, 9, 30)))
+ SUMPRODUCT(('Form responses 1'!$G$2:$G1000 = A36) * ('Form responses 1'!$A$2:$A1000 &lt;= DATE(2025, 9, 30)))), 2), "-")
</f>
        <v>1.33</v>
      </c>
      <c r="X36" s="2">
        <f>IFERROR(ROUND(Data!B34/(SUMPRODUCT(('Form responses 1'!$B$2:$B1000 = A36) * ('Form responses 1'!$A$2:$A1000 &lt;= DATE(2025, 10, 31)))
+ SUMPRODUCT(('Form responses 1'!$C$2:$C1000 = A36) * ('Form responses 1'!$A$2:$A1000 &lt;= DATE(2025, 10, 31)))
+ SUMPRODUCT(('Form responses 1'!$D$2:$D1000 = A36) * ('Form responses 1'!$A$2:$A1000 &lt;= DATE(2025, 10, 31)))
+ SUMPRODUCT(('Form responses 1'!$E$2:$E1000 = A36) * ('Form responses 1'!$A$2:$A1000 &lt;= DATE(2025, 10, 31)))
+ SUMPRODUCT(('Form responses 1'!$F$2:$F1000 = A36) * ('Form responses 1'!$A$2:$A1000 &lt;= DATE(2025, 10, 31)))
+ SUMPRODUCT(('Form responses 1'!$G$2:$G1000 = A36) * ('Form responses 1'!$A$2:$A1000 &lt;= DATE(2025, 10, 31)))), 2), "-")
</f>
        <v>1.33</v>
      </c>
      <c r="Y36" s="2">
        <f>IFERROR(ROUND(Data!B34/(SUMPRODUCT(('Form responses 1'!$B$2:$B1000 = A36) * ('Form responses 1'!$A$2:$A1000 &lt;= DATE(2025, 11, 30)))
+ SUMPRODUCT(('Form responses 1'!$C$2:$C1000 = A36) * ('Form responses 1'!$A$2:$A1000 &lt;= DATE(2025, 11, 30)))
+ SUMPRODUCT(('Form responses 1'!$D$2:$D1000 = A36) * ('Form responses 1'!$A$2:$A1000 &lt;= DATE(2025, 11, 30)))
+ SUMPRODUCT(('Form responses 1'!$E$2:$E1000 = A36) * ('Form responses 1'!$A$2:$A1000 &lt;= DATE(2025, 11, 30)))
+ SUMPRODUCT(('Form responses 1'!$F$2:$F1000 = A36) * ('Form responses 1'!$A$2:$A1000 &lt;= DATE(2025, 11, 30)))
+ SUMPRODUCT(('Form responses 1'!$G$2:$G1000 = A36) * ('Form responses 1'!$A$2:$A1000 &lt;= DATE(2025, 11, 30)))), 2), "-")
</f>
        <v>1.33</v>
      </c>
      <c r="Z36" s="2">
        <f>IFERROR(ROUND(Data!B34/(SUMPRODUCT(('Form responses 1'!$B$2:$B1000 = A36) * ('Form responses 1'!$A$2:$A1000 &lt;= DATE(2025, 12, 31)))
+ SUMPRODUCT(('Form responses 1'!$C$2:$C1000 = A36) * ('Form responses 1'!$A$2:$A1000 &lt;= DATE(2025, 12, 31)))
+ SUMPRODUCT(('Form responses 1'!$D$2:$D1000 = A36) * ('Form responses 1'!$A$2:$A1000 &lt;= DATE(2025, 12, 31)))
+ SUMPRODUCT(('Form responses 1'!$E$2:$E1000 = A36) * ('Form responses 1'!$A$2:$A1000 &lt;= DATE(2025, 12, 31)))
+ SUMPRODUCT(('Form responses 1'!$F$2:$F1000 = A36) * ('Form responses 1'!$A$2:$A1000 &lt;= DATE(2025, 12, 31)))
+ SUMPRODUCT(('Form responses 1'!$G$2:$G1000 = A36) * ('Form responses 1'!$A$2:$A1000 &lt;= DATE(2025, 12, 31)))), 2), "-")
</f>
        <v>1.33</v>
      </c>
      <c r="AA36" s="2">
        <f>IFERROR(ROUND(Data!$B36/(
  SUMPRODUCT(('Form responses 1'!$B$2:$B1000=$A36)*('Form responses 1'!$A$2:$A1000&lt;=EOMONTH(DATEVALUE("1 "&amp;AA$1),0)))+
  SUMPRODUCT(('Form responses 1'!$C$2:$C1000=$A36)*('Form responses 1'!$A$2:$A1000&lt;=EOMONTH(DATEVALUE("1 "&amp;AA$1),0)))+
  SUMPRODUCT(('Form responses 1'!$D$2:$D1000=$A36)*('Form responses 1'!$A$2:$A1000&lt;=EOMONTH(DATEVALUE("1 "&amp;AA$1),0)))+
  SUMPRODUCT(('Form responses 1'!$E$2:$E1000=$A36)*('Form responses 1'!$A$2:$A1000&lt;=EOMONTH(DATEVALUE("1 "&amp;AA$1),0)))+
  SUMPRODUCT(('Form responses 1'!$F$2:$F1000=$A36)*('Form responses 1'!$A$2:$A1000&lt;=EOMONTH(DATEVALUE("1 "&amp;AA$1),0)))+
  SUMPRODUCT(('Form responses 1'!$G$2:$G1000=$A36)*('Form responses 1'!$A$2:$A1000&lt;=EOMONTH(DATEVALUE("1 "&amp;AA$1),0)))
),2),"-")</f>
        <v>1.33</v>
      </c>
      <c r="AB36" s="2">
        <f>IFERROR(ROUND(Data!$B36/(
  SUMPRODUCT(('Form responses 1'!$B$2:$B1000=$A36)*('Form responses 1'!$A$2:$A1000&lt;=EOMONTH(DATEVALUE("1 "&amp;AB$1),0)))+
  SUMPRODUCT(('Form responses 1'!$C$2:$C1000=$A36)*('Form responses 1'!$A$2:$A1000&lt;=EOMONTH(DATEVALUE("1 "&amp;AB$1),0)))+
  SUMPRODUCT(('Form responses 1'!$D$2:$D1000=$A36)*('Form responses 1'!$A$2:$A1000&lt;=EOMONTH(DATEVALUE("1 "&amp;AB$1),0)))+
  SUMPRODUCT(('Form responses 1'!$E$2:$E1000=$A36)*('Form responses 1'!$A$2:$A1000&lt;=EOMONTH(DATEVALUE("1 "&amp;AB$1),0)))+
  SUMPRODUCT(('Form responses 1'!$F$2:$F1000=$A36)*('Form responses 1'!$A$2:$A1000&lt;=EOMONTH(DATEVALUE("1 "&amp;AB$1),0)))+
  SUMPRODUCT(('Form responses 1'!$G$2:$G1000=$A36)*('Form responses 1'!$A$2:$A1000&lt;=EOMONTH(DATEVALUE("1 "&amp;AB$1),0)))
),2),"-")</f>
        <v>1.33</v>
      </c>
      <c r="AC36" s="2">
        <f>IFERROR(ROUND(Data!$B36/(
  SUMPRODUCT(('Form responses 1'!$B$2:$B1000=$A36)*('Form responses 1'!$A$2:$A1000&lt;=EOMONTH(DATEVALUE("1 "&amp;AC$1),0)))+
  SUMPRODUCT(('Form responses 1'!$C$2:$C1000=$A36)*('Form responses 1'!$A$2:$A1000&lt;=EOMONTH(DATEVALUE("1 "&amp;AC$1),0)))+
  SUMPRODUCT(('Form responses 1'!$D$2:$D1000=$A36)*('Form responses 1'!$A$2:$A1000&lt;=EOMONTH(DATEVALUE("1 "&amp;AC$1),0)))+
  SUMPRODUCT(('Form responses 1'!$E$2:$E1000=$A36)*('Form responses 1'!$A$2:$A1000&lt;=EOMONTH(DATEVALUE("1 "&amp;AC$1),0)))+
  SUMPRODUCT(('Form responses 1'!$F$2:$F1000=$A36)*('Form responses 1'!$A$2:$A1000&lt;=EOMONTH(DATEVALUE("1 "&amp;AC$1),0)))+
  SUMPRODUCT(('Form responses 1'!$G$2:$G1000=$A36)*('Form responses 1'!$A$2:$A1000&lt;=EOMONTH(DATEVALUE("1 "&amp;AC$1),0)))
),2),"-")</f>
        <v>1.33</v>
      </c>
      <c r="AD36" s="2" t="str">
        <f>IFERROR(ROUND(Data!$B36/(
  SUMPRODUCT(('Form responses 1'!$B$2:$B1000=$A36)*('Form responses 1'!$A$2:$A1000&lt;=EOMONTH(DATEVALUE("1 "&amp;AD$1),0)))+
  SUMPRODUCT(('Form responses 1'!$C$2:$C1000=$A36)*('Form responses 1'!$A$2:$A1000&lt;=EOMONTH(DATEVALUE("1 "&amp;AD$1),0)))+
  SUMPRODUCT(('Form responses 1'!$D$2:$D1000=$A36)*('Form responses 1'!$A$2:$A1000&lt;=EOMONTH(DATEVALUE("1 "&amp;AD$1),0)))+
  SUMPRODUCT(('Form responses 1'!$E$2:$E1000=$A36)*('Form responses 1'!$A$2:$A1000&lt;=EOMONTH(DATEVALUE("1 "&amp;AD$1),0)))+
  SUMPRODUCT(('Form responses 1'!$F$2:$F1000=$A36)*('Form responses 1'!$A$2:$A1000&lt;=EOMONTH(DATEVALUE("1 "&amp;AD$1),0)))+
  SUMPRODUCT(('Form responses 1'!$G$2:$G1000=$A36)*('Form responses 1'!$A$2:$A1000&lt;=EOMONTH(DATEVALUE("1 "&amp;AD$1),0)))
),2),"-")</f>
        <v>-</v>
      </c>
      <c r="AE36" s="2" t="str">
        <f>IFERROR(ROUND(Data!$B36/(
  SUMPRODUCT(('Form responses 1'!$B$2:$B1000=$A36)*('Form responses 1'!$A$2:$A1000&lt;=EOMONTH(DATEVALUE("1 "&amp;AE$1),0)))+
  SUMPRODUCT(('Form responses 1'!$C$2:$C1000=$A36)*('Form responses 1'!$A$2:$A1000&lt;=EOMONTH(DATEVALUE("1 "&amp;AE$1),0)))+
  SUMPRODUCT(('Form responses 1'!$D$2:$D1000=$A36)*('Form responses 1'!$A$2:$A1000&lt;=EOMONTH(DATEVALUE("1 "&amp;AE$1),0)))+
  SUMPRODUCT(('Form responses 1'!$E$2:$E1000=$A36)*('Form responses 1'!$A$2:$A1000&lt;=EOMONTH(DATEVALUE("1 "&amp;AE$1),0)))+
  SUMPRODUCT(('Form responses 1'!$F$2:$F1000=$A36)*('Form responses 1'!$A$2:$A1000&lt;=EOMONTH(DATEVALUE("1 "&amp;AE$1),0)))+
  SUMPRODUCT(('Form responses 1'!$G$2:$G1000=$A36)*('Form responses 1'!$A$2:$A1000&lt;=EOMONTH(DATEVALUE("1 "&amp;AE$1),0)))
),2),"-")</f>
        <v>-</v>
      </c>
      <c r="AF36" s="2" t="str">
        <f>IFERROR(ROUND(Data!$B36/(
  SUMPRODUCT(('Form responses 1'!$B$2:$B1000=$A36)*('Form responses 1'!$A$2:$A1000&lt;=EOMONTH(DATEVALUE("1 "&amp;AF$1),0)))+
  SUMPRODUCT(('Form responses 1'!$C$2:$C1000=$A36)*('Form responses 1'!$A$2:$A1000&lt;=EOMONTH(DATEVALUE("1 "&amp;AF$1),0)))+
  SUMPRODUCT(('Form responses 1'!$D$2:$D1000=$A36)*('Form responses 1'!$A$2:$A1000&lt;=EOMONTH(DATEVALUE("1 "&amp;AF$1),0)))+
  SUMPRODUCT(('Form responses 1'!$E$2:$E1000=$A36)*('Form responses 1'!$A$2:$A1000&lt;=EOMONTH(DATEVALUE("1 "&amp;AF$1),0)))+
  SUMPRODUCT(('Form responses 1'!$F$2:$F1000=$A36)*('Form responses 1'!$A$2:$A1000&lt;=EOMONTH(DATEVALUE("1 "&amp;AF$1),0)))+
  SUMPRODUCT(('Form responses 1'!$G$2:$G1000=$A36)*('Form responses 1'!$A$2:$A1000&lt;=EOMONTH(DATEVALUE("1 "&amp;AF$1),0)))
),2),"-")</f>
        <v>-</v>
      </c>
      <c r="AG36" s="2" t="str">
        <f>IFERROR(ROUND(Data!$B36/(
  SUMPRODUCT(('Form responses 1'!$B$2:$B1000=$A36)*('Form responses 1'!$A$2:$A1000&lt;=EOMONTH(DATEVALUE("1 "&amp;AG$1),0)))+
  SUMPRODUCT(('Form responses 1'!$C$2:$C1000=$A36)*('Form responses 1'!$A$2:$A1000&lt;=EOMONTH(DATEVALUE("1 "&amp;AG$1),0)))+
  SUMPRODUCT(('Form responses 1'!$D$2:$D1000=$A36)*('Form responses 1'!$A$2:$A1000&lt;=EOMONTH(DATEVALUE("1 "&amp;AG$1),0)))+
  SUMPRODUCT(('Form responses 1'!$E$2:$E1000=$A36)*('Form responses 1'!$A$2:$A1000&lt;=EOMONTH(DATEVALUE("1 "&amp;AG$1),0)))+
  SUMPRODUCT(('Form responses 1'!$F$2:$F1000=$A36)*('Form responses 1'!$A$2:$A1000&lt;=EOMONTH(DATEVALUE("1 "&amp;AG$1),0)))+
  SUMPRODUCT(('Form responses 1'!$G$2:$G1000=$A36)*('Form responses 1'!$A$2:$A1000&lt;=EOMONTH(DATEVALUE("1 "&amp;AG$1),0)))
),2),"-")</f>
        <v>-</v>
      </c>
      <c r="AH36" s="2" t="str">
        <f>IFERROR(ROUND(Data!$B36/(
  SUMPRODUCT(('Form responses 1'!$B$2:$B1000=$A36)*('Form responses 1'!$A$2:$A1000&lt;=EOMONTH(DATEVALUE("1 "&amp;AH$1),0)))+
  SUMPRODUCT(('Form responses 1'!$C$2:$C1000=$A36)*('Form responses 1'!$A$2:$A1000&lt;=EOMONTH(DATEVALUE("1 "&amp;AH$1),0)))+
  SUMPRODUCT(('Form responses 1'!$D$2:$D1000=$A36)*('Form responses 1'!$A$2:$A1000&lt;=EOMONTH(DATEVALUE("1 "&amp;AH$1),0)))+
  SUMPRODUCT(('Form responses 1'!$E$2:$E1000=$A36)*('Form responses 1'!$A$2:$A1000&lt;=EOMONTH(DATEVALUE("1 "&amp;AH$1),0)))+
  SUMPRODUCT(('Form responses 1'!$F$2:$F1000=$A36)*('Form responses 1'!$A$2:$A1000&lt;=EOMONTH(DATEVALUE("1 "&amp;AH$1),0)))+
  SUMPRODUCT(('Form responses 1'!$G$2:$G1000=$A36)*('Form responses 1'!$A$2:$A1000&lt;=EOMONTH(DATEVALUE("1 "&amp;AH$1),0)))
),2),"-")</f>
        <v>-</v>
      </c>
      <c r="AI36" s="2" t="str">
        <f>IFERROR(ROUND(Data!$B36/(
  SUMPRODUCT(('Form responses 1'!$B$2:$B1000=$A36)*('Form responses 1'!$A$2:$A1000&lt;=EOMONTH(DATEVALUE("1 "&amp;AI$1),0)))+
  SUMPRODUCT(('Form responses 1'!$C$2:$C1000=$A36)*('Form responses 1'!$A$2:$A1000&lt;=EOMONTH(DATEVALUE("1 "&amp;AI$1),0)))+
  SUMPRODUCT(('Form responses 1'!$D$2:$D1000=$A36)*('Form responses 1'!$A$2:$A1000&lt;=EOMONTH(DATEVALUE("1 "&amp;AI$1),0)))+
  SUMPRODUCT(('Form responses 1'!$E$2:$E1000=$A36)*('Form responses 1'!$A$2:$A1000&lt;=EOMONTH(DATEVALUE("1 "&amp;AI$1),0)))+
  SUMPRODUCT(('Form responses 1'!$F$2:$F1000=$A36)*('Form responses 1'!$A$2:$A1000&lt;=EOMONTH(DATEVALUE("1 "&amp;AI$1),0)))+
  SUMPRODUCT(('Form responses 1'!$G$2:$G1000=$A36)*('Form responses 1'!$A$2:$A1000&lt;=EOMONTH(DATEVALUE("1 "&amp;AI$1),0)))
),2),"-")</f>
        <v>-</v>
      </c>
      <c r="AJ36" s="2" t="str">
        <f>IFERROR(ROUND(Data!$B36/(
  SUMPRODUCT(('Form responses 1'!$B$2:$B1000=$A36)*('Form responses 1'!$A$2:$A1000&lt;=EOMONTH(DATEVALUE("1 "&amp;AJ$1),0)))+
  SUMPRODUCT(('Form responses 1'!$C$2:$C1000=$A36)*('Form responses 1'!$A$2:$A1000&lt;=EOMONTH(DATEVALUE("1 "&amp;AJ$1),0)))+
  SUMPRODUCT(('Form responses 1'!$D$2:$D1000=$A36)*('Form responses 1'!$A$2:$A1000&lt;=EOMONTH(DATEVALUE("1 "&amp;AJ$1),0)))+
  SUMPRODUCT(('Form responses 1'!$E$2:$E1000=$A36)*('Form responses 1'!$A$2:$A1000&lt;=EOMONTH(DATEVALUE("1 "&amp;AJ$1),0)))+
  SUMPRODUCT(('Form responses 1'!$F$2:$F1000=$A36)*('Form responses 1'!$A$2:$A1000&lt;=EOMONTH(DATEVALUE("1 "&amp;AJ$1),0)))+
  SUMPRODUCT(('Form responses 1'!$G$2:$G1000=$A36)*('Form responses 1'!$A$2:$A1000&lt;=EOMONTH(DATEVALUE("1 "&amp;AJ$1),0)))
),2),"-")</f>
        <v>-</v>
      </c>
      <c r="AK36" s="2" t="str">
        <f>IFERROR(ROUND(Data!$B36/(
  SUMPRODUCT(('Form responses 1'!$B$2:$B1000=$A36)*('Form responses 1'!$A$2:$A1000&lt;=EOMONTH(DATEVALUE("1 "&amp;AK$1),0)))+
  SUMPRODUCT(('Form responses 1'!$C$2:$C1000=$A36)*('Form responses 1'!$A$2:$A1000&lt;=EOMONTH(DATEVALUE("1 "&amp;AK$1),0)))+
  SUMPRODUCT(('Form responses 1'!$D$2:$D1000=$A36)*('Form responses 1'!$A$2:$A1000&lt;=EOMONTH(DATEVALUE("1 "&amp;AK$1),0)))+
  SUMPRODUCT(('Form responses 1'!$E$2:$E1000=$A36)*('Form responses 1'!$A$2:$A1000&lt;=EOMONTH(DATEVALUE("1 "&amp;AK$1),0)))+
  SUMPRODUCT(('Form responses 1'!$F$2:$F1000=$A36)*('Form responses 1'!$A$2:$A1000&lt;=EOMONTH(DATEVALUE("1 "&amp;AK$1),0)))+
  SUMPRODUCT(('Form responses 1'!$G$2:$G1000=$A36)*('Form responses 1'!$A$2:$A1000&lt;=EOMONTH(DATEVALUE("1 "&amp;AK$1),0)))
),2),"-")</f>
        <v>-</v>
      </c>
      <c r="AL36" s="2" t="str">
        <f>IFERROR(ROUND(Data!$B36/(
  SUMPRODUCT(('Form responses 1'!$B$2:$B1000=$A36)*('Form responses 1'!$A$2:$A1000&lt;=EOMONTH(DATEVALUE("1 "&amp;AL$1),0)))+
  SUMPRODUCT(('Form responses 1'!$C$2:$C1000=$A36)*('Form responses 1'!$A$2:$A1000&lt;=EOMONTH(DATEVALUE("1 "&amp;AL$1),0)))+
  SUMPRODUCT(('Form responses 1'!$D$2:$D1000=$A36)*('Form responses 1'!$A$2:$A1000&lt;=EOMONTH(DATEVALUE("1 "&amp;AL$1),0)))+
  SUMPRODUCT(('Form responses 1'!$E$2:$E1000=$A36)*('Form responses 1'!$A$2:$A1000&lt;=EOMONTH(DATEVALUE("1 "&amp;AL$1),0)))+
  SUMPRODUCT(('Form responses 1'!$F$2:$F1000=$A36)*('Form responses 1'!$A$2:$A1000&lt;=EOMONTH(DATEVALUE("1 "&amp;AL$1),0)))+
  SUMPRODUCT(('Form responses 1'!$G$2:$G1000=$A36)*('Form responses 1'!$A$2:$A1000&lt;=EOMONTH(DATEVALUE("1 "&amp;AL$1),0)))
),2),"-")</f>
        <v>-</v>
      </c>
    </row>
    <row r="37">
      <c r="A37" s="3" t="str">
        <f>IFERROR(__xludf.DUMMYFUNCTION("""COMPUTED_VALUE"""),"Groene trui strepen")</f>
        <v>Groene trui strepen</v>
      </c>
      <c r="B37" s="2">
        <f>Data!F35:F1000</f>
        <v>0.63</v>
      </c>
      <c r="C37" s="2">
        <f>IFERROR(ROUND(Data!B35/(SUMPRODUCT(('Form responses 1'!$B$2:$B1000 = A37) * ('Form responses 1'!$A$2:$A1000 &lt;= DATE(2024, 1, 31)))
+ SUMPRODUCT(('Form responses 1'!$C$2:$C1000 = A37) * ('Form responses 1'!$A$2:$A1000 &lt;= DATE(2024, 1, 31)))
+ SUMPRODUCT(('Form responses 1'!$D$2:$D1000 = A37) * ('Form responses 1'!$A$2:$A1000 &lt;= DATE(2024, 1, 31)))
+ SUMPRODUCT(('Form responses 1'!$E$2:$E1000 = A37) * ('Form responses 1'!$A$2:$A1000 &lt;= DATE(2024, 1, 31)))
+ SUMPRODUCT(('Form responses 1'!$F$2:$F1000 = A37) * ('Form responses 1'!$A$2:$A1000 &lt;= DATE(2024, 1, 31)))
+ SUMPRODUCT(('Form responses 1'!$G$2:$G1000 = A37) * ('Form responses 1'!$A$2:$A1000 &lt;= DATE(2024, 1, 31)))), 2), "-")
</f>
        <v>0.56</v>
      </c>
      <c r="D37" s="2">
        <f>IFERROR(ROUND(Data!B35/(SUMPRODUCT(('Form responses 1'!$B$2:$B1000 = A37) * ('Form responses 1'!$A$2:$A1000 &lt;= DATE(2024, 2, 29)))
+ SUMPRODUCT(('Form responses 1'!$C$2:$C1000 = A37) * ('Form responses 1'!$A$2:$A1000 &lt;= DATE(2024, 2, 29)))
+ SUMPRODUCT(('Form responses 1'!$D$2:$D1000 = A37) * ('Form responses 1'!$A$2:$A1000 &lt;= DATE(2024, 2, 29)))
+ SUMPRODUCT(('Form responses 1'!$E$2:$E1000 = A37) * ('Form responses 1'!$A$2:$A1000 &lt;= DATE(2024, 2, 29)))
+ SUMPRODUCT(('Form responses 1'!$F$2:$F1000 = A37) * ('Form responses 1'!$A$2:$A1000 &lt;= DATE(2024, 2, 29)))
+ SUMPRODUCT(('Form responses 1'!$G$2:$G1000 = A37) * ('Form responses 1'!$A$2:$A1000 &lt;= DATE(2024, 2, 29)))), 2), "-")
</f>
        <v>0.56</v>
      </c>
      <c r="E37" s="2">
        <f>IFERROR(ROUND(Data!B35/(SUMPRODUCT(('Form responses 1'!$B$2:$B1000 = A37) * ('Form responses 1'!$A$2:$A1000 &lt;= DATE(2024, 3, 31)))
+ SUMPRODUCT(('Form responses 1'!$C$2:$C1000 = A37) * ('Form responses 1'!$A$2:$A1000 &lt;= DATE(2024, 3, 31)))
+ SUMPRODUCT(('Form responses 1'!$D$2:$D1000 = A37) * ('Form responses 1'!$A$2:$A1000 &lt;= DATE(2024, 3, 31)))
+ SUMPRODUCT(('Form responses 1'!$E$2:$E1000 = A37) * ('Form responses 1'!$A$2:$A1000 &lt;= DATE(2024, 3, 31)))
+ SUMPRODUCT(('Form responses 1'!$F$2:$F1000 = A37) * ('Form responses 1'!$A$2:$A1000 &lt;= DATE(2024, 3, 31)))
+ SUMPRODUCT(('Form responses 1'!$G$2:$G1000 = A37) * ('Form responses 1'!$A$2:$A1000 &lt;= DATE(2024, 3, 31)))), 2), "-")
</f>
        <v>0.56</v>
      </c>
      <c r="F37" s="2">
        <f>IFERROR(ROUND(Data!B35/(SUMPRODUCT(('Form responses 1'!$B$2:$B1000 = A37) * ('Form responses 1'!$A$2:$A1000 &lt;= DATE(2024, 4, 30)))
+ SUMPRODUCT(('Form responses 1'!$C$2:$C1000 = A37) * ('Form responses 1'!$A$2:$A1000 &lt;= DATE(2024, 4, 30)))
+ SUMPRODUCT(('Form responses 1'!$D$2:$D1000 = A37) * ('Form responses 1'!$A$2:$A1000 &lt;= DATE(2024, 4, 30)))
+ SUMPRODUCT(('Form responses 1'!$E$2:$E1000 = A37) * ('Form responses 1'!$A$2:$A1000 &lt;= DATE(2024, 4, 30)))
+ SUMPRODUCT(('Form responses 1'!$F$2:$F1000 = A37) * ('Form responses 1'!$A$2:$A1000 &lt;= DATE(2024, 4, 30)))
+ SUMPRODUCT(('Form responses 1'!$G$2:$G1000 = A37) * ('Form responses 1'!$A$2:$A1000 &lt;= DATE(2024, 4, 30)))), 2), "-")
</f>
        <v>0.56</v>
      </c>
      <c r="G37" s="2">
        <f>IFERROR(ROUND(Data!B35/(SUMPRODUCT(('Form responses 1'!$B$2:$B1000 = A37) * ('Form responses 1'!$A$2:$A1000 &lt;= DATE(2024, 5, 31)))
+ SUMPRODUCT(('Form responses 1'!$C$2:$C1000 = A37) * ('Form responses 1'!$A$2:$A1000 &lt;= DATE(2024, 5, 31)))
+ SUMPRODUCT(('Form responses 1'!$D$2:$D1000 = A37) * ('Form responses 1'!$A$2:$A1000 &lt;= DATE(2024, 5, 31)))
+ SUMPRODUCT(('Form responses 1'!$E$2:$E1000 = A37) * ('Form responses 1'!$A$2:$A1000 &lt;= DATE(2024, 5, 31)))
+ SUMPRODUCT(('Form responses 1'!$F$2:$F1000 = A37) * ('Form responses 1'!$A$2:$A1000 &lt;= DATE(2024, 5, 31)))
+ SUMPRODUCT(('Form responses 1'!$G$2:$G1000 = A37) * ('Form responses 1'!$A$2:$A1000 &lt;= DATE(2024, 5, 31)))), 2), "-")
</f>
        <v>0.56</v>
      </c>
      <c r="H37" s="2">
        <f>IFERROR(ROUND(Data!B35/(SUMPRODUCT(('Form responses 1'!$B$2:$B1000 = A37) * ('Form responses 1'!$A$2:$A1000 &lt;= DATE(2024, 6, 30)))
+ SUMPRODUCT(('Form responses 1'!$C$2:$C1000 = A37) * ('Form responses 1'!$A$2:$A1000 &lt;= DATE(2024, 6, 30)))
+ SUMPRODUCT(('Form responses 1'!$D$2:$D1000 = A37) * ('Form responses 1'!$A$2:$A1000 &lt;= DATE(2024, 6, 30)))
+ SUMPRODUCT(('Form responses 1'!$E$2:$E1000 = A37) * ('Form responses 1'!$A$2:$A1000 &lt;= DATE(2024, 6, 30)))
+ SUMPRODUCT(('Form responses 1'!$F$2:$F1000 = A37) * ('Form responses 1'!$A$2:$A1000 &lt;= DATE(2024, 6, 30)))
+ SUMPRODUCT(('Form responses 1'!$G$2:$G1000 = A37) * ('Form responses 1'!$A$2:$A1000 &lt;= DATE(2024, 6, 30)))), 2), "-")
</f>
        <v>0.56</v>
      </c>
      <c r="I37" s="2">
        <f>IFERROR(ROUND(Data!B35/(SUMPRODUCT(('Form responses 1'!$B$2:$B1000 = A37) * ('Form responses 1'!$A$2:$A1000 &lt;= DATE(2024, 7, 31)))
+ SUMPRODUCT(('Form responses 1'!$C$2:$C1000 = A37) * ('Form responses 1'!$A$2:$A1000 &lt;= DATE(2024, 7, 31)))
+ SUMPRODUCT(('Form responses 1'!$D$2:$D1000 = A37) * ('Form responses 1'!$A$2:$A1000 &lt;= DATE(2024, 7, 31)))
+ SUMPRODUCT(('Form responses 1'!$E$2:$E1000 = A37) * ('Form responses 1'!$A$2:$A1000 &lt;= DATE(2024, 7, 31)))
+ SUMPRODUCT(('Form responses 1'!$F$2:$F1000 = A37) * ('Form responses 1'!$A$2:$A1000 &lt;= DATE(2024, 7, 31)))
+ SUMPRODUCT(('Form responses 1'!$G$2:$G1000 = A37) * ('Form responses 1'!$A$2:$A1000 &lt;= DATE(2024, 7, 31)))), 2), "-")
</f>
        <v>0.56</v>
      </c>
      <c r="J37" s="2">
        <f>IFERROR(ROUND(Data!B35/(SUMPRODUCT(('Form responses 1'!$B$2:$B1000 = A37) * ('Form responses 1'!$A$2:$A1000 &lt;= DATE(2024, 8, 31)))
+ SUMPRODUCT(('Form responses 1'!$C$2:$C1000 = A37) * ('Form responses 1'!$A$2:$A1000 &lt;= DATE(2024, 8, 31)))
+ SUMPRODUCT(('Form responses 1'!$D$2:$D1000 = A37) * ('Form responses 1'!$A$2:$A1000 &lt;= DATE(2024, 8, 31)))
+ SUMPRODUCT(('Form responses 1'!$E$2:$E1000 = A37) * ('Form responses 1'!$A$2:$A1000 &lt;= DATE(2024, 8, 31)))
+ SUMPRODUCT(('Form responses 1'!$F$2:$F1000 = A37) * ('Form responses 1'!$A$2:$A1000 &lt;= DATE(2024, 8, 31)))
+ SUMPRODUCT(('Form responses 1'!$G$2:$G1000 = A37) * ('Form responses 1'!$A$2:$A1000 &lt;= DATE(2024, 8, 31)))), 2), "-")
</f>
        <v>0.56</v>
      </c>
      <c r="K37" s="2">
        <f>IFERROR(ROUND(Data!B35/(SUMPRODUCT(('Form responses 1'!$B$2:$B1000 = A37) * ('Form responses 1'!$A$2:$A1000 &lt;= DATE(2024, 9, 30)))
+ SUMPRODUCT(('Form responses 1'!$C$2:$C1000 = A37) * ('Form responses 1'!$A$2:$A1000 &lt;= DATE(2024, 9, 30)))
+ SUMPRODUCT(('Form responses 1'!$D$2:$D1000 = A37) * ('Form responses 1'!$A$2:$A1000 &lt;= DATE(2024, 9, 30)))
+ SUMPRODUCT(('Form responses 1'!$E$2:$E1000 = A37) * ('Form responses 1'!$A$2:$A1000 &lt;= DATE(2024, 9, 30)))
+ SUMPRODUCT(('Form responses 1'!$F$2:$F1000 = A37) * ('Form responses 1'!$A$2:$A1000 &lt;= DATE(2024, 9, 30)))
+ SUMPRODUCT(('Form responses 1'!$G$2:$G1000 = A37) * ('Form responses 1'!$A$2:$A1000 &lt;= DATE(2024, 9, 30)))), 2), "-")
</f>
        <v>0.56</v>
      </c>
      <c r="L37" s="2">
        <f>IFERROR(ROUND(Data!B35/(SUMPRODUCT(('Form responses 1'!$B$2:$B1000 = A37) * ('Form responses 1'!$A$2:$A1000 &lt;= DATE(2024, 10, 31)))
+ SUMPRODUCT(('Form responses 1'!$C$2:$C1000 = A37) * ('Form responses 1'!$A$2:$A1000 &lt;= DATE(2024, 10, 31)))
+ SUMPRODUCT(('Form responses 1'!$D$2:$D1000 = A37) * ('Form responses 1'!$A$2:$A1000 &lt;= DATE(2024, 10, 31)))
+ SUMPRODUCT(('Form responses 1'!$E$2:$E1000 = A37) * ('Form responses 1'!$A$2:$A1000 &lt;= DATE(2024, 10, 31)))
+ SUMPRODUCT(('Form responses 1'!$F$2:$F1000 = A37) * ('Form responses 1'!$A$2:$A1000 &lt;= DATE(2024, 10, 31)))
+ SUMPRODUCT(('Form responses 1'!$G$2:$G1000 = A37) * ('Form responses 1'!$A$2:$A1000 &lt;= DATE(2024, 10, 31)))), 2), "-")
</f>
        <v>0.56</v>
      </c>
      <c r="M37" s="2">
        <f>IFERROR(ROUND(Data!B35/(SUMPRODUCT(('Form responses 1'!$B$2:$B1000 = A37) * ('Form responses 1'!$A$2:$A1000 &lt;= DATE(2024, 11, 30)))
+ SUMPRODUCT(('Form responses 1'!$C$2:$C1000 = A37) * ('Form responses 1'!$A$2:$A1000 &lt;= DATE(2024, 11, 30)))
+ SUMPRODUCT(('Form responses 1'!$D$2:$D1000 = A37) * ('Form responses 1'!$A$2:$A1000 &lt;= DATE(2024, 11, 30)))
+ SUMPRODUCT(('Form responses 1'!$E$2:$E1000 = A37) * ('Form responses 1'!$A$2:$A1000 &lt;= DATE(2024, 11, 30)))
+ SUMPRODUCT(('Form responses 1'!$F$2:$F1000 = A37) * ('Form responses 1'!$A$2:$A1000 &lt;= DATE(2024, 11, 30)))
+ SUMPRODUCT(('Form responses 1'!$G$2:$G1000 = A37) * ('Form responses 1'!$A$2:$A1000 &lt;= DATE(2024, 11, 30)))), 2), "-")
</f>
        <v>0.56</v>
      </c>
      <c r="N37" s="2">
        <f>IFERROR(ROUND(Data!B35/(SUMPRODUCT(('Form responses 1'!$B$2:$B1000 = A37) * ('Form responses 1'!$A$2:$A1000 &lt;= DATE(2024, 12, 31)))
+ SUMPRODUCT(('Form responses 1'!$C$2:$C1000 = A37) * ('Form responses 1'!$A$2:$A1000 &lt;= DATE(2024, 12, 31)))
+ SUMPRODUCT(('Form responses 1'!$D$2:$D1000 = A37) * ('Form responses 1'!$A$2:$A1000 &lt;= DATE(2024, 12, 31)))
+ SUMPRODUCT(('Form responses 1'!$E$2:$E1000 = A37) * ('Form responses 1'!$A$2:$A1000 &lt;= DATE(2024, 12, 31)))
+ SUMPRODUCT(('Form responses 1'!$F$2:$F1000 = A37) * ('Form responses 1'!$A$2:$A1000 &lt;= DATE(2024, 12, 31)))
+ SUMPRODUCT(('Form responses 1'!$G$2:$G1000 = A37) * ('Form responses 1'!$A$2:$A1000 &lt;= DATE(2024, 12, 31)))), 2), "-")
</f>
        <v>0.56</v>
      </c>
      <c r="O37" s="2">
        <f>IFERROR(ROUND(Data!B35/(SUMPRODUCT(('Form responses 1'!$B$2:$B1000 = A37) * ('Form responses 1'!$A$2:$A1000 &lt;= DATE(2025, 1, 31)))
+ SUMPRODUCT(('Form responses 1'!$C$2:$C1000 = A37) * ('Form responses 1'!$A$2:$A1000 &lt;= DATE(2025, 1, 31)))
+ SUMPRODUCT(('Form responses 1'!$D$2:$D1000 = A37) * ('Form responses 1'!$A$2:$A1000 &lt;= DATE(2025, 1, 31)))
+ SUMPRODUCT(('Form responses 1'!$E$2:$E1000 = A37) * ('Form responses 1'!$A$2:$A1000 &lt;= DATE(2025, 1, 31)))
+ SUMPRODUCT(('Form responses 1'!$F$2:$F1000 = A37) * ('Form responses 1'!$A$2:$A1000 &lt;= DATE(2025, 1, 31)))
+ SUMPRODUCT(('Form responses 1'!$G$2:$G1000 = A37) * ('Form responses 1'!$A$2:$A1000 &lt;= DATE(2025, 1, 31)))), 2), "-")
</f>
        <v>0.56</v>
      </c>
      <c r="P37" s="2">
        <f>IFERROR(ROUND(Data!B35/(SUMPRODUCT(('Form responses 1'!$B$2:$B1000 = A37) * ('Form responses 1'!$A$2:$A1000 &lt;= DATE(2025, 2, 28)))
+ SUMPRODUCT(('Form responses 1'!$C$2:$C1000 = A37) * ('Form responses 1'!$A$2:$A1000 &lt;= DATE(2025, 2, 28)))
+ SUMPRODUCT(('Form responses 1'!$D$2:$D1000 = A37) * ('Form responses 1'!$A$2:$A1000 &lt;= DATE(2025, 2, 28)))
+ SUMPRODUCT(('Form responses 1'!$E$2:$E1000 = A37) * ('Form responses 1'!$A$2:$A1000 &lt;= DATE(2025, 2, 28)))
+ SUMPRODUCT(('Form responses 1'!$F$2:$F1000 = A37) * ('Form responses 1'!$A$2:$A1000 &lt;= DATE(2025, 2, 28)))
+ SUMPRODUCT(('Form responses 1'!$G$2:$G1000 = A37) * ('Form responses 1'!$A$2:$A1000 &lt;= DATE(2025, 2, 28)))), 2), "-")
</f>
        <v>0.56</v>
      </c>
      <c r="Q37" s="2">
        <f>IFERROR(ROUND(Data!B35/(SUMPRODUCT(('Form responses 1'!$B$2:$B1000 = A37) * ('Form responses 1'!$A$2:$A1000 &lt;= DATE(2025, 3, 31)))
+ SUMPRODUCT(('Form responses 1'!$C$2:$C1000 = A37) * ('Form responses 1'!$A$2:$A1000 &lt;= DATE(2025, 3, 31)))
+ SUMPRODUCT(('Form responses 1'!$D$2:$D1000 = A37) * ('Form responses 1'!$A$2:$A1000 &lt;= DATE(2025, 3, 31)))
+ SUMPRODUCT(('Form responses 1'!$E$2:$E1000 = A37) * ('Form responses 1'!$A$2:$A1000 &lt;= DATE(2025, 3, 31)))
+ SUMPRODUCT(('Form responses 1'!$F$2:$F1000 = A37) * ('Form responses 1'!$A$2:$A1000 &lt;= DATE(2025, 3, 31)))
+ SUMPRODUCT(('Form responses 1'!$G$2:$G1000 = A37) * ('Form responses 1'!$A$2:$A1000 &lt;= DATE(2025, 3, 31)))),2),"-")</f>
        <v>0.56</v>
      </c>
      <c r="R37" s="2">
        <f>IFERROR(ROUND(Data!B35/(SUMPRODUCT(('Form responses 1'!$B$2:$B1000 = A37) * ('Form responses 1'!$A$2:$A1000 &lt;= DATE(2025, 4, 30)))
+ SUMPRODUCT(('Form responses 1'!$C$2:$C1000 = A37) * ('Form responses 1'!$A$2:$A1000 &lt;= DATE(2025, 4, 30)))
+ SUMPRODUCT(('Form responses 1'!$D$2:$D1000 = A37) * ('Form responses 1'!$A$2:$A1000 &lt;= DATE(2025, 4, 30)))
+ SUMPRODUCT(('Form responses 1'!$E$2:$E1000 = A37) * ('Form responses 1'!$A$2:$A1000 &lt;= DATE(2025, 4, 30)))
+ SUMPRODUCT(('Form responses 1'!$F$2:$F1000 = A37) * ('Form responses 1'!$A$2:$A1000 &lt;= DATE(2025, 4, 30)))
+ SUMPRODUCT(('Form responses 1'!$G$2:$G1000 = A37) * ('Form responses 1'!$A$2:$A1000 &lt;= DATE(2025, 4, 30)))), 2), "-")
</f>
        <v>0.56</v>
      </c>
      <c r="S37" s="2">
        <f>IFERROR(ROUND(Data!B35/(SUMPRODUCT(('Form responses 1'!$B$2:$B1000 = A37) * ('Form responses 1'!$A$2:$A1000 &lt;= DATE(2025, 5, 31)))
+ SUMPRODUCT(('Form responses 1'!$C$2:$C1000 = A37) * ('Form responses 1'!$A$2:$A1000 &lt;= DATE(2025, 5, 31)))
+ SUMPRODUCT(('Form responses 1'!$D$2:$D1000 = A37) * ('Form responses 1'!$A$2:$A1000 &lt;= DATE(2025, 5, 31)))
+ SUMPRODUCT(('Form responses 1'!$E$2:$E1000 = A37) * ('Form responses 1'!$A$2:$A1000 &lt;= DATE(2025, 5, 31)))
+ SUMPRODUCT(('Form responses 1'!$F$2:$F1000 = A37) * ('Form responses 1'!$A$2:$A1000 &lt;= DATE(2025, 5, 31)))
+ SUMPRODUCT(('Form responses 1'!$G$2:$G1000 = A37) * ('Form responses 1'!$A$2:$A1000 &lt;= DATE(2025, 5, 31)))), 2), "-")
</f>
        <v>0.56</v>
      </c>
      <c r="T37" s="2">
        <f>IFERROR(ROUND(Data!B35/(SUMPRODUCT(('Form responses 1'!$B$2:$B1000 = A37) * ('Form responses 1'!$A$2:$A1000 &lt;= DATE(2025, 6, 30)))
+ SUMPRODUCT(('Form responses 1'!$C$2:$C1000 = A37) * ('Form responses 1'!$A$2:$A1000 &lt;= DATE(2025, 6, 30)))
+ SUMPRODUCT(('Form responses 1'!$D$2:$D1000 = A37) * ('Form responses 1'!$A$2:$A1000 &lt;= DATE(2025, 6, 30)))
+ SUMPRODUCT(('Form responses 1'!$E$2:$E1000 = A37) * ('Form responses 1'!$A$2:$A1000 &lt;= DATE(2025, 6, 30)))
+ SUMPRODUCT(('Form responses 1'!$F$2:$F1000 = A37) * ('Form responses 1'!$A$2:$A1000 &lt;= DATE(2025, 6, 30)))
+ SUMPRODUCT(('Form responses 1'!$G$2:$G1000 = A37) * ('Form responses 1'!$A$2:$A1000 &lt;= DATE(2025, 6, 30)))), 2), "-")
</f>
        <v>0.56</v>
      </c>
      <c r="U37" s="2">
        <f>IFERROR(ROUND(Data!B35/(SUMPRODUCT(('Form responses 1'!$B$2:$B1000 = A37) * ('Form responses 1'!$A$2:$A1000 &lt;= DATE(2025, 7, 31)))
+ SUMPRODUCT(('Form responses 1'!$C$2:$C1000 = A37) * ('Form responses 1'!$A$2:$A1000 &lt;= DATE(2025, 7, 31)))
+ SUMPRODUCT(('Form responses 1'!$D$2:$D1000 = A37) * ('Form responses 1'!$A$2:$A1000 &lt;= DATE(2025, 7, 31)))
+ SUMPRODUCT(('Form responses 1'!$E$2:$E1000 = A37) * ('Form responses 1'!$A$2:$A1000 &lt;= DATE(2025, 7, 31)))
+ SUMPRODUCT(('Form responses 1'!$F$2:$F1000 = A37) * ('Form responses 1'!$A$2:$A1000 &lt;= DATE(2025, 7, 31)))
+ SUMPRODUCT(('Form responses 1'!$G$2:$G1000 = A37) * ('Form responses 1'!$A$2:$A1000 &lt;= DATE(2025, 7, 31)))), 2), "-")
</f>
        <v>0.56</v>
      </c>
      <c r="V37" s="2">
        <f>IFERROR(ROUND(Data!B35/(SUMPRODUCT(('Form responses 1'!$B$2:$B1000 = A37) * ('Form responses 1'!$A$2:$A1000 &lt;= DATE(2025, 8, 31)))
+ SUMPRODUCT(('Form responses 1'!$C$2:$C1000 = A37) * ('Form responses 1'!$A$2:$A1000 &lt;= DATE(2025, 8, 31)))
+ SUMPRODUCT(('Form responses 1'!$D$2:$D1000 = A37) * ('Form responses 1'!$A$2:$A1000 &lt;= DATE(2025, 8, 31)))
+ SUMPRODUCT(('Form responses 1'!$E$2:$E1000 = A37) * ('Form responses 1'!$A$2:$A1000 &lt;= DATE(2025, 8, 31)))
+ SUMPRODUCT(('Form responses 1'!$F$2:$F1000 = A37) * ('Form responses 1'!$A$2:$A1000 &lt;= DATE(2025, 8, 31)))
+ SUMPRODUCT(('Form responses 1'!$G$2:$G1000 = A37) * ('Form responses 1'!$A$2:$A1000 &lt;= DATE(2025, 8, 31)))), 2), "-")
</f>
        <v>0.56</v>
      </c>
      <c r="W37" s="2">
        <f>IFERROR(ROUND(Data!B35/(SUMPRODUCT(('Form responses 1'!$B$2:$B1000 = A37) * ('Form responses 1'!$A$2:$A1000 &lt;= DATE(2025, 9, 30)))
+ SUMPRODUCT(('Form responses 1'!$C$2:$C1000 = A37) * ('Form responses 1'!$A$2:$A1000 &lt;= DATE(2025, 9, 30)))
+ SUMPRODUCT(('Form responses 1'!$D$2:$D1000 = A37) * ('Form responses 1'!$A$2:$A1000 &lt;= DATE(2025, 9, 30)))
+ SUMPRODUCT(('Form responses 1'!$E$2:$E1000 = A37) * ('Form responses 1'!$A$2:$A1000 &lt;= DATE(2025, 9, 30)))
+ SUMPRODUCT(('Form responses 1'!$F$2:$F1000 = A37) * ('Form responses 1'!$A$2:$A1000 &lt;= DATE(2025, 9, 30)))
+ SUMPRODUCT(('Form responses 1'!$G$2:$G1000 = A37) * ('Form responses 1'!$A$2:$A1000 &lt;= DATE(2025, 9, 30)))), 2), "-")
</f>
        <v>0.56</v>
      </c>
      <c r="X37" s="2">
        <f>IFERROR(ROUND(Data!B35/(SUMPRODUCT(('Form responses 1'!$B$2:$B1000 = A37) * ('Form responses 1'!$A$2:$A1000 &lt;= DATE(2025, 10, 31)))
+ SUMPRODUCT(('Form responses 1'!$C$2:$C1000 = A37) * ('Form responses 1'!$A$2:$A1000 &lt;= DATE(2025, 10, 31)))
+ SUMPRODUCT(('Form responses 1'!$D$2:$D1000 = A37) * ('Form responses 1'!$A$2:$A1000 &lt;= DATE(2025, 10, 31)))
+ SUMPRODUCT(('Form responses 1'!$E$2:$E1000 = A37) * ('Form responses 1'!$A$2:$A1000 &lt;= DATE(2025, 10, 31)))
+ SUMPRODUCT(('Form responses 1'!$F$2:$F1000 = A37) * ('Form responses 1'!$A$2:$A1000 &lt;= DATE(2025, 10, 31)))
+ SUMPRODUCT(('Form responses 1'!$G$2:$G1000 = A37) * ('Form responses 1'!$A$2:$A1000 &lt;= DATE(2025, 10, 31)))), 2), "-")
</f>
        <v>0.56</v>
      </c>
      <c r="Y37" s="2">
        <f>IFERROR(ROUND(Data!B35/(SUMPRODUCT(('Form responses 1'!$B$2:$B1000 = A37) * ('Form responses 1'!$A$2:$A1000 &lt;= DATE(2025, 11, 30)))
+ SUMPRODUCT(('Form responses 1'!$C$2:$C1000 = A37) * ('Form responses 1'!$A$2:$A1000 &lt;= DATE(2025, 11, 30)))
+ SUMPRODUCT(('Form responses 1'!$D$2:$D1000 = A37) * ('Form responses 1'!$A$2:$A1000 &lt;= DATE(2025, 11, 30)))
+ SUMPRODUCT(('Form responses 1'!$E$2:$E1000 = A37) * ('Form responses 1'!$A$2:$A1000 &lt;= DATE(2025, 11, 30)))
+ SUMPRODUCT(('Form responses 1'!$F$2:$F1000 = A37) * ('Form responses 1'!$A$2:$A1000 &lt;= DATE(2025, 11, 30)))
+ SUMPRODUCT(('Form responses 1'!$G$2:$G1000 = A37) * ('Form responses 1'!$A$2:$A1000 &lt;= DATE(2025, 11, 30)))), 2), "-")
</f>
        <v>0.56</v>
      </c>
      <c r="Z37" s="2">
        <f>IFERROR(ROUND(Data!B35/(SUMPRODUCT(('Form responses 1'!$B$2:$B1000 = A37) * ('Form responses 1'!$A$2:$A1000 &lt;= DATE(2025, 12, 31)))
+ SUMPRODUCT(('Form responses 1'!$C$2:$C1000 = A37) * ('Form responses 1'!$A$2:$A1000 &lt;= DATE(2025, 12, 31)))
+ SUMPRODUCT(('Form responses 1'!$D$2:$D1000 = A37) * ('Form responses 1'!$A$2:$A1000 &lt;= DATE(2025, 12, 31)))
+ SUMPRODUCT(('Form responses 1'!$E$2:$E1000 = A37) * ('Form responses 1'!$A$2:$A1000 &lt;= DATE(2025, 12, 31)))
+ SUMPRODUCT(('Form responses 1'!$F$2:$F1000 = A37) * ('Form responses 1'!$A$2:$A1000 &lt;= DATE(2025, 12, 31)))
+ SUMPRODUCT(('Form responses 1'!$G$2:$G1000 = A37) * ('Form responses 1'!$A$2:$A1000 &lt;= DATE(2025, 12, 31)))), 2), "-")
</f>
        <v>0.56</v>
      </c>
      <c r="AA37" s="2">
        <f>IFERROR(ROUND(Data!$B37/(
  SUMPRODUCT(('Form responses 1'!$B$2:$B1000=$A37)*('Form responses 1'!$A$2:$A1000&lt;=EOMONTH(DATEVALUE("1 "&amp;AA$1),0)))+
  SUMPRODUCT(('Form responses 1'!$C$2:$C1000=$A37)*('Form responses 1'!$A$2:$A1000&lt;=EOMONTH(DATEVALUE("1 "&amp;AA$1),0)))+
  SUMPRODUCT(('Form responses 1'!$D$2:$D1000=$A37)*('Form responses 1'!$A$2:$A1000&lt;=EOMONTH(DATEVALUE("1 "&amp;AA$1),0)))+
  SUMPRODUCT(('Form responses 1'!$E$2:$E1000=$A37)*('Form responses 1'!$A$2:$A1000&lt;=EOMONTH(DATEVALUE("1 "&amp;AA$1),0)))+
  SUMPRODUCT(('Form responses 1'!$F$2:$F1000=$A37)*('Form responses 1'!$A$2:$A1000&lt;=EOMONTH(DATEVALUE("1 "&amp;AA$1),0)))+
  SUMPRODUCT(('Form responses 1'!$G$2:$G1000=$A37)*('Form responses 1'!$A$2:$A1000&lt;=EOMONTH(DATEVALUE("1 "&amp;AA$1),0)))
),2),"-")</f>
        <v>0.63</v>
      </c>
      <c r="AB37" s="2">
        <f>IFERROR(ROUND(Data!$B37/(
  SUMPRODUCT(('Form responses 1'!$B$2:$B1000=$A37)*('Form responses 1'!$A$2:$A1000&lt;=EOMONTH(DATEVALUE("1 "&amp;AB$1),0)))+
  SUMPRODUCT(('Form responses 1'!$C$2:$C1000=$A37)*('Form responses 1'!$A$2:$A1000&lt;=EOMONTH(DATEVALUE("1 "&amp;AB$1),0)))+
  SUMPRODUCT(('Form responses 1'!$D$2:$D1000=$A37)*('Form responses 1'!$A$2:$A1000&lt;=EOMONTH(DATEVALUE("1 "&amp;AB$1),0)))+
  SUMPRODUCT(('Form responses 1'!$E$2:$E1000=$A37)*('Form responses 1'!$A$2:$A1000&lt;=EOMONTH(DATEVALUE("1 "&amp;AB$1),0)))+
  SUMPRODUCT(('Form responses 1'!$F$2:$F1000=$A37)*('Form responses 1'!$A$2:$A1000&lt;=EOMONTH(DATEVALUE("1 "&amp;AB$1),0)))+
  SUMPRODUCT(('Form responses 1'!$G$2:$G1000=$A37)*('Form responses 1'!$A$2:$A1000&lt;=EOMONTH(DATEVALUE("1 "&amp;AB$1),0)))
),2),"-")</f>
        <v>0.63</v>
      </c>
      <c r="AC37" s="2">
        <f>IFERROR(ROUND(Data!$B37/(
  SUMPRODUCT(('Form responses 1'!$B$2:$B1000=$A37)*('Form responses 1'!$A$2:$A1000&lt;=EOMONTH(DATEVALUE("1 "&amp;AC$1),0)))+
  SUMPRODUCT(('Form responses 1'!$C$2:$C1000=$A37)*('Form responses 1'!$A$2:$A1000&lt;=EOMONTH(DATEVALUE("1 "&amp;AC$1),0)))+
  SUMPRODUCT(('Form responses 1'!$D$2:$D1000=$A37)*('Form responses 1'!$A$2:$A1000&lt;=EOMONTH(DATEVALUE("1 "&amp;AC$1),0)))+
  SUMPRODUCT(('Form responses 1'!$E$2:$E1000=$A37)*('Form responses 1'!$A$2:$A1000&lt;=EOMONTH(DATEVALUE("1 "&amp;AC$1),0)))+
  SUMPRODUCT(('Form responses 1'!$F$2:$F1000=$A37)*('Form responses 1'!$A$2:$A1000&lt;=EOMONTH(DATEVALUE("1 "&amp;AC$1),0)))+
  SUMPRODUCT(('Form responses 1'!$G$2:$G1000=$A37)*('Form responses 1'!$A$2:$A1000&lt;=EOMONTH(DATEVALUE("1 "&amp;AC$1),0)))
),2),"-")</f>
        <v>0.63</v>
      </c>
      <c r="AD37" s="2" t="str">
        <f>IFERROR(ROUND(Data!$B37/(
  SUMPRODUCT(('Form responses 1'!$B$2:$B1000=$A37)*('Form responses 1'!$A$2:$A1000&lt;=EOMONTH(DATEVALUE("1 "&amp;AD$1),0)))+
  SUMPRODUCT(('Form responses 1'!$C$2:$C1000=$A37)*('Form responses 1'!$A$2:$A1000&lt;=EOMONTH(DATEVALUE("1 "&amp;AD$1),0)))+
  SUMPRODUCT(('Form responses 1'!$D$2:$D1000=$A37)*('Form responses 1'!$A$2:$A1000&lt;=EOMONTH(DATEVALUE("1 "&amp;AD$1),0)))+
  SUMPRODUCT(('Form responses 1'!$E$2:$E1000=$A37)*('Form responses 1'!$A$2:$A1000&lt;=EOMONTH(DATEVALUE("1 "&amp;AD$1),0)))+
  SUMPRODUCT(('Form responses 1'!$F$2:$F1000=$A37)*('Form responses 1'!$A$2:$A1000&lt;=EOMONTH(DATEVALUE("1 "&amp;AD$1),0)))+
  SUMPRODUCT(('Form responses 1'!$G$2:$G1000=$A37)*('Form responses 1'!$A$2:$A1000&lt;=EOMONTH(DATEVALUE("1 "&amp;AD$1),0)))
),2),"-")</f>
        <v>-</v>
      </c>
      <c r="AE37" s="2" t="str">
        <f>IFERROR(ROUND(Data!$B37/(
  SUMPRODUCT(('Form responses 1'!$B$2:$B1000=$A37)*('Form responses 1'!$A$2:$A1000&lt;=EOMONTH(DATEVALUE("1 "&amp;AE$1),0)))+
  SUMPRODUCT(('Form responses 1'!$C$2:$C1000=$A37)*('Form responses 1'!$A$2:$A1000&lt;=EOMONTH(DATEVALUE("1 "&amp;AE$1),0)))+
  SUMPRODUCT(('Form responses 1'!$D$2:$D1000=$A37)*('Form responses 1'!$A$2:$A1000&lt;=EOMONTH(DATEVALUE("1 "&amp;AE$1),0)))+
  SUMPRODUCT(('Form responses 1'!$E$2:$E1000=$A37)*('Form responses 1'!$A$2:$A1000&lt;=EOMONTH(DATEVALUE("1 "&amp;AE$1),0)))+
  SUMPRODUCT(('Form responses 1'!$F$2:$F1000=$A37)*('Form responses 1'!$A$2:$A1000&lt;=EOMONTH(DATEVALUE("1 "&amp;AE$1),0)))+
  SUMPRODUCT(('Form responses 1'!$G$2:$G1000=$A37)*('Form responses 1'!$A$2:$A1000&lt;=EOMONTH(DATEVALUE("1 "&amp;AE$1),0)))
),2),"-")</f>
        <v>-</v>
      </c>
      <c r="AF37" s="2" t="str">
        <f>IFERROR(ROUND(Data!$B37/(
  SUMPRODUCT(('Form responses 1'!$B$2:$B1000=$A37)*('Form responses 1'!$A$2:$A1000&lt;=EOMONTH(DATEVALUE("1 "&amp;AF$1),0)))+
  SUMPRODUCT(('Form responses 1'!$C$2:$C1000=$A37)*('Form responses 1'!$A$2:$A1000&lt;=EOMONTH(DATEVALUE("1 "&amp;AF$1),0)))+
  SUMPRODUCT(('Form responses 1'!$D$2:$D1000=$A37)*('Form responses 1'!$A$2:$A1000&lt;=EOMONTH(DATEVALUE("1 "&amp;AF$1),0)))+
  SUMPRODUCT(('Form responses 1'!$E$2:$E1000=$A37)*('Form responses 1'!$A$2:$A1000&lt;=EOMONTH(DATEVALUE("1 "&amp;AF$1),0)))+
  SUMPRODUCT(('Form responses 1'!$F$2:$F1000=$A37)*('Form responses 1'!$A$2:$A1000&lt;=EOMONTH(DATEVALUE("1 "&amp;AF$1),0)))+
  SUMPRODUCT(('Form responses 1'!$G$2:$G1000=$A37)*('Form responses 1'!$A$2:$A1000&lt;=EOMONTH(DATEVALUE("1 "&amp;AF$1),0)))
),2),"-")</f>
        <v>-</v>
      </c>
      <c r="AG37" s="2" t="str">
        <f>IFERROR(ROUND(Data!$B37/(
  SUMPRODUCT(('Form responses 1'!$B$2:$B1000=$A37)*('Form responses 1'!$A$2:$A1000&lt;=EOMONTH(DATEVALUE("1 "&amp;AG$1),0)))+
  SUMPRODUCT(('Form responses 1'!$C$2:$C1000=$A37)*('Form responses 1'!$A$2:$A1000&lt;=EOMONTH(DATEVALUE("1 "&amp;AG$1),0)))+
  SUMPRODUCT(('Form responses 1'!$D$2:$D1000=$A37)*('Form responses 1'!$A$2:$A1000&lt;=EOMONTH(DATEVALUE("1 "&amp;AG$1),0)))+
  SUMPRODUCT(('Form responses 1'!$E$2:$E1000=$A37)*('Form responses 1'!$A$2:$A1000&lt;=EOMONTH(DATEVALUE("1 "&amp;AG$1),0)))+
  SUMPRODUCT(('Form responses 1'!$F$2:$F1000=$A37)*('Form responses 1'!$A$2:$A1000&lt;=EOMONTH(DATEVALUE("1 "&amp;AG$1),0)))+
  SUMPRODUCT(('Form responses 1'!$G$2:$G1000=$A37)*('Form responses 1'!$A$2:$A1000&lt;=EOMONTH(DATEVALUE("1 "&amp;AG$1),0)))
),2),"-")</f>
        <v>-</v>
      </c>
      <c r="AH37" s="2" t="str">
        <f>IFERROR(ROUND(Data!$B37/(
  SUMPRODUCT(('Form responses 1'!$B$2:$B1000=$A37)*('Form responses 1'!$A$2:$A1000&lt;=EOMONTH(DATEVALUE("1 "&amp;AH$1),0)))+
  SUMPRODUCT(('Form responses 1'!$C$2:$C1000=$A37)*('Form responses 1'!$A$2:$A1000&lt;=EOMONTH(DATEVALUE("1 "&amp;AH$1),0)))+
  SUMPRODUCT(('Form responses 1'!$D$2:$D1000=$A37)*('Form responses 1'!$A$2:$A1000&lt;=EOMONTH(DATEVALUE("1 "&amp;AH$1),0)))+
  SUMPRODUCT(('Form responses 1'!$E$2:$E1000=$A37)*('Form responses 1'!$A$2:$A1000&lt;=EOMONTH(DATEVALUE("1 "&amp;AH$1),0)))+
  SUMPRODUCT(('Form responses 1'!$F$2:$F1000=$A37)*('Form responses 1'!$A$2:$A1000&lt;=EOMONTH(DATEVALUE("1 "&amp;AH$1),0)))+
  SUMPRODUCT(('Form responses 1'!$G$2:$G1000=$A37)*('Form responses 1'!$A$2:$A1000&lt;=EOMONTH(DATEVALUE("1 "&amp;AH$1),0)))
),2),"-")</f>
        <v>-</v>
      </c>
      <c r="AI37" s="2" t="str">
        <f>IFERROR(ROUND(Data!$B37/(
  SUMPRODUCT(('Form responses 1'!$B$2:$B1000=$A37)*('Form responses 1'!$A$2:$A1000&lt;=EOMONTH(DATEVALUE("1 "&amp;AI$1),0)))+
  SUMPRODUCT(('Form responses 1'!$C$2:$C1000=$A37)*('Form responses 1'!$A$2:$A1000&lt;=EOMONTH(DATEVALUE("1 "&amp;AI$1),0)))+
  SUMPRODUCT(('Form responses 1'!$D$2:$D1000=$A37)*('Form responses 1'!$A$2:$A1000&lt;=EOMONTH(DATEVALUE("1 "&amp;AI$1),0)))+
  SUMPRODUCT(('Form responses 1'!$E$2:$E1000=$A37)*('Form responses 1'!$A$2:$A1000&lt;=EOMONTH(DATEVALUE("1 "&amp;AI$1),0)))+
  SUMPRODUCT(('Form responses 1'!$F$2:$F1000=$A37)*('Form responses 1'!$A$2:$A1000&lt;=EOMONTH(DATEVALUE("1 "&amp;AI$1),0)))+
  SUMPRODUCT(('Form responses 1'!$G$2:$G1000=$A37)*('Form responses 1'!$A$2:$A1000&lt;=EOMONTH(DATEVALUE("1 "&amp;AI$1),0)))
),2),"-")</f>
        <v>-</v>
      </c>
      <c r="AJ37" s="2" t="str">
        <f>IFERROR(ROUND(Data!$B37/(
  SUMPRODUCT(('Form responses 1'!$B$2:$B1000=$A37)*('Form responses 1'!$A$2:$A1000&lt;=EOMONTH(DATEVALUE("1 "&amp;AJ$1),0)))+
  SUMPRODUCT(('Form responses 1'!$C$2:$C1000=$A37)*('Form responses 1'!$A$2:$A1000&lt;=EOMONTH(DATEVALUE("1 "&amp;AJ$1),0)))+
  SUMPRODUCT(('Form responses 1'!$D$2:$D1000=$A37)*('Form responses 1'!$A$2:$A1000&lt;=EOMONTH(DATEVALUE("1 "&amp;AJ$1),0)))+
  SUMPRODUCT(('Form responses 1'!$E$2:$E1000=$A37)*('Form responses 1'!$A$2:$A1000&lt;=EOMONTH(DATEVALUE("1 "&amp;AJ$1),0)))+
  SUMPRODUCT(('Form responses 1'!$F$2:$F1000=$A37)*('Form responses 1'!$A$2:$A1000&lt;=EOMONTH(DATEVALUE("1 "&amp;AJ$1),0)))+
  SUMPRODUCT(('Form responses 1'!$G$2:$G1000=$A37)*('Form responses 1'!$A$2:$A1000&lt;=EOMONTH(DATEVALUE("1 "&amp;AJ$1),0)))
),2),"-")</f>
        <v>-</v>
      </c>
      <c r="AK37" s="2" t="str">
        <f>IFERROR(ROUND(Data!$B37/(
  SUMPRODUCT(('Form responses 1'!$B$2:$B1000=$A37)*('Form responses 1'!$A$2:$A1000&lt;=EOMONTH(DATEVALUE("1 "&amp;AK$1),0)))+
  SUMPRODUCT(('Form responses 1'!$C$2:$C1000=$A37)*('Form responses 1'!$A$2:$A1000&lt;=EOMONTH(DATEVALUE("1 "&amp;AK$1),0)))+
  SUMPRODUCT(('Form responses 1'!$D$2:$D1000=$A37)*('Form responses 1'!$A$2:$A1000&lt;=EOMONTH(DATEVALUE("1 "&amp;AK$1),0)))+
  SUMPRODUCT(('Form responses 1'!$E$2:$E1000=$A37)*('Form responses 1'!$A$2:$A1000&lt;=EOMONTH(DATEVALUE("1 "&amp;AK$1),0)))+
  SUMPRODUCT(('Form responses 1'!$F$2:$F1000=$A37)*('Form responses 1'!$A$2:$A1000&lt;=EOMONTH(DATEVALUE("1 "&amp;AK$1),0)))+
  SUMPRODUCT(('Form responses 1'!$G$2:$G1000=$A37)*('Form responses 1'!$A$2:$A1000&lt;=EOMONTH(DATEVALUE("1 "&amp;AK$1),0)))
),2),"-")</f>
        <v>-</v>
      </c>
      <c r="AL37" s="2" t="str">
        <f>IFERROR(ROUND(Data!$B37/(
  SUMPRODUCT(('Form responses 1'!$B$2:$B1000=$A37)*('Form responses 1'!$A$2:$A1000&lt;=EOMONTH(DATEVALUE("1 "&amp;AL$1),0)))+
  SUMPRODUCT(('Form responses 1'!$C$2:$C1000=$A37)*('Form responses 1'!$A$2:$A1000&lt;=EOMONTH(DATEVALUE("1 "&amp;AL$1),0)))+
  SUMPRODUCT(('Form responses 1'!$D$2:$D1000=$A37)*('Form responses 1'!$A$2:$A1000&lt;=EOMONTH(DATEVALUE("1 "&amp;AL$1),0)))+
  SUMPRODUCT(('Form responses 1'!$E$2:$E1000=$A37)*('Form responses 1'!$A$2:$A1000&lt;=EOMONTH(DATEVALUE("1 "&amp;AL$1),0)))+
  SUMPRODUCT(('Form responses 1'!$F$2:$F1000=$A37)*('Form responses 1'!$A$2:$A1000&lt;=EOMONTH(DATEVALUE("1 "&amp;AL$1),0)))+
  SUMPRODUCT(('Form responses 1'!$G$2:$G1000=$A37)*('Form responses 1'!$A$2:$A1000&lt;=EOMONTH(DATEVALUE("1 "&amp;AL$1),0)))
),2),"-")</f>
        <v>-</v>
      </c>
    </row>
    <row r="38">
      <c r="A38" s="3" t="str">
        <f>IFERROR(__xludf.DUMMYFUNCTION("""COMPUTED_VALUE"""),"Groene superdry trui")</f>
        <v>Groene superdry trui</v>
      </c>
      <c r="B38" s="2">
        <f>Data!F36:F1000</f>
        <v>0.79</v>
      </c>
      <c r="C38" s="2">
        <f>IFERROR(ROUND(Data!B36/(SUMPRODUCT(('Form responses 1'!$B$2:$B1000 = A38) * ('Form responses 1'!$A$2:$A1000 &lt;= DATE(2024, 1, 31)))
+ SUMPRODUCT(('Form responses 1'!$C$2:$C1000 = A38) * ('Form responses 1'!$A$2:$A1000 &lt;= DATE(2024, 1, 31)))
+ SUMPRODUCT(('Form responses 1'!$D$2:$D1000 = A38) * ('Form responses 1'!$A$2:$A1000 &lt;= DATE(2024, 1, 31)))
+ SUMPRODUCT(('Form responses 1'!$E$2:$E1000 = A38) * ('Form responses 1'!$A$2:$A1000 &lt;= DATE(2024, 1, 31)))
+ SUMPRODUCT(('Form responses 1'!$F$2:$F1000 = A38) * ('Form responses 1'!$A$2:$A1000 &lt;= DATE(2024, 1, 31)))
+ SUMPRODUCT(('Form responses 1'!$G$2:$G1000 = A38) * ('Form responses 1'!$A$2:$A1000 &lt;= DATE(2024, 1, 31)))), 2), "-")
</f>
        <v>3.64</v>
      </c>
      <c r="D38" s="2">
        <f>IFERROR(ROUND(Data!B36/(SUMPRODUCT(('Form responses 1'!$B$2:$B1000 = A38) * ('Form responses 1'!$A$2:$A1000 &lt;= DATE(2024, 2, 29)))
+ SUMPRODUCT(('Form responses 1'!$C$2:$C1000 = A38) * ('Form responses 1'!$A$2:$A1000 &lt;= DATE(2024, 2, 29)))
+ SUMPRODUCT(('Form responses 1'!$D$2:$D1000 = A38) * ('Form responses 1'!$A$2:$A1000 &lt;= DATE(2024, 2, 29)))
+ SUMPRODUCT(('Form responses 1'!$E$2:$E1000 = A38) * ('Form responses 1'!$A$2:$A1000 &lt;= DATE(2024, 2, 29)))
+ SUMPRODUCT(('Form responses 1'!$F$2:$F1000 = A38) * ('Form responses 1'!$A$2:$A1000 &lt;= DATE(2024, 2, 29)))
+ SUMPRODUCT(('Form responses 1'!$G$2:$G1000 = A38) * ('Form responses 1'!$A$2:$A1000 &lt;= DATE(2024, 2, 29)))), 2), "-")
</f>
        <v>3.64</v>
      </c>
      <c r="E38" s="2">
        <f>IFERROR(ROUND(Data!B36/(SUMPRODUCT(('Form responses 1'!$B$2:$B1000 = A38) * ('Form responses 1'!$A$2:$A1000 &lt;= DATE(2024, 3, 31)))
+ SUMPRODUCT(('Form responses 1'!$C$2:$C1000 = A38) * ('Form responses 1'!$A$2:$A1000 &lt;= DATE(2024, 3, 31)))
+ SUMPRODUCT(('Form responses 1'!$D$2:$D1000 = A38) * ('Form responses 1'!$A$2:$A1000 &lt;= DATE(2024, 3, 31)))
+ SUMPRODUCT(('Form responses 1'!$E$2:$E1000 = A38) * ('Form responses 1'!$A$2:$A1000 &lt;= DATE(2024, 3, 31)))
+ SUMPRODUCT(('Form responses 1'!$F$2:$F1000 = A38) * ('Form responses 1'!$A$2:$A1000 &lt;= DATE(2024, 3, 31)))
+ SUMPRODUCT(('Form responses 1'!$G$2:$G1000 = A38) * ('Form responses 1'!$A$2:$A1000 &lt;= DATE(2024, 3, 31)))), 2), "-")
</f>
        <v>2.86</v>
      </c>
      <c r="F38" s="2">
        <f>IFERROR(ROUND(Data!B36/(SUMPRODUCT(('Form responses 1'!$B$2:$B1000 = A38) * ('Form responses 1'!$A$2:$A1000 &lt;= DATE(2024, 4, 30)))
+ SUMPRODUCT(('Form responses 1'!$C$2:$C1000 = A38) * ('Form responses 1'!$A$2:$A1000 &lt;= DATE(2024, 4, 30)))
+ SUMPRODUCT(('Form responses 1'!$D$2:$D1000 = A38) * ('Form responses 1'!$A$2:$A1000 &lt;= DATE(2024, 4, 30)))
+ SUMPRODUCT(('Form responses 1'!$E$2:$E1000 = A38) * ('Form responses 1'!$A$2:$A1000 &lt;= DATE(2024, 4, 30)))
+ SUMPRODUCT(('Form responses 1'!$F$2:$F1000 = A38) * ('Form responses 1'!$A$2:$A1000 &lt;= DATE(2024, 4, 30)))
+ SUMPRODUCT(('Form responses 1'!$G$2:$G1000 = A38) * ('Form responses 1'!$A$2:$A1000 &lt;= DATE(2024, 4, 30)))), 2), "-")
</f>
        <v>2.67</v>
      </c>
      <c r="G38" s="2">
        <f>IFERROR(ROUND(Data!B36/(SUMPRODUCT(('Form responses 1'!$B$2:$B1000 = A38) * ('Form responses 1'!$A$2:$A1000 &lt;= DATE(2024, 5, 31)))
+ SUMPRODUCT(('Form responses 1'!$C$2:$C1000 = A38) * ('Form responses 1'!$A$2:$A1000 &lt;= DATE(2024, 5, 31)))
+ SUMPRODUCT(('Form responses 1'!$D$2:$D1000 = A38) * ('Form responses 1'!$A$2:$A1000 &lt;= DATE(2024, 5, 31)))
+ SUMPRODUCT(('Form responses 1'!$E$2:$E1000 = A38) * ('Form responses 1'!$A$2:$A1000 &lt;= DATE(2024, 5, 31)))
+ SUMPRODUCT(('Form responses 1'!$F$2:$F1000 = A38) * ('Form responses 1'!$A$2:$A1000 &lt;= DATE(2024, 5, 31)))
+ SUMPRODUCT(('Form responses 1'!$G$2:$G1000 = A38) * ('Form responses 1'!$A$2:$A1000 &lt;= DATE(2024, 5, 31)))), 2), "-")
</f>
        <v>2.67</v>
      </c>
      <c r="H38" s="2">
        <f>IFERROR(ROUND(Data!B36/(SUMPRODUCT(('Form responses 1'!$B$2:$B1000 = A38) * ('Form responses 1'!$A$2:$A1000 &lt;= DATE(2024, 6, 30)))
+ SUMPRODUCT(('Form responses 1'!$C$2:$C1000 = A38) * ('Form responses 1'!$A$2:$A1000 &lt;= DATE(2024, 6, 30)))
+ SUMPRODUCT(('Form responses 1'!$D$2:$D1000 = A38) * ('Form responses 1'!$A$2:$A1000 &lt;= DATE(2024, 6, 30)))
+ SUMPRODUCT(('Form responses 1'!$E$2:$E1000 = A38) * ('Form responses 1'!$A$2:$A1000 &lt;= DATE(2024, 6, 30)))
+ SUMPRODUCT(('Form responses 1'!$F$2:$F1000 = A38) * ('Form responses 1'!$A$2:$A1000 &lt;= DATE(2024, 6, 30)))
+ SUMPRODUCT(('Form responses 1'!$G$2:$G1000 = A38) * ('Form responses 1'!$A$2:$A1000 &lt;= DATE(2024, 6, 30)))), 2), "-")
</f>
        <v>2.22</v>
      </c>
      <c r="I38" s="2">
        <f>IFERROR(ROUND(Data!B36/(SUMPRODUCT(('Form responses 1'!$B$2:$B1000 = A38) * ('Form responses 1'!$A$2:$A1000 &lt;= DATE(2024, 7, 31)))
+ SUMPRODUCT(('Form responses 1'!$C$2:$C1000 = A38) * ('Form responses 1'!$A$2:$A1000 &lt;= DATE(2024, 7, 31)))
+ SUMPRODUCT(('Form responses 1'!$D$2:$D1000 = A38) * ('Form responses 1'!$A$2:$A1000 &lt;= DATE(2024, 7, 31)))
+ SUMPRODUCT(('Form responses 1'!$E$2:$E1000 = A38) * ('Form responses 1'!$A$2:$A1000 &lt;= DATE(2024, 7, 31)))
+ SUMPRODUCT(('Form responses 1'!$F$2:$F1000 = A38) * ('Form responses 1'!$A$2:$A1000 &lt;= DATE(2024, 7, 31)))
+ SUMPRODUCT(('Form responses 1'!$G$2:$G1000 = A38) * ('Form responses 1'!$A$2:$A1000 &lt;= DATE(2024, 7, 31)))), 2), "-")
</f>
        <v>2.22</v>
      </c>
      <c r="J38" s="2">
        <f>IFERROR(ROUND(Data!B36/(SUMPRODUCT(('Form responses 1'!$B$2:$B1000 = A38) * ('Form responses 1'!$A$2:$A1000 &lt;= DATE(2024, 8, 31)))
+ SUMPRODUCT(('Form responses 1'!$C$2:$C1000 = A38) * ('Form responses 1'!$A$2:$A1000 &lt;= DATE(2024, 8, 31)))
+ SUMPRODUCT(('Form responses 1'!$D$2:$D1000 = A38) * ('Form responses 1'!$A$2:$A1000 &lt;= DATE(2024, 8, 31)))
+ SUMPRODUCT(('Form responses 1'!$E$2:$E1000 = A38) * ('Form responses 1'!$A$2:$A1000 &lt;= DATE(2024, 8, 31)))
+ SUMPRODUCT(('Form responses 1'!$F$2:$F1000 = A38) * ('Form responses 1'!$A$2:$A1000 &lt;= DATE(2024, 8, 31)))
+ SUMPRODUCT(('Form responses 1'!$G$2:$G1000 = A38) * ('Form responses 1'!$A$2:$A1000 &lt;= DATE(2024, 8, 31)))), 2), "-")
</f>
        <v>2.22</v>
      </c>
      <c r="K38" s="2">
        <f>IFERROR(ROUND(Data!B36/(SUMPRODUCT(('Form responses 1'!$B$2:$B1000 = A38) * ('Form responses 1'!$A$2:$A1000 &lt;= DATE(2024, 9, 30)))
+ SUMPRODUCT(('Form responses 1'!$C$2:$C1000 = A38) * ('Form responses 1'!$A$2:$A1000 &lt;= DATE(2024, 9, 30)))
+ SUMPRODUCT(('Form responses 1'!$D$2:$D1000 = A38) * ('Form responses 1'!$A$2:$A1000 &lt;= DATE(2024, 9, 30)))
+ SUMPRODUCT(('Form responses 1'!$E$2:$E1000 = A38) * ('Form responses 1'!$A$2:$A1000 &lt;= DATE(2024, 9, 30)))
+ SUMPRODUCT(('Form responses 1'!$F$2:$F1000 = A38) * ('Form responses 1'!$A$2:$A1000 &lt;= DATE(2024, 9, 30)))
+ SUMPRODUCT(('Form responses 1'!$G$2:$G1000 = A38) * ('Form responses 1'!$A$2:$A1000 &lt;= DATE(2024, 9, 30)))), 2), "-")
</f>
        <v>2.22</v>
      </c>
      <c r="L38" s="2">
        <f>IFERROR(ROUND(Data!B36/(SUMPRODUCT(('Form responses 1'!$B$2:$B1000 = A38) * ('Form responses 1'!$A$2:$A1000 &lt;= DATE(2024, 10, 31)))
+ SUMPRODUCT(('Form responses 1'!$C$2:$C1000 = A38) * ('Form responses 1'!$A$2:$A1000 &lt;= DATE(2024, 10, 31)))
+ SUMPRODUCT(('Form responses 1'!$D$2:$D1000 = A38) * ('Form responses 1'!$A$2:$A1000 &lt;= DATE(2024, 10, 31)))
+ SUMPRODUCT(('Form responses 1'!$E$2:$E1000 = A38) * ('Form responses 1'!$A$2:$A1000 &lt;= DATE(2024, 10, 31)))
+ SUMPRODUCT(('Form responses 1'!$F$2:$F1000 = A38) * ('Form responses 1'!$A$2:$A1000 &lt;= DATE(2024, 10, 31)))
+ SUMPRODUCT(('Form responses 1'!$G$2:$G1000 = A38) * ('Form responses 1'!$A$2:$A1000 &lt;= DATE(2024, 10, 31)))), 2), "-")
</f>
        <v>2.22</v>
      </c>
      <c r="M38" s="2">
        <f>IFERROR(ROUND(Data!B36/(SUMPRODUCT(('Form responses 1'!$B$2:$B1000 = A38) * ('Form responses 1'!$A$2:$A1000 &lt;= DATE(2024, 11, 30)))
+ SUMPRODUCT(('Form responses 1'!$C$2:$C1000 = A38) * ('Form responses 1'!$A$2:$A1000 &lt;= DATE(2024, 11, 30)))
+ SUMPRODUCT(('Form responses 1'!$D$2:$D1000 = A38) * ('Form responses 1'!$A$2:$A1000 &lt;= DATE(2024, 11, 30)))
+ SUMPRODUCT(('Form responses 1'!$E$2:$E1000 = A38) * ('Form responses 1'!$A$2:$A1000 &lt;= DATE(2024, 11, 30)))
+ SUMPRODUCT(('Form responses 1'!$F$2:$F1000 = A38) * ('Form responses 1'!$A$2:$A1000 &lt;= DATE(2024, 11, 30)))
+ SUMPRODUCT(('Form responses 1'!$G$2:$G1000 = A38) * ('Form responses 1'!$A$2:$A1000 &lt;= DATE(2024, 11, 30)))), 2), "-")
</f>
        <v>2.22</v>
      </c>
      <c r="N38" s="2">
        <f>IFERROR(ROUND(Data!B36/(SUMPRODUCT(('Form responses 1'!$B$2:$B1000 = A38) * ('Form responses 1'!$A$2:$A1000 &lt;= DATE(2024, 12, 31)))
+ SUMPRODUCT(('Form responses 1'!$C$2:$C1000 = A38) * ('Form responses 1'!$A$2:$A1000 &lt;= DATE(2024, 12, 31)))
+ SUMPRODUCT(('Form responses 1'!$D$2:$D1000 = A38) * ('Form responses 1'!$A$2:$A1000 &lt;= DATE(2024, 12, 31)))
+ SUMPRODUCT(('Form responses 1'!$E$2:$E1000 = A38) * ('Form responses 1'!$A$2:$A1000 &lt;= DATE(2024, 12, 31)))
+ SUMPRODUCT(('Form responses 1'!$F$2:$F1000 = A38) * ('Form responses 1'!$A$2:$A1000 &lt;= DATE(2024, 12, 31)))
+ SUMPRODUCT(('Form responses 1'!$G$2:$G1000 = A38) * ('Form responses 1'!$A$2:$A1000 &lt;= DATE(2024, 12, 31)))), 2), "-")
</f>
        <v>2</v>
      </c>
      <c r="O38" s="2">
        <f>IFERROR(ROUND(Data!B36/(SUMPRODUCT(('Form responses 1'!$B$2:$B1000 = A38) * ('Form responses 1'!$A$2:$A1000 &lt;= DATE(2025, 1, 31)))
+ SUMPRODUCT(('Form responses 1'!$C$2:$C1000 = A38) * ('Form responses 1'!$A$2:$A1000 &lt;= DATE(2025, 1, 31)))
+ SUMPRODUCT(('Form responses 1'!$D$2:$D1000 = A38) * ('Form responses 1'!$A$2:$A1000 &lt;= DATE(2025, 1, 31)))
+ SUMPRODUCT(('Form responses 1'!$E$2:$E1000 = A38) * ('Form responses 1'!$A$2:$A1000 &lt;= DATE(2025, 1, 31)))
+ SUMPRODUCT(('Form responses 1'!$F$2:$F1000 = A38) * ('Form responses 1'!$A$2:$A1000 &lt;= DATE(2025, 1, 31)))
+ SUMPRODUCT(('Form responses 1'!$G$2:$G1000 = A38) * ('Form responses 1'!$A$2:$A1000 &lt;= DATE(2025, 1, 31)))), 2), "-")
</f>
        <v>2</v>
      </c>
      <c r="P38" s="2">
        <f>IFERROR(ROUND(Data!B36/(SUMPRODUCT(('Form responses 1'!$B$2:$B1000 = A38) * ('Form responses 1'!$A$2:$A1000 &lt;= DATE(2025, 2, 28)))
+ SUMPRODUCT(('Form responses 1'!$C$2:$C1000 = A38) * ('Form responses 1'!$A$2:$A1000 &lt;= DATE(2025, 2, 28)))
+ SUMPRODUCT(('Form responses 1'!$D$2:$D1000 = A38) * ('Form responses 1'!$A$2:$A1000 &lt;= DATE(2025, 2, 28)))
+ SUMPRODUCT(('Form responses 1'!$E$2:$E1000 = A38) * ('Form responses 1'!$A$2:$A1000 &lt;= DATE(2025, 2, 28)))
+ SUMPRODUCT(('Form responses 1'!$F$2:$F1000 = A38) * ('Form responses 1'!$A$2:$A1000 &lt;= DATE(2025, 2, 28)))
+ SUMPRODUCT(('Form responses 1'!$G$2:$G1000 = A38) * ('Form responses 1'!$A$2:$A1000 &lt;= DATE(2025, 2, 28)))), 2), "-")
</f>
        <v>2</v>
      </c>
      <c r="Q38" s="2">
        <f>IFERROR(ROUND(Data!B36/(SUMPRODUCT(('Form responses 1'!$B$2:$B1000 = A38) * ('Form responses 1'!$A$2:$A1000 &lt;= DATE(2025, 3, 31)))
+ SUMPRODUCT(('Form responses 1'!$C$2:$C1000 = A38) * ('Form responses 1'!$A$2:$A1000 &lt;= DATE(2025, 3, 31)))
+ SUMPRODUCT(('Form responses 1'!$D$2:$D1000 = A38) * ('Form responses 1'!$A$2:$A1000 &lt;= DATE(2025, 3, 31)))
+ SUMPRODUCT(('Form responses 1'!$E$2:$E1000 = A38) * ('Form responses 1'!$A$2:$A1000 &lt;= DATE(2025, 3, 31)))
+ SUMPRODUCT(('Form responses 1'!$F$2:$F1000 = A38) * ('Form responses 1'!$A$2:$A1000 &lt;= DATE(2025, 3, 31)))
+ SUMPRODUCT(('Form responses 1'!$G$2:$G1000 = A38) * ('Form responses 1'!$A$2:$A1000 &lt;= DATE(2025, 3, 31)))),2),"-")</f>
        <v>2</v>
      </c>
      <c r="R38" s="2">
        <f>IFERROR(ROUND(Data!B36/(SUMPRODUCT(('Form responses 1'!$B$2:$B1000 = A38) * ('Form responses 1'!$A$2:$A1000 &lt;= DATE(2025, 4, 30)))
+ SUMPRODUCT(('Form responses 1'!$C$2:$C1000 = A38) * ('Form responses 1'!$A$2:$A1000 &lt;= DATE(2025, 4, 30)))
+ SUMPRODUCT(('Form responses 1'!$D$2:$D1000 = A38) * ('Form responses 1'!$A$2:$A1000 &lt;= DATE(2025, 4, 30)))
+ SUMPRODUCT(('Form responses 1'!$E$2:$E1000 = A38) * ('Form responses 1'!$A$2:$A1000 &lt;= DATE(2025, 4, 30)))
+ SUMPRODUCT(('Form responses 1'!$F$2:$F1000 = A38) * ('Form responses 1'!$A$2:$A1000 &lt;= DATE(2025, 4, 30)))
+ SUMPRODUCT(('Form responses 1'!$G$2:$G1000 = A38) * ('Form responses 1'!$A$2:$A1000 &lt;= DATE(2025, 4, 30)))), 2), "-")
</f>
        <v>2</v>
      </c>
      <c r="S38" s="2">
        <f>IFERROR(ROUND(Data!B36/(SUMPRODUCT(('Form responses 1'!$B$2:$B1000 = A38) * ('Form responses 1'!$A$2:$A1000 &lt;= DATE(2025, 5, 31)))
+ SUMPRODUCT(('Form responses 1'!$C$2:$C1000 = A38) * ('Form responses 1'!$A$2:$A1000 &lt;= DATE(2025, 5, 31)))
+ SUMPRODUCT(('Form responses 1'!$D$2:$D1000 = A38) * ('Form responses 1'!$A$2:$A1000 &lt;= DATE(2025, 5, 31)))
+ SUMPRODUCT(('Form responses 1'!$E$2:$E1000 = A38) * ('Form responses 1'!$A$2:$A1000 &lt;= DATE(2025, 5, 31)))
+ SUMPRODUCT(('Form responses 1'!$F$2:$F1000 = A38) * ('Form responses 1'!$A$2:$A1000 &lt;= DATE(2025, 5, 31)))
+ SUMPRODUCT(('Form responses 1'!$G$2:$G1000 = A38) * ('Form responses 1'!$A$2:$A1000 &lt;= DATE(2025, 5, 31)))), 2), "-")
</f>
        <v>2</v>
      </c>
      <c r="T38" s="2">
        <f>IFERROR(ROUND(Data!B36/(SUMPRODUCT(('Form responses 1'!$B$2:$B1000 = A38) * ('Form responses 1'!$A$2:$A1000 &lt;= DATE(2025, 6, 30)))
+ SUMPRODUCT(('Form responses 1'!$C$2:$C1000 = A38) * ('Form responses 1'!$A$2:$A1000 &lt;= DATE(2025, 6, 30)))
+ SUMPRODUCT(('Form responses 1'!$D$2:$D1000 = A38) * ('Form responses 1'!$A$2:$A1000 &lt;= DATE(2025, 6, 30)))
+ SUMPRODUCT(('Form responses 1'!$E$2:$E1000 = A38) * ('Form responses 1'!$A$2:$A1000 &lt;= DATE(2025, 6, 30)))
+ SUMPRODUCT(('Form responses 1'!$F$2:$F1000 = A38) * ('Form responses 1'!$A$2:$A1000 &lt;= DATE(2025, 6, 30)))
+ SUMPRODUCT(('Form responses 1'!$G$2:$G1000 = A38) * ('Form responses 1'!$A$2:$A1000 &lt;= DATE(2025, 6, 30)))), 2), "-")
</f>
        <v>1.82</v>
      </c>
      <c r="U38" s="2">
        <f>IFERROR(ROUND(Data!B36/(SUMPRODUCT(('Form responses 1'!$B$2:$B1000 = A38) * ('Form responses 1'!$A$2:$A1000 &lt;= DATE(2025, 7, 31)))
+ SUMPRODUCT(('Form responses 1'!$C$2:$C1000 = A38) * ('Form responses 1'!$A$2:$A1000 &lt;= DATE(2025, 7, 31)))
+ SUMPRODUCT(('Form responses 1'!$D$2:$D1000 = A38) * ('Form responses 1'!$A$2:$A1000 &lt;= DATE(2025, 7, 31)))
+ SUMPRODUCT(('Form responses 1'!$E$2:$E1000 = A38) * ('Form responses 1'!$A$2:$A1000 &lt;= DATE(2025, 7, 31)))
+ SUMPRODUCT(('Form responses 1'!$F$2:$F1000 = A38) * ('Form responses 1'!$A$2:$A1000 &lt;= DATE(2025, 7, 31)))
+ SUMPRODUCT(('Form responses 1'!$G$2:$G1000 = A38) * ('Form responses 1'!$A$2:$A1000 &lt;= DATE(2025, 7, 31)))), 2), "-")
</f>
        <v>1.82</v>
      </c>
      <c r="V38" s="2">
        <f>IFERROR(ROUND(Data!B36/(SUMPRODUCT(('Form responses 1'!$B$2:$B1000 = A38) * ('Form responses 1'!$A$2:$A1000 &lt;= DATE(2025, 8, 31)))
+ SUMPRODUCT(('Form responses 1'!$C$2:$C1000 = A38) * ('Form responses 1'!$A$2:$A1000 &lt;= DATE(2025, 8, 31)))
+ SUMPRODUCT(('Form responses 1'!$D$2:$D1000 = A38) * ('Form responses 1'!$A$2:$A1000 &lt;= DATE(2025, 8, 31)))
+ SUMPRODUCT(('Form responses 1'!$E$2:$E1000 = A38) * ('Form responses 1'!$A$2:$A1000 &lt;= DATE(2025, 8, 31)))
+ SUMPRODUCT(('Form responses 1'!$F$2:$F1000 = A38) * ('Form responses 1'!$A$2:$A1000 &lt;= DATE(2025, 8, 31)))
+ SUMPRODUCT(('Form responses 1'!$G$2:$G1000 = A38) * ('Form responses 1'!$A$2:$A1000 &lt;= DATE(2025, 8, 31)))), 2), "-")
</f>
        <v>1.82</v>
      </c>
      <c r="W38" s="2">
        <f>IFERROR(ROUND(Data!B36/(SUMPRODUCT(('Form responses 1'!$B$2:$B1000 = A38) * ('Form responses 1'!$A$2:$A1000 &lt;= DATE(2025, 9, 30)))
+ SUMPRODUCT(('Form responses 1'!$C$2:$C1000 = A38) * ('Form responses 1'!$A$2:$A1000 &lt;= DATE(2025, 9, 30)))
+ SUMPRODUCT(('Form responses 1'!$D$2:$D1000 = A38) * ('Form responses 1'!$A$2:$A1000 &lt;= DATE(2025, 9, 30)))
+ SUMPRODUCT(('Form responses 1'!$E$2:$E1000 = A38) * ('Form responses 1'!$A$2:$A1000 &lt;= DATE(2025, 9, 30)))
+ SUMPRODUCT(('Form responses 1'!$F$2:$F1000 = A38) * ('Form responses 1'!$A$2:$A1000 &lt;= DATE(2025, 9, 30)))
+ SUMPRODUCT(('Form responses 1'!$G$2:$G1000 = A38) * ('Form responses 1'!$A$2:$A1000 &lt;= DATE(2025, 9, 30)))), 2), "-")
</f>
        <v>1.82</v>
      </c>
      <c r="X38" s="2">
        <f>IFERROR(ROUND(Data!B36/(SUMPRODUCT(('Form responses 1'!$B$2:$B1000 = A38) * ('Form responses 1'!$A$2:$A1000 &lt;= DATE(2025, 10, 31)))
+ SUMPRODUCT(('Form responses 1'!$C$2:$C1000 = A38) * ('Form responses 1'!$A$2:$A1000 &lt;= DATE(2025, 10, 31)))
+ SUMPRODUCT(('Form responses 1'!$D$2:$D1000 = A38) * ('Form responses 1'!$A$2:$A1000 &lt;= DATE(2025, 10, 31)))
+ SUMPRODUCT(('Form responses 1'!$E$2:$E1000 = A38) * ('Form responses 1'!$A$2:$A1000 &lt;= DATE(2025, 10, 31)))
+ SUMPRODUCT(('Form responses 1'!$F$2:$F1000 = A38) * ('Form responses 1'!$A$2:$A1000 &lt;= DATE(2025, 10, 31)))
+ SUMPRODUCT(('Form responses 1'!$G$2:$G1000 = A38) * ('Form responses 1'!$A$2:$A1000 &lt;= DATE(2025, 10, 31)))), 2), "-")
</f>
        <v>1.82</v>
      </c>
      <c r="Y38" s="2">
        <f>IFERROR(ROUND(Data!B36/(SUMPRODUCT(('Form responses 1'!$B$2:$B1000 = A38) * ('Form responses 1'!$A$2:$A1000 &lt;= DATE(2025, 11, 30)))
+ SUMPRODUCT(('Form responses 1'!$C$2:$C1000 = A38) * ('Form responses 1'!$A$2:$A1000 &lt;= DATE(2025, 11, 30)))
+ SUMPRODUCT(('Form responses 1'!$D$2:$D1000 = A38) * ('Form responses 1'!$A$2:$A1000 &lt;= DATE(2025, 11, 30)))
+ SUMPRODUCT(('Form responses 1'!$E$2:$E1000 = A38) * ('Form responses 1'!$A$2:$A1000 &lt;= DATE(2025, 11, 30)))
+ SUMPRODUCT(('Form responses 1'!$F$2:$F1000 = A38) * ('Form responses 1'!$A$2:$A1000 &lt;= DATE(2025, 11, 30)))
+ SUMPRODUCT(('Form responses 1'!$G$2:$G1000 = A38) * ('Form responses 1'!$A$2:$A1000 &lt;= DATE(2025, 11, 30)))), 2), "-")
</f>
        <v>1.82</v>
      </c>
      <c r="Z38" s="2">
        <f>IFERROR(ROUND(Data!B36/(SUMPRODUCT(('Form responses 1'!$B$2:$B1000 = A38) * ('Form responses 1'!$A$2:$A1000 &lt;= DATE(2025, 12, 31)))
+ SUMPRODUCT(('Form responses 1'!$C$2:$C1000 = A38) * ('Form responses 1'!$A$2:$A1000 &lt;= DATE(2025, 12, 31)))
+ SUMPRODUCT(('Form responses 1'!$D$2:$D1000 = A38) * ('Form responses 1'!$A$2:$A1000 &lt;= DATE(2025, 12, 31)))
+ SUMPRODUCT(('Form responses 1'!$E$2:$E1000 = A38) * ('Form responses 1'!$A$2:$A1000 &lt;= DATE(2025, 12, 31)))
+ SUMPRODUCT(('Form responses 1'!$F$2:$F1000 = A38) * ('Form responses 1'!$A$2:$A1000 &lt;= DATE(2025, 12, 31)))
+ SUMPRODUCT(('Form responses 1'!$G$2:$G1000 = A38) * ('Form responses 1'!$A$2:$A1000 &lt;= DATE(2025, 12, 31)))), 2), "-")
</f>
        <v>1.74</v>
      </c>
      <c r="AA38" s="2">
        <f>IFERROR(ROUND(Data!$B38/(
  SUMPRODUCT(('Form responses 1'!$B$2:$B1000=$A38)*('Form responses 1'!$A$2:$A1000&lt;=EOMONTH(DATEVALUE("1 "&amp;AA$1),0)))+
  SUMPRODUCT(('Form responses 1'!$C$2:$C1000=$A38)*('Form responses 1'!$A$2:$A1000&lt;=EOMONTH(DATEVALUE("1 "&amp;AA$1),0)))+
  SUMPRODUCT(('Form responses 1'!$D$2:$D1000=$A38)*('Form responses 1'!$A$2:$A1000&lt;=EOMONTH(DATEVALUE("1 "&amp;AA$1),0)))+
  SUMPRODUCT(('Form responses 1'!$E$2:$E1000=$A38)*('Form responses 1'!$A$2:$A1000&lt;=EOMONTH(DATEVALUE("1 "&amp;AA$1),0)))+
  SUMPRODUCT(('Form responses 1'!$F$2:$F1000=$A38)*('Form responses 1'!$A$2:$A1000&lt;=EOMONTH(DATEVALUE("1 "&amp;AA$1),0)))+
  SUMPRODUCT(('Form responses 1'!$G$2:$G1000=$A38)*('Form responses 1'!$A$2:$A1000&lt;=EOMONTH(DATEVALUE("1 "&amp;AA$1),0)))
),2),"-")</f>
        <v>0.88</v>
      </c>
      <c r="AB38" s="2">
        <f>IFERROR(ROUND(Data!$B38/(
  SUMPRODUCT(('Form responses 1'!$B$2:$B1000=$A38)*('Form responses 1'!$A$2:$A1000&lt;=EOMONTH(DATEVALUE("1 "&amp;AB$1),0)))+
  SUMPRODUCT(('Form responses 1'!$C$2:$C1000=$A38)*('Form responses 1'!$A$2:$A1000&lt;=EOMONTH(DATEVALUE("1 "&amp;AB$1),0)))+
  SUMPRODUCT(('Form responses 1'!$D$2:$D1000=$A38)*('Form responses 1'!$A$2:$A1000&lt;=EOMONTH(DATEVALUE("1 "&amp;AB$1),0)))+
  SUMPRODUCT(('Form responses 1'!$E$2:$E1000=$A38)*('Form responses 1'!$A$2:$A1000&lt;=EOMONTH(DATEVALUE("1 "&amp;AB$1),0)))+
  SUMPRODUCT(('Form responses 1'!$F$2:$F1000=$A38)*('Form responses 1'!$A$2:$A1000&lt;=EOMONTH(DATEVALUE("1 "&amp;AB$1),0)))+
  SUMPRODUCT(('Form responses 1'!$G$2:$G1000=$A38)*('Form responses 1'!$A$2:$A1000&lt;=EOMONTH(DATEVALUE("1 "&amp;AB$1),0)))
),2),"-")</f>
        <v>0.88</v>
      </c>
      <c r="AC38" s="2">
        <f>IFERROR(ROUND(Data!$B38/(
  SUMPRODUCT(('Form responses 1'!$B$2:$B1000=$A38)*('Form responses 1'!$A$2:$A1000&lt;=EOMONTH(DATEVALUE("1 "&amp;AC$1),0)))+
  SUMPRODUCT(('Form responses 1'!$C$2:$C1000=$A38)*('Form responses 1'!$A$2:$A1000&lt;=EOMONTH(DATEVALUE("1 "&amp;AC$1),0)))+
  SUMPRODUCT(('Form responses 1'!$D$2:$D1000=$A38)*('Form responses 1'!$A$2:$A1000&lt;=EOMONTH(DATEVALUE("1 "&amp;AC$1),0)))+
  SUMPRODUCT(('Form responses 1'!$E$2:$E1000=$A38)*('Form responses 1'!$A$2:$A1000&lt;=EOMONTH(DATEVALUE("1 "&amp;AC$1),0)))+
  SUMPRODUCT(('Form responses 1'!$F$2:$F1000=$A38)*('Form responses 1'!$A$2:$A1000&lt;=EOMONTH(DATEVALUE("1 "&amp;AC$1),0)))+
  SUMPRODUCT(('Form responses 1'!$G$2:$G1000=$A38)*('Form responses 1'!$A$2:$A1000&lt;=EOMONTH(DATEVALUE("1 "&amp;AC$1),0)))
),2),"-")</f>
        <v>0.85</v>
      </c>
      <c r="AD38" s="2" t="str">
        <f>IFERROR(ROUND(Data!$B38/(
  SUMPRODUCT(('Form responses 1'!$B$2:$B1000=$A38)*('Form responses 1'!$A$2:$A1000&lt;=EOMONTH(DATEVALUE("1 "&amp;AD$1),0)))+
  SUMPRODUCT(('Form responses 1'!$C$2:$C1000=$A38)*('Form responses 1'!$A$2:$A1000&lt;=EOMONTH(DATEVALUE("1 "&amp;AD$1),0)))+
  SUMPRODUCT(('Form responses 1'!$D$2:$D1000=$A38)*('Form responses 1'!$A$2:$A1000&lt;=EOMONTH(DATEVALUE("1 "&amp;AD$1),0)))+
  SUMPRODUCT(('Form responses 1'!$E$2:$E1000=$A38)*('Form responses 1'!$A$2:$A1000&lt;=EOMONTH(DATEVALUE("1 "&amp;AD$1),0)))+
  SUMPRODUCT(('Form responses 1'!$F$2:$F1000=$A38)*('Form responses 1'!$A$2:$A1000&lt;=EOMONTH(DATEVALUE("1 "&amp;AD$1),0)))+
  SUMPRODUCT(('Form responses 1'!$G$2:$G1000=$A38)*('Form responses 1'!$A$2:$A1000&lt;=EOMONTH(DATEVALUE("1 "&amp;AD$1),0)))
),2),"-")</f>
        <v>-</v>
      </c>
      <c r="AE38" s="2" t="str">
        <f>IFERROR(ROUND(Data!$B38/(
  SUMPRODUCT(('Form responses 1'!$B$2:$B1000=$A38)*('Form responses 1'!$A$2:$A1000&lt;=EOMONTH(DATEVALUE("1 "&amp;AE$1),0)))+
  SUMPRODUCT(('Form responses 1'!$C$2:$C1000=$A38)*('Form responses 1'!$A$2:$A1000&lt;=EOMONTH(DATEVALUE("1 "&amp;AE$1),0)))+
  SUMPRODUCT(('Form responses 1'!$D$2:$D1000=$A38)*('Form responses 1'!$A$2:$A1000&lt;=EOMONTH(DATEVALUE("1 "&amp;AE$1),0)))+
  SUMPRODUCT(('Form responses 1'!$E$2:$E1000=$A38)*('Form responses 1'!$A$2:$A1000&lt;=EOMONTH(DATEVALUE("1 "&amp;AE$1),0)))+
  SUMPRODUCT(('Form responses 1'!$F$2:$F1000=$A38)*('Form responses 1'!$A$2:$A1000&lt;=EOMONTH(DATEVALUE("1 "&amp;AE$1),0)))+
  SUMPRODUCT(('Form responses 1'!$G$2:$G1000=$A38)*('Form responses 1'!$A$2:$A1000&lt;=EOMONTH(DATEVALUE("1 "&amp;AE$1),0)))
),2),"-")</f>
        <v>-</v>
      </c>
      <c r="AF38" s="2" t="str">
        <f>IFERROR(ROUND(Data!$B38/(
  SUMPRODUCT(('Form responses 1'!$B$2:$B1000=$A38)*('Form responses 1'!$A$2:$A1000&lt;=EOMONTH(DATEVALUE("1 "&amp;AF$1),0)))+
  SUMPRODUCT(('Form responses 1'!$C$2:$C1000=$A38)*('Form responses 1'!$A$2:$A1000&lt;=EOMONTH(DATEVALUE("1 "&amp;AF$1),0)))+
  SUMPRODUCT(('Form responses 1'!$D$2:$D1000=$A38)*('Form responses 1'!$A$2:$A1000&lt;=EOMONTH(DATEVALUE("1 "&amp;AF$1),0)))+
  SUMPRODUCT(('Form responses 1'!$E$2:$E1000=$A38)*('Form responses 1'!$A$2:$A1000&lt;=EOMONTH(DATEVALUE("1 "&amp;AF$1),0)))+
  SUMPRODUCT(('Form responses 1'!$F$2:$F1000=$A38)*('Form responses 1'!$A$2:$A1000&lt;=EOMONTH(DATEVALUE("1 "&amp;AF$1),0)))+
  SUMPRODUCT(('Form responses 1'!$G$2:$G1000=$A38)*('Form responses 1'!$A$2:$A1000&lt;=EOMONTH(DATEVALUE("1 "&amp;AF$1),0)))
),2),"-")</f>
        <v>-</v>
      </c>
      <c r="AG38" s="2" t="str">
        <f>IFERROR(ROUND(Data!$B38/(
  SUMPRODUCT(('Form responses 1'!$B$2:$B1000=$A38)*('Form responses 1'!$A$2:$A1000&lt;=EOMONTH(DATEVALUE("1 "&amp;AG$1),0)))+
  SUMPRODUCT(('Form responses 1'!$C$2:$C1000=$A38)*('Form responses 1'!$A$2:$A1000&lt;=EOMONTH(DATEVALUE("1 "&amp;AG$1),0)))+
  SUMPRODUCT(('Form responses 1'!$D$2:$D1000=$A38)*('Form responses 1'!$A$2:$A1000&lt;=EOMONTH(DATEVALUE("1 "&amp;AG$1),0)))+
  SUMPRODUCT(('Form responses 1'!$E$2:$E1000=$A38)*('Form responses 1'!$A$2:$A1000&lt;=EOMONTH(DATEVALUE("1 "&amp;AG$1),0)))+
  SUMPRODUCT(('Form responses 1'!$F$2:$F1000=$A38)*('Form responses 1'!$A$2:$A1000&lt;=EOMONTH(DATEVALUE("1 "&amp;AG$1),0)))+
  SUMPRODUCT(('Form responses 1'!$G$2:$G1000=$A38)*('Form responses 1'!$A$2:$A1000&lt;=EOMONTH(DATEVALUE("1 "&amp;AG$1),0)))
),2),"-")</f>
        <v>-</v>
      </c>
      <c r="AH38" s="2" t="str">
        <f>IFERROR(ROUND(Data!$B38/(
  SUMPRODUCT(('Form responses 1'!$B$2:$B1000=$A38)*('Form responses 1'!$A$2:$A1000&lt;=EOMONTH(DATEVALUE("1 "&amp;AH$1),0)))+
  SUMPRODUCT(('Form responses 1'!$C$2:$C1000=$A38)*('Form responses 1'!$A$2:$A1000&lt;=EOMONTH(DATEVALUE("1 "&amp;AH$1),0)))+
  SUMPRODUCT(('Form responses 1'!$D$2:$D1000=$A38)*('Form responses 1'!$A$2:$A1000&lt;=EOMONTH(DATEVALUE("1 "&amp;AH$1),0)))+
  SUMPRODUCT(('Form responses 1'!$E$2:$E1000=$A38)*('Form responses 1'!$A$2:$A1000&lt;=EOMONTH(DATEVALUE("1 "&amp;AH$1),0)))+
  SUMPRODUCT(('Form responses 1'!$F$2:$F1000=$A38)*('Form responses 1'!$A$2:$A1000&lt;=EOMONTH(DATEVALUE("1 "&amp;AH$1),0)))+
  SUMPRODUCT(('Form responses 1'!$G$2:$G1000=$A38)*('Form responses 1'!$A$2:$A1000&lt;=EOMONTH(DATEVALUE("1 "&amp;AH$1),0)))
),2),"-")</f>
        <v>-</v>
      </c>
      <c r="AI38" s="2" t="str">
        <f>IFERROR(ROUND(Data!$B38/(
  SUMPRODUCT(('Form responses 1'!$B$2:$B1000=$A38)*('Form responses 1'!$A$2:$A1000&lt;=EOMONTH(DATEVALUE("1 "&amp;AI$1),0)))+
  SUMPRODUCT(('Form responses 1'!$C$2:$C1000=$A38)*('Form responses 1'!$A$2:$A1000&lt;=EOMONTH(DATEVALUE("1 "&amp;AI$1),0)))+
  SUMPRODUCT(('Form responses 1'!$D$2:$D1000=$A38)*('Form responses 1'!$A$2:$A1000&lt;=EOMONTH(DATEVALUE("1 "&amp;AI$1),0)))+
  SUMPRODUCT(('Form responses 1'!$E$2:$E1000=$A38)*('Form responses 1'!$A$2:$A1000&lt;=EOMONTH(DATEVALUE("1 "&amp;AI$1),0)))+
  SUMPRODUCT(('Form responses 1'!$F$2:$F1000=$A38)*('Form responses 1'!$A$2:$A1000&lt;=EOMONTH(DATEVALUE("1 "&amp;AI$1),0)))+
  SUMPRODUCT(('Form responses 1'!$G$2:$G1000=$A38)*('Form responses 1'!$A$2:$A1000&lt;=EOMONTH(DATEVALUE("1 "&amp;AI$1),0)))
),2),"-")</f>
        <v>-</v>
      </c>
      <c r="AJ38" s="2" t="str">
        <f>IFERROR(ROUND(Data!$B38/(
  SUMPRODUCT(('Form responses 1'!$B$2:$B1000=$A38)*('Form responses 1'!$A$2:$A1000&lt;=EOMONTH(DATEVALUE("1 "&amp;AJ$1),0)))+
  SUMPRODUCT(('Form responses 1'!$C$2:$C1000=$A38)*('Form responses 1'!$A$2:$A1000&lt;=EOMONTH(DATEVALUE("1 "&amp;AJ$1),0)))+
  SUMPRODUCT(('Form responses 1'!$D$2:$D1000=$A38)*('Form responses 1'!$A$2:$A1000&lt;=EOMONTH(DATEVALUE("1 "&amp;AJ$1),0)))+
  SUMPRODUCT(('Form responses 1'!$E$2:$E1000=$A38)*('Form responses 1'!$A$2:$A1000&lt;=EOMONTH(DATEVALUE("1 "&amp;AJ$1),0)))+
  SUMPRODUCT(('Form responses 1'!$F$2:$F1000=$A38)*('Form responses 1'!$A$2:$A1000&lt;=EOMONTH(DATEVALUE("1 "&amp;AJ$1),0)))+
  SUMPRODUCT(('Form responses 1'!$G$2:$G1000=$A38)*('Form responses 1'!$A$2:$A1000&lt;=EOMONTH(DATEVALUE("1 "&amp;AJ$1),0)))
),2),"-")</f>
        <v>-</v>
      </c>
      <c r="AK38" s="2" t="str">
        <f>IFERROR(ROUND(Data!$B38/(
  SUMPRODUCT(('Form responses 1'!$B$2:$B1000=$A38)*('Form responses 1'!$A$2:$A1000&lt;=EOMONTH(DATEVALUE("1 "&amp;AK$1),0)))+
  SUMPRODUCT(('Form responses 1'!$C$2:$C1000=$A38)*('Form responses 1'!$A$2:$A1000&lt;=EOMONTH(DATEVALUE("1 "&amp;AK$1),0)))+
  SUMPRODUCT(('Form responses 1'!$D$2:$D1000=$A38)*('Form responses 1'!$A$2:$A1000&lt;=EOMONTH(DATEVALUE("1 "&amp;AK$1),0)))+
  SUMPRODUCT(('Form responses 1'!$E$2:$E1000=$A38)*('Form responses 1'!$A$2:$A1000&lt;=EOMONTH(DATEVALUE("1 "&amp;AK$1),0)))+
  SUMPRODUCT(('Form responses 1'!$F$2:$F1000=$A38)*('Form responses 1'!$A$2:$A1000&lt;=EOMONTH(DATEVALUE("1 "&amp;AK$1),0)))+
  SUMPRODUCT(('Form responses 1'!$G$2:$G1000=$A38)*('Form responses 1'!$A$2:$A1000&lt;=EOMONTH(DATEVALUE("1 "&amp;AK$1),0)))
),2),"-")</f>
        <v>-</v>
      </c>
      <c r="AL38" s="2" t="str">
        <f>IFERROR(ROUND(Data!$B38/(
  SUMPRODUCT(('Form responses 1'!$B$2:$B1000=$A38)*('Form responses 1'!$A$2:$A1000&lt;=EOMONTH(DATEVALUE("1 "&amp;AL$1),0)))+
  SUMPRODUCT(('Form responses 1'!$C$2:$C1000=$A38)*('Form responses 1'!$A$2:$A1000&lt;=EOMONTH(DATEVALUE("1 "&amp;AL$1),0)))+
  SUMPRODUCT(('Form responses 1'!$D$2:$D1000=$A38)*('Form responses 1'!$A$2:$A1000&lt;=EOMONTH(DATEVALUE("1 "&amp;AL$1),0)))+
  SUMPRODUCT(('Form responses 1'!$E$2:$E1000=$A38)*('Form responses 1'!$A$2:$A1000&lt;=EOMONTH(DATEVALUE("1 "&amp;AL$1),0)))+
  SUMPRODUCT(('Form responses 1'!$F$2:$F1000=$A38)*('Form responses 1'!$A$2:$A1000&lt;=EOMONTH(DATEVALUE("1 "&amp;AL$1),0)))+
  SUMPRODUCT(('Form responses 1'!$G$2:$G1000=$A38)*('Form responses 1'!$A$2:$A1000&lt;=EOMONTH(DATEVALUE("1 "&amp;AL$1),0)))
),2),"-")</f>
        <v>-</v>
      </c>
    </row>
    <row r="39">
      <c r="A39" s="3" t="str">
        <f>IFERROR(__xludf.DUMMYFUNCTION("""COMPUTED_VALUE"""),"Grijze trui")</f>
        <v>Grijze trui</v>
      </c>
      <c r="B39" s="2">
        <f>Data!F37:F1000</f>
        <v>7</v>
      </c>
      <c r="C39" s="2">
        <f>IFERROR(ROUND(Data!B37/(SUMPRODUCT(('Form responses 1'!$B$2:$B1000 = A39) * ('Form responses 1'!$A$2:$A1000 &lt;= DATE(2024, 1, 31)))
+ SUMPRODUCT(('Form responses 1'!$C$2:$C1000 = A39) * ('Form responses 1'!$A$2:$A1000 &lt;= DATE(2024, 1, 31)))
+ SUMPRODUCT(('Form responses 1'!$D$2:$D1000 = A39) * ('Form responses 1'!$A$2:$A1000 &lt;= DATE(2024, 1, 31)))
+ SUMPRODUCT(('Form responses 1'!$E$2:$E1000 = A39) * ('Form responses 1'!$A$2:$A1000 &lt;= DATE(2024, 1, 31)))
+ SUMPRODUCT(('Form responses 1'!$F$2:$F1000 = A39) * ('Form responses 1'!$A$2:$A1000 &lt;= DATE(2024, 1, 31)))
+ SUMPRODUCT(('Form responses 1'!$G$2:$G1000 = A39) * ('Form responses 1'!$A$2:$A1000 &lt;= DATE(2024, 1, 31)))), 2), "-")
</f>
        <v>8</v>
      </c>
      <c r="D39" s="2">
        <f>IFERROR(ROUND(Data!B37/(SUMPRODUCT(('Form responses 1'!$B$2:$B1000 = A39) * ('Form responses 1'!$A$2:$A1000 &lt;= DATE(2024, 2, 29)))
+ SUMPRODUCT(('Form responses 1'!$C$2:$C1000 = A39) * ('Form responses 1'!$A$2:$A1000 &lt;= DATE(2024, 2, 29)))
+ SUMPRODUCT(('Form responses 1'!$D$2:$D1000 = A39) * ('Form responses 1'!$A$2:$A1000 &lt;= DATE(2024, 2, 29)))
+ SUMPRODUCT(('Form responses 1'!$E$2:$E1000 = A39) * ('Form responses 1'!$A$2:$A1000 &lt;= DATE(2024, 2, 29)))
+ SUMPRODUCT(('Form responses 1'!$F$2:$F1000 = A39) * ('Form responses 1'!$A$2:$A1000 &lt;= DATE(2024, 2, 29)))
+ SUMPRODUCT(('Form responses 1'!$G$2:$G1000 = A39) * ('Form responses 1'!$A$2:$A1000 &lt;= DATE(2024, 2, 29)))), 2), "-")
</f>
        <v>8</v>
      </c>
      <c r="E39" s="2">
        <f>IFERROR(ROUND(Data!B37/(SUMPRODUCT(('Form responses 1'!$B$2:$B1000 = A39) * ('Form responses 1'!$A$2:$A1000 &lt;= DATE(2024, 3, 31)))
+ SUMPRODUCT(('Form responses 1'!$C$2:$C1000 = A39) * ('Form responses 1'!$A$2:$A1000 &lt;= DATE(2024, 3, 31)))
+ SUMPRODUCT(('Form responses 1'!$D$2:$D1000 = A39) * ('Form responses 1'!$A$2:$A1000 &lt;= DATE(2024, 3, 31)))
+ SUMPRODUCT(('Form responses 1'!$E$2:$E1000 = A39) * ('Form responses 1'!$A$2:$A1000 &lt;= DATE(2024, 3, 31)))
+ SUMPRODUCT(('Form responses 1'!$F$2:$F1000 = A39) * ('Form responses 1'!$A$2:$A1000 &lt;= DATE(2024, 3, 31)))
+ SUMPRODUCT(('Form responses 1'!$G$2:$G1000 = A39) * ('Form responses 1'!$A$2:$A1000 &lt;= DATE(2024, 3, 31)))), 2), "-")
</f>
        <v>8</v>
      </c>
      <c r="F39" s="2">
        <f>IFERROR(ROUND(Data!B37/(SUMPRODUCT(('Form responses 1'!$B$2:$B1000 = A39) * ('Form responses 1'!$A$2:$A1000 &lt;= DATE(2024, 4, 30)))
+ SUMPRODUCT(('Form responses 1'!$C$2:$C1000 = A39) * ('Form responses 1'!$A$2:$A1000 &lt;= DATE(2024, 4, 30)))
+ SUMPRODUCT(('Form responses 1'!$D$2:$D1000 = A39) * ('Form responses 1'!$A$2:$A1000 &lt;= DATE(2024, 4, 30)))
+ SUMPRODUCT(('Form responses 1'!$E$2:$E1000 = A39) * ('Form responses 1'!$A$2:$A1000 &lt;= DATE(2024, 4, 30)))
+ SUMPRODUCT(('Form responses 1'!$F$2:$F1000 = A39) * ('Form responses 1'!$A$2:$A1000 &lt;= DATE(2024, 4, 30)))
+ SUMPRODUCT(('Form responses 1'!$G$2:$G1000 = A39) * ('Form responses 1'!$A$2:$A1000 &lt;= DATE(2024, 4, 30)))), 2), "-")
</f>
        <v>8</v>
      </c>
      <c r="G39" s="2">
        <f>IFERROR(ROUND(Data!B37/(SUMPRODUCT(('Form responses 1'!$B$2:$B1000 = A39) * ('Form responses 1'!$A$2:$A1000 &lt;= DATE(2024, 5, 31)))
+ SUMPRODUCT(('Form responses 1'!$C$2:$C1000 = A39) * ('Form responses 1'!$A$2:$A1000 &lt;= DATE(2024, 5, 31)))
+ SUMPRODUCT(('Form responses 1'!$D$2:$D1000 = A39) * ('Form responses 1'!$A$2:$A1000 &lt;= DATE(2024, 5, 31)))
+ SUMPRODUCT(('Form responses 1'!$E$2:$E1000 = A39) * ('Form responses 1'!$A$2:$A1000 &lt;= DATE(2024, 5, 31)))
+ SUMPRODUCT(('Form responses 1'!$F$2:$F1000 = A39) * ('Form responses 1'!$A$2:$A1000 &lt;= DATE(2024, 5, 31)))
+ SUMPRODUCT(('Form responses 1'!$G$2:$G1000 = A39) * ('Form responses 1'!$A$2:$A1000 &lt;= DATE(2024, 5, 31)))), 2), "-")
</f>
        <v>8</v>
      </c>
      <c r="H39" s="2">
        <f>IFERROR(ROUND(Data!B37/(SUMPRODUCT(('Form responses 1'!$B$2:$B1000 = A39) * ('Form responses 1'!$A$2:$A1000 &lt;= DATE(2024, 6, 30)))
+ SUMPRODUCT(('Form responses 1'!$C$2:$C1000 = A39) * ('Form responses 1'!$A$2:$A1000 &lt;= DATE(2024, 6, 30)))
+ SUMPRODUCT(('Form responses 1'!$D$2:$D1000 = A39) * ('Form responses 1'!$A$2:$A1000 &lt;= DATE(2024, 6, 30)))
+ SUMPRODUCT(('Form responses 1'!$E$2:$E1000 = A39) * ('Form responses 1'!$A$2:$A1000 &lt;= DATE(2024, 6, 30)))
+ SUMPRODUCT(('Form responses 1'!$F$2:$F1000 = A39) * ('Form responses 1'!$A$2:$A1000 &lt;= DATE(2024, 6, 30)))
+ SUMPRODUCT(('Form responses 1'!$G$2:$G1000 = A39) * ('Form responses 1'!$A$2:$A1000 &lt;= DATE(2024, 6, 30)))), 2), "-")
</f>
        <v>8</v>
      </c>
      <c r="I39" s="2">
        <f>IFERROR(ROUND(Data!B37/(SUMPRODUCT(('Form responses 1'!$B$2:$B1000 = A39) * ('Form responses 1'!$A$2:$A1000 &lt;= DATE(2024, 7, 31)))
+ SUMPRODUCT(('Form responses 1'!$C$2:$C1000 = A39) * ('Form responses 1'!$A$2:$A1000 &lt;= DATE(2024, 7, 31)))
+ SUMPRODUCT(('Form responses 1'!$D$2:$D1000 = A39) * ('Form responses 1'!$A$2:$A1000 &lt;= DATE(2024, 7, 31)))
+ SUMPRODUCT(('Form responses 1'!$E$2:$E1000 = A39) * ('Form responses 1'!$A$2:$A1000 &lt;= DATE(2024, 7, 31)))
+ SUMPRODUCT(('Form responses 1'!$F$2:$F1000 = A39) * ('Form responses 1'!$A$2:$A1000 &lt;= DATE(2024, 7, 31)))
+ SUMPRODUCT(('Form responses 1'!$G$2:$G1000 = A39) * ('Form responses 1'!$A$2:$A1000 &lt;= DATE(2024, 7, 31)))), 2), "-")
</f>
        <v>8</v>
      </c>
      <c r="J39" s="2">
        <f>IFERROR(ROUND(Data!B37/(SUMPRODUCT(('Form responses 1'!$B$2:$B1000 = A39) * ('Form responses 1'!$A$2:$A1000 &lt;= DATE(2024, 8, 31)))
+ SUMPRODUCT(('Form responses 1'!$C$2:$C1000 = A39) * ('Form responses 1'!$A$2:$A1000 &lt;= DATE(2024, 8, 31)))
+ SUMPRODUCT(('Form responses 1'!$D$2:$D1000 = A39) * ('Form responses 1'!$A$2:$A1000 &lt;= DATE(2024, 8, 31)))
+ SUMPRODUCT(('Form responses 1'!$E$2:$E1000 = A39) * ('Form responses 1'!$A$2:$A1000 &lt;= DATE(2024, 8, 31)))
+ SUMPRODUCT(('Form responses 1'!$F$2:$F1000 = A39) * ('Form responses 1'!$A$2:$A1000 &lt;= DATE(2024, 8, 31)))
+ SUMPRODUCT(('Form responses 1'!$G$2:$G1000 = A39) * ('Form responses 1'!$A$2:$A1000 &lt;= DATE(2024, 8, 31)))), 2), "-")
</f>
        <v>8</v>
      </c>
      <c r="K39" s="2">
        <f>IFERROR(ROUND(Data!B37/(SUMPRODUCT(('Form responses 1'!$B$2:$B1000 = A39) * ('Form responses 1'!$A$2:$A1000 &lt;= DATE(2024, 9, 30)))
+ SUMPRODUCT(('Form responses 1'!$C$2:$C1000 = A39) * ('Form responses 1'!$A$2:$A1000 &lt;= DATE(2024, 9, 30)))
+ SUMPRODUCT(('Form responses 1'!$D$2:$D1000 = A39) * ('Form responses 1'!$A$2:$A1000 &lt;= DATE(2024, 9, 30)))
+ SUMPRODUCT(('Form responses 1'!$E$2:$E1000 = A39) * ('Form responses 1'!$A$2:$A1000 &lt;= DATE(2024, 9, 30)))
+ SUMPRODUCT(('Form responses 1'!$F$2:$F1000 = A39) * ('Form responses 1'!$A$2:$A1000 &lt;= DATE(2024, 9, 30)))
+ SUMPRODUCT(('Form responses 1'!$G$2:$G1000 = A39) * ('Form responses 1'!$A$2:$A1000 &lt;= DATE(2024, 9, 30)))), 2), "-")
</f>
        <v>8</v>
      </c>
      <c r="L39" s="2">
        <f>IFERROR(ROUND(Data!B37/(SUMPRODUCT(('Form responses 1'!$B$2:$B1000 = A39) * ('Form responses 1'!$A$2:$A1000 &lt;= DATE(2024, 10, 31)))
+ SUMPRODUCT(('Form responses 1'!$C$2:$C1000 = A39) * ('Form responses 1'!$A$2:$A1000 &lt;= DATE(2024, 10, 31)))
+ SUMPRODUCT(('Form responses 1'!$D$2:$D1000 = A39) * ('Form responses 1'!$A$2:$A1000 &lt;= DATE(2024, 10, 31)))
+ SUMPRODUCT(('Form responses 1'!$E$2:$E1000 = A39) * ('Form responses 1'!$A$2:$A1000 &lt;= DATE(2024, 10, 31)))
+ SUMPRODUCT(('Form responses 1'!$F$2:$F1000 = A39) * ('Form responses 1'!$A$2:$A1000 &lt;= DATE(2024, 10, 31)))
+ SUMPRODUCT(('Form responses 1'!$G$2:$G1000 = A39) * ('Form responses 1'!$A$2:$A1000 &lt;= DATE(2024, 10, 31)))), 2), "-")
</f>
        <v>8</v>
      </c>
      <c r="M39" s="2">
        <f>IFERROR(ROUND(Data!B37/(SUMPRODUCT(('Form responses 1'!$B$2:$B1000 = A39) * ('Form responses 1'!$A$2:$A1000 &lt;= DATE(2024, 11, 30)))
+ SUMPRODUCT(('Form responses 1'!$C$2:$C1000 = A39) * ('Form responses 1'!$A$2:$A1000 &lt;= DATE(2024, 11, 30)))
+ SUMPRODUCT(('Form responses 1'!$D$2:$D1000 = A39) * ('Form responses 1'!$A$2:$A1000 &lt;= DATE(2024, 11, 30)))
+ SUMPRODUCT(('Form responses 1'!$E$2:$E1000 = A39) * ('Form responses 1'!$A$2:$A1000 &lt;= DATE(2024, 11, 30)))
+ SUMPRODUCT(('Form responses 1'!$F$2:$F1000 = A39) * ('Form responses 1'!$A$2:$A1000 &lt;= DATE(2024, 11, 30)))
+ SUMPRODUCT(('Form responses 1'!$G$2:$G1000 = A39) * ('Form responses 1'!$A$2:$A1000 &lt;= DATE(2024, 11, 30)))), 2), "-")
</f>
        <v>8</v>
      </c>
      <c r="N39" s="2">
        <f>IFERROR(ROUND(Data!B37/(SUMPRODUCT(('Form responses 1'!$B$2:$B1000 = A39) * ('Form responses 1'!$A$2:$A1000 &lt;= DATE(2024, 12, 31)))
+ SUMPRODUCT(('Form responses 1'!$C$2:$C1000 = A39) * ('Form responses 1'!$A$2:$A1000 &lt;= DATE(2024, 12, 31)))
+ SUMPRODUCT(('Form responses 1'!$D$2:$D1000 = A39) * ('Form responses 1'!$A$2:$A1000 &lt;= DATE(2024, 12, 31)))
+ SUMPRODUCT(('Form responses 1'!$E$2:$E1000 = A39) * ('Form responses 1'!$A$2:$A1000 &lt;= DATE(2024, 12, 31)))
+ SUMPRODUCT(('Form responses 1'!$F$2:$F1000 = A39) * ('Form responses 1'!$A$2:$A1000 &lt;= DATE(2024, 12, 31)))
+ SUMPRODUCT(('Form responses 1'!$G$2:$G1000 = A39) * ('Form responses 1'!$A$2:$A1000 &lt;= DATE(2024, 12, 31)))), 2), "-")
</f>
        <v>8</v>
      </c>
      <c r="O39" s="2">
        <f>IFERROR(ROUND(Data!B37/(SUMPRODUCT(('Form responses 1'!$B$2:$B1000 = A39) * ('Form responses 1'!$A$2:$A1000 &lt;= DATE(2025, 1, 31)))
+ SUMPRODUCT(('Form responses 1'!$C$2:$C1000 = A39) * ('Form responses 1'!$A$2:$A1000 &lt;= DATE(2025, 1, 31)))
+ SUMPRODUCT(('Form responses 1'!$D$2:$D1000 = A39) * ('Form responses 1'!$A$2:$A1000 &lt;= DATE(2025, 1, 31)))
+ SUMPRODUCT(('Form responses 1'!$E$2:$E1000 = A39) * ('Form responses 1'!$A$2:$A1000 &lt;= DATE(2025, 1, 31)))
+ SUMPRODUCT(('Form responses 1'!$F$2:$F1000 = A39) * ('Form responses 1'!$A$2:$A1000 &lt;= DATE(2025, 1, 31)))
+ SUMPRODUCT(('Form responses 1'!$G$2:$G1000 = A39) * ('Form responses 1'!$A$2:$A1000 &lt;= DATE(2025, 1, 31)))), 2), "-")
</f>
        <v>8</v>
      </c>
      <c r="P39" s="2">
        <f>IFERROR(ROUND(Data!B37/(SUMPRODUCT(('Form responses 1'!$B$2:$B1000 = A39) * ('Form responses 1'!$A$2:$A1000 &lt;= DATE(2025, 2, 28)))
+ SUMPRODUCT(('Form responses 1'!$C$2:$C1000 = A39) * ('Form responses 1'!$A$2:$A1000 &lt;= DATE(2025, 2, 28)))
+ SUMPRODUCT(('Form responses 1'!$D$2:$D1000 = A39) * ('Form responses 1'!$A$2:$A1000 &lt;= DATE(2025, 2, 28)))
+ SUMPRODUCT(('Form responses 1'!$E$2:$E1000 = A39) * ('Form responses 1'!$A$2:$A1000 &lt;= DATE(2025, 2, 28)))
+ SUMPRODUCT(('Form responses 1'!$F$2:$F1000 = A39) * ('Form responses 1'!$A$2:$A1000 &lt;= DATE(2025, 2, 28)))
+ SUMPRODUCT(('Form responses 1'!$G$2:$G1000 = A39) * ('Form responses 1'!$A$2:$A1000 &lt;= DATE(2025, 2, 28)))), 2), "-")
</f>
        <v>8</v>
      </c>
      <c r="Q39" s="2">
        <f>IFERROR(ROUND(Data!B37/(SUMPRODUCT(('Form responses 1'!$B$2:$B1000 = A39) * ('Form responses 1'!$A$2:$A1000 &lt;= DATE(2025, 3, 31)))
+ SUMPRODUCT(('Form responses 1'!$C$2:$C1000 = A39) * ('Form responses 1'!$A$2:$A1000 &lt;= DATE(2025, 3, 31)))
+ SUMPRODUCT(('Form responses 1'!$D$2:$D1000 = A39) * ('Form responses 1'!$A$2:$A1000 &lt;= DATE(2025, 3, 31)))
+ SUMPRODUCT(('Form responses 1'!$E$2:$E1000 = A39) * ('Form responses 1'!$A$2:$A1000 &lt;= DATE(2025, 3, 31)))
+ SUMPRODUCT(('Form responses 1'!$F$2:$F1000 = A39) * ('Form responses 1'!$A$2:$A1000 &lt;= DATE(2025, 3, 31)))
+ SUMPRODUCT(('Form responses 1'!$G$2:$G1000 = A39) * ('Form responses 1'!$A$2:$A1000 &lt;= DATE(2025, 3, 31)))),2),"-")</f>
        <v>8</v>
      </c>
      <c r="R39" s="2">
        <f>IFERROR(ROUND(Data!B37/(SUMPRODUCT(('Form responses 1'!$B$2:$B1000 = A39) * ('Form responses 1'!$A$2:$A1000 &lt;= DATE(2025, 4, 30)))
+ SUMPRODUCT(('Form responses 1'!$C$2:$C1000 = A39) * ('Form responses 1'!$A$2:$A1000 &lt;= DATE(2025, 4, 30)))
+ SUMPRODUCT(('Form responses 1'!$D$2:$D1000 = A39) * ('Form responses 1'!$A$2:$A1000 &lt;= DATE(2025, 4, 30)))
+ SUMPRODUCT(('Form responses 1'!$E$2:$E1000 = A39) * ('Form responses 1'!$A$2:$A1000 &lt;= DATE(2025, 4, 30)))
+ SUMPRODUCT(('Form responses 1'!$F$2:$F1000 = A39) * ('Form responses 1'!$A$2:$A1000 &lt;= DATE(2025, 4, 30)))
+ SUMPRODUCT(('Form responses 1'!$G$2:$G1000 = A39) * ('Form responses 1'!$A$2:$A1000 &lt;= DATE(2025, 4, 30)))), 2), "-")
</f>
        <v>8</v>
      </c>
      <c r="S39" s="2">
        <f>IFERROR(ROUND(Data!B37/(SUMPRODUCT(('Form responses 1'!$B$2:$B1000 = A39) * ('Form responses 1'!$A$2:$A1000 &lt;= DATE(2025, 5, 31)))
+ SUMPRODUCT(('Form responses 1'!$C$2:$C1000 = A39) * ('Form responses 1'!$A$2:$A1000 &lt;= DATE(2025, 5, 31)))
+ SUMPRODUCT(('Form responses 1'!$D$2:$D1000 = A39) * ('Form responses 1'!$A$2:$A1000 &lt;= DATE(2025, 5, 31)))
+ SUMPRODUCT(('Form responses 1'!$E$2:$E1000 = A39) * ('Form responses 1'!$A$2:$A1000 &lt;= DATE(2025, 5, 31)))
+ SUMPRODUCT(('Form responses 1'!$F$2:$F1000 = A39) * ('Form responses 1'!$A$2:$A1000 &lt;= DATE(2025, 5, 31)))
+ SUMPRODUCT(('Form responses 1'!$G$2:$G1000 = A39) * ('Form responses 1'!$A$2:$A1000 &lt;= DATE(2025, 5, 31)))), 2), "-")
</f>
        <v>8</v>
      </c>
      <c r="T39" s="2">
        <f>IFERROR(ROUND(Data!B37/(SUMPRODUCT(('Form responses 1'!$B$2:$B1000 = A39) * ('Form responses 1'!$A$2:$A1000 &lt;= DATE(2025, 6, 30)))
+ SUMPRODUCT(('Form responses 1'!$C$2:$C1000 = A39) * ('Form responses 1'!$A$2:$A1000 &lt;= DATE(2025, 6, 30)))
+ SUMPRODUCT(('Form responses 1'!$D$2:$D1000 = A39) * ('Form responses 1'!$A$2:$A1000 &lt;= DATE(2025, 6, 30)))
+ SUMPRODUCT(('Form responses 1'!$E$2:$E1000 = A39) * ('Form responses 1'!$A$2:$A1000 &lt;= DATE(2025, 6, 30)))
+ SUMPRODUCT(('Form responses 1'!$F$2:$F1000 = A39) * ('Form responses 1'!$A$2:$A1000 &lt;= DATE(2025, 6, 30)))
+ SUMPRODUCT(('Form responses 1'!$G$2:$G1000 = A39) * ('Form responses 1'!$A$2:$A1000 &lt;= DATE(2025, 6, 30)))), 2), "-")
</f>
        <v>8</v>
      </c>
      <c r="U39" s="2">
        <f>IFERROR(ROUND(Data!B37/(SUMPRODUCT(('Form responses 1'!$B$2:$B1000 = A39) * ('Form responses 1'!$A$2:$A1000 &lt;= DATE(2025, 7, 31)))
+ SUMPRODUCT(('Form responses 1'!$C$2:$C1000 = A39) * ('Form responses 1'!$A$2:$A1000 &lt;= DATE(2025, 7, 31)))
+ SUMPRODUCT(('Form responses 1'!$D$2:$D1000 = A39) * ('Form responses 1'!$A$2:$A1000 &lt;= DATE(2025, 7, 31)))
+ SUMPRODUCT(('Form responses 1'!$E$2:$E1000 = A39) * ('Form responses 1'!$A$2:$A1000 &lt;= DATE(2025, 7, 31)))
+ SUMPRODUCT(('Form responses 1'!$F$2:$F1000 = A39) * ('Form responses 1'!$A$2:$A1000 &lt;= DATE(2025, 7, 31)))
+ SUMPRODUCT(('Form responses 1'!$G$2:$G1000 = A39) * ('Form responses 1'!$A$2:$A1000 &lt;= DATE(2025, 7, 31)))), 2), "-")
</f>
        <v>8</v>
      </c>
      <c r="V39" s="2">
        <f>IFERROR(ROUND(Data!B37/(SUMPRODUCT(('Form responses 1'!$B$2:$B1000 = A39) * ('Form responses 1'!$A$2:$A1000 &lt;= DATE(2025, 8, 31)))
+ SUMPRODUCT(('Form responses 1'!$C$2:$C1000 = A39) * ('Form responses 1'!$A$2:$A1000 &lt;= DATE(2025, 8, 31)))
+ SUMPRODUCT(('Form responses 1'!$D$2:$D1000 = A39) * ('Form responses 1'!$A$2:$A1000 &lt;= DATE(2025, 8, 31)))
+ SUMPRODUCT(('Form responses 1'!$E$2:$E1000 = A39) * ('Form responses 1'!$A$2:$A1000 &lt;= DATE(2025, 8, 31)))
+ SUMPRODUCT(('Form responses 1'!$F$2:$F1000 = A39) * ('Form responses 1'!$A$2:$A1000 &lt;= DATE(2025, 8, 31)))
+ SUMPRODUCT(('Form responses 1'!$G$2:$G1000 = A39) * ('Form responses 1'!$A$2:$A1000 &lt;= DATE(2025, 8, 31)))), 2), "-")
</f>
        <v>8</v>
      </c>
      <c r="W39" s="2">
        <f>IFERROR(ROUND(Data!B37/(SUMPRODUCT(('Form responses 1'!$B$2:$B1000 = A39) * ('Form responses 1'!$A$2:$A1000 &lt;= DATE(2025, 9, 30)))
+ SUMPRODUCT(('Form responses 1'!$C$2:$C1000 = A39) * ('Form responses 1'!$A$2:$A1000 &lt;= DATE(2025, 9, 30)))
+ SUMPRODUCT(('Form responses 1'!$D$2:$D1000 = A39) * ('Form responses 1'!$A$2:$A1000 &lt;= DATE(2025, 9, 30)))
+ SUMPRODUCT(('Form responses 1'!$E$2:$E1000 = A39) * ('Form responses 1'!$A$2:$A1000 &lt;= DATE(2025, 9, 30)))
+ SUMPRODUCT(('Form responses 1'!$F$2:$F1000 = A39) * ('Form responses 1'!$A$2:$A1000 &lt;= DATE(2025, 9, 30)))
+ SUMPRODUCT(('Form responses 1'!$G$2:$G1000 = A39) * ('Form responses 1'!$A$2:$A1000 &lt;= DATE(2025, 9, 30)))), 2), "-")
</f>
        <v>8</v>
      </c>
      <c r="X39" s="2">
        <f>IFERROR(ROUND(Data!B37/(SUMPRODUCT(('Form responses 1'!$B$2:$B1000 = A39) * ('Form responses 1'!$A$2:$A1000 &lt;= DATE(2025, 10, 31)))
+ SUMPRODUCT(('Form responses 1'!$C$2:$C1000 = A39) * ('Form responses 1'!$A$2:$A1000 &lt;= DATE(2025, 10, 31)))
+ SUMPRODUCT(('Form responses 1'!$D$2:$D1000 = A39) * ('Form responses 1'!$A$2:$A1000 &lt;= DATE(2025, 10, 31)))
+ SUMPRODUCT(('Form responses 1'!$E$2:$E1000 = A39) * ('Form responses 1'!$A$2:$A1000 &lt;= DATE(2025, 10, 31)))
+ SUMPRODUCT(('Form responses 1'!$F$2:$F1000 = A39) * ('Form responses 1'!$A$2:$A1000 &lt;= DATE(2025, 10, 31)))
+ SUMPRODUCT(('Form responses 1'!$G$2:$G1000 = A39) * ('Form responses 1'!$A$2:$A1000 &lt;= DATE(2025, 10, 31)))), 2), "-")
</f>
        <v>8</v>
      </c>
      <c r="Y39" s="2">
        <f>IFERROR(ROUND(Data!B37/(SUMPRODUCT(('Form responses 1'!$B$2:$B1000 = A39) * ('Form responses 1'!$A$2:$A1000 &lt;= DATE(2025, 11, 30)))
+ SUMPRODUCT(('Form responses 1'!$C$2:$C1000 = A39) * ('Form responses 1'!$A$2:$A1000 &lt;= DATE(2025, 11, 30)))
+ SUMPRODUCT(('Form responses 1'!$D$2:$D1000 = A39) * ('Form responses 1'!$A$2:$A1000 &lt;= DATE(2025, 11, 30)))
+ SUMPRODUCT(('Form responses 1'!$E$2:$E1000 = A39) * ('Form responses 1'!$A$2:$A1000 &lt;= DATE(2025, 11, 30)))
+ SUMPRODUCT(('Form responses 1'!$F$2:$F1000 = A39) * ('Form responses 1'!$A$2:$A1000 &lt;= DATE(2025, 11, 30)))
+ SUMPRODUCT(('Form responses 1'!$G$2:$G1000 = A39) * ('Form responses 1'!$A$2:$A1000 &lt;= DATE(2025, 11, 30)))), 2), "-")
</f>
        <v>8</v>
      </c>
      <c r="Z39" s="2">
        <f>IFERROR(ROUND(Data!B37/(SUMPRODUCT(('Form responses 1'!$B$2:$B1000 = A39) * ('Form responses 1'!$A$2:$A1000 &lt;= DATE(2025, 12, 31)))
+ SUMPRODUCT(('Form responses 1'!$C$2:$C1000 = A39) * ('Form responses 1'!$A$2:$A1000 &lt;= DATE(2025, 12, 31)))
+ SUMPRODUCT(('Form responses 1'!$D$2:$D1000 = A39) * ('Form responses 1'!$A$2:$A1000 &lt;= DATE(2025, 12, 31)))
+ SUMPRODUCT(('Form responses 1'!$E$2:$E1000 = A39) * ('Form responses 1'!$A$2:$A1000 &lt;= DATE(2025, 12, 31)))
+ SUMPRODUCT(('Form responses 1'!$F$2:$F1000 = A39) * ('Form responses 1'!$A$2:$A1000 &lt;= DATE(2025, 12, 31)))
+ SUMPRODUCT(('Form responses 1'!$G$2:$G1000 = A39) * ('Form responses 1'!$A$2:$A1000 &lt;= DATE(2025, 12, 31)))), 2), "-")
</f>
        <v>8</v>
      </c>
      <c r="AA39" s="2">
        <f>IFERROR(ROUND(Data!$B39/(
  SUMPRODUCT(('Form responses 1'!$B$2:$B1000=$A39)*('Form responses 1'!$A$2:$A1000&lt;=EOMONTH(DATEVALUE("1 "&amp;AA$1),0)))+
  SUMPRODUCT(('Form responses 1'!$C$2:$C1000=$A39)*('Form responses 1'!$A$2:$A1000&lt;=EOMONTH(DATEVALUE("1 "&amp;AA$1),0)))+
  SUMPRODUCT(('Form responses 1'!$D$2:$D1000=$A39)*('Form responses 1'!$A$2:$A1000&lt;=EOMONTH(DATEVALUE("1 "&amp;AA$1),0)))+
  SUMPRODUCT(('Form responses 1'!$E$2:$E1000=$A39)*('Form responses 1'!$A$2:$A1000&lt;=EOMONTH(DATEVALUE("1 "&amp;AA$1),0)))+
  SUMPRODUCT(('Form responses 1'!$F$2:$F1000=$A39)*('Form responses 1'!$A$2:$A1000&lt;=EOMONTH(DATEVALUE("1 "&amp;AA$1),0)))+
  SUMPRODUCT(('Form responses 1'!$G$2:$G1000=$A39)*('Form responses 1'!$A$2:$A1000&lt;=EOMONTH(DATEVALUE("1 "&amp;AA$1),0)))
),2),"-")</f>
        <v>7</v>
      </c>
      <c r="AB39" s="2">
        <f>IFERROR(ROUND(Data!$B39/(
  SUMPRODUCT(('Form responses 1'!$B$2:$B1000=$A39)*('Form responses 1'!$A$2:$A1000&lt;=EOMONTH(DATEVALUE("1 "&amp;AB$1),0)))+
  SUMPRODUCT(('Form responses 1'!$C$2:$C1000=$A39)*('Form responses 1'!$A$2:$A1000&lt;=EOMONTH(DATEVALUE("1 "&amp;AB$1),0)))+
  SUMPRODUCT(('Form responses 1'!$D$2:$D1000=$A39)*('Form responses 1'!$A$2:$A1000&lt;=EOMONTH(DATEVALUE("1 "&amp;AB$1),0)))+
  SUMPRODUCT(('Form responses 1'!$E$2:$E1000=$A39)*('Form responses 1'!$A$2:$A1000&lt;=EOMONTH(DATEVALUE("1 "&amp;AB$1),0)))+
  SUMPRODUCT(('Form responses 1'!$F$2:$F1000=$A39)*('Form responses 1'!$A$2:$A1000&lt;=EOMONTH(DATEVALUE("1 "&amp;AB$1),0)))+
  SUMPRODUCT(('Form responses 1'!$G$2:$G1000=$A39)*('Form responses 1'!$A$2:$A1000&lt;=EOMONTH(DATEVALUE("1 "&amp;AB$1),0)))
),2),"-")</f>
        <v>7</v>
      </c>
      <c r="AC39" s="2">
        <f>IFERROR(ROUND(Data!$B39/(
  SUMPRODUCT(('Form responses 1'!$B$2:$B1000=$A39)*('Form responses 1'!$A$2:$A1000&lt;=EOMONTH(DATEVALUE("1 "&amp;AC$1),0)))+
  SUMPRODUCT(('Form responses 1'!$C$2:$C1000=$A39)*('Form responses 1'!$A$2:$A1000&lt;=EOMONTH(DATEVALUE("1 "&amp;AC$1),0)))+
  SUMPRODUCT(('Form responses 1'!$D$2:$D1000=$A39)*('Form responses 1'!$A$2:$A1000&lt;=EOMONTH(DATEVALUE("1 "&amp;AC$1),0)))+
  SUMPRODUCT(('Form responses 1'!$E$2:$E1000=$A39)*('Form responses 1'!$A$2:$A1000&lt;=EOMONTH(DATEVALUE("1 "&amp;AC$1),0)))+
  SUMPRODUCT(('Form responses 1'!$F$2:$F1000=$A39)*('Form responses 1'!$A$2:$A1000&lt;=EOMONTH(DATEVALUE("1 "&amp;AC$1),0)))+
  SUMPRODUCT(('Form responses 1'!$G$2:$G1000=$A39)*('Form responses 1'!$A$2:$A1000&lt;=EOMONTH(DATEVALUE("1 "&amp;AC$1),0)))
),2),"-")</f>
        <v>7</v>
      </c>
      <c r="AD39" s="2" t="str">
        <f>IFERROR(ROUND(Data!$B39/(
  SUMPRODUCT(('Form responses 1'!$B$2:$B1000=$A39)*('Form responses 1'!$A$2:$A1000&lt;=EOMONTH(DATEVALUE("1 "&amp;AD$1),0)))+
  SUMPRODUCT(('Form responses 1'!$C$2:$C1000=$A39)*('Form responses 1'!$A$2:$A1000&lt;=EOMONTH(DATEVALUE("1 "&amp;AD$1),0)))+
  SUMPRODUCT(('Form responses 1'!$D$2:$D1000=$A39)*('Form responses 1'!$A$2:$A1000&lt;=EOMONTH(DATEVALUE("1 "&amp;AD$1),0)))+
  SUMPRODUCT(('Form responses 1'!$E$2:$E1000=$A39)*('Form responses 1'!$A$2:$A1000&lt;=EOMONTH(DATEVALUE("1 "&amp;AD$1),0)))+
  SUMPRODUCT(('Form responses 1'!$F$2:$F1000=$A39)*('Form responses 1'!$A$2:$A1000&lt;=EOMONTH(DATEVALUE("1 "&amp;AD$1),0)))+
  SUMPRODUCT(('Form responses 1'!$G$2:$G1000=$A39)*('Form responses 1'!$A$2:$A1000&lt;=EOMONTH(DATEVALUE("1 "&amp;AD$1),0)))
),2),"-")</f>
        <v>-</v>
      </c>
      <c r="AE39" s="2" t="str">
        <f>IFERROR(ROUND(Data!$B39/(
  SUMPRODUCT(('Form responses 1'!$B$2:$B1000=$A39)*('Form responses 1'!$A$2:$A1000&lt;=EOMONTH(DATEVALUE("1 "&amp;AE$1),0)))+
  SUMPRODUCT(('Form responses 1'!$C$2:$C1000=$A39)*('Form responses 1'!$A$2:$A1000&lt;=EOMONTH(DATEVALUE("1 "&amp;AE$1),0)))+
  SUMPRODUCT(('Form responses 1'!$D$2:$D1000=$A39)*('Form responses 1'!$A$2:$A1000&lt;=EOMONTH(DATEVALUE("1 "&amp;AE$1),0)))+
  SUMPRODUCT(('Form responses 1'!$E$2:$E1000=$A39)*('Form responses 1'!$A$2:$A1000&lt;=EOMONTH(DATEVALUE("1 "&amp;AE$1),0)))+
  SUMPRODUCT(('Form responses 1'!$F$2:$F1000=$A39)*('Form responses 1'!$A$2:$A1000&lt;=EOMONTH(DATEVALUE("1 "&amp;AE$1),0)))+
  SUMPRODUCT(('Form responses 1'!$G$2:$G1000=$A39)*('Form responses 1'!$A$2:$A1000&lt;=EOMONTH(DATEVALUE("1 "&amp;AE$1),0)))
),2),"-")</f>
        <v>-</v>
      </c>
      <c r="AF39" s="2" t="str">
        <f>IFERROR(ROUND(Data!$B39/(
  SUMPRODUCT(('Form responses 1'!$B$2:$B1000=$A39)*('Form responses 1'!$A$2:$A1000&lt;=EOMONTH(DATEVALUE("1 "&amp;AF$1),0)))+
  SUMPRODUCT(('Form responses 1'!$C$2:$C1000=$A39)*('Form responses 1'!$A$2:$A1000&lt;=EOMONTH(DATEVALUE("1 "&amp;AF$1),0)))+
  SUMPRODUCT(('Form responses 1'!$D$2:$D1000=$A39)*('Form responses 1'!$A$2:$A1000&lt;=EOMONTH(DATEVALUE("1 "&amp;AF$1),0)))+
  SUMPRODUCT(('Form responses 1'!$E$2:$E1000=$A39)*('Form responses 1'!$A$2:$A1000&lt;=EOMONTH(DATEVALUE("1 "&amp;AF$1),0)))+
  SUMPRODUCT(('Form responses 1'!$F$2:$F1000=$A39)*('Form responses 1'!$A$2:$A1000&lt;=EOMONTH(DATEVALUE("1 "&amp;AF$1),0)))+
  SUMPRODUCT(('Form responses 1'!$G$2:$G1000=$A39)*('Form responses 1'!$A$2:$A1000&lt;=EOMONTH(DATEVALUE("1 "&amp;AF$1),0)))
),2),"-")</f>
        <v>-</v>
      </c>
      <c r="AG39" s="2" t="str">
        <f>IFERROR(ROUND(Data!$B39/(
  SUMPRODUCT(('Form responses 1'!$B$2:$B1000=$A39)*('Form responses 1'!$A$2:$A1000&lt;=EOMONTH(DATEVALUE("1 "&amp;AG$1),0)))+
  SUMPRODUCT(('Form responses 1'!$C$2:$C1000=$A39)*('Form responses 1'!$A$2:$A1000&lt;=EOMONTH(DATEVALUE("1 "&amp;AG$1),0)))+
  SUMPRODUCT(('Form responses 1'!$D$2:$D1000=$A39)*('Form responses 1'!$A$2:$A1000&lt;=EOMONTH(DATEVALUE("1 "&amp;AG$1),0)))+
  SUMPRODUCT(('Form responses 1'!$E$2:$E1000=$A39)*('Form responses 1'!$A$2:$A1000&lt;=EOMONTH(DATEVALUE("1 "&amp;AG$1),0)))+
  SUMPRODUCT(('Form responses 1'!$F$2:$F1000=$A39)*('Form responses 1'!$A$2:$A1000&lt;=EOMONTH(DATEVALUE("1 "&amp;AG$1),0)))+
  SUMPRODUCT(('Form responses 1'!$G$2:$G1000=$A39)*('Form responses 1'!$A$2:$A1000&lt;=EOMONTH(DATEVALUE("1 "&amp;AG$1),0)))
),2),"-")</f>
        <v>-</v>
      </c>
      <c r="AH39" s="2" t="str">
        <f>IFERROR(ROUND(Data!$B39/(
  SUMPRODUCT(('Form responses 1'!$B$2:$B1000=$A39)*('Form responses 1'!$A$2:$A1000&lt;=EOMONTH(DATEVALUE("1 "&amp;AH$1),0)))+
  SUMPRODUCT(('Form responses 1'!$C$2:$C1000=$A39)*('Form responses 1'!$A$2:$A1000&lt;=EOMONTH(DATEVALUE("1 "&amp;AH$1),0)))+
  SUMPRODUCT(('Form responses 1'!$D$2:$D1000=$A39)*('Form responses 1'!$A$2:$A1000&lt;=EOMONTH(DATEVALUE("1 "&amp;AH$1),0)))+
  SUMPRODUCT(('Form responses 1'!$E$2:$E1000=$A39)*('Form responses 1'!$A$2:$A1000&lt;=EOMONTH(DATEVALUE("1 "&amp;AH$1),0)))+
  SUMPRODUCT(('Form responses 1'!$F$2:$F1000=$A39)*('Form responses 1'!$A$2:$A1000&lt;=EOMONTH(DATEVALUE("1 "&amp;AH$1),0)))+
  SUMPRODUCT(('Form responses 1'!$G$2:$G1000=$A39)*('Form responses 1'!$A$2:$A1000&lt;=EOMONTH(DATEVALUE("1 "&amp;AH$1),0)))
),2),"-")</f>
        <v>-</v>
      </c>
      <c r="AI39" s="2" t="str">
        <f>IFERROR(ROUND(Data!$B39/(
  SUMPRODUCT(('Form responses 1'!$B$2:$B1000=$A39)*('Form responses 1'!$A$2:$A1000&lt;=EOMONTH(DATEVALUE("1 "&amp;AI$1),0)))+
  SUMPRODUCT(('Form responses 1'!$C$2:$C1000=$A39)*('Form responses 1'!$A$2:$A1000&lt;=EOMONTH(DATEVALUE("1 "&amp;AI$1),0)))+
  SUMPRODUCT(('Form responses 1'!$D$2:$D1000=$A39)*('Form responses 1'!$A$2:$A1000&lt;=EOMONTH(DATEVALUE("1 "&amp;AI$1),0)))+
  SUMPRODUCT(('Form responses 1'!$E$2:$E1000=$A39)*('Form responses 1'!$A$2:$A1000&lt;=EOMONTH(DATEVALUE("1 "&amp;AI$1),0)))+
  SUMPRODUCT(('Form responses 1'!$F$2:$F1000=$A39)*('Form responses 1'!$A$2:$A1000&lt;=EOMONTH(DATEVALUE("1 "&amp;AI$1),0)))+
  SUMPRODUCT(('Form responses 1'!$G$2:$G1000=$A39)*('Form responses 1'!$A$2:$A1000&lt;=EOMONTH(DATEVALUE("1 "&amp;AI$1),0)))
),2),"-")</f>
        <v>-</v>
      </c>
      <c r="AJ39" s="2" t="str">
        <f>IFERROR(ROUND(Data!$B39/(
  SUMPRODUCT(('Form responses 1'!$B$2:$B1000=$A39)*('Form responses 1'!$A$2:$A1000&lt;=EOMONTH(DATEVALUE("1 "&amp;AJ$1),0)))+
  SUMPRODUCT(('Form responses 1'!$C$2:$C1000=$A39)*('Form responses 1'!$A$2:$A1000&lt;=EOMONTH(DATEVALUE("1 "&amp;AJ$1),0)))+
  SUMPRODUCT(('Form responses 1'!$D$2:$D1000=$A39)*('Form responses 1'!$A$2:$A1000&lt;=EOMONTH(DATEVALUE("1 "&amp;AJ$1),0)))+
  SUMPRODUCT(('Form responses 1'!$E$2:$E1000=$A39)*('Form responses 1'!$A$2:$A1000&lt;=EOMONTH(DATEVALUE("1 "&amp;AJ$1),0)))+
  SUMPRODUCT(('Form responses 1'!$F$2:$F1000=$A39)*('Form responses 1'!$A$2:$A1000&lt;=EOMONTH(DATEVALUE("1 "&amp;AJ$1),0)))+
  SUMPRODUCT(('Form responses 1'!$G$2:$G1000=$A39)*('Form responses 1'!$A$2:$A1000&lt;=EOMONTH(DATEVALUE("1 "&amp;AJ$1),0)))
),2),"-")</f>
        <v>-</v>
      </c>
      <c r="AK39" s="2" t="str">
        <f>IFERROR(ROUND(Data!$B39/(
  SUMPRODUCT(('Form responses 1'!$B$2:$B1000=$A39)*('Form responses 1'!$A$2:$A1000&lt;=EOMONTH(DATEVALUE("1 "&amp;AK$1),0)))+
  SUMPRODUCT(('Form responses 1'!$C$2:$C1000=$A39)*('Form responses 1'!$A$2:$A1000&lt;=EOMONTH(DATEVALUE("1 "&amp;AK$1),0)))+
  SUMPRODUCT(('Form responses 1'!$D$2:$D1000=$A39)*('Form responses 1'!$A$2:$A1000&lt;=EOMONTH(DATEVALUE("1 "&amp;AK$1),0)))+
  SUMPRODUCT(('Form responses 1'!$E$2:$E1000=$A39)*('Form responses 1'!$A$2:$A1000&lt;=EOMONTH(DATEVALUE("1 "&amp;AK$1),0)))+
  SUMPRODUCT(('Form responses 1'!$F$2:$F1000=$A39)*('Form responses 1'!$A$2:$A1000&lt;=EOMONTH(DATEVALUE("1 "&amp;AK$1),0)))+
  SUMPRODUCT(('Form responses 1'!$G$2:$G1000=$A39)*('Form responses 1'!$A$2:$A1000&lt;=EOMONTH(DATEVALUE("1 "&amp;AK$1),0)))
),2),"-")</f>
        <v>-</v>
      </c>
      <c r="AL39" s="2" t="str">
        <f>IFERROR(ROUND(Data!$B39/(
  SUMPRODUCT(('Form responses 1'!$B$2:$B1000=$A39)*('Form responses 1'!$A$2:$A1000&lt;=EOMONTH(DATEVALUE("1 "&amp;AL$1),0)))+
  SUMPRODUCT(('Form responses 1'!$C$2:$C1000=$A39)*('Form responses 1'!$A$2:$A1000&lt;=EOMONTH(DATEVALUE("1 "&amp;AL$1),0)))+
  SUMPRODUCT(('Form responses 1'!$D$2:$D1000=$A39)*('Form responses 1'!$A$2:$A1000&lt;=EOMONTH(DATEVALUE("1 "&amp;AL$1),0)))+
  SUMPRODUCT(('Form responses 1'!$E$2:$E1000=$A39)*('Form responses 1'!$A$2:$A1000&lt;=EOMONTH(DATEVALUE("1 "&amp;AL$1),0)))+
  SUMPRODUCT(('Form responses 1'!$F$2:$F1000=$A39)*('Form responses 1'!$A$2:$A1000&lt;=EOMONTH(DATEVALUE("1 "&amp;AL$1),0)))+
  SUMPRODUCT(('Form responses 1'!$G$2:$G1000=$A39)*('Form responses 1'!$A$2:$A1000&lt;=EOMONTH(DATEVALUE("1 "&amp;AL$1),0)))
),2),"-")</f>
        <v>-</v>
      </c>
    </row>
    <row r="40">
      <c r="A40" s="3" t="str">
        <f>IFERROR(__xludf.DUMMYFUNCTION("""COMPUTED_VALUE"""),"Gele trui")</f>
        <v>Gele trui</v>
      </c>
      <c r="B40" s="2">
        <f>Data!F38:F1000</f>
        <v>0.73</v>
      </c>
      <c r="C40" s="2">
        <f>IFERROR(ROUND(Data!B38/(SUMPRODUCT(('Form responses 1'!$B$2:$B1000 = A40) * ('Form responses 1'!$A$2:$A1000 &lt;= DATE(2024, 1, 31)))
+ SUMPRODUCT(('Form responses 1'!$C$2:$C1000 = A40) * ('Form responses 1'!$A$2:$A1000 &lt;= DATE(2024, 1, 31)))
+ SUMPRODUCT(('Form responses 1'!$D$2:$D1000 = A40) * ('Form responses 1'!$A$2:$A1000 &lt;= DATE(2024, 1, 31)))
+ SUMPRODUCT(('Form responses 1'!$E$2:$E1000 = A40) * ('Form responses 1'!$A$2:$A1000 &lt;= DATE(2024, 1, 31)))
+ SUMPRODUCT(('Form responses 1'!$F$2:$F1000 = A40) * ('Form responses 1'!$A$2:$A1000 &lt;= DATE(2024, 1, 31)))
+ SUMPRODUCT(('Form responses 1'!$G$2:$G1000 = A40) * ('Form responses 1'!$A$2:$A1000 &lt;= DATE(2024, 1, 31)))), 2), "-")
</f>
        <v>0.46</v>
      </c>
      <c r="D40" s="2">
        <f>IFERROR(ROUND(Data!B38/(SUMPRODUCT(('Form responses 1'!$B$2:$B1000 = A40) * ('Form responses 1'!$A$2:$A1000 &lt;= DATE(2024, 2, 29)))
+ SUMPRODUCT(('Form responses 1'!$C$2:$C1000 = A40) * ('Form responses 1'!$A$2:$A1000 &lt;= DATE(2024, 2, 29)))
+ SUMPRODUCT(('Form responses 1'!$D$2:$D1000 = A40) * ('Form responses 1'!$A$2:$A1000 &lt;= DATE(2024, 2, 29)))
+ SUMPRODUCT(('Form responses 1'!$E$2:$E1000 = A40) * ('Form responses 1'!$A$2:$A1000 &lt;= DATE(2024, 2, 29)))
+ SUMPRODUCT(('Form responses 1'!$F$2:$F1000 = A40) * ('Form responses 1'!$A$2:$A1000 &lt;= DATE(2024, 2, 29)))
+ SUMPRODUCT(('Form responses 1'!$G$2:$G1000 = A40) * ('Form responses 1'!$A$2:$A1000 &lt;= DATE(2024, 2, 29)))), 2), "-")
</f>
        <v>0.43</v>
      </c>
      <c r="E40" s="2">
        <f>IFERROR(ROUND(Data!B38/(SUMPRODUCT(('Form responses 1'!$B$2:$B1000 = A40) * ('Form responses 1'!$A$2:$A1000 &lt;= DATE(2024, 3, 31)))
+ SUMPRODUCT(('Form responses 1'!$C$2:$C1000 = A40) * ('Form responses 1'!$A$2:$A1000 &lt;= DATE(2024, 3, 31)))
+ SUMPRODUCT(('Form responses 1'!$D$2:$D1000 = A40) * ('Form responses 1'!$A$2:$A1000 &lt;= DATE(2024, 3, 31)))
+ SUMPRODUCT(('Form responses 1'!$E$2:$E1000 = A40) * ('Form responses 1'!$A$2:$A1000 &lt;= DATE(2024, 3, 31)))
+ SUMPRODUCT(('Form responses 1'!$F$2:$F1000 = A40) * ('Form responses 1'!$A$2:$A1000 &lt;= DATE(2024, 3, 31)))
+ SUMPRODUCT(('Form responses 1'!$G$2:$G1000 = A40) * ('Form responses 1'!$A$2:$A1000 &lt;= DATE(2024, 3, 31)))), 2), "-")
</f>
        <v>0.43</v>
      </c>
      <c r="F40" s="2">
        <f>IFERROR(ROUND(Data!B38/(SUMPRODUCT(('Form responses 1'!$B$2:$B1000 = A40) * ('Form responses 1'!$A$2:$A1000 &lt;= DATE(2024, 4, 30)))
+ SUMPRODUCT(('Form responses 1'!$C$2:$C1000 = A40) * ('Form responses 1'!$A$2:$A1000 &lt;= DATE(2024, 4, 30)))
+ SUMPRODUCT(('Form responses 1'!$D$2:$D1000 = A40) * ('Form responses 1'!$A$2:$A1000 &lt;= DATE(2024, 4, 30)))
+ SUMPRODUCT(('Form responses 1'!$E$2:$E1000 = A40) * ('Form responses 1'!$A$2:$A1000 &lt;= DATE(2024, 4, 30)))
+ SUMPRODUCT(('Form responses 1'!$F$2:$F1000 = A40) * ('Form responses 1'!$A$2:$A1000 &lt;= DATE(2024, 4, 30)))
+ SUMPRODUCT(('Form responses 1'!$G$2:$G1000 = A40) * ('Form responses 1'!$A$2:$A1000 &lt;= DATE(2024, 4, 30)))), 2), "-")
</f>
        <v>0.42</v>
      </c>
      <c r="G40" s="2">
        <f>IFERROR(ROUND(Data!B38/(SUMPRODUCT(('Form responses 1'!$B$2:$B1000 = A40) * ('Form responses 1'!$A$2:$A1000 &lt;= DATE(2024, 5, 31)))
+ SUMPRODUCT(('Form responses 1'!$C$2:$C1000 = A40) * ('Form responses 1'!$A$2:$A1000 &lt;= DATE(2024, 5, 31)))
+ SUMPRODUCT(('Form responses 1'!$D$2:$D1000 = A40) * ('Form responses 1'!$A$2:$A1000 &lt;= DATE(2024, 5, 31)))
+ SUMPRODUCT(('Form responses 1'!$E$2:$E1000 = A40) * ('Form responses 1'!$A$2:$A1000 &lt;= DATE(2024, 5, 31)))
+ SUMPRODUCT(('Form responses 1'!$F$2:$F1000 = A40) * ('Form responses 1'!$A$2:$A1000 &lt;= DATE(2024, 5, 31)))
+ SUMPRODUCT(('Form responses 1'!$G$2:$G1000 = A40) * ('Form responses 1'!$A$2:$A1000 &lt;= DATE(2024, 5, 31)))), 2), "-")
</f>
        <v>0.42</v>
      </c>
      <c r="H40" s="2">
        <f>IFERROR(ROUND(Data!B38/(SUMPRODUCT(('Form responses 1'!$B$2:$B1000 = A40) * ('Form responses 1'!$A$2:$A1000 &lt;= DATE(2024, 6, 30)))
+ SUMPRODUCT(('Form responses 1'!$C$2:$C1000 = A40) * ('Form responses 1'!$A$2:$A1000 &lt;= DATE(2024, 6, 30)))
+ SUMPRODUCT(('Form responses 1'!$D$2:$D1000 = A40) * ('Form responses 1'!$A$2:$A1000 &lt;= DATE(2024, 6, 30)))
+ SUMPRODUCT(('Form responses 1'!$E$2:$E1000 = A40) * ('Form responses 1'!$A$2:$A1000 &lt;= DATE(2024, 6, 30)))
+ SUMPRODUCT(('Form responses 1'!$F$2:$F1000 = A40) * ('Form responses 1'!$A$2:$A1000 &lt;= DATE(2024, 6, 30)))
+ SUMPRODUCT(('Form responses 1'!$G$2:$G1000 = A40) * ('Form responses 1'!$A$2:$A1000 &lt;= DATE(2024, 6, 30)))), 2), "-")
</f>
        <v>0.42</v>
      </c>
      <c r="I40" s="2">
        <f>IFERROR(ROUND(Data!B38/(SUMPRODUCT(('Form responses 1'!$B$2:$B1000 = A40) * ('Form responses 1'!$A$2:$A1000 &lt;= DATE(2024, 7, 31)))
+ SUMPRODUCT(('Form responses 1'!$C$2:$C1000 = A40) * ('Form responses 1'!$A$2:$A1000 &lt;= DATE(2024, 7, 31)))
+ SUMPRODUCT(('Form responses 1'!$D$2:$D1000 = A40) * ('Form responses 1'!$A$2:$A1000 &lt;= DATE(2024, 7, 31)))
+ SUMPRODUCT(('Form responses 1'!$E$2:$E1000 = A40) * ('Form responses 1'!$A$2:$A1000 &lt;= DATE(2024, 7, 31)))
+ SUMPRODUCT(('Form responses 1'!$F$2:$F1000 = A40) * ('Form responses 1'!$A$2:$A1000 &lt;= DATE(2024, 7, 31)))
+ SUMPRODUCT(('Form responses 1'!$G$2:$G1000 = A40) * ('Form responses 1'!$A$2:$A1000 &lt;= DATE(2024, 7, 31)))), 2), "-")
</f>
        <v>0.42</v>
      </c>
      <c r="J40" s="2">
        <f>IFERROR(ROUND(Data!B38/(SUMPRODUCT(('Form responses 1'!$B$2:$B1000 = A40) * ('Form responses 1'!$A$2:$A1000 &lt;= DATE(2024, 8, 31)))
+ SUMPRODUCT(('Form responses 1'!$C$2:$C1000 = A40) * ('Form responses 1'!$A$2:$A1000 &lt;= DATE(2024, 8, 31)))
+ SUMPRODUCT(('Form responses 1'!$D$2:$D1000 = A40) * ('Form responses 1'!$A$2:$A1000 &lt;= DATE(2024, 8, 31)))
+ SUMPRODUCT(('Form responses 1'!$E$2:$E1000 = A40) * ('Form responses 1'!$A$2:$A1000 &lt;= DATE(2024, 8, 31)))
+ SUMPRODUCT(('Form responses 1'!$F$2:$F1000 = A40) * ('Form responses 1'!$A$2:$A1000 &lt;= DATE(2024, 8, 31)))
+ SUMPRODUCT(('Form responses 1'!$G$2:$G1000 = A40) * ('Form responses 1'!$A$2:$A1000 &lt;= DATE(2024, 8, 31)))), 2), "-")
</f>
        <v>0.42</v>
      </c>
      <c r="K40" s="2">
        <f>IFERROR(ROUND(Data!B38/(SUMPRODUCT(('Form responses 1'!$B$2:$B1000 = A40) * ('Form responses 1'!$A$2:$A1000 &lt;= DATE(2024, 9, 30)))
+ SUMPRODUCT(('Form responses 1'!$C$2:$C1000 = A40) * ('Form responses 1'!$A$2:$A1000 &lt;= DATE(2024, 9, 30)))
+ SUMPRODUCT(('Form responses 1'!$D$2:$D1000 = A40) * ('Form responses 1'!$A$2:$A1000 &lt;= DATE(2024, 9, 30)))
+ SUMPRODUCT(('Form responses 1'!$E$2:$E1000 = A40) * ('Form responses 1'!$A$2:$A1000 &lt;= DATE(2024, 9, 30)))
+ SUMPRODUCT(('Form responses 1'!$F$2:$F1000 = A40) * ('Form responses 1'!$A$2:$A1000 &lt;= DATE(2024, 9, 30)))
+ SUMPRODUCT(('Form responses 1'!$G$2:$G1000 = A40) * ('Form responses 1'!$A$2:$A1000 &lt;= DATE(2024, 9, 30)))), 2), "-")
</f>
        <v>0.42</v>
      </c>
      <c r="L40" s="2">
        <f>IFERROR(ROUND(Data!B38/(SUMPRODUCT(('Form responses 1'!$B$2:$B1000 = A40) * ('Form responses 1'!$A$2:$A1000 &lt;= DATE(2024, 10, 31)))
+ SUMPRODUCT(('Form responses 1'!$C$2:$C1000 = A40) * ('Form responses 1'!$A$2:$A1000 &lt;= DATE(2024, 10, 31)))
+ SUMPRODUCT(('Form responses 1'!$D$2:$D1000 = A40) * ('Form responses 1'!$A$2:$A1000 &lt;= DATE(2024, 10, 31)))
+ SUMPRODUCT(('Form responses 1'!$E$2:$E1000 = A40) * ('Form responses 1'!$A$2:$A1000 &lt;= DATE(2024, 10, 31)))
+ SUMPRODUCT(('Form responses 1'!$F$2:$F1000 = A40) * ('Form responses 1'!$A$2:$A1000 &lt;= DATE(2024, 10, 31)))
+ SUMPRODUCT(('Form responses 1'!$G$2:$G1000 = A40) * ('Form responses 1'!$A$2:$A1000 &lt;= DATE(2024, 10, 31)))), 2), "-")
</f>
        <v>0.42</v>
      </c>
      <c r="M40" s="2">
        <f>IFERROR(ROUND(Data!B38/(SUMPRODUCT(('Form responses 1'!$B$2:$B1000 = A40) * ('Form responses 1'!$A$2:$A1000 &lt;= DATE(2024, 11, 30)))
+ SUMPRODUCT(('Form responses 1'!$C$2:$C1000 = A40) * ('Form responses 1'!$A$2:$A1000 &lt;= DATE(2024, 11, 30)))
+ SUMPRODUCT(('Form responses 1'!$D$2:$D1000 = A40) * ('Form responses 1'!$A$2:$A1000 &lt;= DATE(2024, 11, 30)))
+ SUMPRODUCT(('Form responses 1'!$E$2:$E1000 = A40) * ('Form responses 1'!$A$2:$A1000 &lt;= DATE(2024, 11, 30)))
+ SUMPRODUCT(('Form responses 1'!$F$2:$F1000 = A40) * ('Form responses 1'!$A$2:$A1000 &lt;= DATE(2024, 11, 30)))
+ SUMPRODUCT(('Form responses 1'!$G$2:$G1000 = A40) * ('Form responses 1'!$A$2:$A1000 &lt;= DATE(2024, 11, 30)))), 2), "-")
</f>
        <v>0.42</v>
      </c>
      <c r="N40" s="2">
        <f>IFERROR(ROUND(Data!B38/(SUMPRODUCT(('Form responses 1'!$B$2:$B1000 = A40) * ('Form responses 1'!$A$2:$A1000 &lt;= DATE(2024, 12, 31)))
+ SUMPRODUCT(('Form responses 1'!$C$2:$C1000 = A40) * ('Form responses 1'!$A$2:$A1000 &lt;= DATE(2024, 12, 31)))
+ SUMPRODUCT(('Form responses 1'!$D$2:$D1000 = A40) * ('Form responses 1'!$A$2:$A1000 &lt;= DATE(2024, 12, 31)))
+ SUMPRODUCT(('Form responses 1'!$E$2:$E1000 = A40) * ('Form responses 1'!$A$2:$A1000 &lt;= DATE(2024, 12, 31)))
+ SUMPRODUCT(('Form responses 1'!$F$2:$F1000 = A40) * ('Form responses 1'!$A$2:$A1000 &lt;= DATE(2024, 12, 31)))
+ SUMPRODUCT(('Form responses 1'!$G$2:$G1000 = A40) * ('Form responses 1'!$A$2:$A1000 &lt;= DATE(2024, 12, 31)))), 2), "-")
</f>
        <v>0.4</v>
      </c>
      <c r="O40" s="2">
        <f>IFERROR(ROUND(Data!B38/(SUMPRODUCT(('Form responses 1'!$B$2:$B1000 = A40) * ('Form responses 1'!$A$2:$A1000 &lt;= DATE(2025, 1, 31)))
+ SUMPRODUCT(('Form responses 1'!$C$2:$C1000 = A40) * ('Form responses 1'!$A$2:$A1000 &lt;= DATE(2025, 1, 31)))
+ SUMPRODUCT(('Form responses 1'!$D$2:$D1000 = A40) * ('Form responses 1'!$A$2:$A1000 &lt;= DATE(2025, 1, 31)))
+ SUMPRODUCT(('Form responses 1'!$E$2:$E1000 = A40) * ('Form responses 1'!$A$2:$A1000 &lt;= DATE(2025, 1, 31)))
+ SUMPRODUCT(('Form responses 1'!$F$2:$F1000 = A40) * ('Form responses 1'!$A$2:$A1000 &lt;= DATE(2025, 1, 31)))
+ SUMPRODUCT(('Form responses 1'!$G$2:$G1000 = A40) * ('Form responses 1'!$A$2:$A1000 &lt;= DATE(2025, 1, 31)))), 2), "-")
</f>
        <v>0.4</v>
      </c>
      <c r="P40" s="2">
        <f>IFERROR(ROUND(Data!B38/(SUMPRODUCT(('Form responses 1'!$B$2:$B1000 = A40) * ('Form responses 1'!$A$2:$A1000 &lt;= DATE(2025, 2, 28)))
+ SUMPRODUCT(('Form responses 1'!$C$2:$C1000 = A40) * ('Form responses 1'!$A$2:$A1000 &lt;= DATE(2025, 2, 28)))
+ SUMPRODUCT(('Form responses 1'!$D$2:$D1000 = A40) * ('Form responses 1'!$A$2:$A1000 &lt;= DATE(2025, 2, 28)))
+ SUMPRODUCT(('Form responses 1'!$E$2:$E1000 = A40) * ('Form responses 1'!$A$2:$A1000 &lt;= DATE(2025, 2, 28)))
+ SUMPRODUCT(('Form responses 1'!$F$2:$F1000 = A40) * ('Form responses 1'!$A$2:$A1000 &lt;= DATE(2025, 2, 28)))
+ SUMPRODUCT(('Form responses 1'!$G$2:$G1000 = A40) * ('Form responses 1'!$A$2:$A1000 &lt;= DATE(2025, 2, 28)))), 2), "-")
</f>
        <v>0.4</v>
      </c>
      <c r="Q40" s="2">
        <f>IFERROR(ROUND(Data!B38/(SUMPRODUCT(('Form responses 1'!$B$2:$B1000 = A40) * ('Form responses 1'!$A$2:$A1000 &lt;= DATE(2025, 3, 31)))
+ SUMPRODUCT(('Form responses 1'!$C$2:$C1000 = A40) * ('Form responses 1'!$A$2:$A1000 &lt;= DATE(2025, 3, 31)))
+ SUMPRODUCT(('Form responses 1'!$D$2:$D1000 = A40) * ('Form responses 1'!$A$2:$A1000 &lt;= DATE(2025, 3, 31)))
+ SUMPRODUCT(('Form responses 1'!$E$2:$E1000 = A40) * ('Form responses 1'!$A$2:$A1000 &lt;= DATE(2025, 3, 31)))
+ SUMPRODUCT(('Form responses 1'!$F$2:$F1000 = A40) * ('Form responses 1'!$A$2:$A1000 &lt;= DATE(2025, 3, 31)))
+ SUMPRODUCT(('Form responses 1'!$G$2:$G1000 = A40) * ('Form responses 1'!$A$2:$A1000 &lt;= DATE(2025, 3, 31)))),2),"-")</f>
        <v>0.4</v>
      </c>
      <c r="R40" s="2">
        <f>IFERROR(ROUND(Data!B38/(SUMPRODUCT(('Form responses 1'!$B$2:$B1000 = A40) * ('Form responses 1'!$A$2:$A1000 &lt;= DATE(2025, 4, 30)))
+ SUMPRODUCT(('Form responses 1'!$C$2:$C1000 = A40) * ('Form responses 1'!$A$2:$A1000 &lt;= DATE(2025, 4, 30)))
+ SUMPRODUCT(('Form responses 1'!$D$2:$D1000 = A40) * ('Form responses 1'!$A$2:$A1000 &lt;= DATE(2025, 4, 30)))
+ SUMPRODUCT(('Form responses 1'!$E$2:$E1000 = A40) * ('Form responses 1'!$A$2:$A1000 &lt;= DATE(2025, 4, 30)))
+ SUMPRODUCT(('Form responses 1'!$F$2:$F1000 = A40) * ('Form responses 1'!$A$2:$A1000 &lt;= DATE(2025, 4, 30)))
+ SUMPRODUCT(('Form responses 1'!$G$2:$G1000 = A40) * ('Form responses 1'!$A$2:$A1000 &lt;= DATE(2025, 4, 30)))), 2), "-")
</f>
        <v>0.4</v>
      </c>
      <c r="S40" s="2">
        <f>IFERROR(ROUND(Data!B38/(SUMPRODUCT(('Form responses 1'!$B$2:$B1000 = A40) * ('Form responses 1'!$A$2:$A1000 &lt;= DATE(2025, 5, 31)))
+ SUMPRODUCT(('Form responses 1'!$C$2:$C1000 = A40) * ('Form responses 1'!$A$2:$A1000 &lt;= DATE(2025, 5, 31)))
+ SUMPRODUCT(('Form responses 1'!$D$2:$D1000 = A40) * ('Form responses 1'!$A$2:$A1000 &lt;= DATE(2025, 5, 31)))
+ SUMPRODUCT(('Form responses 1'!$E$2:$E1000 = A40) * ('Form responses 1'!$A$2:$A1000 &lt;= DATE(2025, 5, 31)))
+ SUMPRODUCT(('Form responses 1'!$F$2:$F1000 = A40) * ('Form responses 1'!$A$2:$A1000 &lt;= DATE(2025, 5, 31)))
+ SUMPRODUCT(('Form responses 1'!$G$2:$G1000 = A40) * ('Form responses 1'!$A$2:$A1000 &lt;= DATE(2025, 5, 31)))), 2), "-")
</f>
        <v>0.4</v>
      </c>
      <c r="T40" s="2">
        <f>IFERROR(ROUND(Data!B38/(SUMPRODUCT(('Form responses 1'!$B$2:$B1000 = A40) * ('Form responses 1'!$A$2:$A1000 &lt;= DATE(2025, 6, 30)))
+ SUMPRODUCT(('Form responses 1'!$C$2:$C1000 = A40) * ('Form responses 1'!$A$2:$A1000 &lt;= DATE(2025, 6, 30)))
+ SUMPRODUCT(('Form responses 1'!$D$2:$D1000 = A40) * ('Form responses 1'!$A$2:$A1000 &lt;= DATE(2025, 6, 30)))
+ SUMPRODUCT(('Form responses 1'!$E$2:$E1000 = A40) * ('Form responses 1'!$A$2:$A1000 &lt;= DATE(2025, 6, 30)))
+ SUMPRODUCT(('Form responses 1'!$F$2:$F1000 = A40) * ('Form responses 1'!$A$2:$A1000 &lt;= DATE(2025, 6, 30)))
+ SUMPRODUCT(('Form responses 1'!$G$2:$G1000 = A40) * ('Form responses 1'!$A$2:$A1000 &lt;= DATE(2025, 6, 30)))), 2), "-")
</f>
        <v>0.4</v>
      </c>
      <c r="U40" s="2">
        <f>IFERROR(ROUND(Data!B38/(SUMPRODUCT(('Form responses 1'!$B$2:$B1000 = A40) * ('Form responses 1'!$A$2:$A1000 &lt;= DATE(2025, 7, 31)))
+ SUMPRODUCT(('Form responses 1'!$C$2:$C1000 = A40) * ('Form responses 1'!$A$2:$A1000 &lt;= DATE(2025, 7, 31)))
+ SUMPRODUCT(('Form responses 1'!$D$2:$D1000 = A40) * ('Form responses 1'!$A$2:$A1000 &lt;= DATE(2025, 7, 31)))
+ SUMPRODUCT(('Form responses 1'!$E$2:$E1000 = A40) * ('Form responses 1'!$A$2:$A1000 &lt;= DATE(2025, 7, 31)))
+ SUMPRODUCT(('Form responses 1'!$F$2:$F1000 = A40) * ('Form responses 1'!$A$2:$A1000 &lt;= DATE(2025, 7, 31)))
+ SUMPRODUCT(('Form responses 1'!$G$2:$G1000 = A40) * ('Form responses 1'!$A$2:$A1000 &lt;= DATE(2025, 7, 31)))), 2), "-")
</f>
        <v>0.4</v>
      </c>
      <c r="V40" s="2">
        <f>IFERROR(ROUND(Data!B38/(SUMPRODUCT(('Form responses 1'!$B$2:$B1000 = A40) * ('Form responses 1'!$A$2:$A1000 &lt;= DATE(2025, 8, 31)))
+ SUMPRODUCT(('Form responses 1'!$C$2:$C1000 = A40) * ('Form responses 1'!$A$2:$A1000 &lt;= DATE(2025, 8, 31)))
+ SUMPRODUCT(('Form responses 1'!$D$2:$D1000 = A40) * ('Form responses 1'!$A$2:$A1000 &lt;= DATE(2025, 8, 31)))
+ SUMPRODUCT(('Form responses 1'!$E$2:$E1000 = A40) * ('Form responses 1'!$A$2:$A1000 &lt;= DATE(2025, 8, 31)))
+ SUMPRODUCT(('Form responses 1'!$F$2:$F1000 = A40) * ('Form responses 1'!$A$2:$A1000 &lt;= DATE(2025, 8, 31)))
+ SUMPRODUCT(('Form responses 1'!$G$2:$G1000 = A40) * ('Form responses 1'!$A$2:$A1000 &lt;= DATE(2025, 8, 31)))), 2), "-")
</f>
        <v>0.4</v>
      </c>
      <c r="W40" s="2">
        <f>IFERROR(ROUND(Data!B38/(SUMPRODUCT(('Form responses 1'!$B$2:$B1000 = A40) * ('Form responses 1'!$A$2:$A1000 &lt;= DATE(2025, 9, 30)))
+ SUMPRODUCT(('Form responses 1'!$C$2:$C1000 = A40) * ('Form responses 1'!$A$2:$A1000 &lt;= DATE(2025, 9, 30)))
+ SUMPRODUCT(('Form responses 1'!$D$2:$D1000 = A40) * ('Form responses 1'!$A$2:$A1000 &lt;= DATE(2025, 9, 30)))
+ SUMPRODUCT(('Form responses 1'!$E$2:$E1000 = A40) * ('Form responses 1'!$A$2:$A1000 &lt;= DATE(2025, 9, 30)))
+ SUMPRODUCT(('Form responses 1'!$F$2:$F1000 = A40) * ('Form responses 1'!$A$2:$A1000 &lt;= DATE(2025, 9, 30)))
+ SUMPRODUCT(('Form responses 1'!$G$2:$G1000 = A40) * ('Form responses 1'!$A$2:$A1000 &lt;= DATE(2025, 9, 30)))), 2), "-")
</f>
        <v>0.4</v>
      </c>
      <c r="X40" s="2">
        <f>IFERROR(ROUND(Data!B38/(SUMPRODUCT(('Form responses 1'!$B$2:$B1000 = A40) * ('Form responses 1'!$A$2:$A1000 &lt;= DATE(2025, 10, 31)))
+ SUMPRODUCT(('Form responses 1'!$C$2:$C1000 = A40) * ('Form responses 1'!$A$2:$A1000 &lt;= DATE(2025, 10, 31)))
+ SUMPRODUCT(('Form responses 1'!$D$2:$D1000 = A40) * ('Form responses 1'!$A$2:$A1000 &lt;= DATE(2025, 10, 31)))
+ SUMPRODUCT(('Form responses 1'!$E$2:$E1000 = A40) * ('Form responses 1'!$A$2:$A1000 &lt;= DATE(2025, 10, 31)))
+ SUMPRODUCT(('Form responses 1'!$F$2:$F1000 = A40) * ('Form responses 1'!$A$2:$A1000 &lt;= DATE(2025, 10, 31)))
+ SUMPRODUCT(('Form responses 1'!$G$2:$G1000 = A40) * ('Form responses 1'!$A$2:$A1000 &lt;= DATE(2025, 10, 31)))), 2), "-")
</f>
        <v>0.4</v>
      </c>
      <c r="Y40" s="2">
        <f>IFERROR(ROUND(Data!B38/(SUMPRODUCT(('Form responses 1'!$B$2:$B1000 = A40) * ('Form responses 1'!$A$2:$A1000 &lt;= DATE(2025, 11, 30)))
+ SUMPRODUCT(('Form responses 1'!$C$2:$C1000 = A40) * ('Form responses 1'!$A$2:$A1000 &lt;= DATE(2025, 11, 30)))
+ SUMPRODUCT(('Form responses 1'!$D$2:$D1000 = A40) * ('Form responses 1'!$A$2:$A1000 &lt;= DATE(2025, 11, 30)))
+ SUMPRODUCT(('Form responses 1'!$E$2:$E1000 = A40) * ('Form responses 1'!$A$2:$A1000 &lt;= DATE(2025, 11, 30)))
+ SUMPRODUCT(('Form responses 1'!$F$2:$F1000 = A40) * ('Form responses 1'!$A$2:$A1000 &lt;= DATE(2025, 11, 30)))
+ SUMPRODUCT(('Form responses 1'!$G$2:$G1000 = A40) * ('Form responses 1'!$A$2:$A1000 &lt;= DATE(2025, 11, 30)))), 2), "-")
</f>
        <v>0.4</v>
      </c>
      <c r="Z40" s="2">
        <f>IFERROR(ROUND(Data!B38/(SUMPRODUCT(('Form responses 1'!$B$2:$B1000 = A40) * ('Form responses 1'!$A$2:$A1000 &lt;= DATE(2025, 12, 31)))
+ SUMPRODUCT(('Form responses 1'!$C$2:$C1000 = A40) * ('Form responses 1'!$A$2:$A1000 &lt;= DATE(2025, 12, 31)))
+ SUMPRODUCT(('Form responses 1'!$D$2:$D1000 = A40) * ('Form responses 1'!$A$2:$A1000 &lt;= DATE(2025, 12, 31)))
+ SUMPRODUCT(('Form responses 1'!$E$2:$E1000 = A40) * ('Form responses 1'!$A$2:$A1000 &lt;= DATE(2025, 12, 31)))
+ SUMPRODUCT(('Form responses 1'!$F$2:$F1000 = A40) * ('Form responses 1'!$A$2:$A1000 &lt;= DATE(2025, 12, 31)))
+ SUMPRODUCT(('Form responses 1'!$G$2:$G1000 = A40) * ('Form responses 1'!$A$2:$A1000 &lt;= DATE(2025, 12, 31)))), 2), "-")
</f>
        <v>0.4</v>
      </c>
      <c r="AA40" s="2">
        <f>IFERROR(ROUND(Data!$B40/(
  SUMPRODUCT(('Form responses 1'!$B$2:$B1000=$A40)*('Form responses 1'!$A$2:$A1000&lt;=EOMONTH(DATEVALUE("1 "&amp;AA$1),0)))+
  SUMPRODUCT(('Form responses 1'!$C$2:$C1000=$A40)*('Form responses 1'!$A$2:$A1000&lt;=EOMONTH(DATEVALUE("1 "&amp;AA$1),0)))+
  SUMPRODUCT(('Form responses 1'!$D$2:$D1000=$A40)*('Form responses 1'!$A$2:$A1000&lt;=EOMONTH(DATEVALUE("1 "&amp;AA$1),0)))+
  SUMPRODUCT(('Form responses 1'!$E$2:$E1000=$A40)*('Form responses 1'!$A$2:$A1000&lt;=EOMONTH(DATEVALUE("1 "&amp;AA$1),0)))+
  SUMPRODUCT(('Form responses 1'!$F$2:$F1000=$A40)*('Form responses 1'!$A$2:$A1000&lt;=EOMONTH(DATEVALUE("1 "&amp;AA$1),0)))+
  SUMPRODUCT(('Form responses 1'!$G$2:$G1000=$A40)*('Form responses 1'!$A$2:$A1000&lt;=EOMONTH(DATEVALUE("1 "&amp;AA$1),0)))
),2),"-")</f>
        <v>0.73</v>
      </c>
      <c r="AB40" s="2">
        <f>IFERROR(ROUND(Data!$B40/(
  SUMPRODUCT(('Form responses 1'!$B$2:$B1000=$A40)*('Form responses 1'!$A$2:$A1000&lt;=EOMONTH(DATEVALUE("1 "&amp;AB$1),0)))+
  SUMPRODUCT(('Form responses 1'!$C$2:$C1000=$A40)*('Form responses 1'!$A$2:$A1000&lt;=EOMONTH(DATEVALUE("1 "&amp;AB$1),0)))+
  SUMPRODUCT(('Form responses 1'!$D$2:$D1000=$A40)*('Form responses 1'!$A$2:$A1000&lt;=EOMONTH(DATEVALUE("1 "&amp;AB$1),0)))+
  SUMPRODUCT(('Form responses 1'!$E$2:$E1000=$A40)*('Form responses 1'!$A$2:$A1000&lt;=EOMONTH(DATEVALUE("1 "&amp;AB$1),0)))+
  SUMPRODUCT(('Form responses 1'!$F$2:$F1000=$A40)*('Form responses 1'!$A$2:$A1000&lt;=EOMONTH(DATEVALUE("1 "&amp;AB$1),0)))+
  SUMPRODUCT(('Form responses 1'!$G$2:$G1000=$A40)*('Form responses 1'!$A$2:$A1000&lt;=EOMONTH(DATEVALUE("1 "&amp;AB$1),0)))
),2),"-")</f>
        <v>0.73</v>
      </c>
      <c r="AC40" s="2">
        <f>IFERROR(ROUND(Data!$B40/(
  SUMPRODUCT(('Form responses 1'!$B$2:$B1000=$A40)*('Form responses 1'!$A$2:$A1000&lt;=EOMONTH(DATEVALUE("1 "&amp;AC$1),0)))+
  SUMPRODUCT(('Form responses 1'!$C$2:$C1000=$A40)*('Form responses 1'!$A$2:$A1000&lt;=EOMONTH(DATEVALUE("1 "&amp;AC$1),0)))+
  SUMPRODUCT(('Form responses 1'!$D$2:$D1000=$A40)*('Form responses 1'!$A$2:$A1000&lt;=EOMONTH(DATEVALUE("1 "&amp;AC$1),0)))+
  SUMPRODUCT(('Form responses 1'!$E$2:$E1000=$A40)*('Form responses 1'!$A$2:$A1000&lt;=EOMONTH(DATEVALUE("1 "&amp;AC$1),0)))+
  SUMPRODUCT(('Form responses 1'!$F$2:$F1000=$A40)*('Form responses 1'!$A$2:$A1000&lt;=EOMONTH(DATEVALUE("1 "&amp;AC$1),0)))+
  SUMPRODUCT(('Form responses 1'!$G$2:$G1000=$A40)*('Form responses 1'!$A$2:$A1000&lt;=EOMONTH(DATEVALUE("1 "&amp;AC$1),0)))
),2),"-")</f>
        <v>0.73</v>
      </c>
      <c r="AD40" s="2" t="str">
        <f>IFERROR(ROUND(Data!$B40/(
  SUMPRODUCT(('Form responses 1'!$B$2:$B1000=$A40)*('Form responses 1'!$A$2:$A1000&lt;=EOMONTH(DATEVALUE("1 "&amp;AD$1),0)))+
  SUMPRODUCT(('Form responses 1'!$C$2:$C1000=$A40)*('Form responses 1'!$A$2:$A1000&lt;=EOMONTH(DATEVALUE("1 "&amp;AD$1),0)))+
  SUMPRODUCT(('Form responses 1'!$D$2:$D1000=$A40)*('Form responses 1'!$A$2:$A1000&lt;=EOMONTH(DATEVALUE("1 "&amp;AD$1),0)))+
  SUMPRODUCT(('Form responses 1'!$E$2:$E1000=$A40)*('Form responses 1'!$A$2:$A1000&lt;=EOMONTH(DATEVALUE("1 "&amp;AD$1),0)))+
  SUMPRODUCT(('Form responses 1'!$F$2:$F1000=$A40)*('Form responses 1'!$A$2:$A1000&lt;=EOMONTH(DATEVALUE("1 "&amp;AD$1),0)))+
  SUMPRODUCT(('Form responses 1'!$G$2:$G1000=$A40)*('Form responses 1'!$A$2:$A1000&lt;=EOMONTH(DATEVALUE("1 "&amp;AD$1),0)))
),2),"-")</f>
        <v>-</v>
      </c>
      <c r="AE40" s="2" t="str">
        <f>IFERROR(ROUND(Data!$B40/(
  SUMPRODUCT(('Form responses 1'!$B$2:$B1000=$A40)*('Form responses 1'!$A$2:$A1000&lt;=EOMONTH(DATEVALUE("1 "&amp;AE$1),0)))+
  SUMPRODUCT(('Form responses 1'!$C$2:$C1000=$A40)*('Form responses 1'!$A$2:$A1000&lt;=EOMONTH(DATEVALUE("1 "&amp;AE$1),0)))+
  SUMPRODUCT(('Form responses 1'!$D$2:$D1000=$A40)*('Form responses 1'!$A$2:$A1000&lt;=EOMONTH(DATEVALUE("1 "&amp;AE$1),0)))+
  SUMPRODUCT(('Form responses 1'!$E$2:$E1000=$A40)*('Form responses 1'!$A$2:$A1000&lt;=EOMONTH(DATEVALUE("1 "&amp;AE$1),0)))+
  SUMPRODUCT(('Form responses 1'!$F$2:$F1000=$A40)*('Form responses 1'!$A$2:$A1000&lt;=EOMONTH(DATEVALUE("1 "&amp;AE$1),0)))+
  SUMPRODUCT(('Form responses 1'!$G$2:$G1000=$A40)*('Form responses 1'!$A$2:$A1000&lt;=EOMONTH(DATEVALUE("1 "&amp;AE$1),0)))
),2),"-")</f>
        <v>-</v>
      </c>
      <c r="AF40" s="2" t="str">
        <f>IFERROR(ROUND(Data!$B40/(
  SUMPRODUCT(('Form responses 1'!$B$2:$B1000=$A40)*('Form responses 1'!$A$2:$A1000&lt;=EOMONTH(DATEVALUE("1 "&amp;AF$1),0)))+
  SUMPRODUCT(('Form responses 1'!$C$2:$C1000=$A40)*('Form responses 1'!$A$2:$A1000&lt;=EOMONTH(DATEVALUE("1 "&amp;AF$1),0)))+
  SUMPRODUCT(('Form responses 1'!$D$2:$D1000=$A40)*('Form responses 1'!$A$2:$A1000&lt;=EOMONTH(DATEVALUE("1 "&amp;AF$1),0)))+
  SUMPRODUCT(('Form responses 1'!$E$2:$E1000=$A40)*('Form responses 1'!$A$2:$A1000&lt;=EOMONTH(DATEVALUE("1 "&amp;AF$1),0)))+
  SUMPRODUCT(('Form responses 1'!$F$2:$F1000=$A40)*('Form responses 1'!$A$2:$A1000&lt;=EOMONTH(DATEVALUE("1 "&amp;AF$1),0)))+
  SUMPRODUCT(('Form responses 1'!$G$2:$G1000=$A40)*('Form responses 1'!$A$2:$A1000&lt;=EOMONTH(DATEVALUE("1 "&amp;AF$1),0)))
),2),"-")</f>
        <v>-</v>
      </c>
      <c r="AG40" s="2" t="str">
        <f>IFERROR(ROUND(Data!$B40/(
  SUMPRODUCT(('Form responses 1'!$B$2:$B1000=$A40)*('Form responses 1'!$A$2:$A1000&lt;=EOMONTH(DATEVALUE("1 "&amp;AG$1),0)))+
  SUMPRODUCT(('Form responses 1'!$C$2:$C1000=$A40)*('Form responses 1'!$A$2:$A1000&lt;=EOMONTH(DATEVALUE("1 "&amp;AG$1),0)))+
  SUMPRODUCT(('Form responses 1'!$D$2:$D1000=$A40)*('Form responses 1'!$A$2:$A1000&lt;=EOMONTH(DATEVALUE("1 "&amp;AG$1),0)))+
  SUMPRODUCT(('Form responses 1'!$E$2:$E1000=$A40)*('Form responses 1'!$A$2:$A1000&lt;=EOMONTH(DATEVALUE("1 "&amp;AG$1),0)))+
  SUMPRODUCT(('Form responses 1'!$F$2:$F1000=$A40)*('Form responses 1'!$A$2:$A1000&lt;=EOMONTH(DATEVALUE("1 "&amp;AG$1),0)))+
  SUMPRODUCT(('Form responses 1'!$G$2:$G1000=$A40)*('Form responses 1'!$A$2:$A1000&lt;=EOMONTH(DATEVALUE("1 "&amp;AG$1),0)))
),2),"-")</f>
        <v>-</v>
      </c>
      <c r="AH40" s="2" t="str">
        <f>IFERROR(ROUND(Data!$B40/(
  SUMPRODUCT(('Form responses 1'!$B$2:$B1000=$A40)*('Form responses 1'!$A$2:$A1000&lt;=EOMONTH(DATEVALUE("1 "&amp;AH$1),0)))+
  SUMPRODUCT(('Form responses 1'!$C$2:$C1000=$A40)*('Form responses 1'!$A$2:$A1000&lt;=EOMONTH(DATEVALUE("1 "&amp;AH$1),0)))+
  SUMPRODUCT(('Form responses 1'!$D$2:$D1000=$A40)*('Form responses 1'!$A$2:$A1000&lt;=EOMONTH(DATEVALUE("1 "&amp;AH$1),0)))+
  SUMPRODUCT(('Form responses 1'!$E$2:$E1000=$A40)*('Form responses 1'!$A$2:$A1000&lt;=EOMONTH(DATEVALUE("1 "&amp;AH$1),0)))+
  SUMPRODUCT(('Form responses 1'!$F$2:$F1000=$A40)*('Form responses 1'!$A$2:$A1000&lt;=EOMONTH(DATEVALUE("1 "&amp;AH$1),0)))+
  SUMPRODUCT(('Form responses 1'!$G$2:$G1000=$A40)*('Form responses 1'!$A$2:$A1000&lt;=EOMONTH(DATEVALUE("1 "&amp;AH$1),0)))
),2),"-")</f>
        <v>-</v>
      </c>
      <c r="AI40" s="2" t="str">
        <f>IFERROR(ROUND(Data!$B40/(
  SUMPRODUCT(('Form responses 1'!$B$2:$B1000=$A40)*('Form responses 1'!$A$2:$A1000&lt;=EOMONTH(DATEVALUE("1 "&amp;AI$1),0)))+
  SUMPRODUCT(('Form responses 1'!$C$2:$C1000=$A40)*('Form responses 1'!$A$2:$A1000&lt;=EOMONTH(DATEVALUE("1 "&amp;AI$1),0)))+
  SUMPRODUCT(('Form responses 1'!$D$2:$D1000=$A40)*('Form responses 1'!$A$2:$A1000&lt;=EOMONTH(DATEVALUE("1 "&amp;AI$1),0)))+
  SUMPRODUCT(('Form responses 1'!$E$2:$E1000=$A40)*('Form responses 1'!$A$2:$A1000&lt;=EOMONTH(DATEVALUE("1 "&amp;AI$1),0)))+
  SUMPRODUCT(('Form responses 1'!$F$2:$F1000=$A40)*('Form responses 1'!$A$2:$A1000&lt;=EOMONTH(DATEVALUE("1 "&amp;AI$1),0)))+
  SUMPRODUCT(('Form responses 1'!$G$2:$G1000=$A40)*('Form responses 1'!$A$2:$A1000&lt;=EOMONTH(DATEVALUE("1 "&amp;AI$1),0)))
),2),"-")</f>
        <v>-</v>
      </c>
      <c r="AJ40" s="2" t="str">
        <f>IFERROR(ROUND(Data!$B40/(
  SUMPRODUCT(('Form responses 1'!$B$2:$B1000=$A40)*('Form responses 1'!$A$2:$A1000&lt;=EOMONTH(DATEVALUE("1 "&amp;AJ$1),0)))+
  SUMPRODUCT(('Form responses 1'!$C$2:$C1000=$A40)*('Form responses 1'!$A$2:$A1000&lt;=EOMONTH(DATEVALUE("1 "&amp;AJ$1),0)))+
  SUMPRODUCT(('Form responses 1'!$D$2:$D1000=$A40)*('Form responses 1'!$A$2:$A1000&lt;=EOMONTH(DATEVALUE("1 "&amp;AJ$1),0)))+
  SUMPRODUCT(('Form responses 1'!$E$2:$E1000=$A40)*('Form responses 1'!$A$2:$A1000&lt;=EOMONTH(DATEVALUE("1 "&amp;AJ$1),0)))+
  SUMPRODUCT(('Form responses 1'!$F$2:$F1000=$A40)*('Form responses 1'!$A$2:$A1000&lt;=EOMONTH(DATEVALUE("1 "&amp;AJ$1),0)))+
  SUMPRODUCT(('Form responses 1'!$G$2:$G1000=$A40)*('Form responses 1'!$A$2:$A1000&lt;=EOMONTH(DATEVALUE("1 "&amp;AJ$1),0)))
),2),"-")</f>
        <v>-</v>
      </c>
      <c r="AK40" s="2" t="str">
        <f>IFERROR(ROUND(Data!$B40/(
  SUMPRODUCT(('Form responses 1'!$B$2:$B1000=$A40)*('Form responses 1'!$A$2:$A1000&lt;=EOMONTH(DATEVALUE("1 "&amp;AK$1),0)))+
  SUMPRODUCT(('Form responses 1'!$C$2:$C1000=$A40)*('Form responses 1'!$A$2:$A1000&lt;=EOMONTH(DATEVALUE("1 "&amp;AK$1),0)))+
  SUMPRODUCT(('Form responses 1'!$D$2:$D1000=$A40)*('Form responses 1'!$A$2:$A1000&lt;=EOMONTH(DATEVALUE("1 "&amp;AK$1),0)))+
  SUMPRODUCT(('Form responses 1'!$E$2:$E1000=$A40)*('Form responses 1'!$A$2:$A1000&lt;=EOMONTH(DATEVALUE("1 "&amp;AK$1),0)))+
  SUMPRODUCT(('Form responses 1'!$F$2:$F1000=$A40)*('Form responses 1'!$A$2:$A1000&lt;=EOMONTH(DATEVALUE("1 "&amp;AK$1),0)))+
  SUMPRODUCT(('Form responses 1'!$G$2:$G1000=$A40)*('Form responses 1'!$A$2:$A1000&lt;=EOMONTH(DATEVALUE("1 "&amp;AK$1),0)))
),2),"-")</f>
        <v>-</v>
      </c>
      <c r="AL40" s="2" t="str">
        <f>IFERROR(ROUND(Data!$B40/(
  SUMPRODUCT(('Form responses 1'!$B$2:$B1000=$A40)*('Form responses 1'!$A$2:$A1000&lt;=EOMONTH(DATEVALUE("1 "&amp;AL$1),0)))+
  SUMPRODUCT(('Form responses 1'!$C$2:$C1000=$A40)*('Form responses 1'!$A$2:$A1000&lt;=EOMONTH(DATEVALUE("1 "&amp;AL$1),0)))+
  SUMPRODUCT(('Form responses 1'!$D$2:$D1000=$A40)*('Form responses 1'!$A$2:$A1000&lt;=EOMONTH(DATEVALUE("1 "&amp;AL$1),0)))+
  SUMPRODUCT(('Form responses 1'!$E$2:$E1000=$A40)*('Form responses 1'!$A$2:$A1000&lt;=EOMONTH(DATEVALUE("1 "&amp;AL$1),0)))+
  SUMPRODUCT(('Form responses 1'!$F$2:$F1000=$A40)*('Form responses 1'!$A$2:$A1000&lt;=EOMONTH(DATEVALUE("1 "&amp;AL$1),0)))+
  SUMPRODUCT(('Form responses 1'!$G$2:$G1000=$A40)*('Form responses 1'!$A$2:$A1000&lt;=EOMONTH(DATEVALUE("1 "&amp;AL$1),0)))
),2),"-")</f>
        <v>-</v>
      </c>
    </row>
    <row r="41">
      <c r="A41" s="6" t="str">
        <f>IFERROR(__xludf.DUMMYFUNCTION("""COMPUTED_VALUE"""),"Beige trui")</f>
        <v>Beige trui</v>
      </c>
      <c r="B41" s="2">
        <f>Data!F39:F1000</f>
        <v>0.34</v>
      </c>
      <c r="C41" s="2">
        <f>IFERROR(ROUND(Data!B39/(SUMPRODUCT(('Form responses 1'!$B$2:$B1000 = A41) * ('Form responses 1'!$A$2:$A1000 &lt;= DATE(2024, 1, 31)))
+ SUMPRODUCT(('Form responses 1'!$C$2:$C1000 = A41) * ('Form responses 1'!$A$2:$A1000 &lt;= DATE(2024, 1, 31)))
+ SUMPRODUCT(('Form responses 1'!$D$2:$D1000 = A41) * ('Form responses 1'!$A$2:$A1000 &lt;= DATE(2024, 1, 31)))
+ SUMPRODUCT(('Form responses 1'!$E$2:$E1000 = A41) * ('Form responses 1'!$A$2:$A1000 &lt;= DATE(2024, 1, 31)))
+ SUMPRODUCT(('Form responses 1'!$F$2:$F1000 = A41) * ('Form responses 1'!$A$2:$A1000 &lt;= DATE(2024, 1, 31)))
+ SUMPRODUCT(('Form responses 1'!$G$2:$G1000 = A41) * ('Form responses 1'!$A$2:$A1000 &lt;= DATE(2024, 1, 31)))), 2), "-")
</f>
        <v>0.78</v>
      </c>
      <c r="D41" s="2">
        <f>IFERROR(ROUND(Data!B39/(SUMPRODUCT(('Form responses 1'!$B$2:$B1000 = A41) * ('Form responses 1'!$A$2:$A1000 &lt;= DATE(2024, 2, 29)))
+ SUMPRODUCT(('Form responses 1'!$C$2:$C1000 = A41) * ('Form responses 1'!$A$2:$A1000 &lt;= DATE(2024, 2, 29)))
+ SUMPRODUCT(('Form responses 1'!$D$2:$D1000 = A41) * ('Form responses 1'!$A$2:$A1000 &lt;= DATE(2024, 2, 29)))
+ SUMPRODUCT(('Form responses 1'!$E$2:$E1000 = A41) * ('Form responses 1'!$A$2:$A1000 &lt;= DATE(2024, 2, 29)))
+ SUMPRODUCT(('Form responses 1'!$F$2:$F1000 = A41) * ('Form responses 1'!$A$2:$A1000 &lt;= DATE(2024, 2, 29)))
+ SUMPRODUCT(('Form responses 1'!$G$2:$G1000 = A41) * ('Form responses 1'!$A$2:$A1000 &lt;= DATE(2024, 2, 29)))), 2), "-")
</f>
        <v>0.76</v>
      </c>
      <c r="E41" s="2">
        <f>IFERROR(ROUND(Data!B39/(SUMPRODUCT(('Form responses 1'!$B$2:$B1000 = A41) * ('Form responses 1'!$A$2:$A1000 &lt;= DATE(2024, 3, 31)))
+ SUMPRODUCT(('Form responses 1'!$C$2:$C1000 = A41) * ('Form responses 1'!$A$2:$A1000 &lt;= DATE(2024, 3, 31)))
+ SUMPRODUCT(('Form responses 1'!$D$2:$D1000 = A41) * ('Form responses 1'!$A$2:$A1000 &lt;= DATE(2024, 3, 31)))
+ SUMPRODUCT(('Form responses 1'!$E$2:$E1000 = A41) * ('Form responses 1'!$A$2:$A1000 &lt;= DATE(2024, 3, 31)))
+ SUMPRODUCT(('Form responses 1'!$F$2:$F1000 = A41) * ('Form responses 1'!$A$2:$A1000 &lt;= DATE(2024, 3, 31)))
+ SUMPRODUCT(('Form responses 1'!$G$2:$G1000 = A41) * ('Form responses 1'!$A$2:$A1000 &lt;= DATE(2024, 3, 31)))), 2), "-")
</f>
        <v>0.74</v>
      </c>
      <c r="F41" s="2">
        <f>IFERROR(ROUND(Data!B39/(SUMPRODUCT(('Form responses 1'!$B$2:$B1000 = A41) * ('Form responses 1'!$A$2:$A1000 &lt;= DATE(2024, 4, 30)))
+ SUMPRODUCT(('Form responses 1'!$C$2:$C1000 = A41) * ('Form responses 1'!$A$2:$A1000 &lt;= DATE(2024, 4, 30)))
+ SUMPRODUCT(('Form responses 1'!$D$2:$D1000 = A41) * ('Form responses 1'!$A$2:$A1000 &lt;= DATE(2024, 4, 30)))
+ SUMPRODUCT(('Form responses 1'!$E$2:$E1000 = A41) * ('Form responses 1'!$A$2:$A1000 &lt;= DATE(2024, 4, 30)))
+ SUMPRODUCT(('Form responses 1'!$F$2:$F1000 = A41) * ('Form responses 1'!$A$2:$A1000 &lt;= DATE(2024, 4, 30)))
+ SUMPRODUCT(('Form responses 1'!$G$2:$G1000 = A41) * ('Form responses 1'!$A$2:$A1000 &lt;= DATE(2024, 4, 30)))), 2), "-")
</f>
        <v>0.74</v>
      </c>
      <c r="G41" s="2">
        <f>IFERROR(ROUND(Data!B39/(SUMPRODUCT(('Form responses 1'!$B$2:$B1000 = A41) * ('Form responses 1'!$A$2:$A1000 &lt;= DATE(2024, 5, 31)))
+ SUMPRODUCT(('Form responses 1'!$C$2:$C1000 = A41) * ('Form responses 1'!$A$2:$A1000 &lt;= DATE(2024, 5, 31)))
+ SUMPRODUCT(('Form responses 1'!$D$2:$D1000 = A41) * ('Form responses 1'!$A$2:$A1000 &lt;= DATE(2024, 5, 31)))
+ SUMPRODUCT(('Form responses 1'!$E$2:$E1000 = A41) * ('Form responses 1'!$A$2:$A1000 &lt;= DATE(2024, 5, 31)))
+ SUMPRODUCT(('Form responses 1'!$F$2:$F1000 = A41) * ('Form responses 1'!$A$2:$A1000 &lt;= DATE(2024, 5, 31)))
+ SUMPRODUCT(('Form responses 1'!$G$2:$G1000 = A41) * ('Form responses 1'!$A$2:$A1000 &lt;= DATE(2024, 5, 31)))), 2), "-")
</f>
        <v>0.74</v>
      </c>
      <c r="H41" s="2">
        <f>IFERROR(ROUND(Data!B39/(SUMPRODUCT(('Form responses 1'!$B$2:$B1000 = A41) * ('Form responses 1'!$A$2:$A1000 &lt;= DATE(2024, 6, 30)))
+ SUMPRODUCT(('Form responses 1'!$C$2:$C1000 = A41) * ('Form responses 1'!$A$2:$A1000 &lt;= DATE(2024, 6, 30)))
+ SUMPRODUCT(('Form responses 1'!$D$2:$D1000 = A41) * ('Form responses 1'!$A$2:$A1000 &lt;= DATE(2024, 6, 30)))
+ SUMPRODUCT(('Form responses 1'!$E$2:$E1000 = A41) * ('Form responses 1'!$A$2:$A1000 &lt;= DATE(2024, 6, 30)))
+ SUMPRODUCT(('Form responses 1'!$F$2:$F1000 = A41) * ('Form responses 1'!$A$2:$A1000 &lt;= DATE(2024, 6, 30)))
+ SUMPRODUCT(('Form responses 1'!$G$2:$G1000 = A41) * ('Form responses 1'!$A$2:$A1000 &lt;= DATE(2024, 6, 30)))), 2), "-")
</f>
        <v>0.71</v>
      </c>
      <c r="I41" s="2">
        <f>IFERROR(ROUND(Data!B39/(SUMPRODUCT(('Form responses 1'!$B$2:$B1000 = A41) * ('Form responses 1'!$A$2:$A1000 &lt;= DATE(2024, 7, 31)))
+ SUMPRODUCT(('Form responses 1'!$C$2:$C1000 = A41) * ('Form responses 1'!$A$2:$A1000 &lt;= DATE(2024, 7, 31)))
+ SUMPRODUCT(('Form responses 1'!$D$2:$D1000 = A41) * ('Form responses 1'!$A$2:$A1000 &lt;= DATE(2024, 7, 31)))
+ SUMPRODUCT(('Form responses 1'!$E$2:$E1000 = A41) * ('Form responses 1'!$A$2:$A1000 &lt;= DATE(2024, 7, 31)))
+ SUMPRODUCT(('Form responses 1'!$F$2:$F1000 = A41) * ('Form responses 1'!$A$2:$A1000 &lt;= DATE(2024, 7, 31)))
+ SUMPRODUCT(('Form responses 1'!$G$2:$G1000 = A41) * ('Form responses 1'!$A$2:$A1000 &lt;= DATE(2024, 7, 31)))), 2), "-")
</f>
        <v>0.71</v>
      </c>
      <c r="J41" s="2">
        <f>IFERROR(ROUND(Data!B39/(SUMPRODUCT(('Form responses 1'!$B$2:$B1000 = A41) * ('Form responses 1'!$A$2:$A1000 &lt;= DATE(2024, 8, 31)))
+ SUMPRODUCT(('Form responses 1'!$C$2:$C1000 = A41) * ('Form responses 1'!$A$2:$A1000 &lt;= DATE(2024, 8, 31)))
+ SUMPRODUCT(('Form responses 1'!$D$2:$D1000 = A41) * ('Form responses 1'!$A$2:$A1000 &lt;= DATE(2024, 8, 31)))
+ SUMPRODUCT(('Form responses 1'!$E$2:$E1000 = A41) * ('Form responses 1'!$A$2:$A1000 &lt;= DATE(2024, 8, 31)))
+ SUMPRODUCT(('Form responses 1'!$F$2:$F1000 = A41) * ('Form responses 1'!$A$2:$A1000 &lt;= DATE(2024, 8, 31)))
+ SUMPRODUCT(('Form responses 1'!$G$2:$G1000 = A41) * ('Form responses 1'!$A$2:$A1000 &lt;= DATE(2024, 8, 31)))), 2), "-")
</f>
        <v>0.71</v>
      </c>
      <c r="K41" s="2">
        <f>IFERROR(ROUND(Data!B39/(SUMPRODUCT(('Form responses 1'!$B$2:$B1000 = A41) * ('Form responses 1'!$A$2:$A1000 &lt;= DATE(2024, 9, 30)))
+ SUMPRODUCT(('Form responses 1'!$C$2:$C1000 = A41) * ('Form responses 1'!$A$2:$A1000 &lt;= DATE(2024, 9, 30)))
+ SUMPRODUCT(('Form responses 1'!$D$2:$D1000 = A41) * ('Form responses 1'!$A$2:$A1000 &lt;= DATE(2024, 9, 30)))
+ SUMPRODUCT(('Form responses 1'!$E$2:$E1000 = A41) * ('Form responses 1'!$A$2:$A1000 &lt;= DATE(2024, 9, 30)))
+ SUMPRODUCT(('Form responses 1'!$F$2:$F1000 = A41) * ('Form responses 1'!$A$2:$A1000 &lt;= DATE(2024, 9, 30)))
+ SUMPRODUCT(('Form responses 1'!$G$2:$G1000 = A41) * ('Form responses 1'!$A$2:$A1000 &lt;= DATE(2024, 9, 30)))), 2), "-")
</f>
        <v>0.69</v>
      </c>
      <c r="L41" s="2">
        <f>IFERROR(ROUND(Data!B39/(SUMPRODUCT(('Form responses 1'!$B$2:$B1000 = A41) * ('Form responses 1'!$A$2:$A1000 &lt;= DATE(2024, 10, 31)))
+ SUMPRODUCT(('Form responses 1'!$C$2:$C1000 = A41) * ('Form responses 1'!$A$2:$A1000 &lt;= DATE(2024, 10, 31)))
+ SUMPRODUCT(('Form responses 1'!$D$2:$D1000 = A41) * ('Form responses 1'!$A$2:$A1000 &lt;= DATE(2024, 10, 31)))
+ SUMPRODUCT(('Form responses 1'!$E$2:$E1000 = A41) * ('Form responses 1'!$A$2:$A1000 &lt;= DATE(2024, 10, 31)))
+ SUMPRODUCT(('Form responses 1'!$F$2:$F1000 = A41) * ('Form responses 1'!$A$2:$A1000 &lt;= DATE(2024, 10, 31)))
+ SUMPRODUCT(('Form responses 1'!$G$2:$G1000 = A41) * ('Form responses 1'!$A$2:$A1000 &lt;= DATE(2024, 10, 31)))), 2), "-")
</f>
        <v>0.66</v>
      </c>
      <c r="M41" s="2">
        <f>IFERROR(ROUND(Data!B39/(SUMPRODUCT(('Form responses 1'!$B$2:$B1000 = A41) * ('Form responses 1'!$A$2:$A1000 &lt;= DATE(2024, 11, 30)))
+ SUMPRODUCT(('Form responses 1'!$C$2:$C1000 = A41) * ('Form responses 1'!$A$2:$A1000 &lt;= DATE(2024, 11, 30)))
+ SUMPRODUCT(('Form responses 1'!$D$2:$D1000 = A41) * ('Form responses 1'!$A$2:$A1000 &lt;= DATE(2024, 11, 30)))
+ SUMPRODUCT(('Form responses 1'!$E$2:$E1000 = A41) * ('Form responses 1'!$A$2:$A1000 &lt;= DATE(2024, 11, 30)))
+ SUMPRODUCT(('Form responses 1'!$F$2:$F1000 = A41) * ('Form responses 1'!$A$2:$A1000 &lt;= DATE(2024, 11, 30)))
+ SUMPRODUCT(('Form responses 1'!$G$2:$G1000 = A41) * ('Form responses 1'!$A$2:$A1000 &lt;= DATE(2024, 11, 30)))), 2), "-")
</f>
        <v>0.66</v>
      </c>
      <c r="N41" s="2">
        <f>IFERROR(ROUND(Data!B39/(SUMPRODUCT(('Form responses 1'!$B$2:$B1000 = A41) * ('Form responses 1'!$A$2:$A1000 &lt;= DATE(2024, 12, 31)))
+ SUMPRODUCT(('Form responses 1'!$C$2:$C1000 = A41) * ('Form responses 1'!$A$2:$A1000 &lt;= DATE(2024, 12, 31)))
+ SUMPRODUCT(('Form responses 1'!$D$2:$D1000 = A41) * ('Form responses 1'!$A$2:$A1000 &lt;= DATE(2024, 12, 31)))
+ SUMPRODUCT(('Form responses 1'!$E$2:$E1000 = A41) * ('Form responses 1'!$A$2:$A1000 &lt;= DATE(2024, 12, 31)))
+ SUMPRODUCT(('Form responses 1'!$F$2:$F1000 = A41) * ('Form responses 1'!$A$2:$A1000 &lt;= DATE(2024, 12, 31)))
+ SUMPRODUCT(('Form responses 1'!$G$2:$G1000 = A41) * ('Form responses 1'!$A$2:$A1000 &lt;= DATE(2024, 12, 31)))), 2), "-")
</f>
        <v>0.66</v>
      </c>
      <c r="O41" s="2">
        <f>IFERROR(ROUND(Data!B39/(SUMPRODUCT(('Form responses 1'!$B$2:$B1000 = A41) * ('Form responses 1'!$A$2:$A1000 &lt;= DATE(2025, 1, 31)))
+ SUMPRODUCT(('Form responses 1'!$C$2:$C1000 = A41) * ('Form responses 1'!$A$2:$A1000 &lt;= DATE(2025, 1, 31)))
+ SUMPRODUCT(('Form responses 1'!$D$2:$D1000 = A41) * ('Form responses 1'!$A$2:$A1000 &lt;= DATE(2025, 1, 31)))
+ SUMPRODUCT(('Form responses 1'!$E$2:$E1000 = A41) * ('Form responses 1'!$A$2:$A1000 &lt;= DATE(2025, 1, 31)))
+ SUMPRODUCT(('Form responses 1'!$F$2:$F1000 = A41) * ('Form responses 1'!$A$2:$A1000 &lt;= DATE(2025, 1, 31)))
+ SUMPRODUCT(('Form responses 1'!$G$2:$G1000 = A41) * ('Form responses 1'!$A$2:$A1000 &lt;= DATE(2025, 1, 31)))), 2), "-")
</f>
        <v>0.66</v>
      </c>
      <c r="P41" s="2">
        <f>IFERROR(ROUND(Data!B39/(SUMPRODUCT(('Form responses 1'!$B$2:$B1000 = A41) * ('Form responses 1'!$A$2:$A1000 &lt;= DATE(2025, 2, 28)))
+ SUMPRODUCT(('Form responses 1'!$C$2:$C1000 = A41) * ('Form responses 1'!$A$2:$A1000 &lt;= DATE(2025, 2, 28)))
+ SUMPRODUCT(('Form responses 1'!$D$2:$D1000 = A41) * ('Form responses 1'!$A$2:$A1000 &lt;= DATE(2025, 2, 28)))
+ SUMPRODUCT(('Form responses 1'!$E$2:$E1000 = A41) * ('Form responses 1'!$A$2:$A1000 &lt;= DATE(2025, 2, 28)))
+ SUMPRODUCT(('Form responses 1'!$F$2:$F1000 = A41) * ('Form responses 1'!$A$2:$A1000 &lt;= DATE(2025, 2, 28)))
+ SUMPRODUCT(('Form responses 1'!$G$2:$G1000 = A41) * ('Form responses 1'!$A$2:$A1000 &lt;= DATE(2025, 2, 28)))), 2), "-")
</f>
        <v>0.66</v>
      </c>
      <c r="Q41" s="2">
        <f>IFERROR(ROUND(Data!B39/(SUMPRODUCT(('Form responses 1'!$B$2:$B1000 = A41) * ('Form responses 1'!$A$2:$A1000 &lt;= DATE(2025, 3, 31)))
+ SUMPRODUCT(('Form responses 1'!$C$2:$C1000 = A41) * ('Form responses 1'!$A$2:$A1000 &lt;= DATE(2025, 3, 31)))
+ SUMPRODUCT(('Form responses 1'!$D$2:$D1000 = A41) * ('Form responses 1'!$A$2:$A1000 &lt;= DATE(2025, 3, 31)))
+ SUMPRODUCT(('Form responses 1'!$E$2:$E1000 = A41) * ('Form responses 1'!$A$2:$A1000 &lt;= DATE(2025, 3, 31)))
+ SUMPRODUCT(('Form responses 1'!$F$2:$F1000 = A41) * ('Form responses 1'!$A$2:$A1000 &lt;= DATE(2025, 3, 31)))
+ SUMPRODUCT(('Form responses 1'!$G$2:$G1000 = A41) * ('Form responses 1'!$A$2:$A1000 &lt;= DATE(2025, 3, 31)))),2),"-")</f>
        <v>0.65</v>
      </c>
      <c r="R41" s="2">
        <f>IFERROR(ROUND(Data!B39/(SUMPRODUCT(('Form responses 1'!$B$2:$B1000 = A41) * ('Form responses 1'!$A$2:$A1000 &lt;= DATE(2025, 4, 30)))
+ SUMPRODUCT(('Form responses 1'!$C$2:$C1000 = A41) * ('Form responses 1'!$A$2:$A1000 &lt;= DATE(2025, 4, 30)))
+ SUMPRODUCT(('Form responses 1'!$D$2:$D1000 = A41) * ('Form responses 1'!$A$2:$A1000 &lt;= DATE(2025, 4, 30)))
+ SUMPRODUCT(('Form responses 1'!$E$2:$E1000 = A41) * ('Form responses 1'!$A$2:$A1000 &lt;= DATE(2025, 4, 30)))
+ SUMPRODUCT(('Form responses 1'!$F$2:$F1000 = A41) * ('Form responses 1'!$A$2:$A1000 &lt;= DATE(2025, 4, 30)))
+ SUMPRODUCT(('Form responses 1'!$G$2:$G1000 = A41) * ('Form responses 1'!$A$2:$A1000 &lt;= DATE(2025, 4, 30)))), 2), "-")
</f>
        <v>0.63</v>
      </c>
      <c r="S41" s="2">
        <f>IFERROR(ROUND(Data!B39/(SUMPRODUCT(('Form responses 1'!$B$2:$B1000 = A41) * ('Form responses 1'!$A$2:$A1000 &lt;= DATE(2025, 5, 31)))
+ SUMPRODUCT(('Form responses 1'!$C$2:$C1000 = A41) * ('Form responses 1'!$A$2:$A1000 &lt;= DATE(2025, 5, 31)))
+ SUMPRODUCT(('Form responses 1'!$D$2:$D1000 = A41) * ('Form responses 1'!$A$2:$A1000 &lt;= DATE(2025, 5, 31)))
+ SUMPRODUCT(('Form responses 1'!$E$2:$E1000 = A41) * ('Form responses 1'!$A$2:$A1000 &lt;= DATE(2025, 5, 31)))
+ SUMPRODUCT(('Form responses 1'!$F$2:$F1000 = A41) * ('Form responses 1'!$A$2:$A1000 &lt;= DATE(2025, 5, 31)))
+ SUMPRODUCT(('Form responses 1'!$G$2:$G1000 = A41) * ('Form responses 1'!$A$2:$A1000 &lt;= DATE(2025, 5, 31)))), 2), "-")
</f>
        <v>0.63</v>
      </c>
      <c r="T41" s="2">
        <f>IFERROR(ROUND(Data!B39/(SUMPRODUCT(('Form responses 1'!$B$2:$B1000 = A41) * ('Form responses 1'!$A$2:$A1000 &lt;= DATE(2025, 6, 30)))
+ SUMPRODUCT(('Form responses 1'!$C$2:$C1000 = A41) * ('Form responses 1'!$A$2:$A1000 &lt;= DATE(2025, 6, 30)))
+ SUMPRODUCT(('Form responses 1'!$D$2:$D1000 = A41) * ('Form responses 1'!$A$2:$A1000 &lt;= DATE(2025, 6, 30)))
+ SUMPRODUCT(('Form responses 1'!$E$2:$E1000 = A41) * ('Form responses 1'!$A$2:$A1000 &lt;= DATE(2025, 6, 30)))
+ SUMPRODUCT(('Form responses 1'!$F$2:$F1000 = A41) * ('Form responses 1'!$A$2:$A1000 &lt;= DATE(2025, 6, 30)))
+ SUMPRODUCT(('Form responses 1'!$G$2:$G1000 = A41) * ('Form responses 1'!$A$2:$A1000 &lt;= DATE(2025, 6, 30)))), 2), "-")
</f>
        <v>0.63</v>
      </c>
      <c r="U41" s="2">
        <f>IFERROR(ROUND(Data!B39/(SUMPRODUCT(('Form responses 1'!$B$2:$B1000 = A41) * ('Form responses 1'!$A$2:$A1000 &lt;= DATE(2025, 7, 31)))
+ SUMPRODUCT(('Form responses 1'!$C$2:$C1000 = A41) * ('Form responses 1'!$A$2:$A1000 &lt;= DATE(2025, 7, 31)))
+ SUMPRODUCT(('Form responses 1'!$D$2:$D1000 = A41) * ('Form responses 1'!$A$2:$A1000 &lt;= DATE(2025, 7, 31)))
+ SUMPRODUCT(('Form responses 1'!$E$2:$E1000 = A41) * ('Form responses 1'!$A$2:$A1000 &lt;= DATE(2025, 7, 31)))
+ SUMPRODUCT(('Form responses 1'!$F$2:$F1000 = A41) * ('Form responses 1'!$A$2:$A1000 &lt;= DATE(2025, 7, 31)))
+ SUMPRODUCT(('Form responses 1'!$G$2:$G1000 = A41) * ('Form responses 1'!$A$2:$A1000 &lt;= DATE(2025, 7, 31)))), 2), "-")
</f>
        <v>0.63</v>
      </c>
      <c r="V41" s="2">
        <f>IFERROR(ROUND(Data!B39/(SUMPRODUCT(('Form responses 1'!$B$2:$B1000 = A41) * ('Form responses 1'!$A$2:$A1000 &lt;= DATE(2025, 8, 31)))
+ SUMPRODUCT(('Form responses 1'!$C$2:$C1000 = A41) * ('Form responses 1'!$A$2:$A1000 &lt;= DATE(2025, 8, 31)))
+ SUMPRODUCT(('Form responses 1'!$D$2:$D1000 = A41) * ('Form responses 1'!$A$2:$A1000 &lt;= DATE(2025, 8, 31)))
+ SUMPRODUCT(('Form responses 1'!$E$2:$E1000 = A41) * ('Form responses 1'!$A$2:$A1000 &lt;= DATE(2025, 8, 31)))
+ SUMPRODUCT(('Form responses 1'!$F$2:$F1000 = A41) * ('Form responses 1'!$A$2:$A1000 &lt;= DATE(2025, 8, 31)))
+ SUMPRODUCT(('Form responses 1'!$G$2:$G1000 = A41) * ('Form responses 1'!$A$2:$A1000 &lt;= DATE(2025, 8, 31)))), 2), "-")
</f>
        <v>0.63</v>
      </c>
      <c r="W41" s="2">
        <f>IFERROR(ROUND(Data!B39/(SUMPRODUCT(('Form responses 1'!$B$2:$B1000 = A41) * ('Form responses 1'!$A$2:$A1000 &lt;= DATE(2025, 9, 30)))
+ SUMPRODUCT(('Form responses 1'!$C$2:$C1000 = A41) * ('Form responses 1'!$A$2:$A1000 &lt;= DATE(2025, 9, 30)))
+ SUMPRODUCT(('Form responses 1'!$D$2:$D1000 = A41) * ('Form responses 1'!$A$2:$A1000 &lt;= DATE(2025, 9, 30)))
+ SUMPRODUCT(('Form responses 1'!$E$2:$E1000 = A41) * ('Form responses 1'!$A$2:$A1000 &lt;= DATE(2025, 9, 30)))
+ SUMPRODUCT(('Form responses 1'!$F$2:$F1000 = A41) * ('Form responses 1'!$A$2:$A1000 &lt;= DATE(2025, 9, 30)))
+ SUMPRODUCT(('Form responses 1'!$G$2:$G1000 = A41) * ('Form responses 1'!$A$2:$A1000 &lt;= DATE(2025, 9, 30)))), 2), "-")
</f>
        <v>0.63</v>
      </c>
      <c r="X41" s="2">
        <f>IFERROR(ROUND(Data!B39/(SUMPRODUCT(('Form responses 1'!$B$2:$B1000 = A41) * ('Form responses 1'!$A$2:$A1000 &lt;= DATE(2025, 10, 31)))
+ SUMPRODUCT(('Form responses 1'!$C$2:$C1000 = A41) * ('Form responses 1'!$A$2:$A1000 &lt;= DATE(2025, 10, 31)))
+ SUMPRODUCT(('Form responses 1'!$D$2:$D1000 = A41) * ('Form responses 1'!$A$2:$A1000 &lt;= DATE(2025, 10, 31)))
+ SUMPRODUCT(('Form responses 1'!$E$2:$E1000 = A41) * ('Form responses 1'!$A$2:$A1000 &lt;= DATE(2025, 10, 31)))
+ SUMPRODUCT(('Form responses 1'!$F$2:$F1000 = A41) * ('Form responses 1'!$A$2:$A1000 &lt;= DATE(2025, 10, 31)))
+ SUMPRODUCT(('Form responses 1'!$G$2:$G1000 = A41) * ('Form responses 1'!$A$2:$A1000 &lt;= DATE(2025, 10, 31)))), 2), "-")
</f>
        <v>0.63</v>
      </c>
      <c r="Y41" s="2">
        <f>IFERROR(ROUND(Data!B39/(SUMPRODUCT(('Form responses 1'!$B$2:$B1000 = A41) * ('Form responses 1'!$A$2:$A1000 &lt;= DATE(2025, 11, 30)))
+ SUMPRODUCT(('Form responses 1'!$C$2:$C1000 = A41) * ('Form responses 1'!$A$2:$A1000 &lt;= DATE(2025, 11, 30)))
+ SUMPRODUCT(('Form responses 1'!$D$2:$D1000 = A41) * ('Form responses 1'!$A$2:$A1000 &lt;= DATE(2025, 11, 30)))
+ SUMPRODUCT(('Form responses 1'!$E$2:$E1000 = A41) * ('Form responses 1'!$A$2:$A1000 &lt;= DATE(2025, 11, 30)))
+ SUMPRODUCT(('Form responses 1'!$F$2:$F1000 = A41) * ('Form responses 1'!$A$2:$A1000 &lt;= DATE(2025, 11, 30)))
+ SUMPRODUCT(('Form responses 1'!$G$2:$G1000 = A41) * ('Form responses 1'!$A$2:$A1000 &lt;= DATE(2025, 11, 30)))), 2), "-")
</f>
        <v>0.63</v>
      </c>
      <c r="Z41" s="2">
        <f>IFERROR(ROUND(Data!B39/(SUMPRODUCT(('Form responses 1'!$B$2:$B1000 = A41) * ('Form responses 1'!$A$2:$A1000 &lt;= DATE(2025, 12, 31)))
+ SUMPRODUCT(('Form responses 1'!$C$2:$C1000 = A41) * ('Form responses 1'!$A$2:$A1000 &lt;= DATE(2025, 12, 31)))
+ SUMPRODUCT(('Form responses 1'!$D$2:$D1000 = A41) * ('Form responses 1'!$A$2:$A1000 &lt;= DATE(2025, 12, 31)))
+ SUMPRODUCT(('Form responses 1'!$E$2:$E1000 = A41) * ('Form responses 1'!$A$2:$A1000 &lt;= DATE(2025, 12, 31)))
+ SUMPRODUCT(('Form responses 1'!$F$2:$F1000 = A41) * ('Form responses 1'!$A$2:$A1000 &lt;= DATE(2025, 12, 31)))
+ SUMPRODUCT(('Form responses 1'!$G$2:$G1000 = A41) * ('Form responses 1'!$A$2:$A1000 &lt;= DATE(2025, 12, 31)))), 2), "-")
</f>
        <v>0.61</v>
      </c>
      <c r="AA41" s="2">
        <f>IFERROR(ROUND(Data!$B41/(
  SUMPRODUCT(('Form responses 1'!$B$2:$B1000=$A41)*('Form responses 1'!$A$2:$A1000&lt;=EOMONTH(DATEVALUE("1 "&amp;AA$1),0)))+
  SUMPRODUCT(('Form responses 1'!$C$2:$C1000=$A41)*('Form responses 1'!$A$2:$A1000&lt;=EOMONTH(DATEVALUE("1 "&amp;AA$1),0)))+
  SUMPRODUCT(('Form responses 1'!$D$2:$D1000=$A41)*('Form responses 1'!$A$2:$A1000&lt;=EOMONTH(DATEVALUE("1 "&amp;AA$1),0)))+
  SUMPRODUCT(('Form responses 1'!$E$2:$E1000=$A41)*('Form responses 1'!$A$2:$A1000&lt;=EOMONTH(DATEVALUE("1 "&amp;AA$1),0)))+
  SUMPRODUCT(('Form responses 1'!$F$2:$F1000=$A41)*('Form responses 1'!$A$2:$A1000&lt;=EOMONTH(DATEVALUE("1 "&amp;AA$1),0)))+
  SUMPRODUCT(('Form responses 1'!$G$2:$G1000=$A41)*('Form responses 1'!$A$2:$A1000&lt;=EOMONTH(DATEVALUE("1 "&amp;AA$1),0)))
),2),"-")</f>
        <v>0.35</v>
      </c>
      <c r="AB41" s="2">
        <f>IFERROR(ROUND(Data!$B41/(
  SUMPRODUCT(('Form responses 1'!$B$2:$B1000=$A41)*('Form responses 1'!$A$2:$A1000&lt;=EOMONTH(DATEVALUE("1 "&amp;AB$1),0)))+
  SUMPRODUCT(('Form responses 1'!$C$2:$C1000=$A41)*('Form responses 1'!$A$2:$A1000&lt;=EOMONTH(DATEVALUE("1 "&amp;AB$1),0)))+
  SUMPRODUCT(('Form responses 1'!$D$2:$D1000=$A41)*('Form responses 1'!$A$2:$A1000&lt;=EOMONTH(DATEVALUE("1 "&amp;AB$1),0)))+
  SUMPRODUCT(('Form responses 1'!$E$2:$E1000=$A41)*('Form responses 1'!$A$2:$A1000&lt;=EOMONTH(DATEVALUE("1 "&amp;AB$1),0)))+
  SUMPRODUCT(('Form responses 1'!$F$2:$F1000=$A41)*('Form responses 1'!$A$2:$A1000&lt;=EOMONTH(DATEVALUE("1 "&amp;AB$1),0)))+
  SUMPRODUCT(('Form responses 1'!$G$2:$G1000=$A41)*('Form responses 1'!$A$2:$A1000&lt;=EOMONTH(DATEVALUE("1 "&amp;AB$1),0)))
),2),"-")</f>
        <v>0.35</v>
      </c>
      <c r="AC41" s="2">
        <f>IFERROR(ROUND(Data!$B41/(
  SUMPRODUCT(('Form responses 1'!$B$2:$B1000=$A41)*('Form responses 1'!$A$2:$A1000&lt;=EOMONTH(DATEVALUE("1 "&amp;AC$1),0)))+
  SUMPRODUCT(('Form responses 1'!$C$2:$C1000=$A41)*('Form responses 1'!$A$2:$A1000&lt;=EOMONTH(DATEVALUE("1 "&amp;AC$1),0)))+
  SUMPRODUCT(('Form responses 1'!$D$2:$D1000=$A41)*('Form responses 1'!$A$2:$A1000&lt;=EOMONTH(DATEVALUE("1 "&amp;AC$1),0)))+
  SUMPRODUCT(('Form responses 1'!$E$2:$E1000=$A41)*('Form responses 1'!$A$2:$A1000&lt;=EOMONTH(DATEVALUE("1 "&amp;AC$1),0)))+
  SUMPRODUCT(('Form responses 1'!$F$2:$F1000=$A41)*('Form responses 1'!$A$2:$A1000&lt;=EOMONTH(DATEVALUE("1 "&amp;AC$1),0)))+
  SUMPRODUCT(('Form responses 1'!$G$2:$G1000=$A41)*('Form responses 1'!$A$2:$A1000&lt;=EOMONTH(DATEVALUE("1 "&amp;AC$1),0)))
),2),"-")</f>
        <v>0.35</v>
      </c>
      <c r="AD41" s="2" t="str">
        <f>IFERROR(ROUND(Data!$B41/(
  SUMPRODUCT(('Form responses 1'!$B$2:$B1000=$A41)*('Form responses 1'!$A$2:$A1000&lt;=EOMONTH(DATEVALUE("1 "&amp;AD$1),0)))+
  SUMPRODUCT(('Form responses 1'!$C$2:$C1000=$A41)*('Form responses 1'!$A$2:$A1000&lt;=EOMONTH(DATEVALUE("1 "&amp;AD$1),0)))+
  SUMPRODUCT(('Form responses 1'!$D$2:$D1000=$A41)*('Form responses 1'!$A$2:$A1000&lt;=EOMONTH(DATEVALUE("1 "&amp;AD$1),0)))+
  SUMPRODUCT(('Form responses 1'!$E$2:$E1000=$A41)*('Form responses 1'!$A$2:$A1000&lt;=EOMONTH(DATEVALUE("1 "&amp;AD$1),0)))+
  SUMPRODUCT(('Form responses 1'!$F$2:$F1000=$A41)*('Form responses 1'!$A$2:$A1000&lt;=EOMONTH(DATEVALUE("1 "&amp;AD$1),0)))+
  SUMPRODUCT(('Form responses 1'!$G$2:$G1000=$A41)*('Form responses 1'!$A$2:$A1000&lt;=EOMONTH(DATEVALUE("1 "&amp;AD$1),0)))
),2),"-")</f>
        <v>-</v>
      </c>
      <c r="AE41" s="2" t="str">
        <f>IFERROR(ROUND(Data!$B41/(
  SUMPRODUCT(('Form responses 1'!$B$2:$B1000=$A41)*('Form responses 1'!$A$2:$A1000&lt;=EOMONTH(DATEVALUE("1 "&amp;AE$1),0)))+
  SUMPRODUCT(('Form responses 1'!$C$2:$C1000=$A41)*('Form responses 1'!$A$2:$A1000&lt;=EOMONTH(DATEVALUE("1 "&amp;AE$1),0)))+
  SUMPRODUCT(('Form responses 1'!$D$2:$D1000=$A41)*('Form responses 1'!$A$2:$A1000&lt;=EOMONTH(DATEVALUE("1 "&amp;AE$1),0)))+
  SUMPRODUCT(('Form responses 1'!$E$2:$E1000=$A41)*('Form responses 1'!$A$2:$A1000&lt;=EOMONTH(DATEVALUE("1 "&amp;AE$1),0)))+
  SUMPRODUCT(('Form responses 1'!$F$2:$F1000=$A41)*('Form responses 1'!$A$2:$A1000&lt;=EOMONTH(DATEVALUE("1 "&amp;AE$1),0)))+
  SUMPRODUCT(('Form responses 1'!$G$2:$G1000=$A41)*('Form responses 1'!$A$2:$A1000&lt;=EOMONTH(DATEVALUE("1 "&amp;AE$1),0)))
),2),"-")</f>
        <v>-</v>
      </c>
      <c r="AF41" s="2" t="str">
        <f>IFERROR(ROUND(Data!$B41/(
  SUMPRODUCT(('Form responses 1'!$B$2:$B1000=$A41)*('Form responses 1'!$A$2:$A1000&lt;=EOMONTH(DATEVALUE("1 "&amp;AF$1),0)))+
  SUMPRODUCT(('Form responses 1'!$C$2:$C1000=$A41)*('Form responses 1'!$A$2:$A1000&lt;=EOMONTH(DATEVALUE("1 "&amp;AF$1),0)))+
  SUMPRODUCT(('Form responses 1'!$D$2:$D1000=$A41)*('Form responses 1'!$A$2:$A1000&lt;=EOMONTH(DATEVALUE("1 "&amp;AF$1),0)))+
  SUMPRODUCT(('Form responses 1'!$E$2:$E1000=$A41)*('Form responses 1'!$A$2:$A1000&lt;=EOMONTH(DATEVALUE("1 "&amp;AF$1),0)))+
  SUMPRODUCT(('Form responses 1'!$F$2:$F1000=$A41)*('Form responses 1'!$A$2:$A1000&lt;=EOMONTH(DATEVALUE("1 "&amp;AF$1),0)))+
  SUMPRODUCT(('Form responses 1'!$G$2:$G1000=$A41)*('Form responses 1'!$A$2:$A1000&lt;=EOMONTH(DATEVALUE("1 "&amp;AF$1),0)))
),2),"-")</f>
        <v>-</v>
      </c>
      <c r="AG41" s="2" t="str">
        <f>IFERROR(ROUND(Data!$B41/(
  SUMPRODUCT(('Form responses 1'!$B$2:$B1000=$A41)*('Form responses 1'!$A$2:$A1000&lt;=EOMONTH(DATEVALUE("1 "&amp;AG$1),0)))+
  SUMPRODUCT(('Form responses 1'!$C$2:$C1000=$A41)*('Form responses 1'!$A$2:$A1000&lt;=EOMONTH(DATEVALUE("1 "&amp;AG$1),0)))+
  SUMPRODUCT(('Form responses 1'!$D$2:$D1000=$A41)*('Form responses 1'!$A$2:$A1000&lt;=EOMONTH(DATEVALUE("1 "&amp;AG$1),0)))+
  SUMPRODUCT(('Form responses 1'!$E$2:$E1000=$A41)*('Form responses 1'!$A$2:$A1000&lt;=EOMONTH(DATEVALUE("1 "&amp;AG$1),0)))+
  SUMPRODUCT(('Form responses 1'!$F$2:$F1000=$A41)*('Form responses 1'!$A$2:$A1000&lt;=EOMONTH(DATEVALUE("1 "&amp;AG$1),0)))+
  SUMPRODUCT(('Form responses 1'!$G$2:$G1000=$A41)*('Form responses 1'!$A$2:$A1000&lt;=EOMONTH(DATEVALUE("1 "&amp;AG$1),0)))
),2),"-")</f>
        <v>-</v>
      </c>
      <c r="AH41" s="2" t="str">
        <f>IFERROR(ROUND(Data!$B41/(
  SUMPRODUCT(('Form responses 1'!$B$2:$B1000=$A41)*('Form responses 1'!$A$2:$A1000&lt;=EOMONTH(DATEVALUE("1 "&amp;AH$1),0)))+
  SUMPRODUCT(('Form responses 1'!$C$2:$C1000=$A41)*('Form responses 1'!$A$2:$A1000&lt;=EOMONTH(DATEVALUE("1 "&amp;AH$1),0)))+
  SUMPRODUCT(('Form responses 1'!$D$2:$D1000=$A41)*('Form responses 1'!$A$2:$A1000&lt;=EOMONTH(DATEVALUE("1 "&amp;AH$1),0)))+
  SUMPRODUCT(('Form responses 1'!$E$2:$E1000=$A41)*('Form responses 1'!$A$2:$A1000&lt;=EOMONTH(DATEVALUE("1 "&amp;AH$1),0)))+
  SUMPRODUCT(('Form responses 1'!$F$2:$F1000=$A41)*('Form responses 1'!$A$2:$A1000&lt;=EOMONTH(DATEVALUE("1 "&amp;AH$1),0)))+
  SUMPRODUCT(('Form responses 1'!$G$2:$G1000=$A41)*('Form responses 1'!$A$2:$A1000&lt;=EOMONTH(DATEVALUE("1 "&amp;AH$1),0)))
),2),"-")</f>
        <v>-</v>
      </c>
      <c r="AI41" s="2" t="str">
        <f>IFERROR(ROUND(Data!$B41/(
  SUMPRODUCT(('Form responses 1'!$B$2:$B1000=$A41)*('Form responses 1'!$A$2:$A1000&lt;=EOMONTH(DATEVALUE("1 "&amp;AI$1),0)))+
  SUMPRODUCT(('Form responses 1'!$C$2:$C1000=$A41)*('Form responses 1'!$A$2:$A1000&lt;=EOMONTH(DATEVALUE("1 "&amp;AI$1),0)))+
  SUMPRODUCT(('Form responses 1'!$D$2:$D1000=$A41)*('Form responses 1'!$A$2:$A1000&lt;=EOMONTH(DATEVALUE("1 "&amp;AI$1),0)))+
  SUMPRODUCT(('Form responses 1'!$E$2:$E1000=$A41)*('Form responses 1'!$A$2:$A1000&lt;=EOMONTH(DATEVALUE("1 "&amp;AI$1),0)))+
  SUMPRODUCT(('Form responses 1'!$F$2:$F1000=$A41)*('Form responses 1'!$A$2:$A1000&lt;=EOMONTH(DATEVALUE("1 "&amp;AI$1),0)))+
  SUMPRODUCT(('Form responses 1'!$G$2:$G1000=$A41)*('Form responses 1'!$A$2:$A1000&lt;=EOMONTH(DATEVALUE("1 "&amp;AI$1),0)))
),2),"-")</f>
        <v>-</v>
      </c>
      <c r="AJ41" s="2" t="str">
        <f>IFERROR(ROUND(Data!$B41/(
  SUMPRODUCT(('Form responses 1'!$B$2:$B1000=$A41)*('Form responses 1'!$A$2:$A1000&lt;=EOMONTH(DATEVALUE("1 "&amp;AJ$1),0)))+
  SUMPRODUCT(('Form responses 1'!$C$2:$C1000=$A41)*('Form responses 1'!$A$2:$A1000&lt;=EOMONTH(DATEVALUE("1 "&amp;AJ$1),0)))+
  SUMPRODUCT(('Form responses 1'!$D$2:$D1000=$A41)*('Form responses 1'!$A$2:$A1000&lt;=EOMONTH(DATEVALUE("1 "&amp;AJ$1),0)))+
  SUMPRODUCT(('Form responses 1'!$E$2:$E1000=$A41)*('Form responses 1'!$A$2:$A1000&lt;=EOMONTH(DATEVALUE("1 "&amp;AJ$1),0)))+
  SUMPRODUCT(('Form responses 1'!$F$2:$F1000=$A41)*('Form responses 1'!$A$2:$A1000&lt;=EOMONTH(DATEVALUE("1 "&amp;AJ$1),0)))+
  SUMPRODUCT(('Form responses 1'!$G$2:$G1000=$A41)*('Form responses 1'!$A$2:$A1000&lt;=EOMONTH(DATEVALUE("1 "&amp;AJ$1),0)))
),2),"-")</f>
        <v>-</v>
      </c>
      <c r="AK41" s="2" t="str">
        <f>IFERROR(ROUND(Data!$B41/(
  SUMPRODUCT(('Form responses 1'!$B$2:$B1000=$A41)*('Form responses 1'!$A$2:$A1000&lt;=EOMONTH(DATEVALUE("1 "&amp;AK$1),0)))+
  SUMPRODUCT(('Form responses 1'!$C$2:$C1000=$A41)*('Form responses 1'!$A$2:$A1000&lt;=EOMONTH(DATEVALUE("1 "&amp;AK$1),0)))+
  SUMPRODUCT(('Form responses 1'!$D$2:$D1000=$A41)*('Form responses 1'!$A$2:$A1000&lt;=EOMONTH(DATEVALUE("1 "&amp;AK$1),0)))+
  SUMPRODUCT(('Form responses 1'!$E$2:$E1000=$A41)*('Form responses 1'!$A$2:$A1000&lt;=EOMONTH(DATEVALUE("1 "&amp;AK$1),0)))+
  SUMPRODUCT(('Form responses 1'!$F$2:$F1000=$A41)*('Form responses 1'!$A$2:$A1000&lt;=EOMONTH(DATEVALUE("1 "&amp;AK$1),0)))+
  SUMPRODUCT(('Form responses 1'!$G$2:$G1000=$A41)*('Form responses 1'!$A$2:$A1000&lt;=EOMONTH(DATEVALUE("1 "&amp;AK$1),0)))
),2),"-")</f>
        <v>-</v>
      </c>
      <c r="AL41" s="2" t="str">
        <f>IFERROR(ROUND(Data!$B41/(
  SUMPRODUCT(('Form responses 1'!$B$2:$B1000=$A41)*('Form responses 1'!$A$2:$A1000&lt;=EOMONTH(DATEVALUE("1 "&amp;AL$1),0)))+
  SUMPRODUCT(('Form responses 1'!$C$2:$C1000=$A41)*('Form responses 1'!$A$2:$A1000&lt;=EOMONTH(DATEVALUE("1 "&amp;AL$1),0)))+
  SUMPRODUCT(('Form responses 1'!$D$2:$D1000=$A41)*('Form responses 1'!$A$2:$A1000&lt;=EOMONTH(DATEVALUE("1 "&amp;AL$1),0)))+
  SUMPRODUCT(('Form responses 1'!$E$2:$E1000=$A41)*('Form responses 1'!$A$2:$A1000&lt;=EOMONTH(DATEVALUE("1 "&amp;AL$1),0)))+
  SUMPRODUCT(('Form responses 1'!$F$2:$F1000=$A41)*('Form responses 1'!$A$2:$A1000&lt;=EOMONTH(DATEVALUE("1 "&amp;AL$1),0)))+
  SUMPRODUCT(('Form responses 1'!$G$2:$G1000=$A41)*('Form responses 1'!$A$2:$A1000&lt;=EOMONTH(DATEVALUE("1 "&amp;AL$1),0)))
),2),"-")</f>
        <v>-</v>
      </c>
    </row>
    <row r="42">
      <c r="A42" s="3" t="str">
        <f>IFERROR(__xludf.DUMMYFUNCTION("""COMPUTED_VALUE"""),"Bruine trui")</f>
        <v>Bruine trui</v>
      </c>
      <c r="B42" s="2">
        <f>Data!F40:F1000</f>
        <v>0.31</v>
      </c>
      <c r="C42" s="2" t="str">
        <f>IFERROR(ROUND(Data!B40/(SUMPRODUCT(('Form responses 1'!$B$2:$B1000 = A42) * ('Form responses 1'!$A$2:$A1000 &lt;= DATE(2024, 1, 31)))
+ SUMPRODUCT(('Form responses 1'!$C$2:$C1000 = A42) * ('Form responses 1'!$A$2:$A1000 &lt;= DATE(2024, 1, 31)))
+ SUMPRODUCT(('Form responses 1'!$D$2:$D1000 = A42) * ('Form responses 1'!$A$2:$A1000 &lt;= DATE(2024, 1, 31)))
+ SUMPRODUCT(('Form responses 1'!$E$2:$E1000 = A42) * ('Form responses 1'!$A$2:$A1000 &lt;= DATE(2024, 1, 31)))
+ SUMPRODUCT(('Form responses 1'!$F$2:$F1000 = A42) * ('Form responses 1'!$A$2:$A1000 &lt;= DATE(2024, 1, 31)))
+ SUMPRODUCT(('Form responses 1'!$G$2:$G1000 = A42) * ('Form responses 1'!$A$2:$A1000 &lt;= DATE(2024, 1, 31)))), 2), "-")
</f>
        <v>-</v>
      </c>
      <c r="D42" s="2" t="str">
        <f>IFERROR(ROUND(Data!B40/(SUMPRODUCT(('Form responses 1'!$B$2:$B1000 = A42) * ('Form responses 1'!$A$2:$A1000 &lt;= DATE(2024, 2, 29)))
+ SUMPRODUCT(('Form responses 1'!$C$2:$C1000 = A42) * ('Form responses 1'!$A$2:$A1000 &lt;= DATE(2024, 2, 29)))
+ SUMPRODUCT(('Form responses 1'!$D$2:$D1000 = A42) * ('Form responses 1'!$A$2:$A1000 &lt;= DATE(2024, 2, 29)))
+ SUMPRODUCT(('Form responses 1'!$E$2:$E1000 = A42) * ('Form responses 1'!$A$2:$A1000 &lt;= DATE(2024, 2, 29)))
+ SUMPRODUCT(('Form responses 1'!$F$2:$F1000 = A42) * ('Form responses 1'!$A$2:$A1000 &lt;= DATE(2024, 2, 29)))
+ SUMPRODUCT(('Form responses 1'!$G$2:$G1000 = A42) * ('Form responses 1'!$A$2:$A1000 &lt;= DATE(2024, 2, 29)))), 2), "-")
</f>
        <v>-</v>
      </c>
      <c r="E42" s="2" t="str">
        <f>IFERROR(ROUND(Data!B40/(SUMPRODUCT(('Form responses 1'!$B$2:$B1000 = A42) * ('Form responses 1'!$A$2:$A1000 &lt;= DATE(2024, 3, 31)))
+ SUMPRODUCT(('Form responses 1'!$C$2:$C1000 = A42) * ('Form responses 1'!$A$2:$A1000 &lt;= DATE(2024, 3, 31)))
+ SUMPRODUCT(('Form responses 1'!$D$2:$D1000 = A42) * ('Form responses 1'!$A$2:$A1000 &lt;= DATE(2024, 3, 31)))
+ SUMPRODUCT(('Form responses 1'!$E$2:$E1000 = A42) * ('Form responses 1'!$A$2:$A1000 &lt;= DATE(2024, 3, 31)))
+ SUMPRODUCT(('Form responses 1'!$F$2:$F1000 = A42) * ('Form responses 1'!$A$2:$A1000 &lt;= DATE(2024, 3, 31)))
+ SUMPRODUCT(('Form responses 1'!$G$2:$G1000 = A42) * ('Form responses 1'!$A$2:$A1000 &lt;= DATE(2024, 3, 31)))), 2), "-")
</f>
        <v>-</v>
      </c>
      <c r="F42" s="2" t="str">
        <f>IFERROR(ROUND(Data!B40/(SUMPRODUCT(('Form responses 1'!$B$2:$B1000 = A42) * ('Form responses 1'!$A$2:$A1000 &lt;= DATE(2024, 4, 30)))
+ SUMPRODUCT(('Form responses 1'!$C$2:$C1000 = A42) * ('Form responses 1'!$A$2:$A1000 &lt;= DATE(2024, 4, 30)))
+ SUMPRODUCT(('Form responses 1'!$D$2:$D1000 = A42) * ('Form responses 1'!$A$2:$A1000 &lt;= DATE(2024, 4, 30)))
+ SUMPRODUCT(('Form responses 1'!$E$2:$E1000 = A42) * ('Form responses 1'!$A$2:$A1000 &lt;= DATE(2024, 4, 30)))
+ SUMPRODUCT(('Form responses 1'!$F$2:$F1000 = A42) * ('Form responses 1'!$A$2:$A1000 &lt;= DATE(2024, 4, 30)))
+ SUMPRODUCT(('Form responses 1'!$G$2:$G1000 = A42) * ('Form responses 1'!$A$2:$A1000 &lt;= DATE(2024, 4, 30)))), 2), "-")
</f>
        <v>-</v>
      </c>
      <c r="G42" s="2" t="str">
        <f>IFERROR(ROUND(Data!B40/(SUMPRODUCT(('Form responses 1'!$B$2:$B1000 = A42) * ('Form responses 1'!$A$2:$A1000 &lt;= DATE(2024, 5, 31)))
+ SUMPRODUCT(('Form responses 1'!$C$2:$C1000 = A42) * ('Form responses 1'!$A$2:$A1000 &lt;= DATE(2024, 5, 31)))
+ SUMPRODUCT(('Form responses 1'!$D$2:$D1000 = A42) * ('Form responses 1'!$A$2:$A1000 &lt;= DATE(2024, 5, 31)))
+ SUMPRODUCT(('Form responses 1'!$E$2:$E1000 = A42) * ('Form responses 1'!$A$2:$A1000 &lt;= DATE(2024, 5, 31)))
+ SUMPRODUCT(('Form responses 1'!$F$2:$F1000 = A42) * ('Form responses 1'!$A$2:$A1000 &lt;= DATE(2024, 5, 31)))
+ SUMPRODUCT(('Form responses 1'!$G$2:$G1000 = A42) * ('Form responses 1'!$A$2:$A1000 &lt;= DATE(2024, 5, 31)))), 2), "-")
</f>
        <v>-</v>
      </c>
      <c r="H42" s="2" t="str">
        <f>IFERROR(ROUND(Data!B40/(SUMPRODUCT(('Form responses 1'!$B$2:$B1000 = A42) * ('Form responses 1'!$A$2:$A1000 &lt;= DATE(2024, 6, 30)))
+ SUMPRODUCT(('Form responses 1'!$C$2:$C1000 = A42) * ('Form responses 1'!$A$2:$A1000 &lt;= DATE(2024, 6, 30)))
+ SUMPRODUCT(('Form responses 1'!$D$2:$D1000 = A42) * ('Form responses 1'!$A$2:$A1000 &lt;= DATE(2024, 6, 30)))
+ SUMPRODUCT(('Form responses 1'!$E$2:$E1000 = A42) * ('Form responses 1'!$A$2:$A1000 &lt;= DATE(2024, 6, 30)))
+ SUMPRODUCT(('Form responses 1'!$F$2:$F1000 = A42) * ('Form responses 1'!$A$2:$A1000 &lt;= DATE(2024, 6, 30)))
+ SUMPRODUCT(('Form responses 1'!$G$2:$G1000 = A42) * ('Form responses 1'!$A$2:$A1000 &lt;= DATE(2024, 6, 30)))), 2), "-")
</f>
        <v>-</v>
      </c>
      <c r="I42" s="2" t="str">
        <f>IFERROR(ROUND(Data!B40/(SUMPRODUCT(('Form responses 1'!$B$2:$B1000 = A42) * ('Form responses 1'!$A$2:$A1000 &lt;= DATE(2024, 7, 31)))
+ SUMPRODUCT(('Form responses 1'!$C$2:$C1000 = A42) * ('Form responses 1'!$A$2:$A1000 &lt;= DATE(2024, 7, 31)))
+ SUMPRODUCT(('Form responses 1'!$D$2:$D1000 = A42) * ('Form responses 1'!$A$2:$A1000 &lt;= DATE(2024, 7, 31)))
+ SUMPRODUCT(('Form responses 1'!$E$2:$E1000 = A42) * ('Form responses 1'!$A$2:$A1000 &lt;= DATE(2024, 7, 31)))
+ SUMPRODUCT(('Form responses 1'!$F$2:$F1000 = A42) * ('Form responses 1'!$A$2:$A1000 &lt;= DATE(2024, 7, 31)))
+ SUMPRODUCT(('Form responses 1'!$G$2:$G1000 = A42) * ('Form responses 1'!$A$2:$A1000 &lt;= DATE(2024, 7, 31)))), 2), "-")
</f>
        <v>-</v>
      </c>
      <c r="J42" s="2" t="str">
        <f>IFERROR(ROUND(Data!B40/(SUMPRODUCT(('Form responses 1'!$B$2:$B1000 = A42) * ('Form responses 1'!$A$2:$A1000 &lt;= DATE(2024, 8, 31)))
+ SUMPRODUCT(('Form responses 1'!$C$2:$C1000 = A42) * ('Form responses 1'!$A$2:$A1000 &lt;= DATE(2024, 8, 31)))
+ SUMPRODUCT(('Form responses 1'!$D$2:$D1000 = A42) * ('Form responses 1'!$A$2:$A1000 &lt;= DATE(2024, 8, 31)))
+ SUMPRODUCT(('Form responses 1'!$E$2:$E1000 = A42) * ('Form responses 1'!$A$2:$A1000 &lt;= DATE(2024, 8, 31)))
+ SUMPRODUCT(('Form responses 1'!$F$2:$F1000 = A42) * ('Form responses 1'!$A$2:$A1000 &lt;= DATE(2024, 8, 31)))
+ SUMPRODUCT(('Form responses 1'!$G$2:$G1000 = A42) * ('Form responses 1'!$A$2:$A1000 &lt;= DATE(2024, 8, 31)))), 2), "-")
</f>
        <v>-</v>
      </c>
      <c r="K42" s="2">
        <f>IFERROR(ROUND(Data!B40/(SUMPRODUCT(('Form responses 1'!$B$2:$B1000 = A42) * ('Form responses 1'!$A$2:$A1000 &lt;= DATE(2024, 9, 30)))
+ SUMPRODUCT(('Form responses 1'!$C$2:$C1000 = A42) * ('Form responses 1'!$A$2:$A1000 &lt;= DATE(2024, 9, 30)))
+ SUMPRODUCT(('Form responses 1'!$D$2:$D1000 = A42) * ('Form responses 1'!$A$2:$A1000 &lt;= DATE(2024, 9, 30)))
+ SUMPRODUCT(('Form responses 1'!$E$2:$E1000 = A42) * ('Form responses 1'!$A$2:$A1000 &lt;= DATE(2024, 9, 30)))
+ SUMPRODUCT(('Form responses 1'!$F$2:$F1000 = A42) * ('Form responses 1'!$A$2:$A1000 &lt;= DATE(2024, 9, 30)))
+ SUMPRODUCT(('Form responses 1'!$G$2:$G1000 = A42) * ('Form responses 1'!$A$2:$A1000 &lt;= DATE(2024, 9, 30)))), 2), "-")
</f>
        <v>13.33</v>
      </c>
      <c r="L42" s="2">
        <f>IFERROR(ROUND(Data!B40/(SUMPRODUCT(('Form responses 1'!$B$2:$B1000 = A42) * ('Form responses 1'!$A$2:$A1000 &lt;= DATE(2024, 10, 31)))
+ SUMPRODUCT(('Form responses 1'!$C$2:$C1000 = A42) * ('Form responses 1'!$A$2:$A1000 &lt;= DATE(2024, 10, 31)))
+ SUMPRODUCT(('Form responses 1'!$D$2:$D1000 = A42) * ('Form responses 1'!$A$2:$A1000 &lt;= DATE(2024, 10, 31)))
+ SUMPRODUCT(('Form responses 1'!$E$2:$E1000 = A42) * ('Form responses 1'!$A$2:$A1000 &lt;= DATE(2024, 10, 31)))
+ SUMPRODUCT(('Form responses 1'!$F$2:$F1000 = A42) * ('Form responses 1'!$A$2:$A1000 &lt;= DATE(2024, 10, 31)))
+ SUMPRODUCT(('Form responses 1'!$G$2:$G1000 = A42) * ('Form responses 1'!$A$2:$A1000 &lt;= DATE(2024, 10, 31)))), 2), "-")
</f>
        <v>6.67</v>
      </c>
      <c r="M42" s="2">
        <f>IFERROR(ROUND(Data!B40/(SUMPRODUCT(('Form responses 1'!$B$2:$B1000 = A42) * ('Form responses 1'!$A$2:$A1000 &lt;= DATE(2024, 11, 30)))
+ SUMPRODUCT(('Form responses 1'!$C$2:$C1000 = A42) * ('Form responses 1'!$A$2:$A1000 &lt;= DATE(2024, 11, 30)))
+ SUMPRODUCT(('Form responses 1'!$D$2:$D1000 = A42) * ('Form responses 1'!$A$2:$A1000 &lt;= DATE(2024, 11, 30)))
+ SUMPRODUCT(('Form responses 1'!$E$2:$E1000 = A42) * ('Form responses 1'!$A$2:$A1000 &lt;= DATE(2024, 11, 30)))
+ SUMPRODUCT(('Form responses 1'!$F$2:$F1000 = A42) * ('Form responses 1'!$A$2:$A1000 &lt;= DATE(2024, 11, 30)))
+ SUMPRODUCT(('Form responses 1'!$G$2:$G1000 = A42) * ('Form responses 1'!$A$2:$A1000 &lt;= DATE(2024, 11, 30)))), 2), "-")
</f>
        <v>5.71</v>
      </c>
      <c r="N42" s="2">
        <f>IFERROR(ROUND(Data!B40/(SUMPRODUCT(('Form responses 1'!$B$2:$B1000 = A42) * ('Form responses 1'!$A$2:$A1000 &lt;= DATE(2024, 12, 31)))
+ SUMPRODUCT(('Form responses 1'!$C$2:$C1000 = A42) * ('Form responses 1'!$A$2:$A1000 &lt;= DATE(2024, 12, 31)))
+ SUMPRODUCT(('Form responses 1'!$D$2:$D1000 = A42) * ('Form responses 1'!$A$2:$A1000 &lt;= DATE(2024, 12, 31)))
+ SUMPRODUCT(('Form responses 1'!$E$2:$E1000 = A42) * ('Form responses 1'!$A$2:$A1000 &lt;= DATE(2024, 12, 31)))
+ SUMPRODUCT(('Form responses 1'!$F$2:$F1000 = A42) * ('Form responses 1'!$A$2:$A1000 &lt;= DATE(2024, 12, 31)))
+ SUMPRODUCT(('Form responses 1'!$G$2:$G1000 = A42) * ('Form responses 1'!$A$2:$A1000 &lt;= DATE(2024, 12, 31)))), 2), "-")
</f>
        <v>5.71</v>
      </c>
      <c r="O42" s="2">
        <f>IFERROR(ROUND(Data!B40/(SUMPRODUCT(('Form responses 1'!$B$2:$B1000 = A42) * ('Form responses 1'!$A$2:$A1000 &lt;= DATE(2025, 1, 31)))
+ SUMPRODUCT(('Form responses 1'!$C$2:$C1000 = A42) * ('Form responses 1'!$A$2:$A1000 &lt;= DATE(2025, 1, 31)))
+ SUMPRODUCT(('Form responses 1'!$D$2:$D1000 = A42) * ('Form responses 1'!$A$2:$A1000 &lt;= DATE(2025, 1, 31)))
+ SUMPRODUCT(('Form responses 1'!$E$2:$E1000 = A42) * ('Form responses 1'!$A$2:$A1000 &lt;= DATE(2025, 1, 31)))
+ SUMPRODUCT(('Form responses 1'!$F$2:$F1000 = A42) * ('Form responses 1'!$A$2:$A1000 &lt;= DATE(2025, 1, 31)))
+ SUMPRODUCT(('Form responses 1'!$G$2:$G1000 = A42) * ('Form responses 1'!$A$2:$A1000 &lt;= DATE(2025, 1, 31)))), 2), "-")
</f>
        <v>4</v>
      </c>
      <c r="P42" s="2">
        <f>IFERROR(ROUND(Data!B40/(SUMPRODUCT(('Form responses 1'!$B$2:$B1000 = A42) * ('Form responses 1'!$A$2:$A1000 &lt;= DATE(2025, 2, 28)))
+ SUMPRODUCT(('Form responses 1'!$C$2:$C1000 = A42) * ('Form responses 1'!$A$2:$A1000 &lt;= DATE(2025, 2, 28)))
+ SUMPRODUCT(('Form responses 1'!$D$2:$D1000 = A42) * ('Form responses 1'!$A$2:$A1000 &lt;= DATE(2025, 2, 28)))
+ SUMPRODUCT(('Form responses 1'!$E$2:$E1000 = A42) * ('Form responses 1'!$A$2:$A1000 &lt;= DATE(2025, 2, 28)))
+ SUMPRODUCT(('Form responses 1'!$F$2:$F1000 = A42) * ('Form responses 1'!$A$2:$A1000 &lt;= DATE(2025, 2, 28)))
+ SUMPRODUCT(('Form responses 1'!$G$2:$G1000 = A42) * ('Form responses 1'!$A$2:$A1000 &lt;= DATE(2025, 2, 28)))), 2), "-")
</f>
        <v>2.86</v>
      </c>
      <c r="Q42" s="2">
        <f>IFERROR(ROUND(Data!B40/(SUMPRODUCT(('Form responses 1'!$B$2:$B1000 = A42) * ('Form responses 1'!$A$2:$A1000 &lt;= DATE(2025, 3, 31)))
+ SUMPRODUCT(('Form responses 1'!$C$2:$C1000 = A42) * ('Form responses 1'!$A$2:$A1000 &lt;= DATE(2025, 3, 31)))
+ SUMPRODUCT(('Form responses 1'!$D$2:$D1000 = A42) * ('Form responses 1'!$A$2:$A1000 &lt;= DATE(2025, 3, 31)))
+ SUMPRODUCT(('Form responses 1'!$E$2:$E1000 = A42) * ('Form responses 1'!$A$2:$A1000 &lt;= DATE(2025, 3, 31)))
+ SUMPRODUCT(('Form responses 1'!$F$2:$F1000 = A42) * ('Form responses 1'!$A$2:$A1000 &lt;= DATE(2025, 3, 31)))
+ SUMPRODUCT(('Form responses 1'!$G$2:$G1000 = A42) * ('Form responses 1'!$A$2:$A1000 &lt;= DATE(2025, 3, 31)))),2),"-")</f>
        <v>2.86</v>
      </c>
      <c r="R42" s="2">
        <f>IFERROR(ROUND(Data!B40/(SUMPRODUCT(('Form responses 1'!$B$2:$B1000 = A42) * ('Form responses 1'!$A$2:$A1000 &lt;= DATE(2025, 4, 30)))
+ SUMPRODUCT(('Form responses 1'!$C$2:$C1000 = A42) * ('Form responses 1'!$A$2:$A1000 &lt;= DATE(2025, 4, 30)))
+ SUMPRODUCT(('Form responses 1'!$D$2:$D1000 = A42) * ('Form responses 1'!$A$2:$A1000 &lt;= DATE(2025, 4, 30)))
+ SUMPRODUCT(('Form responses 1'!$E$2:$E1000 = A42) * ('Form responses 1'!$A$2:$A1000 &lt;= DATE(2025, 4, 30)))
+ SUMPRODUCT(('Form responses 1'!$F$2:$F1000 = A42) * ('Form responses 1'!$A$2:$A1000 &lt;= DATE(2025, 4, 30)))
+ SUMPRODUCT(('Form responses 1'!$G$2:$G1000 = A42) * ('Form responses 1'!$A$2:$A1000 &lt;= DATE(2025, 4, 30)))), 2), "-")
</f>
        <v>2.11</v>
      </c>
      <c r="S42" s="2">
        <f>IFERROR(ROUND(Data!B40/(SUMPRODUCT(('Form responses 1'!$B$2:$B1000 = A42) * ('Form responses 1'!$A$2:$A1000 &lt;= DATE(2025, 5, 31)))
+ SUMPRODUCT(('Form responses 1'!$C$2:$C1000 = A42) * ('Form responses 1'!$A$2:$A1000 &lt;= DATE(2025, 5, 31)))
+ SUMPRODUCT(('Form responses 1'!$D$2:$D1000 = A42) * ('Form responses 1'!$A$2:$A1000 &lt;= DATE(2025, 5, 31)))
+ SUMPRODUCT(('Form responses 1'!$E$2:$E1000 = A42) * ('Form responses 1'!$A$2:$A1000 &lt;= DATE(2025, 5, 31)))
+ SUMPRODUCT(('Form responses 1'!$F$2:$F1000 = A42) * ('Form responses 1'!$A$2:$A1000 &lt;= DATE(2025, 5, 31)))
+ SUMPRODUCT(('Form responses 1'!$G$2:$G1000 = A42) * ('Form responses 1'!$A$2:$A1000 &lt;= DATE(2025, 5, 31)))), 2), "-")
</f>
        <v>1.82</v>
      </c>
      <c r="T42" s="2">
        <f>IFERROR(ROUND(Data!B40/(SUMPRODUCT(('Form responses 1'!$B$2:$B1000 = A42) * ('Form responses 1'!$A$2:$A1000 &lt;= DATE(2025, 6, 30)))
+ SUMPRODUCT(('Form responses 1'!$C$2:$C1000 = A42) * ('Form responses 1'!$A$2:$A1000 &lt;= DATE(2025, 6, 30)))
+ SUMPRODUCT(('Form responses 1'!$D$2:$D1000 = A42) * ('Form responses 1'!$A$2:$A1000 &lt;= DATE(2025, 6, 30)))
+ SUMPRODUCT(('Form responses 1'!$E$2:$E1000 = A42) * ('Form responses 1'!$A$2:$A1000 &lt;= DATE(2025, 6, 30)))
+ SUMPRODUCT(('Form responses 1'!$F$2:$F1000 = A42) * ('Form responses 1'!$A$2:$A1000 &lt;= DATE(2025, 6, 30)))
+ SUMPRODUCT(('Form responses 1'!$G$2:$G1000 = A42) * ('Form responses 1'!$A$2:$A1000 &lt;= DATE(2025, 6, 30)))), 2), "-")
</f>
        <v>1.82</v>
      </c>
      <c r="U42" s="2">
        <f>IFERROR(ROUND(Data!B40/(SUMPRODUCT(('Form responses 1'!$B$2:$B1000 = A42) * ('Form responses 1'!$A$2:$A1000 &lt;= DATE(2025, 7, 31)))
+ SUMPRODUCT(('Form responses 1'!$C$2:$C1000 = A42) * ('Form responses 1'!$A$2:$A1000 &lt;= DATE(2025, 7, 31)))
+ SUMPRODUCT(('Form responses 1'!$D$2:$D1000 = A42) * ('Form responses 1'!$A$2:$A1000 &lt;= DATE(2025, 7, 31)))
+ SUMPRODUCT(('Form responses 1'!$E$2:$E1000 = A42) * ('Form responses 1'!$A$2:$A1000 &lt;= DATE(2025, 7, 31)))
+ SUMPRODUCT(('Form responses 1'!$F$2:$F1000 = A42) * ('Form responses 1'!$A$2:$A1000 &lt;= DATE(2025, 7, 31)))
+ SUMPRODUCT(('Form responses 1'!$G$2:$G1000 = A42) * ('Form responses 1'!$A$2:$A1000 &lt;= DATE(2025, 7, 31)))), 2), "-")
</f>
        <v>1.67</v>
      </c>
      <c r="V42" s="2">
        <f>IFERROR(ROUND(Data!B40/(SUMPRODUCT(('Form responses 1'!$B$2:$B1000 = A42) * ('Form responses 1'!$A$2:$A1000 &lt;= DATE(2025, 8, 31)))
+ SUMPRODUCT(('Form responses 1'!$C$2:$C1000 = A42) * ('Form responses 1'!$A$2:$A1000 &lt;= DATE(2025, 8, 31)))
+ SUMPRODUCT(('Form responses 1'!$D$2:$D1000 = A42) * ('Form responses 1'!$A$2:$A1000 &lt;= DATE(2025, 8, 31)))
+ SUMPRODUCT(('Form responses 1'!$E$2:$E1000 = A42) * ('Form responses 1'!$A$2:$A1000 &lt;= DATE(2025, 8, 31)))
+ SUMPRODUCT(('Form responses 1'!$F$2:$F1000 = A42) * ('Form responses 1'!$A$2:$A1000 &lt;= DATE(2025, 8, 31)))
+ SUMPRODUCT(('Form responses 1'!$G$2:$G1000 = A42) * ('Form responses 1'!$A$2:$A1000 &lt;= DATE(2025, 8, 31)))), 2), "-")
</f>
        <v>1.67</v>
      </c>
      <c r="W42" s="2">
        <f>IFERROR(ROUND(Data!B40/(SUMPRODUCT(('Form responses 1'!$B$2:$B1000 = A42) * ('Form responses 1'!$A$2:$A1000 &lt;= DATE(2025, 9, 30)))
+ SUMPRODUCT(('Form responses 1'!$C$2:$C1000 = A42) * ('Form responses 1'!$A$2:$A1000 &lt;= DATE(2025, 9, 30)))
+ SUMPRODUCT(('Form responses 1'!$D$2:$D1000 = A42) * ('Form responses 1'!$A$2:$A1000 &lt;= DATE(2025, 9, 30)))
+ SUMPRODUCT(('Form responses 1'!$E$2:$E1000 = A42) * ('Form responses 1'!$A$2:$A1000 &lt;= DATE(2025, 9, 30)))
+ SUMPRODUCT(('Form responses 1'!$F$2:$F1000 = A42) * ('Form responses 1'!$A$2:$A1000 &lt;= DATE(2025, 9, 30)))
+ SUMPRODUCT(('Form responses 1'!$G$2:$G1000 = A42) * ('Form responses 1'!$A$2:$A1000 &lt;= DATE(2025, 9, 30)))), 2), "-")
</f>
        <v>1.54</v>
      </c>
      <c r="X42" s="2">
        <f>IFERROR(ROUND(Data!B40/(SUMPRODUCT(('Form responses 1'!$B$2:$B1000 = A42) * ('Form responses 1'!$A$2:$A1000 &lt;= DATE(2025, 10, 31)))
+ SUMPRODUCT(('Form responses 1'!$C$2:$C1000 = A42) * ('Form responses 1'!$A$2:$A1000 &lt;= DATE(2025, 10, 31)))
+ SUMPRODUCT(('Form responses 1'!$D$2:$D1000 = A42) * ('Form responses 1'!$A$2:$A1000 &lt;= DATE(2025, 10, 31)))
+ SUMPRODUCT(('Form responses 1'!$E$2:$E1000 = A42) * ('Form responses 1'!$A$2:$A1000 &lt;= DATE(2025, 10, 31)))
+ SUMPRODUCT(('Form responses 1'!$F$2:$F1000 = A42) * ('Form responses 1'!$A$2:$A1000 &lt;= DATE(2025, 10, 31)))
+ SUMPRODUCT(('Form responses 1'!$G$2:$G1000 = A42) * ('Form responses 1'!$A$2:$A1000 &lt;= DATE(2025, 10, 31)))), 2), "-")
</f>
        <v>1.54</v>
      </c>
      <c r="Y42" s="2">
        <f>IFERROR(ROUND(Data!B40/(SUMPRODUCT(('Form responses 1'!$B$2:$B1000 = A42) * ('Form responses 1'!$A$2:$A1000 &lt;= DATE(2025, 11, 30)))
+ SUMPRODUCT(('Form responses 1'!$C$2:$C1000 = A42) * ('Form responses 1'!$A$2:$A1000 &lt;= DATE(2025, 11, 30)))
+ SUMPRODUCT(('Form responses 1'!$D$2:$D1000 = A42) * ('Form responses 1'!$A$2:$A1000 &lt;= DATE(2025, 11, 30)))
+ SUMPRODUCT(('Form responses 1'!$E$2:$E1000 = A42) * ('Form responses 1'!$A$2:$A1000 &lt;= DATE(2025, 11, 30)))
+ SUMPRODUCT(('Form responses 1'!$F$2:$F1000 = A42) * ('Form responses 1'!$A$2:$A1000 &lt;= DATE(2025, 11, 30)))
+ SUMPRODUCT(('Form responses 1'!$G$2:$G1000 = A42) * ('Form responses 1'!$A$2:$A1000 &lt;= DATE(2025, 11, 30)))), 2), "-")
</f>
        <v>1.38</v>
      </c>
      <c r="Z42" s="2">
        <f>IFERROR(ROUND(Data!B40/(SUMPRODUCT(('Form responses 1'!$B$2:$B1000 = A42) * ('Form responses 1'!$A$2:$A1000 &lt;= DATE(2025, 12, 31)))
+ SUMPRODUCT(('Form responses 1'!$C$2:$C1000 = A42) * ('Form responses 1'!$A$2:$A1000 &lt;= DATE(2025, 12, 31)))
+ SUMPRODUCT(('Form responses 1'!$D$2:$D1000 = A42) * ('Form responses 1'!$A$2:$A1000 &lt;= DATE(2025, 12, 31)))
+ SUMPRODUCT(('Form responses 1'!$E$2:$E1000 = A42) * ('Form responses 1'!$A$2:$A1000 &lt;= DATE(2025, 12, 31)))
+ SUMPRODUCT(('Form responses 1'!$F$2:$F1000 = A42) * ('Form responses 1'!$A$2:$A1000 &lt;= DATE(2025, 12, 31)))
+ SUMPRODUCT(('Form responses 1'!$G$2:$G1000 = A42) * ('Form responses 1'!$A$2:$A1000 &lt;= DATE(2025, 12, 31)))), 2), "-")
</f>
        <v>1.38</v>
      </c>
      <c r="AA42" s="2">
        <f>IFERROR(ROUND(Data!$B42/(
  SUMPRODUCT(('Form responses 1'!$B$2:$B1000=$A42)*('Form responses 1'!$A$2:$A1000&lt;=EOMONTH(DATEVALUE("1 "&amp;AA$1),0)))+
  SUMPRODUCT(('Form responses 1'!$C$2:$C1000=$A42)*('Form responses 1'!$A$2:$A1000&lt;=EOMONTH(DATEVALUE("1 "&amp;AA$1),0)))+
  SUMPRODUCT(('Form responses 1'!$D$2:$D1000=$A42)*('Form responses 1'!$A$2:$A1000&lt;=EOMONTH(DATEVALUE("1 "&amp;AA$1),0)))+
  SUMPRODUCT(('Form responses 1'!$E$2:$E1000=$A42)*('Form responses 1'!$A$2:$A1000&lt;=EOMONTH(DATEVALUE("1 "&amp;AA$1),0)))+
  SUMPRODUCT(('Form responses 1'!$F$2:$F1000=$A42)*('Form responses 1'!$A$2:$A1000&lt;=EOMONTH(DATEVALUE("1 "&amp;AA$1),0)))+
  SUMPRODUCT(('Form responses 1'!$G$2:$G1000=$A42)*('Form responses 1'!$A$2:$A1000&lt;=EOMONTH(DATEVALUE("1 "&amp;AA$1),0)))
),2),"-")</f>
        <v>0.34</v>
      </c>
      <c r="AB42" s="2">
        <f>IFERROR(ROUND(Data!$B42/(
  SUMPRODUCT(('Form responses 1'!$B$2:$B1000=$A42)*('Form responses 1'!$A$2:$A1000&lt;=EOMONTH(DATEVALUE("1 "&amp;AB$1),0)))+
  SUMPRODUCT(('Form responses 1'!$C$2:$C1000=$A42)*('Form responses 1'!$A$2:$A1000&lt;=EOMONTH(DATEVALUE("1 "&amp;AB$1),0)))+
  SUMPRODUCT(('Form responses 1'!$D$2:$D1000=$A42)*('Form responses 1'!$A$2:$A1000&lt;=EOMONTH(DATEVALUE("1 "&amp;AB$1),0)))+
  SUMPRODUCT(('Form responses 1'!$E$2:$E1000=$A42)*('Form responses 1'!$A$2:$A1000&lt;=EOMONTH(DATEVALUE("1 "&amp;AB$1),0)))+
  SUMPRODUCT(('Form responses 1'!$F$2:$F1000=$A42)*('Form responses 1'!$A$2:$A1000&lt;=EOMONTH(DATEVALUE("1 "&amp;AB$1),0)))+
  SUMPRODUCT(('Form responses 1'!$G$2:$G1000=$A42)*('Form responses 1'!$A$2:$A1000&lt;=EOMONTH(DATEVALUE("1 "&amp;AB$1),0)))
),2),"-")</f>
        <v>0.34</v>
      </c>
      <c r="AC42" s="2">
        <f>IFERROR(ROUND(Data!$B42/(
  SUMPRODUCT(('Form responses 1'!$B$2:$B1000=$A42)*('Form responses 1'!$A$2:$A1000&lt;=EOMONTH(DATEVALUE("1 "&amp;AC$1),0)))+
  SUMPRODUCT(('Form responses 1'!$C$2:$C1000=$A42)*('Form responses 1'!$A$2:$A1000&lt;=EOMONTH(DATEVALUE("1 "&amp;AC$1),0)))+
  SUMPRODUCT(('Form responses 1'!$D$2:$D1000=$A42)*('Form responses 1'!$A$2:$A1000&lt;=EOMONTH(DATEVALUE("1 "&amp;AC$1),0)))+
  SUMPRODUCT(('Form responses 1'!$E$2:$E1000=$A42)*('Form responses 1'!$A$2:$A1000&lt;=EOMONTH(DATEVALUE("1 "&amp;AC$1),0)))+
  SUMPRODUCT(('Form responses 1'!$F$2:$F1000=$A42)*('Form responses 1'!$A$2:$A1000&lt;=EOMONTH(DATEVALUE("1 "&amp;AC$1),0)))+
  SUMPRODUCT(('Form responses 1'!$G$2:$G1000=$A42)*('Form responses 1'!$A$2:$A1000&lt;=EOMONTH(DATEVALUE("1 "&amp;AC$1),0)))
),2),"-")</f>
        <v>0.33</v>
      </c>
      <c r="AD42" s="2" t="str">
        <f>IFERROR(ROUND(Data!$B42/(
  SUMPRODUCT(('Form responses 1'!$B$2:$B1000=$A42)*('Form responses 1'!$A$2:$A1000&lt;=EOMONTH(DATEVALUE("1 "&amp;AD$1),0)))+
  SUMPRODUCT(('Form responses 1'!$C$2:$C1000=$A42)*('Form responses 1'!$A$2:$A1000&lt;=EOMONTH(DATEVALUE("1 "&amp;AD$1),0)))+
  SUMPRODUCT(('Form responses 1'!$D$2:$D1000=$A42)*('Form responses 1'!$A$2:$A1000&lt;=EOMONTH(DATEVALUE("1 "&amp;AD$1),0)))+
  SUMPRODUCT(('Form responses 1'!$E$2:$E1000=$A42)*('Form responses 1'!$A$2:$A1000&lt;=EOMONTH(DATEVALUE("1 "&amp;AD$1),0)))+
  SUMPRODUCT(('Form responses 1'!$F$2:$F1000=$A42)*('Form responses 1'!$A$2:$A1000&lt;=EOMONTH(DATEVALUE("1 "&amp;AD$1),0)))+
  SUMPRODUCT(('Form responses 1'!$G$2:$G1000=$A42)*('Form responses 1'!$A$2:$A1000&lt;=EOMONTH(DATEVALUE("1 "&amp;AD$1),0)))
),2),"-")</f>
        <v>-</v>
      </c>
      <c r="AE42" s="2" t="str">
        <f>IFERROR(ROUND(Data!$B42/(
  SUMPRODUCT(('Form responses 1'!$B$2:$B1000=$A42)*('Form responses 1'!$A$2:$A1000&lt;=EOMONTH(DATEVALUE("1 "&amp;AE$1),0)))+
  SUMPRODUCT(('Form responses 1'!$C$2:$C1000=$A42)*('Form responses 1'!$A$2:$A1000&lt;=EOMONTH(DATEVALUE("1 "&amp;AE$1),0)))+
  SUMPRODUCT(('Form responses 1'!$D$2:$D1000=$A42)*('Form responses 1'!$A$2:$A1000&lt;=EOMONTH(DATEVALUE("1 "&amp;AE$1),0)))+
  SUMPRODUCT(('Form responses 1'!$E$2:$E1000=$A42)*('Form responses 1'!$A$2:$A1000&lt;=EOMONTH(DATEVALUE("1 "&amp;AE$1),0)))+
  SUMPRODUCT(('Form responses 1'!$F$2:$F1000=$A42)*('Form responses 1'!$A$2:$A1000&lt;=EOMONTH(DATEVALUE("1 "&amp;AE$1),0)))+
  SUMPRODUCT(('Form responses 1'!$G$2:$G1000=$A42)*('Form responses 1'!$A$2:$A1000&lt;=EOMONTH(DATEVALUE("1 "&amp;AE$1),0)))
),2),"-")</f>
        <v>-</v>
      </c>
      <c r="AF42" s="2" t="str">
        <f>IFERROR(ROUND(Data!$B42/(
  SUMPRODUCT(('Form responses 1'!$B$2:$B1000=$A42)*('Form responses 1'!$A$2:$A1000&lt;=EOMONTH(DATEVALUE("1 "&amp;AF$1),0)))+
  SUMPRODUCT(('Form responses 1'!$C$2:$C1000=$A42)*('Form responses 1'!$A$2:$A1000&lt;=EOMONTH(DATEVALUE("1 "&amp;AF$1),0)))+
  SUMPRODUCT(('Form responses 1'!$D$2:$D1000=$A42)*('Form responses 1'!$A$2:$A1000&lt;=EOMONTH(DATEVALUE("1 "&amp;AF$1),0)))+
  SUMPRODUCT(('Form responses 1'!$E$2:$E1000=$A42)*('Form responses 1'!$A$2:$A1000&lt;=EOMONTH(DATEVALUE("1 "&amp;AF$1),0)))+
  SUMPRODUCT(('Form responses 1'!$F$2:$F1000=$A42)*('Form responses 1'!$A$2:$A1000&lt;=EOMONTH(DATEVALUE("1 "&amp;AF$1),0)))+
  SUMPRODUCT(('Form responses 1'!$G$2:$G1000=$A42)*('Form responses 1'!$A$2:$A1000&lt;=EOMONTH(DATEVALUE("1 "&amp;AF$1),0)))
),2),"-")</f>
        <v>-</v>
      </c>
      <c r="AG42" s="2" t="str">
        <f>IFERROR(ROUND(Data!$B42/(
  SUMPRODUCT(('Form responses 1'!$B$2:$B1000=$A42)*('Form responses 1'!$A$2:$A1000&lt;=EOMONTH(DATEVALUE("1 "&amp;AG$1),0)))+
  SUMPRODUCT(('Form responses 1'!$C$2:$C1000=$A42)*('Form responses 1'!$A$2:$A1000&lt;=EOMONTH(DATEVALUE("1 "&amp;AG$1),0)))+
  SUMPRODUCT(('Form responses 1'!$D$2:$D1000=$A42)*('Form responses 1'!$A$2:$A1000&lt;=EOMONTH(DATEVALUE("1 "&amp;AG$1),0)))+
  SUMPRODUCT(('Form responses 1'!$E$2:$E1000=$A42)*('Form responses 1'!$A$2:$A1000&lt;=EOMONTH(DATEVALUE("1 "&amp;AG$1),0)))+
  SUMPRODUCT(('Form responses 1'!$F$2:$F1000=$A42)*('Form responses 1'!$A$2:$A1000&lt;=EOMONTH(DATEVALUE("1 "&amp;AG$1),0)))+
  SUMPRODUCT(('Form responses 1'!$G$2:$G1000=$A42)*('Form responses 1'!$A$2:$A1000&lt;=EOMONTH(DATEVALUE("1 "&amp;AG$1),0)))
),2),"-")</f>
        <v>-</v>
      </c>
      <c r="AH42" s="2" t="str">
        <f>IFERROR(ROUND(Data!$B42/(
  SUMPRODUCT(('Form responses 1'!$B$2:$B1000=$A42)*('Form responses 1'!$A$2:$A1000&lt;=EOMONTH(DATEVALUE("1 "&amp;AH$1),0)))+
  SUMPRODUCT(('Form responses 1'!$C$2:$C1000=$A42)*('Form responses 1'!$A$2:$A1000&lt;=EOMONTH(DATEVALUE("1 "&amp;AH$1),0)))+
  SUMPRODUCT(('Form responses 1'!$D$2:$D1000=$A42)*('Form responses 1'!$A$2:$A1000&lt;=EOMONTH(DATEVALUE("1 "&amp;AH$1),0)))+
  SUMPRODUCT(('Form responses 1'!$E$2:$E1000=$A42)*('Form responses 1'!$A$2:$A1000&lt;=EOMONTH(DATEVALUE("1 "&amp;AH$1),0)))+
  SUMPRODUCT(('Form responses 1'!$F$2:$F1000=$A42)*('Form responses 1'!$A$2:$A1000&lt;=EOMONTH(DATEVALUE("1 "&amp;AH$1),0)))+
  SUMPRODUCT(('Form responses 1'!$G$2:$G1000=$A42)*('Form responses 1'!$A$2:$A1000&lt;=EOMONTH(DATEVALUE("1 "&amp;AH$1),0)))
),2),"-")</f>
        <v>-</v>
      </c>
      <c r="AI42" s="2" t="str">
        <f>IFERROR(ROUND(Data!$B42/(
  SUMPRODUCT(('Form responses 1'!$B$2:$B1000=$A42)*('Form responses 1'!$A$2:$A1000&lt;=EOMONTH(DATEVALUE("1 "&amp;AI$1),0)))+
  SUMPRODUCT(('Form responses 1'!$C$2:$C1000=$A42)*('Form responses 1'!$A$2:$A1000&lt;=EOMONTH(DATEVALUE("1 "&amp;AI$1),0)))+
  SUMPRODUCT(('Form responses 1'!$D$2:$D1000=$A42)*('Form responses 1'!$A$2:$A1000&lt;=EOMONTH(DATEVALUE("1 "&amp;AI$1),0)))+
  SUMPRODUCT(('Form responses 1'!$E$2:$E1000=$A42)*('Form responses 1'!$A$2:$A1000&lt;=EOMONTH(DATEVALUE("1 "&amp;AI$1),0)))+
  SUMPRODUCT(('Form responses 1'!$F$2:$F1000=$A42)*('Form responses 1'!$A$2:$A1000&lt;=EOMONTH(DATEVALUE("1 "&amp;AI$1),0)))+
  SUMPRODUCT(('Form responses 1'!$G$2:$G1000=$A42)*('Form responses 1'!$A$2:$A1000&lt;=EOMONTH(DATEVALUE("1 "&amp;AI$1),0)))
),2),"-")</f>
        <v>-</v>
      </c>
      <c r="AJ42" s="2" t="str">
        <f>IFERROR(ROUND(Data!$B42/(
  SUMPRODUCT(('Form responses 1'!$B$2:$B1000=$A42)*('Form responses 1'!$A$2:$A1000&lt;=EOMONTH(DATEVALUE("1 "&amp;AJ$1),0)))+
  SUMPRODUCT(('Form responses 1'!$C$2:$C1000=$A42)*('Form responses 1'!$A$2:$A1000&lt;=EOMONTH(DATEVALUE("1 "&amp;AJ$1),0)))+
  SUMPRODUCT(('Form responses 1'!$D$2:$D1000=$A42)*('Form responses 1'!$A$2:$A1000&lt;=EOMONTH(DATEVALUE("1 "&amp;AJ$1),0)))+
  SUMPRODUCT(('Form responses 1'!$E$2:$E1000=$A42)*('Form responses 1'!$A$2:$A1000&lt;=EOMONTH(DATEVALUE("1 "&amp;AJ$1),0)))+
  SUMPRODUCT(('Form responses 1'!$F$2:$F1000=$A42)*('Form responses 1'!$A$2:$A1000&lt;=EOMONTH(DATEVALUE("1 "&amp;AJ$1),0)))+
  SUMPRODUCT(('Form responses 1'!$G$2:$G1000=$A42)*('Form responses 1'!$A$2:$A1000&lt;=EOMONTH(DATEVALUE("1 "&amp;AJ$1),0)))
),2),"-")</f>
        <v>-</v>
      </c>
      <c r="AK42" s="2" t="str">
        <f>IFERROR(ROUND(Data!$B42/(
  SUMPRODUCT(('Form responses 1'!$B$2:$B1000=$A42)*('Form responses 1'!$A$2:$A1000&lt;=EOMONTH(DATEVALUE("1 "&amp;AK$1),0)))+
  SUMPRODUCT(('Form responses 1'!$C$2:$C1000=$A42)*('Form responses 1'!$A$2:$A1000&lt;=EOMONTH(DATEVALUE("1 "&amp;AK$1),0)))+
  SUMPRODUCT(('Form responses 1'!$D$2:$D1000=$A42)*('Form responses 1'!$A$2:$A1000&lt;=EOMONTH(DATEVALUE("1 "&amp;AK$1),0)))+
  SUMPRODUCT(('Form responses 1'!$E$2:$E1000=$A42)*('Form responses 1'!$A$2:$A1000&lt;=EOMONTH(DATEVALUE("1 "&amp;AK$1),0)))+
  SUMPRODUCT(('Form responses 1'!$F$2:$F1000=$A42)*('Form responses 1'!$A$2:$A1000&lt;=EOMONTH(DATEVALUE("1 "&amp;AK$1),0)))+
  SUMPRODUCT(('Form responses 1'!$G$2:$G1000=$A42)*('Form responses 1'!$A$2:$A1000&lt;=EOMONTH(DATEVALUE("1 "&amp;AK$1),0)))
),2),"-")</f>
        <v>-</v>
      </c>
      <c r="AL42" s="2" t="str">
        <f>IFERROR(ROUND(Data!$B42/(
  SUMPRODUCT(('Form responses 1'!$B$2:$B1000=$A42)*('Form responses 1'!$A$2:$A1000&lt;=EOMONTH(DATEVALUE("1 "&amp;AL$1),0)))+
  SUMPRODUCT(('Form responses 1'!$C$2:$C1000=$A42)*('Form responses 1'!$A$2:$A1000&lt;=EOMONTH(DATEVALUE("1 "&amp;AL$1),0)))+
  SUMPRODUCT(('Form responses 1'!$D$2:$D1000=$A42)*('Form responses 1'!$A$2:$A1000&lt;=EOMONTH(DATEVALUE("1 "&amp;AL$1),0)))+
  SUMPRODUCT(('Form responses 1'!$E$2:$E1000=$A42)*('Form responses 1'!$A$2:$A1000&lt;=EOMONTH(DATEVALUE("1 "&amp;AL$1),0)))+
  SUMPRODUCT(('Form responses 1'!$F$2:$F1000=$A42)*('Form responses 1'!$A$2:$A1000&lt;=EOMONTH(DATEVALUE("1 "&amp;AL$1),0)))+
  SUMPRODUCT(('Form responses 1'!$G$2:$G1000=$A42)*('Form responses 1'!$A$2:$A1000&lt;=EOMONTH(DATEVALUE("1 "&amp;AL$1),0)))
),2),"-")</f>
        <v>-</v>
      </c>
    </row>
    <row r="43">
      <c r="A43" s="3" t="str">
        <f>IFERROR(__xludf.DUMMYFUNCTION("""COMPUTED_VALUE"""),"Lichtgroene trui")</f>
        <v>Lichtgroene trui</v>
      </c>
      <c r="B43" s="2">
        <f>Data!F41:F1000</f>
        <v>0.26</v>
      </c>
      <c r="C43" s="2">
        <f>IFERROR(ROUND(Data!B41/(SUMPRODUCT(('Form responses 1'!$B$2:$B1000 = A43) * ('Form responses 1'!$A$2:$A1000 &lt;= DATE(2024, 1, 31)))
+ SUMPRODUCT(('Form responses 1'!$C$2:$C1000 = A43) * ('Form responses 1'!$A$2:$A1000 &lt;= DATE(2024, 1, 31)))
+ SUMPRODUCT(('Form responses 1'!$D$2:$D1000 = A43) * ('Form responses 1'!$A$2:$A1000 &lt;= DATE(2024, 1, 31)))
+ SUMPRODUCT(('Form responses 1'!$E$2:$E1000 = A43) * ('Form responses 1'!$A$2:$A1000 &lt;= DATE(2024, 1, 31)))
+ SUMPRODUCT(('Form responses 1'!$F$2:$F1000 = A43) * ('Form responses 1'!$A$2:$A1000 &lt;= DATE(2024, 1, 31)))
+ SUMPRODUCT(('Form responses 1'!$G$2:$G1000 = A43) * ('Form responses 1'!$A$2:$A1000 &lt;= DATE(2024, 1, 31)))), 2), "-")
</f>
        <v>0.28</v>
      </c>
      <c r="D43" s="2">
        <f>IFERROR(ROUND(Data!B41/(SUMPRODUCT(('Form responses 1'!$B$2:$B1000 = A43) * ('Form responses 1'!$A$2:$A1000 &lt;= DATE(2024, 2, 29)))
+ SUMPRODUCT(('Form responses 1'!$C$2:$C1000 = A43) * ('Form responses 1'!$A$2:$A1000 &lt;= DATE(2024, 2, 29)))
+ SUMPRODUCT(('Form responses 1'!$D$2:$D1000 = A43) * ('Form responses 1'!$A$2:$A1000 &lt;= DATE(2024, 2, 29)))
+ SUMPRODUCT(('Form responses 1'!$E$2:$E1000 = A43) * ('Form responses 1'!$A$2:$A1000 &lt;= DATE(2024, 2, 29)))
+ SUMPRODUCT(('Form responses 1'!$F$2:$F1000 = A43) * ('Form responses 1'!$A$2:$A1000 &lt;= DATE(2024, 2, 29)))
+ SUMPRODUCT(('Form responses 1'!$G$2:$G1000 = A43) * ('Form responses 1'!$A$2:$A1000 &lt;= DATE(2024, 2, 29)))), 2), "-")
</f>
        <v>0.28</v>
      </c>
      <c r="E43" s="2">
        <f>IFERROR(ROUND(Data!B41/(SUMPRODUCT(('Form responses 1'!$B$2:$B1000 = A43) * ('Form responses 1'!$A$2:$A1000 &lt;= DATE(2024, 3, 31)))
+ SUMPRODUCT(('Form responses 1'!$C$2:$C1000 = A43) * ('Form responses 1'!$A$2:$A1000 &lt;= DATE(2024, 3, 31)))
+ SUMPRODUCT(('Form responses 1'!$D$2:$D1000 = A43) * ('Form responses 1'!$A$2:$A1000 &lt;= DATE(2024, 3, 31)))
+ SUMPRODUCT(('Form responses 1'!$E$2:$E1000 = A43) * ('Form responses 1'!$A$2:$A1000 &lt;= DATE(2024, 3, 31)))
+ SUMPRODUCT(('Form responses 1'!$F$2:$F1000 = A43) * ('Form responses 1'!$A$2:$A1000 &lt;= DATE(2024, 3, 31)))
+ SUMPRODUCT(('Form responses 1'!$G$2:$G1000 = A43) * ('Form responses 1'!$A$2:$A1000 &lt;= DATE(2024, 3, 31)))), 2), "-")
</f>
        <v>0.28</v>
      </c>
      <c r="F43" s="2">
        <f>IFERROR(ROUND(Data!B41/(SUMPRODUCT(('Form responses 1'!$B$2:$B1000 = A43) * ('Form responses 1'!$A$2:$A1000 &lt;= DATE(2024, 4, 30)))
+ SUMPRODUCT(('Form responses 1'!$C$2:$C1000 = A43) * ('Form responses 1'!$A$2:$A1000 &lt;= DATE(2024, 4, 30)))
+ SUMPRODUCT(('Form responses 1'!$D$2:$D1000 = A43) * ('Form responses 1'!$A$2:$A1000 &lt;= DATE(2024, 4, 30)))
+ SUMPRODUCT(('Form responses 1'!$E$2:$E1000 = A43) * ('Form responses 1'!$A$2:$A1000 &lt;= DATE(2024, 4, 30)))
+ SUMPRODUCT(('Form responses 1'!$F$2:$F1000 = A43) * ('Form responses 1'!$A$2:$A1000 &lt;= DATE(2024, 4, 30)))
+ SUMPRODUCT(('Form responses 1'!$G$2:$G1000 = A43) * ('Form responses 1'!$A$2:$A1000 &lt;= DATE(2024, 4, 30)))), 2), "-")
</f>
        <v>0.28</v>
      </c>
      <c r="G43" s="2">
        <f>IFERROR(ROUND(Data!B41/(SUMPRODUCT(('Form responses 1'!$B$2:$B1000 = A43) * ('Form responses 1'!$A$2:$A1000 &lt;= DATE(2024, 5, 31)))
+ SUMPRODUCT(('Form responses 1'!$C$2:$C1000 = A43) * ('Form responses 1'!$A$2:$A1000 &lt;= DATE(2024, 5, 31)))
+ SUMPRODUCT(('Form responses 1'!$D$2:$D1000 = A43) * ('Form responses 1'!$A$2:$A1000 &lt;= DATE(2024, 5, 31)))
+ SUMPRODUCT(('Form responses 1'!$E$2:$E1000 = A43) * ('Form responses 1'!$A$2:$A1000 &lt;= DATE(2024, 5, 31)))
+ SUMPRODUCT(('Form responses 1'!$F$2:$F1000 = A43) * ('Form responses 1'!$A$2:$A1000 &lt;= DATE(2024, 5, 31)))
+ SUMPRODUCT(('Form responses 1'!$G$2:$G1000 = A43) * ('Form responses 1'!$A$2:$A1000 &lt;= DATE(2024, 5, 31)))), 2), "-")
</f>
        <v>0.27</v>
      </c>
      <c r="H43" s="2">
        <f>IFERROR(ROUND(Data!B41/(SUMPRODUCT(('Form responses 1'!$B$2:$B1000 = A43) * ('Form responses 1'!$A$2:$A1000 &lt;= DATE(2024, 6, 30)))
+ SUMPRODUCT(('Form responses 1'!$C$2:$C1000 = A43) * ('Form responses 1'!$A$2:$A1000 &lt;= DATE(2024, 6, 30)))
+ SUMPRODUCT(('Form responses 1'!$D$2:$D1000 = A43) * ('Form responses 1'!$A$2:$A1000 &lt;= DATE(2024, 6, 30)))
+ SUMPRODUCT(('Form responses 1'!$E$2:$E1000 = A43) * ('Form responses 1'!$A$2:$A1000 &lt;= DATE(2024, 6, 30)))
+ SUMPRODUCT(('Form responses 1'!$F$2:$F1000 = A43) * ('Form responses 1'!$A$2:$A1000 &lt;= DATE(2024, 6, 30)))
+ SUMPRODUCT(('Form responses 1'!$G$2:$G1000 = A43) * ('Form responses 1'!$A$2:$A1000 &lt;= DATE(2024, 6, 30)))), 2), "-")
</f>
        <v>0.26</v>
      </c>
      <c r="I43" s="2">
        <f>IFERROR(ROUND(Data!B41/(SUMPRODUCT(('Form responses 1'!$B$2:$B1000 = A43) * ('Form responses 1'!$A$2:$A1000 &lt;= DATE(2024, 7, 31)))
+ SUMPRODUCT(('Form responses 1'!$C$2:$C1000 = A43) * ('Form responses 1'!$A$2:$A1000 &lt;= DATE(2024, 7, 31)))
+ SUMPRODUCT(('Form responses 1'!$D$2:$D1000 = A43) * ('Form responses 1'!$A$2:$A1000 &lt;= DATE(2024, 7, 31)))
+ SUMPRODUCT(('Form responses 1'!$E$2:$E1000 = A43) * ('Form responses 1'!$A$2:$A1000 &lt;= DATE(2024, 7, 31)))
+ SUMPRODUCT(('Form responses 1'!$F$2:$F1000 = A43) * ('Form responses 1'!$A$2:$A1000 &lt;= DATE(2024, 7, 31)))
+ SUMPRODUCT(('Form responses 1'!$G$2:$G1000 = A43) * ('Form responses 1'!$A$2:$A1000 &lt;= DATE(2024, 7, 31)))), 2), "-")
</f>
        <v>0.26</v>
      </c>
      <c r="J43" s="2">
        <f>IFERROR(ROUND(Data!B41/(SUMPRODUCT(('Form responses 1'!$B$2:$B1000 = A43) * ('Form responses 1'!$A$2:$A1000 &lt;= DATE(2024, 8, 31)))
+ SUMPRODUCT(('Form responses 1'!$C$2:$C1000 = A43) * ('Form responses 1'!$A$2:$A1000 &lt;= DATE(2024, 8, 31)))
+ SUMPRODUCT(('Form responses 1'!$D$2:$D1000 = A43) * ('Form responses 1'!$A$2:$A1000 &lt;= DATE(2024, 8, 31)))
+ SUMPRODUCT(('Form responses 1'!$E$2:$E1000 = A43) * ('Form responses 1'!$A$2:$A1000 &lt;= DATE(2024, 8, 31)))
+ SUMPRODUCT(('Form responses 1'!$F$2:$F1000 = A43) * ('Form responses 1'!$A$2:$A1000 &lt;= DATE(2024, 8, 31)))
+ SUMPRODUCT(('Form responses 1'!$G$2:$G1000 = A43) * ('Form responses 1'!$A$2:$A1000 &lt;= DATE(2024, 8, 31)))), 2), "-")
</f>
        <v>0.26</v>
      </c>
      <c r="K43" s="2">
        <f>IFERROR(ROUND(Data!B41/(SUMPRODUCT(('Form responses 1'!$B$2:$B1000 = A43) * ('Form responses 1'!$A$2:$A1000 &lt;= DATE(2024, 9, 30)))
+ SUMPRODUCT(('Form responses 1'!$C$2:$C1000 = A43) * ('Form responses 1'!$A$2:$A1000 &lt;= DATE(2024, 9, 30)))
+ SUMPRODUCT(('Form responses 1'!$D$2:$D1000 = A43) * ('Form responses 1'!$A$2:$A1000 &lt;= DATE(2024, 9, 30)))
+ SUMPRODUCT(('Form responses 1'!$E$2:$E1000 = A43) * ('Form responses 1'!$A$2:$A1000 &lt;= DATE(2024, 9, 30)))
+ SUMPRODUCT(('Form responses 1'!$F$2:$F1000 = A43) * ('Form responses 1'!$A$2:$A1000 &lt;= DATE(2024, 9, 30)))
+ SUMPRODUCT(('Form responses 1'!$G$2:$G1000 = A43) * ('Form responses 1'!$A$2:$A1000 &lt;= DATE(2024, 9, 30)))), 2), "-")
</f>
        <v>0.26</v>
      </c>
      <c r="L43" s="2">
        <f>IFERROR(ROUND(Data!B41/(SUMPRODUCT(('Form responses 1'!$B$2:$B1000 = A43) * ('Form responses 1'!$A$2:$A1000 &lt;= DATE(2024, 10, 31)))
+ SUMPRODUCT(('Form responses 1'!$C$2:$C1000 = A43) * ('Form responses 1'!$A$2:$A1000 &lt;= DATE(2024, 10, 31)))
+ SUMPRODUCT(('Form responses 1'!$D$2:$D1000 = A43) * ('Form responses 1'!$A$2:$A1000 &lt;= DATE(2024, 10, 31)))
+ SUMPRODUCT(('Form responses 1'!$E$2:$E1000 = A43) * ('Form responses 1'!$A$2:$A1000 &lt;= DATE(2024, 10, 31)))
+ SUMPRODUCT(('Form responses 1'!$F$2:$F1000 = A43) * ('Form responses 1'!$A$2:$A1000 &lt;= DATE(2024, 10, 31)))
+ SUMPRODUCT(('Form responses 1'!$G$2:$G1000 = A43) * ('Form responses 1'!$A$2:$A1000 &lt;= DATE(2024, 10, 31)))), 2), "-")
</f>
        <v>0.26</v>
      </c>
      <c r="M43" s="2">
        <f>IFERROR(ROUND(Data!B41/(SUMPRODUCT(('Form responses 1'!$B$2:$B1000 = A43) * ('Form responses 1'!$A$2:$A1000 &lt;= DATE(2024, 11, 30)))
+ SUMPRODUCT(('Form responses 1'!$C$2:$C1000 = A43) * ('Form responses 1'!$A$2:$A1000 &lt;= DATE(2024, 11, 30)))
+ SUMPRODUCT(('Form responses 1'!$D$2:$D1000 = A43) * ('Form responses 1'!$A$2:$A1000 &lt;= DATE(2024, 11, 30)))
+ SUMPRODUCT(('Form responses 1'!$E$2:$E1000 = A43) * ('Form responses 1'!$A$2:$A1000 &lt;= DATE(2024, 11, 30)))
+ SUMPRODUCT(('Form responses 1'!$F$2:$F1000 = A43) * ('Form responses 1'!$A$2:$A1000 &lt;= DATE(2024, 11, 30)))
+ SUMPRODUCT(('Form responses 1'!$G$2:$G1000 = A43) * ('Form responses 1'!$A$2:$A1000 &lt;= DATE(2024, 11, 30)))), 2), "-")
</f>
        <v>0.26</v>
      </c>
      <c r="N43" s="2">
        <f>IFERROR(ROUND(Data!B41/(SUMPRODUCT(('Form responses 1'!$B$2:$B1000 = A43) * ('Form responses 1'!$A$2:$A1000 &lt;= DATE(2024, 12, 31)))
+ SUMPRODUCT(('Form responses 1'!$C$2:$C1000 = A43) * ('Form responses 1'!$A$2:$A1000 &lt;= DATE(2024, 12, 31)))
+ SUMPRODUCT(('Form responses 1'!$D$2:$D1000 = A43) * ('Form responses 1'!$A$2:$A1000 &lt;= DATE(2024, 12, 31)))
+ SUMPRODUCT(('Form responses 1'!$E$2:$E1000 = A43) * ('Form responses 1'!$A$2:$A1000 &lt;= DATE(2024, 12, 31)))
+ SUMPRODUCT(('Form responses 1'!$F$2:$F1000 = A43) * ('Form responses 1'!$A$2:$A1000 &lt;= DATE(2024, 12, 31)))
+ SUMPRODUCT(('Form responses 1'!$G$2:$G1000 = A43) * ('Form responses 1'!$A$2:$A1000 &lt;= DATE(2024, 12, 31)))), 2), "-")
</f>
        <v>0.26</v>
      </c>
      <c r="O43" s="2">
        <f>IFERROR(ROUND(Data!B41/(SUMPRODUCT(('Form responses 1'!$B$2:$B1000 = A43) * ('Form responses 1'!$A$2:$A1000 &lt;= DATE(2025, 1, 31)))
+ SUMPRODUCT(('Form responses 1'!$C$2:$C1000 = A43) * ('Form responses 1'!$A$2:$A1000 &lt;= DATE(2025, 1, 31)))
+ SUMPRODUCT(('Form responses 1'!$D$2:$D1000 = A43) * ('Form responses 1'!$A$2:$A1000 &lt;= DATE(2025, 1, 31)))
+ SUMPRODUCT(('Form responses 1'!$E$2:$E1000 = A43) * ('Form responses 1'!$A$2:$A1000 &lt;= DATE(2025, 1, 31)))
+ SUMPRODUCT(('Form responses 1'!$F$2:$F1000 = A43) * ('Form responses 1'!$A$2:$A1000 &lt;= DATE(2025, 1, 31)))
+ SUMPRODUCT(('Form responses 1'!$G$2:$G1000 = A43) * ('Form responses 1'!$A$2:$A1000 &lt;= DATE(2025, 1, 31)))), 2), "-")
</f>
        <v>0.26</v>
      </c>
      <c r="P43" s="2">
        <f>IFERROR(ROUND(Data!B41/(SUMPRODUCT(('Form responses 1'!$B$2:$B1000 = A43) * ('Form responses 1'!$A$2:$A1000 &lt;= DATE(2025, 2, 28)))
+ SUMPRODUCT(('Form responses 1'!$C$2:$C1000 = A43) * ('Form responses 1'!$A$2:$A1000 &lt;= DATE(2025, 2, 28)))
+ SUMPRODUCT(('Form responses 1'!$D$2:$D1000 = A43) * ('Form responses 1'!$A$2:$A1000 &lt;= DATE(2025, 2, 28)))
+ SUMPRODUCT(('Form responses 1'!$E$2:$E1000 = A43) * ('Form responses 1'!$A$2:$A1000 &lt;= DATE(2025, 2, 28)))
+ SUMPRODUCT(('Form responses 1'!$F$2:$F1000 = A43) * ('Form responses 1'!$A$2:$A1000 &lt;= DATE(2025, 2, 28)))
+ SUMPRODUCT(('Form responses 1'!$G$2:$G1000 = A43) * ('Form responses 1'!$A$2:$A1000 &lt;= DATE(2025, 2, 28)))), 2), "-")
</f>
        <v>0.26</v>
      </c>
      <c r="Q43" s="2">
        <f>IFERROR(ROUND(Data!B41/(SUMPRODUCT(('Form responses 1'!$B$2:$B1000 = A43) * ('Form responses 1'!$A$2:$A1000 &lt;= DATE(2025, 3, 31)))
+ SUMPRODUCT(('Form responses 1'!$C$2:$C1000 = A43) * ('Form responses 1'!$A$2:$A1000 &lt;= DATE(2025, 3, 31)))
+ SUMPRODUCT(('Form responses 1'!$D$2:$D1000 = A43) * ('Form responses 1'!$A$2:$A1000 &lt;= DATE(2025, 3, 31)))
+ SUMPRODUCT(('Form responses 1'!$E$2:$E1000 = A43) * ('Form responses 1'!$A$2:$A1000 &lt;= DATE(2025, 3, 31)))
+ SUMPRODUCT(('Form responses 1'!$F$2:$F1000 = A43) * ('Form responses 1'!$A$2:$A1000 &lt;= DATE(2025, 3, 31)))
+ SUMPRODUCT(('Form responses 1'!$G$2:$G1000 = A43) * ('Form responses 1'!$A$2:$A1000 &lt;= DATE(2025, 3, 31)))),2),"-")</f>
        <v>0.26</v>
      </c>
      <c r="R43" s="2">
        <f>IFERROR(ROUND(Data!B41/(SUMPRODUCT(('Form responses 1'!$B$2:$B1000 = A43) * ('Form responses 1'!$A$2:$A1000 &lt;= DATE(2025, 4, 30)))
+ SUMPRODUCT(('Form responses 1'!$C$2:$C1000 = A43) * ('Form responses 1'!$A$2:$A1000 &lt;= DATE(2025, 4, 30)))
+ SUMPRODUCT(('Form responses 1'!$D$2:$D1000 = A43) * ('Form responses 1'!$A$2:$A1000 &lt;= DATE(2025, 4, 30)))
+ SUMPRODUCT(('Form responses 1'!$E$2:$E1000 = A43) * ('Form responses 1'!$A$2:$A1000 &lt;= DATE(2025, 4, 30)))
+ SUMPRODUCT(('Form responses 1'!$F$2:$F1000 = A43) * ('Form responses 1'!$A$2:$A1000 &lt;= DATE(2025, 4, 30)))
+ SUMPRODUCT(('Form responses 1'!$G$2:$G1000 = A43) * ('Form responses 1'!$A$2:$A1000 &lt;= DATE(2025, 4, 30)))), 2), "-")
</f>
        <v>0.26</v>
      </c>
      <c r="S43" s="2">
        <f>IFERROR(ROUND(Data!B41/(SUMPRODUCT(('Form responses 1'!$B$2:$B1000 = A43) * ('Form responses 1'!$A$2:$A1000 &lt;= DATE(2025, 5, 31)))
+ SUMPRODUCT(('Form responses 1'!$C$2:$C1000 = A43) * ('Form responses 1'!$A$2:$A1000 &lt;= DATE(2025, 5, 31)))
+ SUMPRODUCT(('Form responses 1'!$D$2:$D1000 = A43) * ('Form responses 1'!$A$2:$A1000 &lt;= DATE(2025, 5, 31)))
+ SUMPRODUCT(('Form responses 1'!$E$2:$E1000 = A43) * ('Form responses 1'!$A$2:$A1000 &lt;= DATE(2025, 5, 31)))
+ SUMPRODUCT(('Form responses 1'!$F$2:$F1000 = A43) * ('Form responses 1'!$A$2:$A1000 &lt;= DATE(2025, 5, 31)))
+ SUMPRODUCT(('Form responses 1'!$G$2:$G1000 = A43) * ('Form responses 1'!$A$2:$A1000 &lt;= DATE(2025, 5, 31)))), 2), "-")
</f>
        <v>0.26</v>
      </c>
      <c r="T43" s="2">
        <f>IFERROR(ROUND(Data!B41/(SUMPRODUCT(('Form responses 1'!$B$2:$B1000 = A43) * ('Form responses 1'!$A$2:$A1000 &lt;= DATE(2025, 6, 30)))
+ SUMPRODUCT(('Form responses 1'!$C$2:$C1000 = A43) * ('Form responses 1'!$A$2:$A1000 &lt;= DATE(2025, 6, 30)))
+ SUMPRODUCT(('Form responses 1'!$D$2:$D1000 = A43) * ('Form responses 1'!$A$2:$A1000 &lt;= DATE(2025, 6, 30)))
+ SUMPRODUCT(('Form responses 1'!$E$2:$E1000 = A43) * ('Form responses 1'!$A$2:$A1000 &lt;= DATE(2025, 6, 30)))
+ SUMPRODUCT(('Form responses 1'!$F$2:$F1000 = A43) * ('Form responses 1'!$A$2:$A1000 &lt;= DATE(2025, 6, 30)))
+ SUMPRODUCT(('Form responses 1'!$G$2:$G1000 = A43) * ('Form responses 1'!$A$2:$A1000 &lt;= DATE(2025, 6, 30)))), 2), "-")
</f>
        <v>0.26</v>
      </c>
      <c r="U43" s="2">
        <f>IFERROR(ROUND(Data!B41/(SUMPRODUCT(('Form responses 1'!$B$2:$B1000 = A43) * ('Form responses 1'!$A$2:$A1000 &lt;= DATE(2025, 7, 31)))
+ SUMPRODUCT(('Form responses 1'!$C$2:$C1000 = A43) * ('Form responses 1'!$A$2:$A1000 &lt;= DATE(2025, 7, 31)))
+ SUMPRODUCT(('Form responses 1'!$D$2:$D1000 = A43) * ('Form responses 1'!$A$2:$A1000 &lt;= DATE(2025, 7, 31)))
+ SUMPRODUCT(('Form responses 1'!$E$2:$E1000 = A43) * ('Form responses 1'!$A$2:$A1000 &lt;= DATE(2025, 7, 31)))
+ SUMPRODUCT(('Form responses 1'!$F$2:$F1000 = A43) * ('Form responses 1'!$A$2:$A1000 &lt;= DATE(2025, 7, 31)))
+ SUMPRODUCT(('Form responses 1'!$G$2:$G1000 = A43) * ('Form responses 1'!$A$2:$A1000 &lt;= DATE(2025, 7, 31)))), 2), "-")
</f>
        <v>0.26</v>
      </c>
      <c r="V43" s="2">
        <f>IFERROR(ROUND(Data!B41/(SUMPRODUCT(('Form responses 1'!$B$2:$B1000 = A43) * ('Form responses 1'!$A$2:$A1000 &lt;= DATE(2025, 8, 31)))
+ SUMPRODUCT(('Form responses 1'!$C$2:$C1000 = A43) * ('Form responses 1'!$A$2:$A1000 &lt;= DATE(2025, 8, 31)))
+ SUMPRODUCT(('Form responses 1'!$D$2:$D1000 = A43) * ('Form responses 1'!$A$2:$A1000 &lt;= DATE(2025, 8, 31)))
+ SUMPRODUCT(('Form responses 1'!$E$2:$E1000 = A43) * ('Form responses 1'!$A$2:$A1000 &lt;= DATE(2025, 8, 31)))
+ SUMPRODUCT(('Form responses 1'!$F$2:$F1000 = A43) * ('Form responses 1'!$A$2:$A1000 &lt;= DATE(2025, 8, 31)))
+ SUMPRODUCT(('Form responses 1'!$G$2:$G1000 = A43) * ('Form responses 1'!$A$2:$A1000 &lt;= DATE(2025, 8, 31)))), 2), "-")
</f>
        <v>0.26</v>
      </c>
      <c r="W43" s="2">
        <f>IFERROR(ROUND(Data!B41/(SUMPRODUCT(('Form responses 1'!$B$2:$B1000 = A43) * ('Form responses 1'!$A$2:$A1000 &lt;= DATE(2025, 9, 30)))
+ SUMPRODUCT(('Form responses 1'!$C$2:$C1000 = A43) * ('Form responses 1'!$A$2:$A1000 &lt;= DATE(2025, 9, 30)))
+ SUMPRODUCT(('Form responses 1'!$D$2:$D1000 = A43) * ('Form responses 1'!$A$2:$A1000 &lt;= DATE(2025, 9, 30)))
+ SUMPRODUCT(('Form responses 1'!$E$2:$E1000 = A43) * ('Form responses 1'!$A$2:$A1000 &lt;= DATE(2025, 9, 30)))
+ SUMPRODUCT(('Form responses 1'!$F$2:$F1000 = A43) * ('Form responses 1'!$A$2:$A1000 &lt;= DATE(2025, 9, 30)))
+ SUMPRODUCT(('Form responses 1'!$G$2:$G1000 = A43) * ('Form responses 1'!$A$2:$A1000 &lt;= DATE(2025, 9, 30)))), 2), "-")
</f>
        <v>0.26</v>
      </c>
      <c r="X43" s="2">
        <f>IFERROR(ROUND(Data!B41/(SUMPRODUCT(('Form responses 1'!$B$2:$B1000 = A43) * ('Form responses 1'!$A$2:$A1000 &lt;= DATE(2025, 10, 31)))
+ SUMPRODUCT(('Form responses 1'!$C$2:$C1000 = A43) * ('Form responses 1'!$A$2:$A1000 &lt;= DATE(2025, 10, 31)))
+ SUMPRODUCT(('Form responses 1'!$D$2:$D1000 = A43) * ('Form responses 1'!$A$2:$A1000 &lt;= DATE(2025, 10, 31)))
+ SUMPRODUCT(('Form responses 1'!$E$2:$E1000 = A43) * ('Form responses 1'!$A$2:$A1000 &lt;= DATE(2025, 10, 31)))
+ SUMPRODUCT(('Form responses 1'!$F$2:$F1000 = A43) * ('Form responses 1'!$A$2:$A1000 &lt;= DATE(2025, 10, 31)))
+ SUMPRODUCT(('Form responses 1'!$G$2:$G1000 = A43) * ('Form responses 1'!$A$2:$A1000 &lt;= DATE(2025, 10, 31)))), 2), "-")
</f>
        <v>0.26</v>
      </c>
      <c r="Y43" s="2">
        <f>IFERROR(ROUND(Data!B41/(SUMPRODUCT(('Form responses 1'!$B$2:$B1000 = A43) * ('Form responses 1'!$A$2:$A1000 &lt;= DATE(2025, 11, 30)))
+ SUMPRODUCT(('Form responses 1'!$C$2:$C1000 = A43) * ('Form responses 1'!$A$2:$A1000 &lt;= DATE(2025, 11, 30)))
+ SUMPRODUCT(('Form responses 1'!$D$2:$D1000 = A43) * ('Form responses 1'!$A$2:$A1000 &lt;= DATE(2025, 11, 30)))
+ SUMPRODUCT(('Form responses 1'!$E$2:$E1000 = A43) * ('Form responses 1'!$A$2:$A1000 &lt;= DATE(2025, 11, 30)))
+ SUMPRODUCT(('Form responses 1'!$F$2:$F1000 = A43) * ('Form responses 1'!$A$2:$A1000 &lt;= DATE(2025, 11, 30)))
+ SUMPRODUCT(('Form responses 1'!$G$2:$G1000 = A43) * ('Form responses 1'!$A$2:$A1000 &lt;= DATE(2025, 11, 30)))), 2), "-")
</f>
        <v>0.26</v>
      </c>
      <c r="Z43" s="2">
        <f>IFERROR(ROUND(Data!B41/(SUMPRODUCT(('Form responses 1'!$B$2:$B1000 = A43) * ('Form responses 1'!$A$2:$A1000 &lt;= DATE(2025, 12, 31)))
+ SUMPRODUCT(('Form responses 1'!$C$2:$C1000 = A43) * ('Form responses 1'!$A$2:$A1000 &lt;= DATE(2025, 12, 31)))
+ SUMPRODUCT(('Form responses 1'!$D$2:$D1000 = A43) * ('Form responses 1'!$A$2:$A1000 &lt;= DATE(2025, 12, 31)))
+ SUMPRODUCT(('Form responses 1'!$E$2:$E1000 = A43) * ('Form responses 1'!$A$2:$A1000 &lt;= DATE(2025, 12, 31)))
+ SUMPRODUCT(('Form responses 1'!$F$2:$F1000 = A43) * ('Form responses 1'!$A$2:$A1000 &lt;= DATE(2025, 12, 31)))
+ SUMPRODUCT(('Form responses 1'!$G$2:$G1000 = A43) * ('Form responses 1'!$A$2:$A1000 &lt;= DATE(2025, 12, 31)))), 2), "-")
</f>
        <v>0.26</v>
      </c>
      <c r="AA43" s="2">
        <f>IFERROR(ROUND(Data!$B43/(
  SUMPRODUCT(('Form responses 1'!$B$2:$B1000=$A43)*('Form responses 1'!$A$2:$A1000&lt;=EOMONTH(DATEVALUE("1 "&amp;AA$1),0)))+
  SUMPRODUCT(('Form responses 1'!$C$2:$C1000=$A43)*('Form responses 1'!$A$2:$A1000&lt;=EOMONTH(DATEVALUE("1 "&amp;AA$1),0)))+
  SUMPRODUCT(('Form responses 1'!$D$2:$D1000=$A43)*('Form responses 1'!$A$2:$A1000&lt;=EOMONTH(DATEVALUE("1 "&amp;AA$1),0)))+
  SUMPRODUCT(('Form responses 1'!$E$2:$E1000=$A43)*('Form responses 1'!$A$2:$A1000&lt;=EOMONTH(DATEVALUE("1 "&amp;AA$1),0)))+
  SUMPRODUCT(('Form responses 1'!$F$2:$F1000=$A43)*('Form responses 1'!$A$2:$A1000&lt;=EOMONTH(DATEVALUE("1 "&amp;AA$1),0)))+
  SUMPRODUCT(('Form responses 1'!$G$2:$G1000=$A43)*('Form responses 1'!$A$2:$A1000&lt;=EOMONTH(DATEVALUE("1 "&amp;AA$1),0)))
),2),"-")</f>
        <v>0.26</v>
      </c>
      <c r="AB43" s="2">
        <f>IFERROR(ROUND(Data!$B43/(
  SUMPRODUCT(('Form responses 1'!$B$2:$B1000=$A43)*('Form responses 1'!$A$2:$A1000&lt;=EOMONTH(DATEVALUE("1 "&amp;AB$1),0)))+
  SUMPRODUCT(('Form responses 1'!$C$2:$C1000=$A43)*('Form responses 1'!$A$2:$A1000&lt;=EOMONTH(DATEVALUE("1 "&amp;AB$1),0)))+
  SUMPRODUCT(('Form responses 1'!$D$2:$D1000=$A43)*('Form responses 1'!$A$2:$A1000&lt;=EOMONTH(DATEVALUE("1 "&amp;AB$1),0)))+
  SUMPRODUCT(('Form responses 1'!$E$2:$E1000=$A43)*('Form responses 1'!$A$2:$A1000&lt;=EOMONTH(DATEVALUE("1 "&amp;AB$1),0)))+
  SUMPRODUCT(('Form responses 1'!$F$2:$F1000=$A43)*('Form responses 1'!$A$2:$A1000&lt;=EOMONTH(DATEVALUE("1 "&amp;AB$1),0)))+
  SUMPRODUCT(('Form responses 1'!$G$2:$G1000=$A43)*('Form responses 1'!$A$2:$A1000&lt;=EOMONTH(DATEVALUE("1 "&amp;AB$1),0)))
),2),"-")</f>
        <v>0.26</v>
      </c>
      <c r="AC43" s="2">
        <f>IFERROR(ROUND(Data!$B43/(
  SUMPRODUCT(('Form responses 1'!$B$2:$B1000=$A43)*('Form responses 1'!$A$2:$A1000&lt;=EOMONTH(DATEVALUE("1 "&amp;AC$1),0)))+
  SUMPRODUCT(('Form responses 1'!$C$2:$C1000=$A43)*('Form responses 1'!$A$2:$A1000&lt;=EOMONTH(DATEVALUE("1 "&amp;AC$1),0)))+
  SUMPRODUCT(('Form responses 1'!$D$2:$D1000=$A43)*('Form responses 1'!$A$2:$A1000&lt;=EOMONTH(DATEVALUE("1 "&amp;AC$1),0)))+
  SUMPRODUCT(('Form responses 1'!$E$2:$E1000=$A43)*('Form responses 1'!$A$2:$A1000&lt;=EOMONTH(DATEVALUE("1 "&amp;AC$1),0)))+
  SUMPRODUCT(('Form responses 1'!$F$2:$F1000=$A43)*('Form responses 1'!$A$2:$A1000&lt;=EOMONTH(DATEVALUE("1 "&amp;AC$1),0)))+
  SUMPRODUCT(('Form responses 1'!$G$2:$G1000=$A43)*('Form responses 1'!$A$2:$A1000&lt;=EOMONTH(DATEVALUE("1 "&amp;AC$1),0)))
),2),"-")</f>
        <v>0.26</v>
      </c>
      <c r="AD43" s="2" t="str">
        <f>IFERROR(ROUND(Data!$B43/(
  SUMPRODUCT(('Form responses 1'!$B$2:$B1000=$A43)*('Form responses 1'!$A$2:$A1000&lt;=EOMONTH(DATEVALUE("1 "&amp;AD$1),0)))+
  SUMPRODUCT(('Form responses 1'!$C$2:$C1000=$A43)*('Form responses 1'!$A$2:$A1000&lt;=EOMONTH(DATEVALUE("1 "&amp;AD$1),0)))+
  SUMPRODUCT(('Form responses 1'!$D$2:$D1000=$A43)*('Form responses 1'!$A$2:$A1000&lt;=EOMONTH(DATEVALUE("1 "&amp;AD$1),0)))+
  SUMPRODUCT(('Form responses 1'!$E$2:$E1000=$A43)*('Form responses 1'!$A$2:$A1000&lt;=EOMONTH(DATEVALUE("1 "&amp;AD$1),0)))+
  SUMPRODUCT(('Form responses 1'!$F$2:$F1000=$A43)*('Form responses 1'!$A$2:$A1000&lt;=EOMONTH(DATEVALUE("1 "&amp;AD$1),0)))+
  SUMPRODUCT(('Form responses 1'!$G$2:$G1000=$A43)*('Form responses 1'!$A$2:$A1000&lt;=EOMONTH(DATEVALUE("1 "&amp;AD$1),0)))
),2),"-")</f>
        <v>-</v>
      </c>
      <c r="AE43" s="2" t="str">
        <f>IFERROR(ROUND(Data!$B43/(
  SUMPRODUCT(('Form responses 1'!$B$2:$B1000=$A43)*('Form responses 1'!$A$2:$A1000&lt;=EOMONTH(DATEVALUE("1 "&amp;AE$1),0)))+
  SUMPRODUCT(('Form responses 1'!$C$2:$C1000=$A43)*('Form responses 1'!$A$2:$A1000&lt;=EOMONTH(DATEVALUE("1 "&amp;AE$1),0)))+
  SUMPRODUCT(('Form responses 1'!$D$2:$D1000=$A43)*('Form responses 1'!$A$2:$A1000&lt;=EOMONTH(DATEVALUE("1 "&amp;AE$1),0)))+
  SUMPRODUCT(('Form responses 1'!$E$2:$E1000=$A43)*('Form responses 1'!$A$2:$A1000&lt;=EOMONTH(DATEVALUE("1 "&amp;AE$1),0)))+
  SUMPRODUCT(('Form responses 1'!$F$2:$F1000=$A43)*('Form responses 1'!$A$2:$A1000&lt;=EOMONTH(DATEVALUE("1 "&amp;AE$1),0)))+
  SUMPRODUCT(('Form responses 1'!$G$2:$G1000=$A43)*('Form responses 1'!$A$2:$A1000&lt;=EOMONTH(DATEVALUE("1 "&amp;AE$1),0)))
),2),"-")</f>
        <v>-</v>
      </c>
      <c r="AF43" s="2" t="str">
        <f>IFERROR(ROUND(Data!$B43/(
  SUMPRODUCT(('Form responses 1'!$B$2:$B1000=$A43)*('Form responses 1'!$A$2:$A1000&lt;=EOMONTH(DATEVALUE("1 "&amp;AF$1),0)))+
  SUMPRODUCT(('Form responses 1'!$C$2:$C1000=$A43)*('Form responses 1'!$A$2:$A1000&lt;=EOMONTH(DATEVALUE("1 "&amp;AF$1),0)))+
  SUMPRODUCT(('Form responses 1'!$D$2:$D1000=$A43)*('Form responses 1'!$A$2:$A1000&lt;=EOMONTH(DATEVALUE("1 "&amp;AF$1),0)))+
  SUMPRODUCT(('Form responses 1'!$E$2:$E1000=$A43)*('Form responses 1'!$A$2:$A1000&lt;=EOMONTH(DATEVALUE("1 "&amp;AF$1),0)))+
  SUMPRODUCT(('Form responses 1'!$F$2:$F1000=$A43)*('Form responses 1'!$A$2:$A1000&lt;=EOMONTH(DATEVALUE("1 "&amp;AF$1),0)))+
  SUMPRODUCT(('Form responses 1'!$G$2:$G1000=$A43)*('Form responses 1'!$A$2:$A1000&lt;=EOMONTH(DATEVALUE("1 "&amp;AF$1),0)))
),2),"-")</f>
        <v>-</v>
      </c>
      <c r="AG43" s="2" t="str">
        <f>IFERROR(ROUND(Data!$B43/(
  SUMPRODUCT(('Form responses 1'!$B$2:$B1000=$A43)*('Form responses 1'!$A$2:$A1000&lt;=EOMONTH(DATEVALUE("1 "&amp;AG$1),0)))+
  SUMPRODUCT(('Form responses 1'!$C$2:$C1000=$A43)*('Form responses 1'!$A$2:$A1000&lt;=EOMONTH(DATEVALUE("1 "&amp;AG$1),0)))+
  SUMPRODUCT(('Form responses 1'!$D$2:$D1000=$A43)*('Form responses 1'!$A$2:$A1000&lt;=EOMONTH(DATEVALUE("1 "&amp;AG$1),0)))+
  SUMPRODUCT(('Form responses 1'!$E$2:$E1000=$A43)*('Form responses 1'!$A$2:$A1000&lt;=EOMONTH(DATEVALUE("1 "&amp;AG$1),0)))+
  SUMPRODUCT(('Form responses 1'!$F$2:$F1000=$A43)*('Form responses 1'!$A$2:$A1000&lt;=EOMONTH(DATEVALUE("1 "&amp;AG$1),0)))+
  SUMPRODUCT(('Form responses 1'!$G$2:$G1000=$A43)*('Form responses 1'!$A$2:$A1000&lt;=EOMONTH(DATEVALUE("1 "&amp;AG$1),0)))
),2),"-")</f>
        <v>-</v>
      </c>
      <c r="AH43" s="2" t="str">
        <f>IFERROR(ROUND(Data!$B43/(
  SUMPRODUCT(('Form responses 1'!$B$2:$B1000=$A43)*('Form responses 1'!$A$2:$A1000&lt;=EOMONTH(DATEVALUE("1 "&amp;AH$1),0)))+
  SUMPRODUCT(('Form responses 1'!$C$2:$C1000=$A43)*('Form responses 1'!$A$2:$A1000&lt;=EOMONTH(DATEVALUE("1 "&amp;AH$1),0)))+
  SUMPRODUCT(('Form responses 1'!$D$2:$D1000=$A43)*('Form responses 1'!$A$2:$A1000&lt;=EOMONTH(DATEVALUE("1 "&amp;AH$1),0)))+
  SUMPRODUCT(('Form responses 1'!$E$2:$E1000=$A43)*('Form responses 1'!$A$2:$A1000&lt;=EOMONTH(DATEVALUE("1 "&amp;AH$1),0)))+
  SUMPRODUCT(('Form responses 1'!$F$2:$F1000=$A43)*('Form responses 1'!$A$2:$A1000&lt;=EOMONTH(DATEVALUE("1 "&amp;AH$1),0)))+
  SUMPRODUCT(('Form responses 1'!$G$2:$G1000=$A43)*('Form responses 1'!$A$2:$A1000&lt;=EOMONTH(DATEVALUE("1 "&amp;AH$1),0)))
),2),"-")</f>
        <v>-</v>
      </c>
      <c r="AI43" s="2" t="str">
        <f>IFERROR(ROUND(Data!$B43/(
  SUMPRODUCT(('Form responses 1'!$B$2:$B1000=$A43)*('Form responses 1'!$A$2:$A1000&lt;=EOMONTH(DATEVALUE("1 "&amp;AI$1),0)))+
  SUMPRODUCT(('Form responses 1'!$C$2:$C1000=$A43)*('Form responses 1'!$A$2:$A1000&lt;=EOMONTH(DATEVALUE("1 "&amp;AI$1),0)))+
  SUMPRODUCT(('Form responses 1'!$D$2:$D1000=$A43)*('Form responses 1'!$A$2:$A1000&lt;=EOMONTH(DATEVALUE("1 "&amp;AI$1),0)))+
  SUMPRODUCT(('Form responses 1'!$E$2:$E1000=$A43)*('Form responses 1'!$A$2:$A1000&lt;=EOMONTH(DATEVALUE("1 "&amp;AI$1),0)))+
  SUMPRODUCT(('Form responses 1'!$F$2:$F1000=$A43)*('Form responses 1'!$A$2:$A1000&lt;=EOMONTH(DATEVALUE("1 "&amp;AI$1),0)))+
  SUMPRODUCT(('Form responses 1'!$G$2:$G1000=$A43)*('Form responses 1'!$A$2:$A1000&lt;=EOMONTH(DATEVALUE("1 "&amp;AI$1),0)))
),2),"-")</f>
        <v>-</v>
      </c>
      <c r="AJ43" s="2" t="str">
        <f>IFERROR(ROUND(Data!$B43/(
  SUMPRODUCT(('Form responses 1'!$B$2:$B1000=$A43)*('Form responses 1'!$A$2:$A1000&lt;=EOMONTH(DATEVALUE("1 "&amp;AJ$1),0)))+
  SUMPRODUCT(('Form responses 1'!$C$2:$C1000=$A43)*('Form responses 1'!$A$2:$A1000&lt;=EOMONTH(DATEVALUE("1 "&amp;AJ$1),0)))+
  SUMPRODUCT(('Form responses 1'!$D$2:$D1000=$A43)*('Form responses 1'!$A$2:$A1000&lt;=EOMONTH(DATEVALUE("1 "&amp;AJ$1),0)))+
  SUMPRODUCT(('Form responses 1'!$E$2:$E1000=$A43)*('Form responses 1'!$A$2:$A1000&lt;=EOMONTH(DATEVALUE("1 "&amp;AJ$1),0)))+
  SUMPRODUCT(('Form responses 1'!$F$2:$F1000=$A43)*('Form responses 1'!$A$2:$A1000&lt;=EOMONTH(DATEVALUE("1 "&amp;AJ$1),0)))+
  SUMPRODUCT(('Form responses 1'!$G$2:$G1000=$A43)*('Form responses 1'!$A$2:$A1000&lt;=EOMONTH(DATEVALUE("1 "&amp;AJ$1),0)))
),2),"-")</f>
        <v>-</v>
      </c>
      <c r="AK43" s="2" t="str">
        <f>IFERROR(ROUND(Data!$B43/(
  SUMPRODUCT(('Form responses 1'!$B$2:$B1000=$A43)*('Form responses 1'!$A$2:$A1000&lt;=EOMONTH(DATEVALUE("1 "&amp;AK$1),0)))+
  SUMPRODUCT(('Form responses 1'!$C$2:$C1000=$A43)*('Form responses 1'!$A$2:$A1000&lt;=EOMONTH(DATEVALUE("1 "&amp;AK$1),0)))+
  SUMPRODUCT(('Form responses 1'!$D$2:$D1000=$A43)*('Form responses 1'!$A$2:$A1000&lt;=EOMONTH(DATEVALUE("1 "&amp;AK$1),0)))+
  SUMPRODUCT(('Form responses 1'!$E$2:$E1000=$A43)*('Form responses 1'!$A$2:$A1000&lt;=EOMONTH(DATEVALUE("1 "&amp;AK$1),0)))+
  SUMPRODUCT(('Form responses 1'!$F$2:$F1000=$A43)*('Form responses 1'!$A$2:$A1000&lt;=EOMONTH(DATEVALUE("1 "&amp;AK$1),0)))+
  SUMPRODUCT(('Form responses 1'!$G$2:$G1000=$A43)*('Form responses 1'!$A$2:$A1000&lt;=EOMONTH(DATEVALUE("1 "&amp;AK$1),0)))
),2),"-")</f>
        <v>-</v>
      </c>
      <c r="AL43" s="2" t="str">
        <f>IFERROR(ROUND(Data!$B43/(
  SUMPRODUCT(('Form responses 1'!$B$2:$B1000=$A43)*('Form responses 1'!$A$2:$A1000&lt;=EOMONTH(DATEVALUE("1 "&amp;AL$1),0)))+
  SUMPRODUCT(('Form responses 1'!$C$2:$C1000=$A43)*('Form responses 1'!$A$2:$A1000&lt;=EOMONTH(DATEVALUE("1 "&amp;AL$1),0)))+
  SUMPRODUCT(('Form responses 1'!$D$2:$D1000=$A43)*('Form responses 1'!$A$2:$A1000&lt;=EOMONTH(DATEVALUE("1 "&amp;AL$1),0)))+
  SUMPRODUCT(('Form responses 1'!$E$2:$E1000=$A43)*('Form responses 1'!$A$2:$A1000&lt;=EOMONTH(DATEVALUE("1 "&amp;AL$1),0)))+
  SUMPRODUCT(('Form responses 1'!$F$2:$F1000=$A43)*('Form responses 1'!$A$2:$A1000&lt;=EOMONTH(DATEVALUE("1 "&amp;AL$1),0)))+
  SUMPRODUCT(('Form responses 1'!$G$2:$G1000=$A43)*('Form responses 1'!$A$2:$A1000&lt;=EOMONTH(DATEVALUE("1 "&amp;AL$1),0)))
),2),"-")</f>
        <v>-</v>
      </c>
    </row>
    <row r="44">
      <c r="A44" s="3" t="str">
        <f>IFERROR(__xludf.DUMMYFUNCTION("""COMPUTED_VALUE"""),"Bruine fleece trui")</f>
        <v>Bruine fleece trui</v>
      </c>
      <c r="B44" s="2">
        <f>Data!F42:F1000</f>
        <v>0.53</v>
      </c>
      <c r="C44" s="2">
        <f>IFERROR(ROUND(Data!B42/(SUMPRODUCT(('Form responses 1'!$B$2:$B1000 = A44) * ('Form responses 1'!$A$2:$A1000 &lt;= DATE(2024, 1, 31)))
+ SUMPRODUCT(('Form responses 1'!$C$2:$C1000 = A44) * ('Form responses 1'!$A$2:$A1000 &lt;= DATE(2024, 1, 31)))
+ SUMPRODUCT(('Form responses 1'!$D$2:$D1000 = A44) * ('Form responses 1'!$A$2:$A1000 &lt;= DATE(2024, 1, 31)))
+ SUMPRODUCT(('Form responses 1'!$E$2:$E1000 = A44) * ('Form responses 1'!$A$2:$A1000 &lt;= DATE(2024, 1, 31)))
+ SUMPRODUCT(('Form responses 1'!$F$2:$F1000 = A44) * ('Form responses 1'!$A$2:$A1000 &lt;= DATE(2024, 1, 31)))
+ SUMPRODUCT(('Form responses 1'!$G$2:$G1000 = A44) * ('Form responses 1'!$A$2:$A1000 &lt;= DATE(2024, 1, 31)))), 2), "-")
</f>
        <v>0.3</v>
      </c>
      <c r="D44" s="2">
        <f>IFERROR(ROUND(Data!B42/(SUMPRODUCT(('Form responses 1'!$B$2:$B1000 = A44) * ('Form responses 1'!$A$2:$A1000 &lt;= DATE(2024, 2, 29)))
+ SUMPRODUCT(('Form responses 1'!$C$2:$C1000 = A44) * ('Form responses 1'!$A$2:$A1000 &lt;= DATE(2024, 2, 29)))
+ SUMPRODUCT(('Form responses 1'!$D$2:$D1000 = A44) * ('Form responses 1'!$A$2:$A1000 &lt;= DATE(2024, 2, 29)))
+ SUMPRODUCT(('Form responses 1'!$E$2:$E1000 = A44) * ('Form responses 1'!$A$2:$A1000 &lt;= DATE(2024, 2, 29)))
+ SUMPRODUCT(('Form responses 1'!$F$2:$F1000 = A44) * ('Form responses 1'!$A$2:$A1000 &lt;= DATE(2024, 2, 29)))
+ SUMPRODUCT(('Form responses 1'!$G$2:$G1000 = A44) * ('Form responses 1'!$A$2:$A1000 &lt;= DATE(2024, 2, 29)))), 2), "-")
</f>
        <v>0.3</v>
      </c>
      <c r="E44" s="2">
        <f>IFERROR(ROUND(Data!B42/(SUMPRODUCT(('Form responses 1'!$B$2:$B1000 = A44) * ('Form responses 1'!$A$2:$A1000 &lt;= DATE(2024, 3, 31)))
+ SUMPRODUCT(('Form responses 1'!$C$2:$C1000 = A44) * ('Form responses 1'!$A$2:$A1000 &lt;= DATE(2024, 3, 31)))
+ SUMPRODUCT(('Form responses 1'!$D$2:$D1000 = A44) * ('Form responses 1'!$A$2:$A1000 &lt;= DATE(2024, 3, 31)))
+ SUMPRODUCT(('Form responses 1'!$E$2:$E1000 = A44) * ('Form responses 1'!$A$2:$A1000 &lt;= DATE(2024, 3, 31)))
+ SUMPRODUCT(('Form responses 1'!$F$2:$F1000 = A44) * ('Form responses 1'!$A$2:$A1000 &lt;= DATE(2024, 3, 31)))
+ SUMPRODUCT(('Form responses 1'!$G$2:$G1000 = A44) * ('Form responses 1'!$A$2:$A1000 &lt;= DATE(2024, 3, 31)))), 2), "-")
</f>
        <v>0.3</v>
      </c>
      <c r="F44" s="2">
        <f>IFERROR(ROUND(Data!B42/(SUMPRODUCT(('Form responses 1'!$B$2:$B1000 = A44) * ('Form responses 1'!$A$2:$A1000 &lt;= DATE(2024, 4, 30)))
+ SUMPRODUCT(('Form responses 1'!$C$2:$C1000 = A44) * ('Form responses 1'!$A$2:$A1000 &lt;= DATE(2024, 4, 30)))
+ SUMPRODUCT(('Form responses 1'!$D$2:$D1000 = A44) * ('Form responses 1'!$A$2:$A1000 &lt;= DATE(2024, 4, 30)))
+ SUMPRODUCT(('Form responses 1'!$E$2:$E1000 = A44) * ('Form responses 1'!$A$2:$A1000 &lt;= DATE(2024, 4, 30)))
+ SUMPRODUCT(('Form responses 1'!$F$2:$F1000 = A44) * ('Form responses 1'!$A$2:$A1000 &lt;= DATE(2024, 4, 30)))
+ SUMPRODUCT(('Form responses 1'!$G$2:$G1000 = A44) * ('Form responses 1'!$A$2:$A1000 &lt;= DATE(2024, 4, 30)))), 2), "-")
</f>
        <v>0.3</v>
      </c>
      <c r="G44" s="2">
        <f>IFERROR(ROUND(Data!B42/(SUMPRODUCT(('Form responses 1'!$B$2:$B1000 = A44) * ('Form responses 1'!$A$2:$A1000 &lt;= DATE(2024, 5, 31)))
+ SUMPRODUCT(('Form responses 1'!$C$2:$C1000 = A44) * ('Form responses 1'!$A$2:$A1000 &lt;= DATE(2024, 5, 31)))
+ SUMPRODUCT(('Form responses 1'!$D$2:$D1000 = A44) * ('Form responses 1'!$A$2:$A1000 &lt;= DATE(2024, 5, 31)))
+ SUMPRODUCT(('Form responses 1'!$E$2:$E1000 = A44) * ('Form responses 1'!$A$2:$A1000 &lt;= DATE(2024, 5, 31)))
+ SUMPRODUCT(('Form responses 1'!$F$2:$F1000 = A44) * ('Form responses 1'!$A$2:$A1000 &lt;= DATE(2024, 5, 31)))
+ SUMPRODUCT(('Form responses 1'!$G$2:$G1000 = A44) * ('Form responses 1'!$A$2:$A1000 &lt;= DATE(2024, 5, 31)))), 2), "-")
</f>
        <v>0.3</v>
      </c>
      <c r="H44" s="2">
        <f>IFERROR(ROUND(Data!B42/(SUMPRODUCT(('Form responses 1'!$B$2:$B1000 = A44) * ('Form responses 1'!$A$2:$A1000 &lt;= DATE(2024, 6, 30)))
+ SUMPRODUCT(('Form responses 1'!$C$2:$C1000 = A44) * ('Form responses 1'!$A$2:$A1000 &lt;= DATE(2024, 6, 30)))
+ SUMPRODUCT(('Form responses 1'!$D$2:$D1000 = A44) * ('Form responses 1'!$A$2:$A1000 &lt;= DATE(2024, 6, 30)))
+ SUMPRODUCT(('Form responses 1'!$E$2:$E1000 = A44) * ('Form responses 1'!$A$2:$A1000 &lt;= DATE(2024, 6, 30)))
+ SUMPRODUCT(('Form responses 1'!$F$2:$F1000 = A44) * ('Form responses 1'!$A$2:$A1000 &lt;= DATE(2024, 6, 30)))
+ SUMPRODUCT(('Form responses 1'!$G$2:$G1000 = A44) * ('Form responses 1'!$A$2:$A1000 &lt;= DATE(2024, 6, 30)))), 2), "-")
</f>
        <v>0.3</v>
      </c>
      <c r="I44" s="2">
        <f>IFERROR(ROUND(Data!B42/(SUMPRODUCT(('Form responses 1'!$B$2:$B1000 = A44) * ('Form responses 1'!$A$2:$A1000 &lt;= DATE(2024, 7, 31)))
+ SUMPRODUCT(('Form responses 1'!$C$2:$C1000 = A44) * ('Form responses 1'!$A$2:$A1000 &lt;= DATE(2024, 7, 31)))
+ SUMPRODUCT(('Form responses 1'!$D$2:$D1000 = A44) * ('Form responses 1'!$A$2:$A1000 &lt;= DATE(2024, 7, 31)))
+ SUMPRODUCT(('Form responses 1'!$E$2:$E1000 = A44) * ('Form responses 1'!$A$2:$A1000 &lt;= DATE(2024, 7, 31)))
+ SUMPRODUCT(('Form responses 1'!$F$2:$F1000 = A44) * ('Form responses 1'!$A$2:$A1000 &lt;= DATE(2024, 7, 31)))
+ SUMPRODUCT(('Form responses 1'!$G$2:$G1000 = A44) * ('Form responses 1'!$A$2:$A1000 &lt;= DATE(2024, 7, 31)))), 2), "-")
</f>
        <v>0.3</v>
      </c>
      <c r="J44" s="2">
        <f>IFERROR(ROUND(Data!B42/(SUMPRODUCT(('Form responses 1'!$B$2:$B1000 = A44) * ('Form responses 1'!$A$2:$A1000 &lt;= DATE(2024, 8, 31)))
+ SUMPRODUCT(('Form responses 1'!$C$2:$C1000 = A44) * ('Form responses 1'!$A$2:$A1000 &lt;= DATE(2024, 8, 31)))
+ SUMPRODUCT(('Form responses 1'!$D$2:$D1000 = A44) * ('Form responses 1'!$A$2:$A1000 &lt;= DATE(2024, 8, 31)))
+ SUMPRODUCT(('Form responses 1'!$E$2:$E1000 = A44) * ('Form responses 1'!$A$2:$A1000 &lt;= DATE(2024, 8, 31)))
+ SUMPRODUCT(('Form responses 1'!$F$2:$F1000 = A44) * ('Form responses 1'!$A$2:$A1000 &lt;= DATE(2024, 8, 31)))
+ SUMPRODUCT(('Form responses 1'!$G$2:$G1000 = A44) * ('Form responses 1'!$A$2:$A1000 &lt;= DATE(2024, 8, 31)))), 2), "-")
</f>
        <v>0.3</v>
      </c>
      <c r="K44" s="2">
        <f>IFERROR(ROUND(Data!B42/(SUMPRODUCT(('Form responses 1'!$B$2:$B1000 = A44) * ('Form responses 1'!$A$2:$A1000 &lt;= DATE(2024, 9, 30)))
+ SUMPRODUCT(('Form responses 1'!$C$2:$C1000 = A44) * ('Form responses 1'!$A$2:$A1000 &lt;= DATE(2024, 9, 30)))
+ SUMPRODUCT(('Form responses 1'!$D$2:$D1000 = A44) * ('Form responses 1'!$A$2:$A1000 &lt;= DATE(2024, 9, 30)))
+ SUMPRODUCT(('Form responses 1'!$E$2:$E1000 = A44) * ('Form responses 1'!$A$2:$A1000 &lt;= DATE(2024, 9, 30)))
+ SUMPRODUCT(('Form responses 1'!$F$2:$F1000 = A44) * ('Form responses 1'!$A$2:$A1000 &lt;= DATE(2024, 9, 30)))
+ SUMPRODUCT(('Form responses 1'!$G$2:$G1000 = A44) * ('Form responses 1'!$A$2:$A1000 &lt;= DATE(2024, 9, 30)))), 2), "-")
</f>
        <v>0.3</v>
      </c>
      <c r="L44" s="2">
        <f>IFERROR(ROUND(Data!B42/(SUMPRODUCT(('Form responses 1'!$B$2:$B1000 = A44) * ('Form responses 1'!$A$2:$A1000 &lt;= DATE(2024, 10, 31)))
+ SUMPRODUCT(('Form responses 1'!$C$2:$C1000 = A44) * ('Form responses 1'!$A$2:$A1000 &lt;= DATE(2024, 10, 31)))
+ SUMPRODUCT(('Form responses 1'!$D$2:$D1000 = A44) * ('Form responses 1'!$A$2:$A1000 &lt;= DATE(2024, 10, 31)))
+ SUMPRODUCT(('Form responses 1'!$E$2:$E1000 = A44) * ('Form responses 1'!$A$2:$A1000 &lt;= DATE(2024, 10, 31)))
+ SUMPRODUCT(('Form responses 1'!$F$2:$F1000 = A44) * ('Form responses 1'!$A$2:$A1000 &lt;= DATE(2024, 10, 31)))
+ SUMPRODUCT(('Form responses 1'!$G$2:$G1000 = A44) * ('Form responses 1'!$A$2:$A1000 &lt;= DATE(2024, 10, 31)))), 2), "-")
</f>
        <v>0.28</v>
      </c>
      <c r="M44" s="2">
        <f>IFERROR(ROUND(Data!B42/(SUMPRODUCT(('Form responses 1'!$B$2:$B1000 = A44) * ('Form responses 1'!$A$2:$A1000 &lt;= DATE(2024, 11, 30)))
+ SUMPRODUCT(('Form responses 1'!$C$2:$C1000 = A44) * ('Form responses 1'!$A$2:$A1000 &lt;= DATE(2024, 11, 30)))
+ SUMPRODUCT(('Form responses 1'!$D$2:$D1000 = A44) * ('Form responses 1'!$A$2:$A1000 &lt;= DATE(2024, 11, 30)))
+ SUMPRODUCT(('Form responses 1'!$E$2:$E1000 = A44) * ('Form responses 1'!$A$2:$A1000 &lt;= DATE(2024, 11, 30)))
+ SUMPRODUCT(('Form responses 1'!$F$2:$F1000 = A44) * ('Form responses 1'!$A$2:$A1000 &lt;= DATE(2024, 11, 30)))
+ SUMPRODUCT(('Form responses 1'!$G$2:$G1000 = A44) * ('Form responses 1'!$A$2:$A1000 &lt;= DATE(2024, 11, 30)))), 2), "-")
</f>
        <v>0.27</v>
      </c>
      <c r="N44" s="2">
        <f>IFERROR(ROUND(Data!B42/(SUMPRODUCT(('Form responses 1'!$B$2:$B1000 = A44) * ('Form responses 1'!$A$2:$A1000 &lt;= DATE(2024, 12, 31)))
+ SUMPRODUCT(('Form responses 1'!$C$2:$C1000 = A44) * ('Form responses 1'!$A$2:$A1000 &lt;= DATE(2024, 12, 31)))
+ SUMPRODUCT(('Form responses 1'!$D$2:$D1000 = A44) * ('Form responses 1'!$A$2:$A1000 &lt;= DATE(2024, 12, 31)))
+ SUMPRODUCT(('Form responses 1'!$E$2:$E1000 = A44) * ('Form responses 1'!$A$2:$A1000 &lt;= DATE(2024, 12, 31)))
+ SUMPRODUCT(('Form responses 1'!$F$2:$F1000 = A44) * ('Form responses 1'!$A$2:$A1000 &lt;= DATE(2024, 12, 31)))
+ SUMPRODUCT(('Form responses 1'!$G$2:$G1000 = A44) * ('Form responses 1'!$A$2:$A1000 &lt;= DATE(2024, 12, 31)))), 2), "-")
</f>
        <v>0.23</v>
      </c>
      <c r="O44" s="2">
        <f>IFERROR(ROUND(Data!B42/(SUMPRODUCT(('Form responses 1'!$B$2:$B1000 = A44) * ('Form responses 1'!$A$2:$A1000 &lt;= DATE(2025, 1, 31)))
+ SUMPRODUCT(('Form responses 1'!$C$2:$C1000 = A44) * ('Form responses 1'!$A$2:$A1000 &lt;= DATE(2025, 1, 31)))
+ SUMPRODUCT(('Form responses 1'!$D$2:$D1000 = A44) * ('Form responses 1'!$A$2:$A1000 &lt;= DATE(2025, 1, 31)))
+ SUMPRODUCT(('Form responses 1'!$E$2:$E1000 = A44) * ('Form responses 1'!$A$2:$A1000 &lt;= DATE(2025, 1, 31)))
+ SUMPRODUCT(('Form responses 1'!$F$2:$F1000 = A44) * ('Form responses 1'!$A$2:$A1000 &lt;= DATE(2025, 1, 31)))
+ SUMPRODUCT(('Form responses 1'!$G$2:$G1000 = A44) * ('Form responses 1'!$A$2:$A1000 &lt;= DATE(2025, 1, 31)))), 2), "-")
</f>
        <v>0.21</v>
      </c>
      <c r="P44" s="2">
        <f>IFERROR(ROUND(Data!B42/(SUMPRODUCT(('Form responses 1'!$B$2:$B1000 = A44) * ('Form responses 1'!$A$2:$A1000 &lt;= DATE(2025, 2, 28)))
+ SUMPRODUCT(('Form responses 1'!$C$2:$C1000 = A44) * ('Form responses 1'!$A$2:$A1000 &lt;= DATE(2025, 2, 28)))
+ SUMPRODUCT(('Form responses 1'!$D$2:$D1000 = A44) * ('Form responses 1'!$A$2:$A1000 &lt;= DATE(2025, 2, 28)))
+ SUMPRODUCT(('Form responses 1'!$E$2:$E1000 = A44) * ('Form responses 1'!$A$2:$A1000 &lt;= DATE(2025, 2, 28)))
+ SUMPRODUCT(('Form responses 1'!$F$2:$F1000 = A44) * ('Form responses 1'!$A$2:$A1000 &lt;= DATE(2025, 2, 28)))
+ SUMPRODUCT(('Form responses 1'!$G$2:$G1000 = A44) * ('Form responses 1'!$A$2:$A1000 &lt;= DATE(2025, 2, 28)))), 2), "-")
</f>
        <v>0.21</v>
      </c>
      <c r="Q44" s="2">
        <f>IFERROR(ROUND(Data!B42/(SUMPRODUCT(('Form responses 1'!$B$2:$B1000 = A44) * ('Form responses 1'!$A$2:$A1000 &lt;= DATE(2025, 3, 31)))
+ SUMPRODUCT(('Form responses 1'!$C$2:$C1000 = A44) * ('Form responses 1'!$A$2:$A1000 &lt;= DATE(2025, 3, 31)))
+ SUMPRODUCT(('Form responses 1'!$D$2:$D1000 = A44) * ('Form responses 1'!$A$2:$A1000 &lt;= DATE(2025, 3, 31)))
+ SUMPRODUCT(('Form responses 1'!$E$2:$E1000 = A44) * ('Form responses 1'!$A$2:$A1000 &lt;= DATE(2025, 3, 31)))
+ SUMPRODUCT(('Form responses 1'!$F$2:$F1000 = A44) * ('Form responses 1'!$A$2:$A1000 &lt;= DATE(2025, 3, 31)))
+ SUMPRODUCT(('Form responses 1'!$G$2:$G1000 = A44) * ('Form responses 1'!$A$2:$A1000 &lt;= DATE(2025, 3, 31)))),2),"-")</f>
        <v>0.21</v>
      </c>
      <c r="R44" s="2">
        <f>IFERROR(ROUND(Data!B42/(SUMPRODUCT(('Form responses 1'!$B$2:$B1000 = A44) * ('Form responses 1'!$A$2:$A1000 &lt;= DATE(2025, 4, 30)))
+ SUMPRODUCT(('Form responses 1'!$C$2:$C1000 = A44) * ('Form responses 1'!$A$2:$A1000 &lt;= DATE(2025, 4, 30)))
+ SUMPRODUCT(('Form responses 1'!$D$2:$D1000 = A44) * ('Form responses 1'!$A$2:$A1000 &lt;= DATE(2025, 4, 30)))
+ SUMPRODUCT(('Form responses 1'!$E$2:$E1000 = A44) * ('Form responses 1'!$A$2:$A1000 &lt;= DATE(2025, 4, 30)))
+ SUMPRODUCT(('Form responses 1'!$F$2:$F1000 = A44) * ('Form responses 1'!$A$2:$A1000 &lt;= DATE(2025, 4, 30)))
+ SUMPRODUCT(('Form responses 1'!$G$2:$G1000 = A44) * ('Form responses 1'!$A$2:$A1000 &lt;= DATE(2025, 4, 30)))), 2), "-")
</f>
        <v>0.21</v>
      </c>
      <c r="S44" s="2">
        <f>IFERROR(ROUND(Data!B42/(SUMPRODUCT(('Form responses 1'!$B$2:$B1000 = A44) * ('Form responses 1'!$A$2:$A1000 &lt;= DATE(2025, 5, 31)))
+ SUMPRODUCT(('Form responses 1'!$C$2:$C1000 = A44) * ('Form responses 1'!$A$2:$A1000 &lt;= DATE(2025, 5, 31)))
+ SUMPRODUCT(('Form responses 1'!$D$2:$D1000 = A44) * ('Form responses 1'!$A$2:$A1000 &lt;= DATE(2025, 5, 31)))
+ SUMPRODUCT(('Form responses 1'!$E$2:$E1000 = A44) * ('Form responses 1'!$A$2:$A1000 &lt;= DATE(2025, 5, 31)))
+ SUMPRODUCT(('Form responses 1'!$F$2:$F1000 = A44) * ('Form responses 1'!$A$2:$A1000 &lt;= DATE(2025, 5, 31)))
+ SUMPRODUCT(('Form responses 1'!$G$2:$G1000 = A44) * ('Form responses 1'!$A$2:$A1000 &lt;= DATE(2025, 5, 31)))), 2), "-")
</f>
        <v>0.21</v>
      </c>
      <c r="T44" s="2">
        <f>IFERROR(ROUND(Data!B42/(SUMPRODUCT(('Form responses 1'!$B$2:$B1000 = A44) * ('Form responses 1'!$A$2:$A1000 &lt;= DATE(2025, 6, 30)))
+ SUMPRODUCT(('Form responses 1'!$C$2:$C1000 = A44) * ('Form responses 1'!$A$2:$A1000 &lt;= DATE(2025, 6, 30)))
+ SUMPRODUCT(('Form responses 1'!$D$2:$D1000 = A44) * ('Form responses 1'!$A$2:$A1000 &lt;= DATE(2025, 6, 30)))
+ SUMPRODUCT(('Form responses 1'!$E$2:$E1000 = A44) * ('Form responses 1'!$A$2:$A1000 &lt;= DATE(2025, 6, 30)))
+ SUMPRODUCT(('Form responses 1'!$F$2:$F1000 = A44) * ('Form responses 1'!$A$2:$A1000 &lt;= DATE(2025, 6, 30)))
+ SUMPRODUCT(('Form responses 1'!$G$2:$G1000 = A44) * ('Form responses 1'!$A$2:$A1000 &lt;= DATE(2025, 6, 30)))), 2), "-")
</f>
        <v>0.21</v>
      </c>
      <c r="U44" s="2">
        <f>IFERROR(ROUND(Data!B42/(SUMPRODUCT(('Form responses 1'!$B$2:$B1000 = A44) * ('Form responses 1'!$A$2:$A1000 &lt;= DATE(2025, 7, 31)))
+ SUMPRODUCT(('Form responses 1'!$C$2:$C1000 = A44) * ('Form responses 1'!$A$2:$A1000 &lt;= DATE(2025, 7, 31)))
+ SUMPRODUCT(('Form responses 1'!$D$2:$D1000 = A44) * ('Form responses 1'!$A$2:$A1000 &lt;= DATE(2025, 7, 31)))
+ SUMPRODUCT(('Form responses 1'!$E$2:$E1000 = A44) * ('Form responses 1'!$A$2:$A1000 &lt;= DATE(2025, 7, 31)))
+ SUMPRODUCT(('Form responses 1'!$F$2:$F1000 = A44) * ('Form responses 1'!$A$2:$A1000 &lt;= DATE(2025, 7, 31)))
+ SUMPRODUCT(('Form responses 1'!$G$2:$G1000 = A44) * ('Form responses 1'!$A$2:$A1000 &lt;= DATE(2025, 7, 31)))), 2), "-")
</f>
        <v>0.19</v>
      </c>
      <c r="V44" s="2">
        <f>IFERROR(ROUND(Data!B42/(SUMPRODUCT(('Form responses 1'!$B$2:$B1000 = A44) * ('Form responses 1'!$A$2:$A1000 &lt;= DATE(2025, 8, 31)))
+ SUMPRODUCT(('Form responses 1'!$C$2:$C1000 = A44) * ('Form responses 1'!$A$2:$A1000 &lt;= DATE(2025, 8, 31)))
+ SUMPRODUCT(('Form responses 1'!$D$2:$D1000 = A44) * ('Form responses 1'!$A$2:$A1000 &lt;= DATE(2025, 8, 31)))
+ SUMPRODUCT(('Form responses 1'!$E$2:$E1000 = A44) * ('Form responses 1'!$A$2:$A1000 &lt;= DATE(2025, 8, 31)))
+ SUMPRODUCT(('Form responses 1'!$F$2:$F1000 = A44) * ('Form responses 1'!$A$2:$A1000 &lt;= DATE(2025, 8, 31)))
+ SUMPRODUCT(('Form responses 1'!$G$2:$G1000 = A44) * ('Form responses 1'!$A$2:$A1000 &lt;= DATE(2025, 8, 31)))), 2), "-")
</f>
        <v>0.19</v>
      </c>
      <c r="W44" s="2">
        <f>IFERROR(ROUND(Data!B42/(SUMPRODUCT(('Form responses 1'!$B$2:$B1000 = A44) * ('Form responses 1'!$A$2:$A1000 &lt;= DATE(2025, 9, 30)))
+ SUMPRODUCT(('Form responses 1'!$C$2:$C1000 = A44) * ('Form responses 1'!$A$2:$A1000 &lt;= DATE(2025, 9, 30)))
+ SUMPRODUCT(('Form responses 1'!$D$2:$D1000 = A44) * ('Form responses 1'!$A$2:$A1000 &lt;= DATE(2025, 9, 30)))
+ SUMPRODUCT(('Form responses 1'!$E$2:$E1000 = A44) * ('Form responses 1'!$A$2:$A1000 &lt;= DATE(2025, 9, 30)))
+ SUMPRODUCT(('Form responses 1'!$F$2:$F1000 = A44) * ('Form responses 1'!$A$2:$A1000 &lt;= DATE(2025, 9, 30)))
+ SUMPRODUCT(('Form responses 1'!$G$2:$G1000 = A44) * ('Form responses 1'!$A$2:$A1000 &lt;= DATE(2025, 9, 30)))), 2), "-")
</f>
        <v>0.19</v>
      </c>
      <c r="X44" s="2">
        <f>IFERROR(ROUND(Data!B42/(SUMPRODUCT(('Form responses 1'!$B$2:$B1000 = A44) * ('Form responses 1'!$A$2:$A1000 &lt;= DATE(2025, 10, 31)))
+ SUMPRODUCT(('Form responses 1'!$C$2:$C1000 = A44) * ('Form responses 1'!$A$2:$A1000 &lt;= DATE(2025, 10, 31)))
+ SUMPRODUCT(('Form responses 1'!$D$2:$D1000 = A44) * ('Form responses 1'!$A$2:$A1000 &lt;= DATE(2025, 10, 31)))
+ SUMPRODUCT(('Form responses 1'!$E$2:$E1000 = A44) * ('Form responses 1'!$A$2:$A1000 &lt;= DATE(2025, 10, 31)))
+ SUMPRODUCT(('Form responses 1'!$F$2:$F1000 = A44) * ('Form responses 1'!$A$2:$A1000 &lt;= DATE(2025, 10, 31)))
+ SUMPRODUCT(('Form responses 1'!$G$2:$G1000 = A44) * ('Form responses 1'!$A$2:$A1000 &lt;= DATE(2025, 10, 31)))), 2), "-")
</f>
        <v>0.17</v>
      </c>
      <c r="Y44" s="2">
        <f>IFERROR(ROUND(Data!B42/(SUMPRODUCT(('Form responses 1'!$B$2:$B1000 = A44) * ('Form responses 1'!$A$2:$A1000 &lt;= DATE(2025, 11, 30)))
+ SUMPRODUCT(('Form responses 1'!$C$2:$C1000 = A44) * ('Form responses 1'!$A$2:$A1000 &lt;= DATE(2025, 11, 30)))
+ SUMPRODUCT(('Form responses 1'!$D$2:$D1000 = A44) * ('Form responses 1'!$A$2:$A1000 &lt;= DATE(2025, 11, 30)))
+ SUMPRODUCT(('Form responses 1'!$E$2:$E1000 = A44) * ('Form responses 1'!$A$2:$A1000 &lt;= DATE(2025, 11, 30)))
+ SUMPRODUCT(('Form responses 1'!$F$2:$F1000 = A44) * ('Form responses 1'!$A$2:$A1000 &lt;= DATE(2025, 11, 30)))
+ SUMPRODUCT(('Form responses 1'!$G$2:$G1000 = A44) * ('Form responses 1'!$A$2:$A1000 &lt;= DATE(2025, 11, 30)))), 2), "-")
</f>
        <v>0.16</v>
      </c>
      <c r="Z44" s="2">
        <f>IFERROR(ROUND(Data!B42/(SUMPRODUCT(('Form responses 1'!$B$2:$B1000 = A44) * ('Form responses 1'!$A$2:$A1000 &lt;= DATE(2025, 12, 31)))
+ SUMPRODUCT(('Form responses 1'!$C$2:$C1000 = A44) * ('Form responses 1'!$A$2:$A1000 &lt;= DATE(2025, 12, 31)))
+ SUMPRODUCT(('Form responses 1'!$D$2:$D1000 = A44) * ('Form responses 1'!$A$2:$A1000 &lt;= DATE(2025, 12, 31)))
+ SUMPRODUCT(('Form responses 1'!$E$2:$E1000 = A44) * ('Form responses 1'!$A$2:$A1000 &lt;= DATE(2025, 12, 31)))
+ SUMPRODUCT(('Form responses 1'!$F$2:$F1000 = A44) * ('Form responses 1'!$A$2:$A1000 &lt;= DATE(2025, 12, 31)))
+ SUMPRODUCT(('Form responses 1'!$G$2:$G1000 = A44) * ('Form responses 1'!$A$2:$A1000 &lt;= DATE(2025, 12, 31)))), 2), "-")
</f>
        <v>0.16</v>
      </c>
      <c r="AA44" s="2">
        <f>IFERROR(ROUND(Data!$B44/(
  SUMPRODUCT(('Form responses 1'!$B$2:$B1000=$A44)*('Form responses 1'!$A$2:$A1000&lt;=EOMONTH(DATEVALUE("1 "&amp;AA$1),0)))+
  SUMPRODUCT(('Form responses 1'!$C$2:$C1000=$A44)*('Form responses 1'!$A$2:$A1000&lt;=EOMONTH(DATEVALUE("1 "&amp;AA$1),0)))+
  SUMPRODUCT(('Form responses 1'!$D$2:$D1000=$A44)*('Form responses 1'!$A$2:$A1000&lt;=EOMONTH(DATEVALUE("1 "&amp;AA$1),0)))+
  SUMPRODUCT(('Form responses 1'!$E$2:$E1000=$A44)*('Form responses 1'!$A$2:$A1000&lt;=EOMONTH(DATEVALUE("1 "&amp;AA$1),0)))+
  SUMPRODUCT(('Form responses 1'!$F$2:$F1000=$A44)*('Form responses 1'!$A$2:$A1000&lt;=EOMONTH(DATEVALUE("1 "&amp;AA$1),0)))+
  SUMPRODUCT(('Form responses 1'!$G$2:$G1000=$A44)*('Form responses 1'!$A$2:$A1000&lt;=EOMONTH(DATEVALUE("1 "&amp;AA$1),0)))
),2),"-")</f>
        <v>0.54</v>
      </c>
      <c r="AB44" s="2">
        <f>IFERROR(ROUND(Data!$B44/(
  SUMPRODUCT(('Form responses 1'!$B$2:$B1000=$A44)*('Form responses 1'!$A$2:$A1000&lt;=EOMONTH(DATEVALUE("1 "&amp;AB$1),0)))+
  SUMPRODUCT(('Form responses 1'!$C$2:$C1000=$A44)*('Form responses 1'!$A$2:$A1000&lt;=EOMONTH(DATEVALUE("1 "&amp;AB$1),0)))+
  SUMPRODUCT(('Form responses 1'!$D$2:$D1000=$A44)*('Form responses 1'!$A$2:$A1000&lt;=EOMONTH(DATEVALUE("1 "&amp;AB$1),0)))+
  SUMPRODUCT(('Form responses 1'!$E$2:$E1000=$A44)*('Form responses 1'!$A$2:$A1000&lt;=EOMONTH(DATEVALUE("1 "&amp;AB$1),0)))+
  SUMPRODUCT(('Form responses 1'!$F$2:$F1000=$A44)*('Form responses 1'!$A$2:$A1000&lt;=EOMONTH(DATEVALUE("1 "&amp;AB$1),0)))+
  SUMPRODUCT(('Form responses 1'!$G$2:$G1000=$A44)*('Form responses 1'!$A$2:$A1000&lt;=EOMONTH(DATEVALUE("1 "&amp;AB$1),0)))
),2),"-")</f>
        <v>0.54</v>
      </c>
      <c r="AC44" s="2">
        <f>IFERROR(ROUND(Data!$B44/(
  SUMPRODUCT(('Form responses 1'!$B$2:$B1000=$A44)*('Form responses 1'!$A$2:$A1000&lt;=EOMONTH(DATEVALUE("1 "&amp;AC$1),0)))+
  SUMPRODUCT(('Form responses 1'!$C$2:$C1000=$A44)*('Form responses 1'!$A$2:$A1000&lt;=EOMONTH(DATEVALUE("1 "&amp;AC$1),0)))+
  SUMPRODUCT(('Form responses 1'!$D$2:$D1000=$A44)*('Form responses 1'!$A$2:$A1000&lt;=EOMONTH(DATEVALUE("1 "&amp;AC$1),0)))+
  SUMPRODUCT(('Form responses 1'!$E$2:$E1000=$A44)*('Form responses 1'!$A$2:$A1000&lt;=EOMONTH(DATEVALUE("1 "&amp;AC$1),0)))+
  SUMPRODUCT(('Form responses 1'!$F$2:$F1000=$A44)*('Form responses 1'!$A$2:$A1000&lt;=EOMONTH(DATEVALUE("1 "&amp;AC$1),0)))+
  SUMPRODUCT(('Form responses 1'!$G$2:$G1000=$A44)*('Form responses 1'!$A$2:$A1000&lt;=EOMONTH(DATEVALUE("1 "&amp;AC$1),0)))
),2),"-")</f>
        <v>0.54</v>
      </c>
      <c r="AD44" s="2" t="str">
        <f>IFERROR(ROUND(Data!$B44/(
  SUMPRODUCT(('Form responses 1'!$B$2:$B1000=$A44)*('Form responses 1'!$A$2:$A1000&lt;=EOMONTH(DATEVALUE("1 "&amp;AD$1),0)))+
  SUMPRODUCT(('Form responses 1'!$C$2:$C1000=$A44)*('Form responses 1'!$A$2:$A1000&lt;=EOMONTH(DATEVALUE("1 "&amp;AD$1),0)))+
  SUMPRODUCT(('Form responses 1'!$D$2:$D1000=$A44)*('Form responses 1'!$A$2:$A1000&lt;=EOMONTH(DATEVALUE("1 "&amp;AD$1),0)))+
  SUMPRODUCT(('Form responses 1'!$E$2:$E1000=$A44)*('Form responses 1'!$A$2:$A1000&lt;=EOMONTH(DATEVALUE("1 "&amp;AD$1),0)))+
  SUMPRODUCT(('Form responses 1'!$F$2:$F1000=$A44)*('Form responses 1'!$A$2:$A1000&lt;=EOMONTH(DATEVALUE("1 "&amp;AD$1),0)))+
  SUMPRODUCT(('Form responses 1'!$G$2:$G1000=$A44)*('Form responses 1'!$A$2:$A1000&lt;=EOMONTH(DATEVALUE("1 "&amp;AD$1),0)))
),2),"-")</f>
        <v>-</v>
      </c>
      <c r="AE44" s="2" t="str">
        <f>IFERROR(ROUND(Data!$B44/(
  SUMPRODUCT(('Form responses 1'!$B$2:$B1000=$A44)*('Form responses 1'!$A$2:$A1000&lt;=EOMONTH(DATEVALUE("1 "&amp;AE$1),0)))+
  SUMPRODUCT(('Form responses 1'!$C$2:$C1000=$A44)*('Form responses 1'!$A$2:$A1000&lt;=EOMONTH(DATEVALUE("1 "&amp;AE$1),0)))+
  SUMPRODUCT(('Form responses 1'!$D$2:$D1000=$A44)*('Form responses 1'!$A$2:$A1000&lt;=EOMONTH(DATEVALUE("1 "&amp;AE$1),0)))+
  SUMPRODUCT(('Form responses 1'!$E$2:$E1000=$A44)*('Form responses 1'!$A$2:$A1000&lt;=EOMONTH(DATEVALUE("1 "&amp;AE$1),0)))+
  SUMPRODUCT(('Form responses 1'!$F$2:$F1000=$A44)*('Form responses 1'!$A$2:$A1000&lt;=EOMONTH(DATEVALUE("1 "&amp;AE$1),0)))+
  SUMPRODUCT(('Form responses 1'!$G$2:$G1000=$A44)*('Form responses 1'!$A$2:$A1000&lt;=EOMONTH(DATEVALUE("1 "&amp;AE$1),0)))
),2),"-")</f>
        <v>-</v>
      </c>
      <c r="AF44" s="2" t="str">
        <f>IFERROR(ROUND(Data!$B44/(
  SUMPRODUCT(('Form responses 1'!$B$2:$B1000=$A44)*('Form responses 1'!$A$2:$A1000&lt;=EOMONTH(DATEVALUE("1 "&amp;AF$1),0)))+
  SUMPRODUCT(('Form responses 1'!$C$2:$C1000=$A44)*('Form responses 1'!$A$2:$A1000&lt;=EOMONTH(DATEVALUE("1 "&amp;AF$1),0)))+
  SUMPRODUCT(('Form responses 1'!$D$2:$D1000=$A44)*('Form responses 1'!$A$2:$A1000&lt;=EOMONTH(DATEVALUE("1 "&amp;AF$1),0)))+
  SUMPRODUCT(('Form responses 1'!$E$2:$E1000=$A44)*('Form responses 1'!$A$2:$A1000&lt;=EOMONTH(DATEVALUE("1 "&amp;AF$1),0)))+
  SUMPRODUCT(('Form responses 1'!$F$2:$F1000=$A44)*('Form responses 1'!$A$2:$A1000&lt;=EOMONTH(DATEVALUE("1 "&amp;AF$1),0)))+
  SUMPRODUCT(('Form responses 1'!$G$2:$G1000=$A44)*('Form responses 1'!$A$2:$A1000&lt;=EOMONTH(DATEVALUE("1 "&amp;AF$1),0)))
),2),"-")</f>
        <v>-</v>
      </c>
      <c r="AG44" s="2" t="str">
        <f>IFERROR(ROUND(Data!$B44/(
  SUMPRODUCT(('Form responses 1'!$B$2:$B1000=$A44)*('Form responses 1'!$A$2:$A1000&lt;=EOMONTH(DATEVALUE("1 "&amp;AG$1),0)))+
  SUMPRODUCT(('Form responses 1'!$C$2:$C1000=$A44)*('Form responses 1'!$A$2:$A1000&lt;=EOMONTH(DATEVALUE("1 "&amp;AG$1),0)))+
  SUMPRODUCT(('Form responses 1'!$D$2:$D1000=$A44)*('Form responses 1'!$A$2:$A1000&lt;=EOMONTH(DATEVALUE("1 "&amp;AG$1),0)))+
  SUMPRODUCT(('Form responses 1'!$E$2:$E1000=$A44)*('Form responses 1'!$A$2:$A1000&lt;=EOMONTH(DATEVALUE("1 "&amp;AG$1),0)))+
  SUMPRODUCT(('Form responses 1'!$F$2:$F1000=$A44)*('Form responses 1'!$A$2:$A1000&lt;=EOMONTH(DATEVALUE("1 "&amp;AG$1),0)))+
  SUMPRODUCT(('Form responses 1'!$G$2:$G1000=$A44)*('Form responses 1'!$A$2:$A1000&lt;=EOMONTH(DATEVALUE("1 "&amp;AG$1),0)))
),2),"-")</f>
        <v>-</v>
      </c>
      <c r="AH44" s="2" t="str">
        <f>IFERROR(ROUND(Data!$B44/(
  SUMPRODUCT(('Form responses 1'!$B$2:$B1000=$A44)*('Form responses 1'!$A$2:$A1000&lt;=EOMONTH(DATEVALUE("1 "&amp;AH$1),0)))+
  SUMPRODUCT(('Form responses 1'!$C$2:$C1000=$A44)*('Form responses 1'!$A$2:$A1000&lt;=EOMONTH(DATEVALUE("1 "&amp;AH$1),0)))+
  SUMPRODUCT(('Form responses 1'!$D$2:$D1000=$A44)*('Form responses 1'!$A$2:$A1000&lt;=EOMONTH(DATEVALUE("1 "&amp;AH$1),0)))+
  SUMPRODUCT(('Form responses 1'!$E$2:$E1000=$A44)*('Form responses 1'!$A$2:$A1000&lt;=EOMONTH(DATEVALUE("1 "&amp;AH$1),0)))+
  SUMPRODUCT(('Form responses 1'!$F$2:$F1000=$A44)*('Form responses 1'!$A$2:$A1000&lt;=EOMONTH(DATEVALUE("1 "&amp;AH$1),0)))+
  SUMPRODUCT(('Form responses 1'!$G$2:$G1000=$A44)*('Form responses 1'!$A$2:$A1000&lt;=EOMONTH(DATEVALUE("1 "&amp;AH$1),0)))
),2),"-")</f>
        <v>-</v>
      </c>
      <c r="AI44" s="2" t="str">
        <f>IFERROR(ROUND(Data!$B44/(
  SUMPRODUCT(('Form responses 1'!$B$2:$B1000=$A44)*('Form responses 1'!$A$2:$A1000&lt;=EOMONTH(DATEVALUE("1 "&amp;AI$1),0)))+
  SUMPRODUCT(('Form responses 1'!$C$2:$C1000=$A44)*('Form responses 1'!$A$2:$A1000&lt;=EOMONTH(DATEVALUE("1 "&amp;AI$1),0)))+
  SUMPRODUCT(('Form responses 1'!$D$2:$D1000=$A44)*('Form responses 1'!$A$2:$A1000&lt;=EOMONTH(DATEVALUE("1 "&amp;AI$1),0)))+
  SUMPRODUCT(('Form responses 1'!$E$2:$E1000=$A44)*('Form responses 1'!$A$2:$A1000&lt;=EOMONTH(DATEVALUE("1 "&amp;AI$1),0)))+
  SUMPRODUCT(('Form responses 1'!$F$2:$F1000=$A44)*('Form responses 1'!$A$2:$A1000&lt;=EOMONTH(DATEVALUE("1 "&amp;AI$1),0)))+
  SUMPRODUCT(('Form responses 1'!$G$2:$G1000=$A44)*('Form responses 1'!$A$2:$A1000&lt;=EOMONTH(DATEVALUE("1 "&amp;AI$1),0)))
),2),"-")</f>
        <v>-</v>
      </c>
      <c r="AJ44" s="2" t="str">
        <f>IFERROR(ROUND(Data!$B44/(
  SUMPRODUCT(('Form responses 1'!$B$2:$B1000=$A44)*('Form responses 1'!$A$2:$A1000&lt;=EOMONTH(DATEVALUE("1 "&amp;AJ$1),0)))+
  SUMPRODUCT(('Form responses 1'!$C$2:$C1000=$A44)*('Form responses 1'!$A$2:$A1000&lt;=EOMONTH(DATEVALUE("1 "&amp;AJ$1),0)))+
  SUMPRODUCT(('Form responses 1'!$D$2:$D1000=$A44)*('Form responses 1'!$A$2:$A1000&lt;=EOMONTH(DATEVALUE("1 "&amp;AJ$1),0)))+
  SUMPRODUCT(('Form responses 1'!$E$2:$E1000=$A44)*('Form responses 1'!$A$2:$A1000&lt;=EOMONTH(DATEVALUE("1 "&amp;AJ$1),0)))+
  SUMPRODUCT(('Form responses 1'!$F$2:$F1000=$A44)*('Form responses 1'!$A$2:$A1000&lt;=EOMONTH(DATEVALUE("1 "&amp;AJ$1),0)))+
  SUMPRODUCT(('Form responses 1'!$G$2:$G1000=$A44)*('Form responses 1'!$A$2:$A1000&lt;=EOMONTH(DATEVALUE("1 "&amp;AJ$1),0)))
),2),"-")</f>
        <v>-</v>
      </c>
      <c r="AK44" s="2" t="str">
        <f>IFERROR(ROUND(Data!$B44/(
  SUMPRODUCT(('Form responses 1'!$B$2:$B1000=$A44)*('Form responses 1'!$A$2:$A1000&lt;=EOMONTH(DATEVALUE("1 "&amp;AK$1),0)))+
  SUMPRODUCT(('Form responses 1'!$C$2:$C1000=$A44)*('Form responses 1'!$A$2:$A1000&lt;=EOMONTH(DATEVALUE("1 "&amp;AK$1),0)))+
  SUMPRODUCT(('Form responses 1'!$D$2:$D1000=$A44)*('Form responses 1'!$A$2:$A1000&lt;=EOMONTH(DATEVALUE("1 "&amp;AK$1),0)))+
  SUMPRODUCT(('Form responses 1'!$E$2:$E1000=$A44)*('Form responses 1'!$A$2:$A1000&lt;=EOMONTH(DATEVALUE("1 "&amp;AK$1),0)))+
  SUMPRODUCT(('Form responses 1'!$F$2:$F1000=$A44)*('Form responses 1'!$A$2:$A1000&lt;=EOMONTH(DATEVALUE("1 "&amp;AK$1),0)))+
  SUMPRODUCT(('Form responses 1'!$G$2:$G1000=$A44)*('Form responses 1'!$A$2:$A1000&lt;=EOMONTH(DATEVALUE("1 "&amp;AK$1),0)))
),2),"-")</f>
        <v>-</v>
      </c>
      <c r="AL44" s="2" t="str">
        <f>IFERROR(ROUND(Data!$B44/(
  SUMPRODUCT(('Form responses 1'!$B$2:$B1000=$A44)*('Form responses 1'!$A$2:$A1000&lt;=EOMONTH(DATEVALUE("1 "&amp;AL$1),0)))+
  SUMPRODUCT(('Form responses 1'!$C$2:$C1000=$A44)*('Form responses 1'!$A$2:$A1000&lt;=EOMONTH(DATEVALUE("1 "&amp;AL$1),0)))+
  SUMPRODUCT(('Form responses 1'!$D$2:$D1000=$A44)*('Form responses 1'!$A$2:$A1000&lt;=EOMONTH(DATEVALUE("1 "&amp;AL$1),0)))+
  SUMPRODUCT(('Form responses 1'!$E$2:$E1000=$A44)*('Form responses 1'!$A$2:$A1000&lt;=EOMONTH(DATEVALUE("1 "&amp;AL$1),0)))+
  SUMPRODUCT(('Form responses 1'!$F$2:$F1000=$A44)*('Form responses 1'!$A$2:$A1000&lt;=EOMONTH(DATEVALUE("1 "&amp;AL$1),0)))+
  SUMPRODUCT(('Form responses 1'!$G$2:$G1000=$A44)*('Form responses 1'!$A$2:$A1000&lt;=EOMONTH(DATEVALUE("1 "&amp;AL$1),0)))
),2),"-")</f>
        <v>-</v>
      </c>
    </row>
    <row r="45">
      <c r="A45" s="3" t="str">
        <f>IFERROR(__xludf.DUMMYFUNCTION("""COMPUTED_VALUE"""),"Rode fleece trui")</f>
        <v>Rode fleece trui</v>
      </c>
      <c r="B45" s="2">
        <f>Data!F43:F1000</f>
        <v>0.67</v>
      </c>
      <c r="C45" s="2">
        <f>IFERROR(ROUND(Data!B43/(SUMPRODUCT(('Form responses 1'!$B$2:$B1000 = A45) * ('Form responses 1'!$A$2:$A1000 &lt;= DATE(2024, 1, 31)))
+ SUMPRODUCT(('Form responses 1'!$C$2:$C1000 = A45) * ('Form responses 1'!$A$2:$A1000 &lt;= DATE(2024, 1, 31)))
+ SUMPRODUCT(('Form responses 1'!$D$2:$D1000 = A45) * ('Form responses 1'!$A$2:$A1000 &lt;= DATE(2024, 1, 31)))
+ SUMPRODUCT(('Form responses 1'!$E$2:$E1000 = A45) * ('Form responses 1'!$A$2:$A1000 &lt;= DATE(2024, 1, 31)))
+ SUMPRODUCT(('Form responses 1'!$F$2:$F1000 = A45) * ('Form responses 1'!$A$2:$A1000 &lt;= DATE(2024, 1, 31)))
+ SUMPRODUCT(('Form responses 1'!$G$2:$G1000 = A45) * ('Form responses 1'!$A$2:$A1000 &lt;= DATE(2024, 1, 31)))), 2), "-")
</f>
        <v>19.95</v>
      </c>
      <c r="D45" s="2">
        <f>IFERROR(ROUND(Data!B43/(SUMPRODUCT(('Form responses 1'!$B$2:$B1000 = A45) * ('Form responses 1'!$A$2:$A1000 &lt;= DATE(2024, 2, 29)))
+ SUMPRODUCT(('Form responses 1'!$C$2:$C1000 = A45) * ('Form responses 1'!$A$2:$A1000 &lt;= DATE(2024, 2, 29)))
+ SUMPRODUCT(('Form responses 1'!$D$2:$D1000 = A45) * ('Form responses 1'!$A$2:$A1000 &lt;= DATE(2024, 2, 29)))
+ SUMPRODUCT(('Form responses 1'!$E$2:$E1000 = A45) * ('Form responses 1'!$A$2:$A1000 &lt;= DATE(2024, 2, 29)))
+ SUMPRODUCT(('Form responses 1'!$F$2:$F1000 = A45) * ('Form responses 1'!$A$2:$A1000 &lt;= DATE(2024, 2, 29)))
+ SUMPRODUCT(('Form responses 1'!$G$2:$G1000 = A45) * ('Form responses 1'!$A$2:$A1000 &lt;= DATE(2024, 2, 29)))), 2), "-")
</f>
        <v>2.85</v>
      </c>
      <c r="E45" s="2">
        <f>IFERROR(ROUND(Data!B43/(SUMPRODUCT(('Form responses 1'!$B$2:$B1000 = A45) * ('Form responses 1'!$A$2:$A1000 &lt;= DATE(2024, 3, 31)))
+ SUMPRODUCT(('Form responses 1'!$C$2:$C1000 = A45) * ('Form responses 1'!$A$2:$A1000 &lt;= DATE(2024, 3, 31)))
+ SUMPRODUCT(('Form responses 1'!$D$2:$D1000 = A45) * ('Form responses 1'!$A$2:$A1000 &lt;= DATE(2024, 3, 31)))
+ SUMPRODUCT(('Form responses 1'!$E$2:$E1000 = A45) * ('Form responses 1'!$A$2:$A1000 &lt;= DATE(2024, 3, 31)))
+ SUMPRODUCT(('Form responses 1'!$F$2:$F1000 = A45) * ('Form responses 1'!$A$2:$A1000 &lt;= DATE(2024, 3, 31)))
+ SUMPRODUCT(('Form responses 1'!$G$2:$G1000 = A45) * ('Form responses 1'!$A$2:$A1000 &lt;= DATE(2024, 3, 31)))), 2), "-")
</f>
        <v>2.85</v>
      </c>
      <c r="F45" s="2">
        <f>IFERROR(ROUND(Data!B43/(SUMPRODUCT(('Form responses 1'!$B$2:$B1000 = A45) * ('Form responses 1'!$A$2:$A1000 &lt;= DATE(2024, 4, 30)))
+ SUMPRODUCT(('Form responses 1'!$C$2:$C1000 = A45) * ('Form responses 1'!$A$2:$A1000 &lt;= DATE(2024, 4, 30)))
+ SUMPRODUCT(('Form responses 1'!$D$2:$D1000 = A45) * ('Form responses 1'!$A$2:$A1000 &lt;= DATE(2024, 4, 30)))
+ SUMPRODUCT(('Form responses 1'!$E$2:$E1000 = A45) * ('Form responses 1'!$A$2:$A1000 &lt;= DATE(2024, 4, 30)))
+ SUMPRODUCT(('Form responses 1'!$F$2:$F1000 = A45) * ('Form responses 1'!$A$2:$A1000 &lt;= DATE(2024, 4, 30)))
+ SUMPRODUCT(('Form responses 1'!$G$2:$G1000 = A45) * ('Form responses 1'!$A$2:$A1000 &lt;= DATE(2024, 4, 30)))), 2), "-")
</f>
        <v>2.85</v>
      </c>
      <c r="G45" s="2">
        <f>IFERROR(ROUND(Data!B43/(SUMPRODUCT(('Form responses 1'!$B$2:$B1000 = A45) * ('Form responses 1'!$A$2:$A1000 &lt;= DATE(2024, 5, 31)))
+ SUMPRODUCT(('Form responses 1'!$C$2:$C1000 = A45) * ('Form responses 1'!$A$2:$A1000 &lt;= DATE(2024, 5, 31)))
+ SUMPRODUCT(('Form responses 1'!$D$2:$D1000 = A45) * ('Form responses 1'!$A$2:$A1000 &lt;= DATE(2024, 5, 31)))
+ SUMPRODUCT(('Form responses 1'!$E$2:$E1000 = A45) * ('Form responses 1'!$A$2:$A1000 &lt;= DATE(2024, 5, 31)))
+ SUMPRODUCT(('Form responses 1'!$F$2:$F1000 = A45) * ('Form responses 1'!$A$2:$A1000 &lt;= DATE(2024, 5, 31)))
+ SUMPRODUCT(('Form responses 1'!$G$2:$G1000 = A45) * ('Form responses 1'!$A$2:$A1000 &lt;= DATE(2024, 5, 31)))), 2), "-")
</f>
        <v>2.85</v>
      </c>
      <c r="H45" s="2">
        <f>IFERROR(ROUND(Data!B43/(SUMPRODUCT(('Form responses 1'!$B$2:$B1000 = A45) * ('Form responses 1'!$A$2:$A1000 &lt;= DATE(2024, 6, 30)))
+ SUMPRODUCT(('Form responses 1'!$C$2:$C1000 = A45) * ('Form responses 1'!$A$2:$A1000 &lt;= DATE(2024, 6, 30)))
+ SUMPRODUCT(('Form responses 1'!$D$2:$D1000 = A45) * ('Form responses 1'!$A$2:$A1000 &lt;= DATE(2024, 6, 30)))
+ SUMPRODUCT(('Form responses 1'!$E$2:$E1000 = A45) * ('Form responses 1'!$A$2:$A1000 &lt;= DATE(2024, 6, 30)))
+ SUMPRODUCT(('Form responses 1'!$F$2:$F1000 = A45) * ('Form responses 1'!$A$2:$A1000 &lt;= DATE(2024, 6, 30)))
+ SUMPRODUCT(('Form responses 1'!$G$2:$G1000 = A45) * ('Form responses 1'!$A$2:$A1000 &lt;= DATE(2024, 6, 30)))), 2), "-")
</f>
        <v>2.85</v>
      </c>
      <c r="I45" s="2">
        <f>IFERROR(ROUND(Data!B43/(SUMPRODUCT(('Form responses 1'!$B$2:$B1000 = A45) * ('Form responses 1'!$A$2:$A1000 &lt;= DATE(2024, 7, 31)))
+ SUMPRODUCT(('Form responses 1'!$C$2:$C1000 = A45) * ('Form responses 1'!$A$2:$A1000 &lt;= DATE(2024, 7, 31)))
+ SUMPRODUCT(('Form responses 1'!$D$2:$D1000 = A45) * ('Form responses 1'!$A$2:$A1000 &lt;= DATE(2024, 7, 31)))
+ SUMPRODUCT(('Form responses 1'!$E$2:$E1000 = A45) * ('Form responses 1'!$A$2:$A1000 &lt;= DATE(2024, 7, 31)))
+ SUMPRODUCT(('Form responses 1'!$F$2:$F1000 = A45) * ('Form responses 1'!$A$2:$A1000 &lt;= DATE(2024, 7, 31)))
+ SUMPRODUCT(('Form responses 1'!$G$2:$G1000 = A45) * ('Form responses 1'!$A$2:$A1000 &lt;= DATE(2024, 7, 31)))), 2), "-")
</f>
        <v>2.85</v>
      </c>
      <c r="J45" s="2">
        <f>IFERROR(ROUND(Data!B43/(SUMPRODUCT(('Form responses 1'!$B$2:$B1000 = A45) * ('Form responses 1'!$A$2:$A1000 &lt;= DATE(2024, 8, 31)))
+ SUMPRODUCT(('Form responses 1'!$C$2:$C1000 = A45) * ('Form responses 1'!$A$2:$A1000 &lt;= DATE(2024, 8, 31)))
+ SUMPRODUCT(('Form responses 1'!$D$2:$D1000 = A45) * ('Form responses 1'!$A$2:$A1000 &lt;= DATE(2024, 8, 31)))
+ SUMPRODUCT(('Form responses 1'!$E$2:$E1000 = A45) * ('Form responses 1'!$A$2:$A1000 &lt;= DATE(2024, 8, 31)))
+ SUMPRODUCT(('Form responses 1'!$F$2:$F1000 = A45) * ('Form responses 1'!$A$2:$A1000 &lt;= DATE(2024, 8, 31)))
+ SUMPRODUCT(('Form responses 1'!$G$2:$G1000 = A45) * ('Form responses 1'!$A$2:$A1000 &lt;= DATE(2024, 8, 31)))), 2), "-")
</f>
        <v>2.85</v>
      </c>
      <c r="K45" s="2">
        <f>IFERROR(ROUND(Data!B43/(SUMPRODUCT(('Form responses 1'!$B$2:$B1000 = A45) * ('Form responses 1'!$A$2:$A1000 &lt;= DATE(2024, 9, 30)))
+ SUMPRODUCT(('Form responses 1'!$C$2:$C1000 = A45) * ('Form responses 1'!$A$2:$A1000 &lt;= DATE(2024, 9, 30)))
+ SUMPRODUCT(('Form responses 1'!$D$2:$D1000 = A45) * ('Form responses 1'!$A$2:$A1000 &lt;= DATE(2024, 9, 30)))
+ SUMPRODUCT(('Form responses 1'!$E$2:$E1000 = A45) * ('Form responses 1'!$A$2:$A1000 &lt;= DATE(2024, 9, 30)))
+ SUMPRODUCT(('Form responses 1'!$F$2:$F1000 = A45) * ('Form responses 1'!$A$2:$A1000 &lt;= DATE(2024, 9, 30)))
+ SUMPRODUCT(('Form responses 1'!$G$2:$G1000 = A45) * ('Form responses 1'!$A$2:$A1000 &lt;= DATE(2024, 9, 30)))), 2), "-")
</f>
        <v>2.85</v>
      </c>
      <c r="L45" s="2">
        <f>IFERROR(ROUND(Data!B43/(SUMPRODUCT(('Form responses 1'!$B$2:$B1000 = A45) * ('Form responses 1'!$A$2:$A1000 &lt;= DATE(2024, 10, 31)))
+ SUMPRODUCT(('Form responses 1'!$C$2:$C1000 = A45) * ('Form responses 1'!$A$2:$A1000 &lt;= DATE(2024, 10, 31)))
+ SUMPRODUCT(('Form responses 1'!$D$2:$D1000 = A45) * ('Form responses 1'!$A$2:$A1000 &lt;= DATE(2024, 10, 31)))
+ SUMPRODUCT(('Form responses 1'!$E$2:$E1000 = A45) * ('Form responses 1'!$A$2:$A1000 &lt;= DATE(2024, 10, 31)))
+ SUMPRODUCT(('Form responses 1'!$F$2:$F1000 = A45) * ('Form responses 1'!$A$2:$A1000 &lt;= DATE(2024, 10, 31)))
+ SUMPRODUCT(('Form responses 1'!$G$2:$G1000 = A45) * ('Form responses 1'!$A$2:$A1000 &lt;= DATE(2024, 10, 31)))), 2), "-")
</f>
        <v>2.85</v>
      </c>
      <c r="M45" s="2">
        <f>IFERROR(ROUND(Data!B43/(SUMPRODUCT(('Form responses 1'!$B$2:$B1000 = A45) * ('Form responses 1'!$A$2:$A1000 &lt;= DATE(2024, 11, 30)))
+ SUMPRODUCT(('Form responses 1'!$C$2:$C1000 = A45) * ('Form responses 1'!$A$2:$A1000 &lt;= DATE(2024, 11, 30)))
+ SUMPRODUCT(('Form responses 1'!$D$2:$D1000 = A45) * ('Form responses 1'!$A$2:$A1000 &lt;= DATE(2024, 11, 30)))
+ SUMPRODUCT(('Form responses 1'!$E$2:$E1000 = A45) * ('Form responses 1'!$A$2:$A1000 &lt;= DATE(2024, 11, 30)))
+ SUMPRODUCT(('Form responses 1'!$F$2:$F1000 = A45) * ('Form responses 1'!$A$2:$A1000 &lt;= DATE(2024, 11, 30)))
+ SUMPRODUCT(('Form responses 1'!$G$2:$G1000 = A45) * ('Form responses 1'!$A$2:$A1000 &lt;= DATE(2024, 11, 30)))), 2), "-")
</f>
        <v>1.81</v>
      </c>
      <c r="N45" s="2">
        <f>IFERROR(ROUND(Data!B43/(SUMPRODUCT(('Form responses 1'!$B$2:$B1000 = A45) * ('Form responses 1'!$A$2:$A1000 &lt;= DATE(2024, 12, 31)))
+ SUMPRODUCT(('Form responses 1'!$C$2:$C1000 = A45) * ('Form responses 1'!$A$2:$A1000 &lt;= DATE(2024, 12, 31)))
+ SUMPRODUCT(('Form responses 1'!$D$2:$D1000 = A45) * ('Form responses 1'!$A$2:$A1000 &lt;= DATE(2024, 12, 31)))
+ SUMPRODUCT(('Form responses 1'!$E$2:$E1000 = A45) * ('Form responses 1'!$A$2:$A1000 &lt;= DATE(2024, 12, 31)))
+ SUMPRODUCT(('Form responses 1'!$F$2:$F1000 = A45) * ('Form responses 1'!$A$2:$A1000 &lt;= DATE(2024, 12, 31)))
+ SUMPRODUCT(('Form responses 1'!$G$2:$G1000 = A45) * ('Form responses 1'!$A$2:$A1000 &lt;= DATE(2024, 12, 31)))), 2), "-")
</f>
        <v>1.53</v>
      </c>
      <c r="O45" s="2">
        <f>IFERROR(ROUND(Data!B43/(SUMPRODUCT(('Form responses 1'!$B$2:$B1000 = A45) * ('Form responses 1'!$A$2:$A1000 &lt;= DATE(2025, 1, 31)))
+ SUMPRODUCT(('Form responses 1'!$C$2:$C1000 = A45) * ('Form responses 1'!$A$2:$A1000 &lt;= DATE(2025, 1, 31)))
+ SUMPRODUCT(('Form responses 1'!$D$2:$D1000 = A45) * ('Form responses 1'!$A$2:$A1000 &lt;= DATE(2025, 1, 31)))
+ SUMPRODUCT(('Form responses 1'!$E$2:$E1000 = A45) * ('Form responses 1'!$A$2:$A1000 &lt;= DATE(2025, 1, 31)))
+ SUMPRODUCT(('Form responses 1'!$F$2:$F1000 = A45) * ('Form responses 1'!$A$2:$A1000 &lt;= DATE(2025, 1, 31)))
+ SUMPRODUCT(('Form responses 1'!$G$2:$G1000 = A45) * ('Form responses 1'!$A$2:$A1000 &lt;= DATE(2025, 1, 31)))), 2), "-")
</f>
        <v>1.33</v>
      </c>
      <c r="P45" s="2">
        <f>IFERROR(ROUND(Data!B43/(SUMPRODUCT(('Form responses 1'!$B$2:$B1000 = A45) * ('Form responses 1'!$A$2:$A1000 &lt;= DATE(2025, 2, 28)))
+ SUMPRODUCT(('Form responses 1'!$C$2:$C1000 = A45) * ('Form responses 1'!$A$2:$A1000 &lt;= DATE(2025, 2, 28)))
+ SUMPRODUCT(('Form responses 1'!$D$2:$D1000 = A45) * ('Form responses 1'!$A$2:$A1000 &lt;= DATE(2025, 2, 28)))
+ SUMPRODUCT(('Form responses 1'!$E$2:$E1000 = A45) * ('Form responses 1'!$A$2:$A1000 &lt;= DATE(2025, 2, 28)))
+ SUMPRODUCT(('Form responses 1'!$F$2:$F1000 = A45) * ('Form responses 1'!$A$2:$A1000 &lt;= DATE(2025, 2, 28)))
+ SUMPRODUCT(('Form responses 1'!$G$2:$G1000 = A45) * ('Form responses 1'!$A$2:$A1000 &lt;= DATE(2025, 2, 28)))), 2), "-")
</f>
        <v>1.25</v>
      </c>
      <c r="Q45" s="2">
        <f>IFERROR(ROUND(Data!B43/(SUMPRODUCT(('Form responses 1'!$B$2:$B1000 = A45) * ('Form responses 1'!$A$2:$A1000 &lt;= DATE(2025, 3, 31)))
+ SUMPRODUCT(('Form responses 1'!$C$2:$C1000 = A45) * ('Form responses 1'!$A$2:$A1000 &lt;= DATE(2025, 3, 31)))
+ SUMPRODUCT(('Form responses 1'!$D$2:$D1000 = A45) * ('Form responses 1'!$A$2:$A1000 &lt;= DATE(2025, 3, 31)))
+ SUMPRODUCT(('Form responses 1'!$E$2:$E1000 = A45) * ('Form responses 1'!$A$2:$A1000 &lt;= DATE(2025, 3, 31)))
+ SUMPRODUCT(('Form responses 1'!$F$2:$F1000 = A45) * ('Form responses 1'!$A$2:$A1000 &lt;= DATE(2025, 3, 31)))
+ SUMPRODUCT(('Form responses 1'!$G$2:$G1000 = A45) * ('Form responses 1'!$A$2:$A1000 &lt;= DATE(2025, 3, 31)))),2),"-")</f>
        <v>1.25</v>
      </c>
      <c r="R45" s="2">
        <f>IFERROR(ROUND(Data!B43/(SUMPRODUCT(('Form responses 1'!$B$2:$B1000 = A45) * ('Form responses 1'!$A$2:$A1000 &lt;= DATE(2025, 4, 30)))
+ SUMPRODUCT(('Form responses 1'!$C$2:$C1000 = A45) * ('Form responses 1'!$A$2:$A1000 &lt;= DATE(2025, 4, 30)))
+ SUMPRODUCT(('Form responses 1'!$D$2:$D1000 = A45) * ('Form responses 1'!$A$2:$A1000 &lt;= DATE(2025, 4, 30)))
+ SUMPRODUCT(('Form responses 1'!$E$2:$E1000 = A45) * ('Form responses 1'!$A$2:$A1000 &lt;= DATE(2025, 4, 30)))
+ SUMPRODUCT(('Form responses 1'!$F$2:$F1000 = A45) * ('Form responses 1'!$A$2:$A1000 &lt;= DATE(2025, 4, 30)))
+ SUMPRODUCT(('Form responses 1'!$G$2:$G1000 = A45) * ('Form responses 1'!$A$2:$A1000 &lt;= DATE(2025, 4, 30)))), 2), "-")
</f>
        <v>1.11</v>
      </c>
      <c r="S45" s="2">
        <f>IFERROR(ROUND(Data!B43/(SUMPRODUCT(('Form responses 1'!$B$2:$B1000 = A45) * ('Form responses 1'!$A$2:$A1000 &lt;= DATE(2025, 5, 31)))
+ SUMPRODUCT(('Form responses 1'!$C$2:$C1000 = A45) * ('Form responses 1'!$A$2:$A1000 &lt;= DATE(2025, 5, 31)))
+ SUMPRODUCT(('Form responses 1'!$D$2:$D1000 = A45) * ('Form responses 1'!$A$2:$A1000 &lt;= DATE(2025, 5, 31)))
+ SUMPRODUCT(('Form responses 1'!$E$2:$E1000 = A45) * ('Form responses 1'!$A$2:$A1000 &lt;= DATE(2025, 5, 31)))
+ SUMPRODUCT(('Form responses 1'!$F$2:$F1000 = A45) * ('Form responses 1'!$A$2:$A1000 &lt;= DATE(2025, 5, 31)))
+ SUMPRODUCT(('Form responses 1'!$G$2:$G1000 = A45) * ('Form responses 1'!$A$2:$A1000 &lt;= DATE(2025, 5, 31)))), 2), "-")
</f>
        <v>1.05</v>
      </c>
      <c r="T45" s="2">
        <f>IFERROR(ROUND(Data!B43/(SUMPRODUCT(('Form responses 1'!$B$2:$B1000 = A45) * ('Form responses 1'!$A$2:$A1000 &lt;= DATE(2025, 6, 30)))
+ SUMPRODUCT(('Form responses 1'!$C$2:$C1000 = A45) * ('Form responses 1'!$A$2:$A1000 &lt;= DATE(2025, 6, 30)))
+ SUMPRODUCT(('Form responses 1'!$D$2:$D1000 = A45) * ('Form responses 1'!$A$2:$A1000 &lt;= DATE(2025, 6, 30)))
+ SUMPRODUCT(('Form responses 1'!$E$2:$E1000 = A45) * ('Form responses 1'!$A$2:$A1000 &lt;= DATE(2025, 6, 30)))
+ SUMPRODUCT(('Form responses 1'!$F$2:$F1000 = A45) * ('Form responses 1'!$A$2:$A1000 &lt;= DATE(2025, 6, 30)))
+ SUMPRODUCT(('Form responses 1'!$G$2:$G1000 = A45) * ('Form responses 1'!$A$2:$A1000 &lt;= DATE(2025, 6, 30)))), 2), "-")
</f>
        <v>0.91</v>
      </c>
      <c r="U45" s="2">
        <f>IFERROR(ROUND(Data!B43/(SUMPRODUCT(('Form responses 1'!$B$2:$B1000 = A45) * ('Form responses 1'!$A$2:$A1000 &lt;= DATE(2025, 7, 31)))
+ SUMPRODUCT(('Form responses 1'!$C$2:$C1000 = A45) * ('Form responses 1'!$A$2:$A1000 &lt;= DATE(2025, 7, 31)))
+ SUMPRODUCT(('Form responses 1'!$D$2:$D1000 = A45) * ('Form responses 1'!$A$2:$A1000 &lt;= DATE(2025, 7, 31)))
+ SUMPRODUCT(('Form responses 1'!$E$2:$E1000 = A45) * ('Form responses 1'!$A$2:$A1000 &lt;= DATE(2025, 7, 31)))
+ SUMPRODUCT(('Form responses 1'!$F$2:$F1000 = A45) * ('Form responses 1'!$A$2:$A1000 &lt;= DATE(2025, 7, 31)))
+ SUMPRODUCT(('Form responses 1'!$G$2:$G1000 = A45) * ('Form responses 1'!$A$2:$A1000 &lt;= DATE(2025, 7, 31)))), 2), "-")
</f>
        <v>0.91</v>
      </c>
      <c r="V45" s="2">
        <f>IFERROR(ROUND(Data!B43/(SUMPRODUCT(('Form responses 1'!$B$2:$B1000 = A45) * ('Form responses 1'!$A$2:$A1000 &lt;= DATE(2025, 8, 31)))
+ SUMPRODUCT(('Form responses 1'!$C$2:$C1000 = A45) * ('Form responses 1'!$A$2:$A1000 &lt;= DATE(2025, 8, 31)))
+ SUMPRODUCT(('Form responses 1'!$D$2:$D1000 = A45) * ('Form responses 1'!$A$2:$A1000 &lt;= DATE(2025, 8, 31)))
+ SUMPRODUCT(('Form responses 1'!$E$2:$E1000 = A45) * ('Form responses 1'!$A$2:$A1000 &lt;= DATE(2025, 8, 31)))
+ SUMPRODUCT(('Form responses 1'!$F$2:$F1000 = A45) * ('Form responses 1'!$A$2:$A1000 &lt;= DATE(2025, 8, 31)))
+ SUMPRODUCT(('Form responses 1'!$G$2:$G1000 = A45) * ('Form responses 1'!$A$2:$A1000 &lt;= DATE(2025, 8, 31)))), 2), "-")
</f>
        <v>0.91</v>
      </c>
      <c r="W45" s="2">
        <f>IFERROR(ROUND(Data!B43/(SUMPRODUCT(('Form responses 1'!$B$2:$B1000 = A45) * ('Form responses 1'!$A$2:$A1000 &lt;= DATE(2025, 9, 30)))
+ SUMPRODUCT(('Form responses 1'!$C$2:$C1000 = A45) * ('Form responses 1'!$A$2:$A1000 &lt;= DATE(2025, 9, 30)))
+ SUMPRODUCT(('Form responses 1'!$D$2:$D1000 = A45) * ('Form responses 1'!$A$2:$A1000 &lt;= DATE(2025, 9, 30)))
+ SUMPRODUCT(('Form responses 1'!$E$2:$E1000 = A45) * ('Form responses 1'!$A$2:$A1000 &lt;= DATE(2025, 9, 30)))
+ SUMPRODUCT(('Form responses 1'!$F$2:$F1000 = A45) * ('Form responses 1'!$A$2:$A1000 &lt;= DATE(2025, 9, 30)))
+ SUMPRODUCT(('Form responses 1'!$G$2:$G1000 = A45) * ('Form responses 1'!$A$2:$A1000 &lt;= DATE(2025, 9, 30)))), 2), "-")
</f>
        <v>0.91</v>
      </c>
      <c r="X45" s="2">
        <f>IFERROR(ROUND(Data!B43/(SUMPRODUCT(('Form responses 1'!$B$2:$B1000 = A45) * ('Form responses 1'!$A$2:$A1000 &lt;= DATE(2025, 10, 31)))
+ SUMPRODUCT(('Form responses 1'!$C$2:$C1000 = A45) * ('Form responses 1'!$A$2:$A1000 &lt;= DATE(2025, 10, 31)))
+ SUMPRODUCT(('Form responses 1'!$D$2:$D1000 = A45) * ('Form responses 1'!$A$2:$A1000 &lt;= DATE(2025, 10, 31)))
+ SUMPRODUCT(('Form responses 1'!$E$2:$E1000 = A45) * ('Form responses 1'!$A$2:$A1000 &lt;= DATE(2025, 10, 31)))
+ SUMPRODUCT(('Form responses 1'!$F$2:$F1000 = A45) * ('Form responses 1'!$A$2:$A1000 &lt;= DATE(2025, 10, 31)))
+ SUMPRODUCT(('Form responses 1'!$G$2:$G1000 = A45) * ('Form responses 1'!$A$2:$A1000 &lt;= DATE(2025, 10, 31)))), 2), "-")
</f>
        <v>0.91</v>
      </c>
      <c r="Y45" s="2">
        <f>IFERROR(ROUND(Data!B43/(SUMPRODUCT(('Form responses 1'!$B$2:$B1000 = A45) * ('Form responses 1'!$A$2:$A1000 &lt;= DATE(2025, 11, 30)))
+ SUMPRODUCT(('Form responses 1'!$C$2:$C1000 = A45) * ('Form responses 1'!$A$2:$A1000 &lt;= DATE(2025, 11, 30)))
+ SUMPRODUCT(('Form responses 1'!$D$2:$D1000 = A45) * ('Form responses 1'!$A$2:$A1000 &lt;= DATE(2025, 11, 30)))
+ SUMPRODUCT(('Form responses 1'!$E$2:$E1000 = A45) * ('Form responses 1'!$A$2:$A1000 &lt;= DATE(2025, 11, 30)))
+ SUMPRODUCT(('Form responses 1'!$F$2:$F1000 = A45) * ('Form responses 1'!$A$2:$A1000 &lt;= DATE(2025, 11, 30)))
+ SUMPRODUCT(('Form responses 1'!$G$2:$G1000 = A45) * ('Form responses 1'!$A$2:$A1000 &lt;= DATE(2025, 11, 30)))), 2), "-")
</f>
        <v>0.91</v>
      </c>
      <c r="Z45" s="2">
        <f>IFERROR(ROUND(Data!B43/(SUMPRODUCT(('Form responses 1'!$B$2:$B1000 = A45) * ('Form responses 1'!$A$2:$A1000 &lt;= DATE(2025, 12, 31)))
+ SUMPRODUCT(('Form responses 1'!$C$2:$C1000 = A45) * ('Form responses 1'!$A$2:$A1000 &lt;= DATE(2025, 12, 31)))
+ SUMPRODUCT(('Form responses 1'!$D$2:$D1000 = A45) * ('Form responses 1'!$A$2:$A1000 &lt;= DATE(2025, 12, 31)))
+ SUMPRODUCT(('Form responses 1'!$E$2:$E1000 = A45) * ('Form responses 1'!$A$2:$A1000 &lt;= DATE(2025, 12, 31)))
+ SUMPRODUCT(('Form responses 1'!$F$2:$F1000 = A45) * ('Form responses 1'!$A$2:$A1000 &lt;= DATE(2025, 12, 31)))
+ SUMPRODUCT(('Form responses 1'!$G$2:$G1000 = A45) * ('Form responses 1'!$A$2:$A1000 &lt;= DATE(2025, 12, 31)))), 2), "-")
</f>
        <v>0.91</v>
      </c>
      <c r="AA45" s="2">
        <f>IFERROR(ROUND(Data!$B45/(
  SUMPRODUCT(('Form responses 1'!$B$2:$B1000=$A45)*('Form responses 1'!$A$2:$A1000&lt;=EOMONTH(DATEVALUE("1 "&amp;AA$1),0)))+
  SUMPRODUCT(('Form responses 1'!$C$2:$C1000=$A45)*('Form responses 1'!$A$2:$A1000&lt;=EOMONTH(DATEVALUE("1 "&amp;AA$1),0)))+
  SUMPRODUCT(('Form responses 1'!$D$2:$D1000=$A45)*('Form responses 1'!$A$2:$A1000&lt;=EOMONTH(DATEVALUE("1 "&amp;AA$1),0)))+
  SUMPRODUCT(('Form responses 1'!$E$2:$E1000=$A45)*('Form responses 1'!$A$2:$A1000&lt;=EOMONTH(DATEVALUE("1 "&amp;AA$1),0)))+
  SUMPRODUCT(('Form responses 1'!$F$2:$F1000=$A45)*('Form responses 1'!$A$2:$A1000&lt;=EOMONTH(DATEVALUE("1 "&amp;AA$1),0)))+
  SUMPRODUCT(('Form responses 1'!$G$2:$G1000=$A45)*('Form responses 1'!$A$2:$A1000&lt;=EOMONTH(DATEVALUE("1 "&amp;AA$1),0)))
),2),"-")</f>
        <v>0.8</v>
      </c>
      <c r="AB45" s="2">
        <f>IFERROR(ROUND(Data!$B45/(
  SUMPRODUCT(('Form responses 1'!$B$2:$B1000=$A45)*('Form responses 1'!$A$2:$A1000&lt;=EOMONTH(DATEVALUE("1 "&amp;AB$1),0)))+
  SUMPRODUCT(('Form responses 1'!$C$2:$C1000=$A45)*('Form responses 1'!$A$2:$A1000&lt;=EOMONTH(DATEVALUE("1 "&amp;AB$1),0)))+
  SUMPRODUCT(('Form responses 1'!$D$2:$D1000=$A45)*('Form responses 1'!$A$2:$A1000&lt;=EOMONTH(DATEVALUE("1 "&amp;AB$1),0)))+
  SUMPRODUCT(('Form responses 1'!$E$2:$E1000=$A45)*('Form responses 1'!$A$2:$A1000&lt;=EOMONTH(DATEVALUE("1 "&amp;AB$1),0)))+
  SUMPRODUCT(('Form responses 1'!$F$2:$F1000=$A45)*('Form responses 1'!$A$2:$A1000&lt;=EOMONTH(DATEVALUE("1 "&amp;AB$1),0)))+
  SUMPRODUCT(('Form responses 1'!$G$2:$G1000=$A45)*('Form responses 1'!$A$2:$A1000&lt;=EOMONTH(DATEVALUE("1 "&amp;AB$1),0)))
),2),"-")</f>
        <v>0.77</v>
      </c>
      <c r="AC45" s="2">
        <f>IFERROR(ROUND(Data!$B45/(
  SUMPRODUCT(('Form responses 1'!$B$2:$B1000=$A45)*('Form responses 1'!$A$2:$A1000&lt;=EOMONTH(DATEVALUE("1 "&amp;AC$1),0)))+
  SUMPRODUCT(('Form responses 1'!$C$2:$C1000=$A45)*('Form responses 1'!$A$2:$A1000&lt;=EOMONTH(DATEVALUE("1 "&amp;AC$1),0)))+
  SUMPRODUCT(('Form responses 1'!$D$2:$D1000=$A45)*('Form responses 1'!$A$2:$A1000&lt;=EOMONTH(DATEVALUE("1 "&amp;AC$1),0)))+
  SUMPRODUCT(('Form responses 1'!$E$2:$E1000=$A45)*('Form responses 1'!$A$2:$A1000&lt;=EOMONTH(DATEVALUE("1 "&amp;AC$1),0)))+
  SUMPRODUCT(('Form responses 1'!$F$2:$F1000=$A45)*('Form responses 1'!$A$2:$A1000&lt;=EOMONTH(DATEVALUE("1 "&amp;AC$1),0)))+
  SUMPRODUCT(('Form responses 1'!$G$2:$G1000=$A45)*('Form responses 1'!$A$2:$A1000&lt;=EOMONTH(DATEVALUE("1 "&amp;AC$1),0)))
),2),"-")</f>
        <v>0.71</v>
      </c>
      <c r="AD45" s="2" t="str">
        <f>IFERROR(ROUND(Data!$B45/(
  SUMPRODUCT(('Form responses 1'!$B$2:$B1000=$A45)*('Form responses 1'!$A$2:$A1000&lt;=EOMONTH(DATEVALUE("1 "&amp;AD$1),0)))+
  SUMPRODUCT(('Form responses 1'!$C$2:$C1000=$A45)*('Form responses 1'!$A$2:$A1000&lt;=EOMONTH(DATEVALUE("1 "&amp;AD$1),0)))+
  SUMPRODUCT(('Form responses 1'!$D$2:$D1000=$A45)*('Form responses 1'!$A$2:$A1000&lt;=EOMONTH(DATEVALUE("1 "&amp;AD$1),0)))+
  SUMPRODUCT(('Form responses 1'!$E$2:$E1000=$A45)*('Form responses 1'!$A$2:$A1000&lt;=EOMONTH(DATEVALUE("1 "&amp;AD$1),0)))+
  SUMPRODUCT(('Form responses 1'!$F$2:$F1000=$A45)*('Form responses 1'!$A$2:$A1000&lt;=EOMONTH(DATEVALUE("1 "&amp;AD$1),0)))+
  SUMPRODUCT(('Form responses 1'!$G$2:$G1000=$A45)*('Form responses 1'!$A$2:$A1000&lt;=EOMONTH(DATEVALUE("1 "&amp;AD$1),0)))
),2),"-")</f>
        <v>-</v>
      </c>
      <c r="AE45" s="2" t="str">
        <f>IFERROR(ROUND(Data!$B45/(
  SUMPRODUCT(('Form responses 1'!$B$2:$B1000=$A45)*('Form responses 1'!$A$2:$A1000&lt;=EOMONTH(DATEVALUE("1 "&amp;AE$1),0)))+
  SUMPRODUCT(('Form responses 1'!$C$2:$C1000=$A45)*('Form responses 1'!$A$2:$A1000&lt;=EOMONTH(DATEVALUE("1 "&amp;AE$1),0)))+
  SUMPRODUCT(('Form responses 1'!$D$2:$D1000=$A45)*('Form responses 1'!$A$2:$A1000&lt;=EOMONTH(DATEVALUE("1 "&amp;AE$1),0)))+
  SUMPRODUCT(('Form responses 1'!$E$2:$E1000=$A45)*('Form responses 1'!$A$2:$A1000&lt;=EOMONTH(DATEVALUE("1 "&amp;AE$1),0)))+
  SUMPRODUCT(('Form responses 1'!$F$2:$F1000=$A45)*('Form responses 1'!$A$2:$A1000&lt;=EOMONTH(DATEVALUE("1 "&amp;AE$1),0)))+
  SUMPRODUCT(('Form responses 1'!$G$2:$G1000=$A45)*('Form responses 1'!$A$2:$A1000&lt;=EOMONTH(DATEVALUE("1 "&amp;AE$1),0)))
),2),"-")</f>
        <v>-</v>
      </c>
      <c r="AF45" s="2" t="str">
        <f>IFERROR(ROUND(Data!$B45/(
  SUMPRODUCT(('Form responses 1'!$B$2:$B1000=$A45)*('Form responses 1'!$A$2:$A1000&lt;=EOMONTH(DATEVALUE("1 "&amp;AF$1),0)))+
  SUMPRODUCT(('Form responses 1'!$C$2:$C1000=$A45)*('Form responses 1'!$A$2:$A1000&lt;=EOMONTH(DATEVALUE("1 "&amp;AF$1),0)))+
  SUMPRODUCT(('Form responses 1'!$D$2:$D1000=$A45)*('Form responses 1'!$A$2:$A1000&lt;=EOMONTH(DATEVALUE("1 "&amp;AF$1),0)))+
  SUMPRODUCT(('Form responses 1'!$E$2:$E1000=$A45)*('Form responses 1'!$A$2:$A1000&lt;=EOMONTH(DATEVALUE("1 "&amp;AF$1),0)))+
  SUMPRODUCT(('Form responses 1'!$F$2:$F1000=$A45)*('Form responses 1'!$A$2:$A1000&lt;=EOMONTH(DATEVALUE("1 "&amp;AF$1),0)))+
  SUMPRODUCT(('Form responses 1'!$G$2:$G1000=$A45)*('Form responses 1'!$A$2:$A1000&lt;=EOMONTH(DATEVALUE("1 "&amp;AF$1),0)))
),2),"-")</f>
        <v>-</v>
      </c>
      <c r="AG45" s="2" t="str">
        <f>IFERROR(ROUND(Data!$B45/(
  SUMPRODUCT(('Form responses 1'!$B$2:$B1000=$A45)*('Form responses 1'!$A$2:$A1000&lt;=EOMONTH(DATEVALUE("1 "&amp;AG$1),0)))+
  SUMPRODUCT(('Form responses 1'!$C$2:$C1000=$A45)*('Form responses 1'!$A$2:$A1000&lt;=EOMONTH(DATEVALUE("1 "&amp;AG$1),0)))+
  SUMPRODUCT(('Form responses 1'!$D$2:$D1000=$A45)*('Form responses 1'!$A$2:$A1000&lt;=EOMONTH(DATEVALUE("1 "&amp;AG$1),0)))+
  SUMPRODUCT(('Form responses 1'!$E$2:$E1000=$A45)*('Form responses 1'!$A$2:$A1000&lt;=EOMONTH(DATEVALUE("1 "&amp;AG$1),0)))+
  SUMPRODUCT(('Form responses 1'!$F$2:$F1000=$A45)*('Form responses 1'!$A$2:$A1000&lt;=EOMONTH(DATEVALUE("1 "&amp;AG$1),0)))+
  SUMPRODUCT(('Form responses 1'!$G$2:$G1000=$A45)*('Form responses 1'!$A$2:$A1000&lt;=EOMONTH(DATEVALUE("1 "&amp;AG$1),0)))
),2),"-")</f>
        <v>-</v>
      </c>
      <c r="AH45" s="2" t="str">
        <f>IFERROR(ROUND(Data!$B45/(
  SUMPRODUCT(('Form responses 1'!$B$2:$B1000=$A45)*('Form responses 1'!$A$2:$A1000&lt;=EOMONTH(DATEVALUE("1 "&amp;AH$1),0)))+
  SUMPRODUCT(('Form responses 1'!$C$2:$C1000=$A45)*('Form responses 1'!$A$2:$A1000&lt;=EOMONTH(DATEVALUE("1 "&amp;AH$1),0)))+
  SUMPRODUCT(('Form responses 1'!$D$2:$D1000=$A45)*('Form responses 1'!$A$2:$A1000&lt;=EOMONTH(DATEVALUE("1 "&amp;AH$1),0)))+
  SUMPRODUCT(('Form responses 1'!$E$2:$E1000=$A45)*('Form responses 1'!$A$2:$A1000&lt;=EOMONTH(DATEVALUE("1 "&amp;AH$1),0)))+
  SUMPRODUCT(('Form responses 1'!$F$2:$F1000=$A45)*('Form responses 1'!$A$2:$A1000&lt;=EOMONTH(DATEVALUE("1 "&amp;AH$1),0)))+
  SUMPRODUCT(('Form responses 1'!$G$2:$G1000=$A45)*('Form responses 1'!$A$2:$A1000&lt;=EOMONTH(DATEVALUE("1 "&amp;AH$1),0)))
),2),"-")</f>
        <v>-</v>
      </c>
      <c r="AI45" s="2" t="str">
        <f>IFERROR(ROUND(Data!$B45/(
  SUMPRODUCT(('Form responses 1'!$B$2:$B1000=$A45)*('Form responses 1'!$A$2:$A1000&lt;=EOMONTH(DATEVALUE("1 "&amp;AI$1),0)))+
  SUMPRODUCT(('Form responses 1'!$C$2:$C1000=$A45)*('Form responses 1'!$A$2:$A1000&lt;=EOMONTH(DATEVALUE("1 "&amp;AI$1),0)))+
  SUMPRODUCT(('Form responses 1'!$D$2:$D1000=$A45)*('Form responses 1'!$A$2:$A1000&lt;=EOMONTH(DATEVALUE("1 "&amp;AI$1),0)))+
  SUMPRODUCT(('Form responses 1'!$E$2:$E1000=$A45)*('Form responses 1'!$A$2:$A1000&lt;=EOMONTH(DATEVALUE("1 "&amp;AI$1),0)))+
  SUMPRODUCT(('Form responses 1'!$F$2:$F1000=$A45)*('Form responses 1'!$A$2:$A1000&lt;=EOMONTH(DATEVALUE("1 "&amp;AI$1),0)))+
  SUMPRODUCT(('Form responses 1'!$G$2:$G1000=$A45)*('Form responses 1'!$A$2:$A1000&lt;=EOMONTH(DATEVALUE("1 "&amp;AI$1),0)))
),2),"-")</f>
        <v>-</v>
      </c>
      <c r="AJ45" s="2" t="str">
        <f>IFERROR(ROUND(Data!$B45/(
  SUMPRODUCT(('Form responses 1'!$B$2:$B1000=$A45)*('Form responses 1'!$A$2:$A1000&lt;=EOMONTH(DATEVALUE("1 "&amp;AJ$1),0)))+
  SUMPRODUCT(('Form responses 1'!$C$2:$C1000=$A45)*('Form responses 1'!$A$2:$A1000&lt;=EOMONTH(DATEVALUE("1 "&amp;AJ$1),0)))+
  SUMPRODUCT(('Form responses 1'!$D$2:$D1000=$A45)*('Form responses 1'!$A$2:$A1000&lt;=EOMONTH(DATEVALUE("1 "&amp;AJ$1),0)))+
  SUMPRODUCT(('Form responses 1'!$E$2:$E1000=$A45)*('Form responses 1'!$A$2:$A1000&lt;=EOMONTH(DATEVALUE("1 "&amp;AJ$1),0)))+
  SUMPRODUCT(('Form responses 1'!$F$2:$F1000=$A45)*('Form responses 1'!$A$2:$A1000&lt;=EOMONTH(DATEVALUE("1 "&amp;AJ$1),0)))+
  SUMPRODUCT(('Form responses 1'!$G$2:$G1000=$A45)*('Form responses 1'!$A$2:$A1000&lt;=EOMONTH(DATEVALUE("1 "&amp;AJ$1),0)))
),2),"-")</f>
        <v>-</v>
      </c>
      <c r="AK45" s="2" t="str">
        <f>IFERROR(ROUND(Data!$B45/(
  SUMPRODUCT(('Form responses 1'!$B$2:$B1000=$A45)*('Form responses 1'!$A$2:$A1000&lt;=EOMONTH(DATEVALUE("1 "&amp;AK$1),0)))+
  SUMPRODUCT(('Form responses 1'!$C$2:$C1000=$A45)*('Form responses 1'!$A$2:$A1000&lt;=EOMONTH(DATEVALUE("1 "&amp;AK$1),0)))+
  SUMPRODUCT(('Form responses 1'!$D$2:$D1000=$A45)*('Form responses 1'!$A$2:$A1000&lt;=EOMONTH(DATEVALUE("1 "&amp;AK$1),0)))+
  SUMPRODUCT(('Form responses 1'!$E$2:$E1000=$A45)*('Form responses 1'!$A$2:$A1000&lt;=EOMONTH(DATEVALUE("1 "&amp;AK$1),0)))+
  SUMPRODUCT(('Form responses 1'!$F$2:$F1000=$A45)*('Form responses 1'!$A$2:$A1000&lt;=EOMONTH(DATEVALUE("1 "&amp;AK$1),0)))+
  SUMPRODUCT(('Form responses 1'!$G$2:$G1000=$A45)*('Form responses 1'!$A$2:$A1000&lt;=EOMONTH(DATEVALUE("1 "&amp;AK$1),0)))
),2),"-")</f>
        <v>-</v>
      </c>
      <c r="AL45" s="2" t="str">
        <f>IFERROR(ROUND(Data!$B45/(
  SUMPRODUCT(('Form responses 1'!$B$2:$B1000=$A45)*('Form responses 1'!$A$2:$A1000&lt;=EOMONTH(DATEVALUE("1 "&amp;AL$1),0)))+
  SUMPRODUCT(('Form responses 1'!$C$2:$C1000=$A45)*('Form responses 1'!$A$2:$A1000&lt;=EOMONTH(DATEVALUE("1 "&amp;AL$1),0)))+
  SUMPRODUCT(('Form responses 1'!$D$2:$D1000=$A45)*('Form responses 1'!$A$2:$A1000&lt;=EOMONTH(DATEVALUE("1 "&amp;AL$1),0)))+
  SUMPRODUCT(('Form responses 1'!$E$2:$E1000=$A45)*('Form responses 1'!$A$2:$A1000&lt;=EOMONTH(DATEVALUE("1 "&amp;AL$1),0)))+
  SUMPRODUCT(('Form responses 1'!$F$2:$F1000=$A45)*('Form responses 1'!$A$2:$A1000&lt;=EOMONTH(DATEVALUE("1 "&amp;AL$1),0)))+
  SUMPRODUCT(('Form responses 1'!$G$2:$G1000=$A45)*('Form responses 1'!$A$2:$A1000&lt;=EOMONTH(DATEVALUE("1 "&amp;AL$1),0)))
),2),"-")</f>
        <v>-</v>
      </c>
    </row>
    <row r="46">
      <c r="A46" s="3" t="str">
        <f>IFERROR(__xludf.DUMMYFUNCTION("""COMPUTED_VALUE"""),"Beige ralph lauren fleece")</f>
        <v>Beige ralph lauren fleece</v>
      </c>
      <c r="B46" s="2">
        <f>Data!F44:F1000</f>
        <v>0.67</v>
      </c>
      <c r="C46" s="2">
        <f>IFERROR(ROUND(Data!B44/(SUMPRODUCT(('Form responses 1'!$B$2:$B1000 = A46) * ('Form responses 1'!$A$2:$A1000 &lt;= DATE(2024, 1, 31)))
+ SUMPRODUCT(('Form responses 1'!$C$2:$C1000 = A46) * ('Form responses 1'!$A$2:$A1000 &lt;= DATE(2024, 1, 31)))
+ SUMPRODUCT(('Form responses 1'!$D$2:$D1000 = A46) * ('Form responses 1'!$A$2:$A1000 &lt;= DATE(2024, 1, 31)))
+ SUMPRODUCT(('Form responses 1'!$E$2:$E1000 = A46) * ('Form responses 1'!$A$2:$A1000 &lt;= DATE(2024, 1, 31)))
+ SUMPRODUCT(('Form responses 1'!$F$2:$F1000 = A46) * ('Form responses 1'!$A$2:$A1000 &lt;= DATE(2024, 1, 31)))
+ SUMPRODUCT(('Form responses 1'!$G$2:$G1000 = A46) * ('Form responses 1'!$A$2:$A1000 &lt;= DATE(2024, 1, 31)))), 2), "-")
</f>
        <v>5.85</v>
      </c>
      <c r="D46" s="2">
        <f>IFERROR(ROUND(Data!B44/(SUMPRODUCT(('Form responses 1'!$B$2:$B1000 = A46) * ('Form responses 1'!$A$2:$A1000 &lt;= DATE(2024, 2, 29)))
+ SUMPRODUCT(('Form responses 1'!$C$2:$C1000 = A46) * ('Form responses 1'!$A$2:$A1000 &lt;= DATE(2024, 2, 29)))
+ SUMPRODUCT(('Form responses 1'!$D$2:$D1000 = A46) * ('Form responses 1'!$A$2:$A1000 &lt;= DATE(2024, 2, 29)))
+ SUMPRODUCT(('Form responses 1'!$E$2:$E1000 = A46) * ('Form responses 1'!$A$2:$A1000 &lt;= DATE(2024, 2, 29)))
+ SUMPRODUCT(('Form responses 1'!$F$2:$F1000 = A46) * ('Form responses 1'!$A$2:$A1000 &lt;= DATE(2024, 2, 29)))
+ SUMPRODUCT(('Form responses 1'!$G$2:$G1000 = A46) * ('Form responses 1'!$A$2:$A1000 &lt;= DATE(2024, 2, 29)))), 2), "-")
</f>
        <v>3.51</v>
      </c>
      <c r="E46" s="2">
        <f>IFERROR(ROUND(Data!B44/(SUMPRODUCT(('Form responses 1'!$B$2:$B1000 = A46) * ('Form responses 1'!$A$2:$A1000 &lt;= DATE(2024, 3, 31)))
+ SUMPRODUCT(('Form responses 1'!$C$2:$C1000 = A46) * ('Form responses 1'!$A$2:$A1000 &lt;= DATE(2024, 3, 31)))
+ SUMPRODUCT(('Form responses 1'!$D$2:$D1000 = A46) * ('Form responses 1'!$A$2:$A1000 &lt;= DATE(2024, 3, 31)))
+ SUMPRODUCT(('Form responses 1'!$E$2:$E1000 = A46) * ('Form responses 1'!$A$2:$A1000 &lt;= DATE(2024, 3, 31)))
+ SUMPRODUCT(('Form responses 1'!$F$2:$F1000 = A46) * ('Form responses 1'!$A$2:$A1000 &lt;= DATE(2024, 3, 31)))
+ SUMPRODUCT(('Form responses 1'!$G$2:$G1000 = A46) * ('Form responses 1'!$A$2:$A1000 &lt;= DATE(2024, 3, 31)))), 2), "-")
</f>
        <v>2.19</v>
      </c>
      <c r="F46" s="2">
        <f>IFERROR(ROUND(Data!B44/(SUMPRODUCT(('Form responses 1'!$B$2:$B1000 = A46) * ('Form responses 1'!$A$2:$A1000 &lt;= DATE(2024, 4, 30)))
+ SUMPRODUCT(('Form responses 1'!$C$2:$C1000 = A46) * ('Form responses 1'!$A$2:$A1000 &lt;= DATE(2024, 4, 30)))
+ SUMPRODUCT(('Form responses 1'!$D$2:$D1000 = A46) * ('Form responses 1'!$A$2:$A1000 &lt;= DATE(2024, 4, 30)))
+ SUMPRODUCT(('Form responses 1'!$E$2:$E1000 = A46) * ('Form responses 1'!$A$2:$A1000 &lt;= DATE(2024, 4, 30)))
+ SUMPRODUCT(('Form responses 1'!$F$2:$F1000 = A46) * ('Form responses 1'!$A$2:$A1000 &lt;= DATE(2024, 4, 30)))
+ SUMPRODUCT(('Form responses 1'!$G$2:$G1000 = A46) * ('Form responses 1'!$A$2:$A1000 &lt;= DATE(2024, 4, 30)))), 2), "-")
</f>
        <v>1.95</v>
      </c>
      <c r="G46" s="2">
        <f>IFERROR(ROUND(Data!B44/(SUMPRODUCT(('Form responses 1'!$B$2:$B1000 = A46) * ('Form responses 1'!$A$2:$A1000 &lt;= DATE(2024, 5, 31)))
+ SUMPRODUCT(('Form responses 1'!$C$2:$C1000 = A46) * ('Form responses 1'!$A$2:$A1000 &lt;= DATE(2024, 5, 31)))
+ SUMPRODUCT(('Form responses 1'!$D$2:$D1000 = A46) * ('Form responses 1'!$A$2:$A1000 &lt;= DATE(2024, 5, 31)))
+ SUMPRODUCT(('Form responses 1'!$E$2:$E1000 = A46) * ('Form responses 1'!$A$2:$A1000 &lt;= DATE(2024, 5, 31)))
+ SUMPRODUCT(('Form responses 1'!$F$2:$F1000 = A46) * ('Form responses 1'!$A$2:$A1000 &lt;= DATE(2024, 5, 31)))
+ SUMPRODUCT(('Form responses 1'!$G$2:$G1000 = A46) * ('Form responses 1'!$A$2:$A1000 &lt;= DATE(2024, 5, 31)))), 2), "-")
</f>
        <v>1.95</v>
      </c>
      <c r="H46" s="2">
        <f>IFERROR(ROUND(Data!B44/(SUMPRODUCT(('Form responses 1'!$B$2:$B1000 = A46) * ('Form responses 1'!$A$2:$A1000 &lt;= DATE(2024, 6, 30)))
+ SUMPRODUCT(('Form responses 1'!$C$2:$C1000 = A46) * ('Form responses 1'!$A$2:$A1000 &lt;= DATE(2024, 6, 30)))
+ SUMPRODUCT(('Form responses 1'!$D$2:$D1000 = A46) * ('Form responses 1'!$A$2:$A1000 &lt;= DATE(2024, 6, 30)))
+ SUMPRODUCT(('Form responses 1'!$E$2:$E1000 = A46) * ('Form responses 1'!$A$2:$A1000 &lt;= DATE(2024, 6, 30)))
+ SUMPRODUCT(('Form responses 1'!$F$2:$F1000 = A46) * ('Form responses 1'!$A$2:$A1000 &lt;= DATE(2024, 6, 30)))
+ SUMPRODUCT(('Form responses 1'!$G$2:$G1000 = A46) * ('Form responses 1'!$A$2:$A1000 &lt;= DATE(2024, 6, 30)))), 2), "-")
</f>
        <v>1.95</v>
      </c>
      <c r="I46" s="2">
        <f>IFERROR(ROUND(Data!B44/(SUMPRODUCT(('Form responses 1'!$B$2:$B1000 = A46) * ('Form responses 1'!$A$2:$A1000 &lt;= DATE(2024, 7, 31)))
+ SUMPRODUCT(('Form responses 1'!$C$2:$C1000 = A46) * ('Form responses 1'!$A$2:$A1000 &lt;= DATE(2024, 7, 31)))
+ SUMPRODUCT(('Form responses 1'!$D$2:$D1000 = A46) * ('Form responses 1'!$A$2:$A1000 &lt;= DATE(2024, 7, 31)))
+ SUMPRODUCT(('Form responses 1'!$E$2:$E1000 = A46) * ('Form responses 1'!$A$2:$A1000 &lt;= DATE(2024, 7, 31)))
+ SUMPRODUCT(('Form responses 1'!$F$2:$F1000 = A46) * ('Form responses 1'!$A$2:$A1000 &lt;= DATE(2024, 7, 31)))
+ SUMPRODUCT(('Form responses 1'!$G$2:$G1000 = A46) * ('Form responses 1'!$A$2:$A1000 &lt;= DATE(2024, 7, 31)))), 2), "-")
</f>
        <v>1.95</v>
      </c>
      <c r="J46" s="2">
        <f>IFERROR(ROUND(Data!B44/(SUMPRODUCT(('Form responses 1'!$B$2:$B1000 = A46) * ('Form responses 1'!$A$2:$A1000 &lt;= DATE(2024, 8, 31)))
+ SUMPRODUCT(('Form responses 1'!$C$2:$C1000 = A46) * ('Form responses 1'!$A$2:$A1000 &lt;= DATE(2024, 8, 31)))
+ SUMPRODUCT(('Form responses 1'!$D$2:$D1000 = A46) * ('Form responses 1'!$A$2:$A1000 &lt;= DATE(2024, 8, 31)))
+ SUMPRODUCT(('Form responses 1'!$E$2:$E1000 = A46) * ('Form responses 1'!$A$2:$A1000 &lt;= DATE(2024, 8, 31)))
+ SUMPRODUCT(('Form responses 1'!$F$2:$F1000 = A46) * ('Form responses 1'!$A$2:$A1000 &lt;= DATE(2024, 8, 31)))
+ SUMPRODUCT(('Form responses 1'!$G$2:$G1000 = A46) * ('Form responses 1'!$A$2:$A1000 &lt;= DATE(2024, 8, 31)))), 2), "-")
</f>
        <v>1.95</v>
      </c>
      <c r="K46" s="2">
        <f>IFERROR(ROUND(Data!B44/(SUMPRODUCT(('Form responses 1'!$B$2:$B1000 = A46) * ('Form responses 1'!$A$2:$A1000 &lt;= DATE(2024, 9, 30)))
+ SUMPRODUCT(('Form responses 1'!$C$2:$C1000 = A46) * ('Form responses 1'!$A$2:$A1000 &lt;= DATE(2024, 9, 30)))
+ SUMPRODUCT(('Form responses 1'!$D$2:$D1000 = A46) * ('Form responses 1'!$A$2:$A1000 &lt;= DATE(2024, 9, 30)))
+ SUMPRODUCT(('Form responses 1'!$E$2:$E1000 = A46) * ('Form responses 1'!$A$2:$A1000 &lt;= DATE(2024, 9, 30)))
+ SUMPRODUCT(('Form responses 1'!$F$2:$F1000 = A46) * ('Form responses 1'!$A$2:$A1000 &lt;= DATE(2024, 9, 30)))
+ SUMPRODUCT(('Form responses 1'!$G$2:$G1000 = A46) * ('Form responses 1'!$A$2:$A1000 &lt;= DATE(2024, 9, 30)))), 2), "-")
</f>
        <v>1.95</v>
      </c>
      <c r="L46" s="2">
        <f>IFERROR(ROUND(Data!B44/(SUMPRODUCT(('Form responses 1'!$B$2:$B1000 = A46) * ('Form responses 1'!$A$2:$A1000 &lt;= DATE(2024, 10, 31)))
+ SUMPRODUCT(('Form responses 1'!$C$2:$C1000 = A46) * ('Form responses 1'!$A$2:$A1000 &lt;= DATE(2024, 10, 31)))
+ SUMPRODUCT(('Form responses 1'!$D$2:$D1000 = A46) * ('Form responses 1'!$A$2:$A1000 &lt;= DATE(2024, 10, 31)))
+ SUMPRODUCT(('Form responses 1'!$E$2:$E1000 = A46) * ('Form responses 1'!$A$2:$A1000 &lt;= DATE(2024, 10, 31)))
+ SUMPRODUCT(('Form responses 1'!$F$2:$F1000 = A46) * ('Form responses 1'!$A$2:$A1000 &lt;= DATE(2024, 10, 31)))
+ SUMPRODUCT(('Form responses 1'!$G$2:$G1000 = A46) * ('Form responses 1'!$A$2:$A1000 &lt;= DATE(2024, 10, 31)))), 2), "-")
</f>
        <v>1.95</v>
      </c>
      <c r="M46" s="2">
        <f>IFERROR(ROUND(Data!B44/(SUMPRODUCT(('Form responses 1'!$B$2:$B1000 = A46) * ('Form responses 1'!$A$2:$A1000 &lt;= DATE(2024, 11, 30)))
+ SUMPRODUCT(('Form responses 1'!$C$2:$C1000 = A46) * ('Form responses 1'!$A$2:$A1000 &lt;= DATE(2024, 11, 30)))
+ SUMPRODUCT(('Form responses 1'!$D$2:$D1000 = A46) * ('Form responses 1'!$A$2:$A1000 &lt;= DATE(2024, 11, 30)))
+ SUMPRODUCT(('Form responses 1'!$E$2:$E1000 = A46) * ('Form responses 1'!$A$2:$A1000 &lt;= DATE(2024, 11, 30)))
+ SUMPRODUCT(('Form responses 1'!$F$2:$F1000 = A46) * ('Form responses 1'!$A$2:$A1000 &lt;= DATE(2024, 11, 30)))
+ SUMPRODUCT(('Form responses 1'!$G$2:$G1000 = A46) * ('Form responses 1'!$A$2:$A1000 &lt;= DATE(2024, 11, 30)))), 2), "-")
</f>
        <v>1.4</v>
      </c>
      <c r="N46" s="2">
        <f>IFERROR(ROUND(Data!B44/(SUMPRODUCT(('Form responses 1'!$B$2:$B1000 = A46) * ('Form responses 1'!$A$2:$A1000 &lt;= DATE(2024, 12, 31)))
+ SUMPRODUCT(('Form responses 1'!$C$2:$C1000 = A46) * ('Form responses 1'!$A$2:$A1000 &lt;= DATE(2024, 12, 31)))
+ SUMPRODUCT(('Form responses 1'!$D$2:$D1000 = A46) * ('Form responses 1'!$A$2:$A1000 &lt;= DATE(2024, 12, 31)))
+ SUMPRODUCT(('Form responses 1'!$E$2:$E1000 = A46) * ('Form responses 1'!$A$2:$A1000 &lt;= DATE(2024, 12, 31)))
+ SUMPRODUCT(('Form responses 1'!$F$2:$F1000 = A46) * ('Form responses 1'!$A$2:$A1000 &lt;= DATE(2024, 12, 31)))
+ SUMPRODUCT(('Form responses 1'!$G$2:$G1000 = A46) * ('Form responses 1'!$A$2:$A1000 &lt;= DATE(2024, 12, 31)))), 2), "-")
</f>
        <v>1.25</v>
      </c>
      <c r="O46" s="2">
        <f>IFERROR(ROUND(Data!B44/(SUMPRODUCT(('Form responses 1'!$B$2:$B1000 = A46) * ('Form responses 1'!$A$2:$A1000 &lt;= DATE(2025, 1, 31)))
+ SUMPRODUCT(('Form responses 1'!$C$2:$C1000 = A46) * ('Form responses 1'!$A$2:$A1000 &lt;= DATE(2025, 1, 31)))
+ SUMPRODUCT(('Form responses 1'!$D$2:$D1000 = A46) * ('Form responses 1'!$A$2:$A1000 &lt;= DATE(2025, 1, 31)))
+ SUMPRODUCT(('Form responses 1'!$E$2:$E1000 = A46) * ('Form responses 1'!$A$2:$A1000 &lt;= DATE(2025, 1, 31)))
+ SUMPRODUCT(('Form responses 1'!$F$2:$F1000 = A46) * ('Form responses 1'!$A$2:$A1000 &lt;= DATE(2025, 1, 31)))
+ SUMPRODUCT(('Form responses 1'!$G$2:$G1000 = A46) * ('Form responses 1'!$A$2:$A1000 &lt;= DATE(2025, 1, 31)))), 2), "-")
</f>
        <v>1.13</v>
      </c>
      <c r="P46" s="2">
        <f>IFERROR(ROUND(Data!B44/(SUMPRODUCT(('Form responses 1'!$B$2:$B1000 = A46) * ('Form responses 1'!$A$2:$A1000 &lt;= DATE(2025, 2, 28)))
+ SUMPRODUCT(('Form responses 1'!$C$2:$C1000 = A46) * ('Form responses 1'!$A$2:$A1000 &lt;= DATE(2025, 2, 28)))
+ SUMPRODUCT(('Form responses 1'!$D$2:$D1000 = A46) * ('Form responses 1'!$A$2:$A1000 &lt;= DATE(2025, 2, 28)))
+ SUMPRODUCT(('Form responses 1'!$E$2:$E1000 = A46) * ('Form responses 1'!$A$2:$A1000 &lt;= DATE(2025, 2, 28)))
+ SUMPRODUCT(('Form responses 1'!$F$2:$F1000 = A46) * ('Form responses 1'!$A$2:$A1000 &lt;= DATE(2025, 2, 28)))
+ SUMPRODUCT(('Form responses 1'!$G$2:$G1000 = A46) * ('Form responses 1'!$A$2:$A1000 &lt;= DATE(2025, 2, 28)))), 2), "-")
</f>
        <v>1.06</v>
      </c>
      <c r="Q46" s="2">
        <f>IFERROR(ROUND(Data!B44/(SUMPRODUCT(('Form responses 1'!$B$2:$B1000 = A46) * ('Form responses 1'!$A$2:$A1000 &lt;= DATE(2025, 3, 31)))
+ SUMPRODUCT(('Form responses 1'!$C$2:$C1000 = A46) * ('Form responses 1'!$A$2:$A1000 &lt;= DATE(2025, 3, 31)))
+ SUMPRODUCT(('Form responses 1'!$D$2:$D1000 = A46) * ('Form responses 1'!$A$2:$A1000 &lt;= DATE(2025, 3, 31)))
+ SUMPRODUCT(('Form responses 1'!$E$2:$E1000 = A46) * ('Form responses 1'!$A$2:$A1000 &lt;= DATE(2025, 3, 31)))
+ SUMPRODUCT(('Form responses 1'!$F$2:$F1000 = A46) * ('Form responses 1'!$A$2:$A1000 &lt;= DATE(2025, 3, 31)))
+ SUMPRODUCT(('Form responses 1'!$G$2:$G1000 = A46) * ('Form responses 1'!$A$2:$A1000 &lt;= DATE(2025, 3, 31)))),2),"-")</f>
        <v>1.06</v>
      </c>
      <c r="R46" s="2">
        <f>IFERROR(ROUND(Data!B44/(SUMPRODUCT(('Form responses 1'!$B$2:$B1000 = A46) * ('Form responses 1'!$A$2:$A1000 &lt;= DATE(2025, 4, 30)))
+ SUMPRODUCT(('Form responses 1'!$C$2:$C1000 = A46) * ('Form responses 1'!$A$2:$A1000 &lt;= DATE(2025, 4, 30)))
+ SUMPRODUCT(('Form responses 1'!$D$2:$D1000 = A46) * ('Form responses 1'!$A$2:$A1000 &lt;= DATE(2025, 4, 30)))
+ SUMPRODUCT(('Form responses 1'!$E$2:$E1000 = A46) * ('Form responses 1'!$A$2:$A1000 &lt;= DATE(2025, 4, 30)))
+ SUMPRODUCT(('Form responses 1'!$F$2:$F1000 = A46) * ('Form responses 1'!$A$2:$A1000 &lt;= DATE(2025, 4, 30)))
+ SUMPRODUCT(('Form responses 1'!$G$2:$G1000 = A46) * ('Form responses 1'!$A$2:$A1000 &lt;= DATE(2025, 4, 30)))), 2), "-")
</f>
        <v>1.06</v>
      </c>
      <c r="S46" s="2">
        <f>IFERROR(ROUND(Data!B44/(SUMPRODUCT(('Form responses 1'!$B$2:$B1000 = A46) * ('Form responses 1'!$A$2:$A1000 &lt;= DATE(2025, 5, 31)))
+ SUMPRODUCT(('Form responses 1'!$C$2:$C1000 = A46) * ('Form responses 1'!$A$2:$A1000 &lt;= DATE(2025, 5, 31)))
+ SUMPRODUCT(('Form responses 1'!$D$2:$D1000 = A46) * ('Form responses 1'!$A$2:$A1000 &lt;= DATE(2025, 5, 31)))
+ SUMPRODUCT(('Form responses 1'!$E$2:$E1000 = A46) * ('Form responses 1'!$A$2:$A1000 &lt;= DATE(2025, 5, 31)))
+ SUMPRODUCT(('Form responses 1'!$F$2:$F1000 = A46) * ('Form responses 1'!$A$2:$A1000 &lt;= DATE(2025, 5, 31)))
+ SUMPRODUCT(('Form responses 1'!$G$2:$G1000 = A46) * ('Form responses 1'!$A$2:$A1000 &lt;= DATE(2025, 5, 31)))), 2), "-")
</f>
        <v>1</v>
      </c>
      <c r="T46" s="2">
        <f>IFERROR(ROUND(Data!B44/(SUMPRODUCT(('Form responses 1'!$B$2:$B1000 = A46) * ('Form responses 1'!$A$2:$A1000 &lt;= DATE(2025, 6, 30)))
+ SUMPRODUCT(('Form responses 1'!$C$2:$C1000 = A46) * ('Form responses 1'!$A$2:$A1000 &lt;= DATE(2025, 6, 30)))
+ SUMPRODUCT(('Form responses 1'!$D$2:$D1000 = A46) * ('Form responses 1'!$A$2:$A1000 &lt;= DATE(2025, 6, 30)))
+ SUMPRODUCT(('Form responses 1'!$E$2:$E1000 = A46) * ('Form responses 1'!$A$2:$A1000 &lt;= DATE(2025, 6, 30)))
+ SUMPRODUCT(('Form responses 1'!$F$2:$F1000 = A46) * ('Form responses 1'!$A$2:$A1000 &lt;= DATE(2025, 6, 30)))
+ SUMPRODUCT(('Form responses 1'!$G$2:$G1000 = A46) * ('Form responses 1'!$A$2:$A1000 &lt;= DATE(2025, 6, 30)))), 2), "-")
</f>
        <v>1</v>
      </c>
      <c r="U46" s="2">
        <f>IFERROR(ROUND(Data!B44/(SUMPRODUCT(('Form responses 1'!$B$2:$B1000 = A46) * ('Form responses 1'!$A$2:$A1000 &lt;= DATE(2025, 7, 31)))
+ SUMPRODUCT(('Form responses 1'!$C$2:$C1000 = A46) * ('Form responses 1'!$A$2:$A1000 &lt;= DATE(2025, 7, 31)))
+ SUMPRODUCT(('Form responses 1'!$D$2:$D1000 = A46) * ('Form responses 1'!$A$2:$A1000 &lt;= DATE(2025, 7, 31)))
+ SUMPRODUCT(('Form responses 1'!$E$2:$E1000 = A46) * ('Form responses 1'!$A$2:$A1000 &lt;= DATE(2025, 7, 31)))
+ SUMPRODUCT(('Form responses 1'!$F$2:$F1000 = A46) * ('Form responses 1'!$A$2:$A1000 &lt;= DATE(2025, 7, 31)))
+ SUMPRODUCT(('Form responses 1'!$G$2:$G1000 = A46) * ('Form responses 1'!$A$2:$A1000 &lt;= DATE(2025, 7, 31)))), 2), "-")
</f>
        <v>1</v>
      </c>
      <c r="V46" s="2">
        <f>IFERROR(ROUND(Data!B44/(SUMPRODUCT(('Form responses 1'!$B$2:$B1000 = A46) * ('Form responses 1'!$A$2:$A1000 &lt;= DATE(2025, 8, 31)))
+ SUMPRODUCT(('Form responses 1'!$C$2:$C1000 = A46) * ('Form responses 1'!$A$2:$A1000 &lt;= DATE(2025, 8, 31)))
+ SUMPRODUCT(('Form responses 1'!$D$2:$D1000 = A46) * ('Form responses 1'!$A$2:$A1000 &lt;= DATE(2025, 8, 31)))
+ SUMPRODUCT(('Form responses 1'!$E$2:$E1000 = A46) * ('Form responses 1'!$A$2:$A1000 &lt;= DATE(2025, 8, 31)))
+ SUMPRODUCT(('Form responses 1'!$F$2:$F1000 = A46) * ('Form responses 1'!$A$2:$A1000 &lt;= DATE(2025, 8, 31)))
+ SUMPRODUCT(('Form responses 1'!$G$2:$G1000 = A46) * ('Form responses 1'!$A$2:$A1000 &lt;= DATE(2025, 8, 31)))), 2), "-")
</f>
        <v>1</v>
      </c>
      <c r="W46" s="2">
        <f>IFERROR(ROUND(Data!B44/(SUMPRODUCT(('Form responses 1'!$B$2:$B1000 = A46) * ('Form responses 1'!$A$2:$A1000 &lt;= DATE(2025, 9, 30)))
+ SUMPRODUCT(('Form responses 1'!$C$2:$C1000 = A46) * ('Form responses 1'!$A$2:$A1000 &lt;= DATE(2025, 9, 30)))
+ SUMPRODUCT(('Form responses 1'!$D$2:$D1000 = A46) * ('Form responses 1'!$A$2:$A1000 &lt;= DATE(2025, 9, 30)))
+ SUMPRODUCT(('Form responses 1'!$E$2:$E1000 = A46) * ('Form responses 1'!$A$2:$A1000 &lt;= DATE(2025, 9, 30)))
+ SUMPRODUCT(('Form responses 1'!$F$2:$F1000 = A46) * ('Form responses 1'!$A$2:$A1000 &lt;= DATE(2025, 9, 30)))
+ SUMPRODUCT(('Form responses 1'!$G$2:$G1000 = A46) * ('Form responses 1'!$A$2:$A1000 &lt;= DATE(2025, 9, 30)))), 2), "-")
</f>
        <v>1</v>
      </c>
      <c r="X46" s="2">
        <f>IFERROR(ROUND(Data!B44/(SUMPRODUCT(('Form responses 1'!$B$2:$B1000 = A46) * ('Form responses 1'!$A$2:$A1000 &lt;= DATE(2025, 10, 31)))
+ SUMPRODUCT(('Form responses 1'!$C$2:$C1000 = A46) * ('Form responses 1'!$A$2:$A1000 &lt;= DATE(2025, 10, 31)))
+ SUMPRODUCT(('Form responses 1'!$D$2:$D1000 = A46) * ('Form responses 1'!$A$2:$A1000 &lt;= DATE(2025, 10, 31)))
+ SUMPRODUCT(('Form responses 1'!$E$2:$E1000 = A46) * ('Form responses 1'!$A$2:$A1000 &lt;= DATE(2025, 10, 31)))
+ SUMPRODUCT(('Form responses 1'!$F$2:$F1000 = A46) * ('Form responses 1'!$A$2:$A1000 &lt;= DATE(2025, 10, 31)))
+ SUMPRODUCT(('Form responses 1'!$G$2:$G1000 = A46) * ('Form responses 1'!$A$2:$A1000 &lt;= DATE(2025, 10, 31)))), 2), "-")
</f>
        <v>0.92</v>
      </c>
      <c r="Y46" s="2">
        <f>IFERROR(ROUND(Data!B44/(SUMPRODUCT(('Form responses 1'!$B$2:$B1000 = A46) * ('Form responses 1'!$A$2:$A1000 &lt;= DATE(2025, 11, 30)))
+ SUMPRODUCT(('Form responses 1'!$C$2:$C1000 = A46) * ('Form responses 1'!$A$2:$A1000 &lt;= DATE(2025, 11, 30)))
+ SUMPRODUCT(('Form responses 1'!$D$2:$D1000 = A46) * ('Form responses 1'!$A$2:$A1000 &lt;= DATE(2025, 11, 30)))
+ SUMPRODUCT(('Form responses 1'!$E$2:$E1000 = A46) * ('Form responses 1'!$A$2:$A1000 &lt;= DATE(2025, 11, 30)))
+ SUMPRODUCT(('Form responses 1'!$F$2:$F1000 = A46) * ('Form responses 1'!$A$2:$A1000 &lt;= DATE(2025, 11, 30)))
+ SUMPRODUCT(('Form responses 1'!$G$2:$G1000 = A46) * ('Form responses 1'!$A$2:$A1000 &lt;= DATE(2025, 11, 30)))), 2), "-")
</f>
        <v>0.92</v>
      </c>
      <c r="Z46" s="2">
        <f>IFERROR(ROUND(Data!B44/(SUMPRODUCT(('Form responses 1'!$B$2:$B1000 = A46) * ('Form responses 1'!$A$2:$A1000 &lt;= DATE(2025, 12, 31)))
+ SUMPRODUCT(('Form responses 1'!$C$2:$C1000 = A46) * ('Form responses 1'!$A$2:$A1000 &lt;= DATE(2025, 12, 31)))
+ SUMPRODUCT(('Form responses 1'!$D$2:$D1000 = A46) * ('Form responses 1'!$A$2:$A1000 &lt;= DATE(2025, 12, 31)))
+ SUMPRODUCT(('Form responses 1'!$E$2:$E1000 = A46) * ('Form responses 1'!$A$2:$A1000 &lt;= DATE(2025, 12, 31)))
+ SUMPRODUCT(('Form responses 1'!$F$2:$F1000 = A46) * ('Form responses 1'!$A$2:$A1000 &lt;= DATE(2025, 12, 31)))
+ SUMPRODUCT(('Form responses 1'!$G$2:$G1000 = A46) * ('Form responses 1'!$A$2:$A1000 &lt;= DATE(2025, 12, 31)))), 2), "-")
</f>
        <v>0.86</v>
      </c>
      <c r="AA46" s="2">
        <f>IFERROR(ROUND(Data!$B46/(
  SUMPRODUCT(('Form responses 1'!$B$2:$B1000=$A46)*('Form responses 1'!$A$2:$A1000&lt;=EOMONTH(DATEVALUE("1 "&amp;AA$1),0)))+
  SUMPRODUCT(('Form responses 1'!$C$2:$C1000=$A46)*('Form responses 1'!$A$2:$A1000&lt;=EOMONTH(DATEVALUE("1 "&amp;AA$1),0)))+
  SUMPRODUCT(('Form responses 1'!$D$2:$D1000=$A46)*('Form responses 1'!$A$2:$A1000&lt;=EOMONTH(DATEVALUE("1 "&amp;AA$1),0)))+
  SUMPRODUCT(('Form responses 1'!$E$2:$E1000=$A46)*('Form responses 1'!$A$2:$A1000&lt;=EOMONTH(DATEVALUE("1 "&amp;AA$1),0)))+
  SUMPRODUCT(('Form responses 1'!$F$2:$F1000=$A46)*('Form responses 1'!$A$2:$A1000&lt;=EOMONTH(DATEVALUE("1 "&amp;AA$1),0)))+
  SUMPRODUCT(('Form responses 1'!$G$2:$G1000=$A46)*('Form responses 1'!$A$2:$A1000&lt;=EOMONTH(DATEVALUE("1 "&amp;AA$1),0)))
),2),"-")</f>
        <v>0.82</v>
      </c>
      <c r="AB46" s="2">
        <f>IFERROR(ROUND(Data!$B46/(
  SUMPRODUCT(('Form responses 1'!$B$2:$B1000=$A46)*('Form responses 1'!$A$2:$A1000&lt;=EOMONTH(DATEVALUE("1 "&amp;AB$1),0)))+
  SUMPRODUCT(('Form responses 1'!$C$2:$C1000=$A46)*('Form responses 1'!$A$2:$A1000&lt;=EOMONTH(DATEVALUE("1 "&amp;AB$1),0)))+
  SUMPRODUCT(('Form responses 1'!$D$2:$D1000=$A46)*('Form responses 1'!$A$2:$A1000&lt;=EOMONTH(DATEVALUE("1 "&amp;AB$1),0)))+
  SUMPRODUCT(('Form responses 1'!$E$2:$E1000=$A46)*('Form responses 1'!$A$2:$A1000&lt;=EOMONTH(DATEVALUE("1 "&amp;AB$1),0)))+
  SUMPRODUCT(('Form responses 1'!$F$2:$F1000=$A46)*('Form responses 1'!$A$2:$A1000&lt;=EOMONTH(DATEVALUE("1 "&amp;AB$1),0)))+
  SUMPRODUCT(('Form responses 1'!$G$2:$G1000=$A46)*('Form responses 1'!$A$2:$A1000&lt;=EOMONTH(DATEVALUE("1 "&amp;AB$1),0)))
),2),"-")</f>
        <v>0.71</v>
      </c>
      <c r="AC46" s="2">
        <f>IFERROR(ROUND(Data!$B46/(
  SUMPRODUCT(('Form responses 1'!$B$2:$B1000=$A46)*('Form responses 1'!$A$2:$A1000&lt;=EOMONTH(DATEVALUE("1 "&amp;AC$1),0)))+
  SUMPRODUCT(('Form responses 1'!$C$2:$C1000=$A46)*('Form responses 1'!$A$2:$A1000&lt;=EOMONTH(DATEVALUE("1 "&amp;AC$1),0)))+
  SUMPRODUCT(('Form responses 1'!$D$2:$D1000=$A46)*('Form responses 1'!$A$2:$A1000&lt;=EOMONTH(DATEVALUE("1 "&amp;AC$1),0)))+
  SUMPRODUCT(('Form responses 1'!$E$2:$E1000=$A46)*('Form responses 1'!$A$2:$A1000&lt;=EOMONTH(DATEVALUE("1 "&amp;AC$1),0)))+
  SUMPRODUCT(('Form responses 1'!$F$2:$F1000=$A46)*('Form responses 1'!$A$2:$A1000&lt;=EOMONTH(DATEVALUE("1 "&amp;AC$1),0)))+
  SUMPRODUCT(('Form responses 1'!$G$2:$G1000=$A46)*('Form responses 1'!$A$2:$A1000&lt;=EOMONTH(DATEVALUE("1 "&amp;AC$1),0)))
),2),"-")</f>
        <v>0.69</v>
      </c>
      <c r="AD46" s="2" t="str">
        <f>IFERROR(ROUND(Data!$B46/(
  SUMPRODUCT(('Form responses 1'!$B$2:$B1000=$A46)*('Form responses 1'!$A$2:$A1000&lt;=EOMONTH(DATEVALUE("1 "&amp;AD$1),0)))+
  SUMPRODUCT(('Form responses 1'!$C$2:$C1000=$A46)*('Form responses 1'!$A$2:$A1000&lt;=EOMONTH(DATEVALUE("1 "&amp;AD$1),0)))+
  SUMPRODUCT(('Form responses 1'!$D$2:$D1000=$A46)*('Form responses 1'!$A$2:$A1000&lt;=EOMONTH(DATEVALUE("1 "&amp;AD$1),0)))+
  SUMPRODUCT(('Form responses 1'!$E$2:$E1000=$A46)*('Form responses 1'!$A$2:$A1000&lt;=EOMONTH(DATEVALUE("1 "&amp;AD$1),0)))+
  SUMPRODUCT(('Form responses 1'!$F$2:$F1000=$A46)*('Form responses 1'!$A$2:$A1000&lt;=EOMONTH(DATEVALUE("1 "&amp;AD$1),0)))+
  SUMPRODUCT(('Form responses 1'!$G$2:$G1000=$A46)*('Form responses 1'!$A$2:$A1000&lt;=EOMONTH(DATEVALUE("1 "&amp;AD$1),0)))
),2),"-")</f>
        <v>-</v>
      </c>
      <c r="AE46" s="2" t="str">
        <f>IFERROR(ROUND(Data!$B46/(
  SUMPRODUCT(('Form responses 1'!$B$2:$B1000=$A46)*('Form responses 1'!$A$2:$A1000&lt;=EOMONTH(DATEVALUE("1 "&amp;AE$1),0)))+
  SUMPRODUCT(('Form responses 1'!$C$2:$C1000=$A46)*('Form responses 1'!$A$2:$A1000&lt;=EOMONTH(DATEVALUE("1 "&amp;AE$1),0)))+
  SUMPRODUCT(('Form responses 1'!$D$2:$D1000=$A46)*('Form responses 1'!$A$2:$A1000&lt;=EOMONTH(DATEVALUE("1 "&amp;AE$1),0)))+
  SUMPRODUCT(('Form responses 1'!$E$2:$E1000=$A46)*('Form responses 1'!$A$2:$A1000&lt;=EOMONTH(DATEVALUE("1 "&amp;AE$1),0)))+
  SUMPRODUCT(('Form responses 1'!$F$2:$F1000=$A46)*('Form responses 1'!$A$2:$A1000&lt;=EOMONTH(DATEVALUE("1 "&amp;AE$1),0)))+
  SUMPRODUCT(('Form responses 1'!$G$2:$G1000=$A46)*('Form responses 1'!$A$2:$A1000&lt;=EOMONTH(DATEVALUE("1 "&amp;AE$1),0)))
),2),"-")</f>
        <v>-</v>
      </c>
      <c r="AF46" s="2" t="str">
        <f>IFERROR(ROUND(Data!$B46/(
  SUMPRODUCT(('Form responses 1'!$B$2:$B1000=$A46)*('Form responses 1'!$A$2:$A1000&lt;=EOMONTH(DATEVALUE("1 "&amp;AF$1),0)))+
  SUMPRODUCT(('Form responses 1'!$C$2:$C1000=$A46)*('Form responses 1'!$A$2:$A1000&lt;=EOMONTH(DATEVALUE("1 "&amp;AF$1),0)))+
  SUMPRODUCT(('Form responses 1'!$D$2:$D1000=$A46)*('Form responses 1'!$A$2:$A1000&lt;=EOMONTH(DATEVALUE("1 "&amp;AF$1),0)))+
  SUMPRODUCT(('Form responses 1'!$E$2:$E1000=$A46)*('Form responses 1'!$A$2:$A1000&lt;=EOMONTH(DATEVALUE("1 "&amp;AF$1),0)))+
  SUMPRODUCT(('Form responses 1'!$F$2:$F1000=$A46)*('Form responses 1'!$A$2:$A1000&lt;=EOMONTH(DATEVALUE("1 "&amp;AF$1),0)))+
  SUMPRODUCT(('Form responses 1'!$G$2:$G1000=$A46)*('Form responses 1'!$A$2:$A1000&lt;=EOMONTH(DATEVALUE("1 "&amp;AF$1),0)))
),2),"-")</f>
        <v>-</v>
      </c>
      <c r="AG46" s="2" t="str">
        <f>IFERROR(ROUND(Data!$B46/(
  SUMPRODUCT(('Form responses 1'!$B$2:$B1000=$A46)*('Form responses 1'!$A$2:$A1000&lt;=EOMONTH(DATEVALUE("1 "&amp;AG$1),0)))+
  SUMPRODUCT(('Form responses 1'!$C$2:$C1000=$A46)*('Form responses 1'!$A$2:$A1000&lt;=EOMONTH(DATEVALUE("1 "&amp;AG$1),0)))+
  SUMPRODUCT(('Form responses 1'!$D$2:$D1000=$A46)*('Form responses 1'!$A$2:$A1000&lt;=EOMONTH(DATEVALUE("1 "&amp;AG$1),0)))+
  SUMPRODUCT(('Form responses 1'!$E$2:$E1000=$A46)*('Form responses 1'!$A$2:$A1000&lt;=EOMONTH(DATEVALUE("1 "&amp;AG$1),0)))+
  SUMPRODUCT(('Form responses 1'!$F$2:$F1000=$A46)*('Form responses 1'!$A$2:$A1000&lt;=EOMONTH(DATEVALUE("1 "&amp;AG$1),0)))+
  SUMPRODUCT(('Form responses 1'!$G$2:$G1000=$A46)*('Form responses 1'!$A$2:$A1000&lt;=EOMONTH(DATEVALUE("1 "&amp;AG$1),0)))
),2),"-")</f>
        <v>-</v>
      </c>
      <c r="AH46" s="2" t="str">
        <f>IFERROR(ROUND(Data!$B46/(
  SUMPRODUCT(('Form responses 1'!$B$2:$B1000=$A46)*('Form responses 1'!$A$2:$A1000&lt;=EOMONTH(DATEVALUE("1 "&amp;AH$1),0)))+
  SUMPRODUCT(('Form responses 1'!$C$2:$C1000=$A46)*('Form responses 1'!$A$2:$A1000&lt;=EOMONTH(DATEVALUE("1 "&amp;AH$1),0)))+
  SUMPRODUCT(('Form responses 1'!$D$2:$D1000=$A46)*('Form responses 1'!$A$2:$A1000&lt;=EOMONTH(DATEVALUE("1 "&amp;AH$1),0)))+
  SUMPRODUCT(('Form responses 1'!$E$2:$E1000=$A46)*('Form responses 1'!$A$2:$A1000&lt;=EOMONTH(DATEVALUE("1 "&amp;AH$1),0)))+
  SUMPRODUCT(('Form responses 1'!$F$2:$F1000=$A46)*('Form responses 1'!$A$2:$A1000&lt;=EOMONTH(DATEVALUE("1 "&amp;AH$1),0)))+
  SUMPRODUCT(('Form responses 1'!$G$2:$G1000=$A46)*('Form responses 1'!$A$2:$A1000&lt;=EOMONTH(DATEVALUE("1 "&amp;AH$1),0)))
),2),"-")</f>
        <v>-</v>
      </c>
      <c r="AI46" s="2" t="str">
        <f>IFERROR(ROUND(Data!$B46/(
  SUMPRODUCT(('Form responses 1'!$B$2:$B1000=$A46)*('Form responses 1'!$A$2:$A1000&lt;=EOMONTH(DATEVALUE("1 "&amp;AI$1),0)))+
  SUMPRODUCT(('Form responses 1'!$C$2:$C1000=$A46)*('Form responses 1'!$A$2:$A1000&lt;=EOMONTH(DATEVALUE("1 "&amp;AI$1),0)))+
  SUMPRODUCT(('Form responses 1'!$D$2:$D1000=$A46)*('Form responses 1'!$A$2:$A1000&lt;=EOMONTH(DATEVALUE("1 "&amp;AI$1),0)))+
  SUMPRODUCT(('Form responses 1'!$E$2:$E1000=$A46)*('Form responses 1'!$A$2:$A1000&lt;=EOMONTH(DATEVALUE("1 "&amp;AI$1),0)))+
  SUMPRODUCT(('Form responses 1'!$F$2:$F1000=$A46)*('Form responses 1'!$A$2:$A1000&lt;=EOMONTH(DATEVALUE("1 "&amp;AI$1),0)))+
  SUMPRODUCT(('Form responses 1'!$G$2:$G1000=$A46)*('Form responses 1'!$A$2:$A1000&lt;=EOMONTH(DATEVALUE("1 "&amp;AI$1),0)))
),2),"-")</f>
        <v>-</v>
      </c>
      <c r="AJ46" s="2" t="str">
        <f>IFERROR(ROUND(Data!$B46/(
  SUMPRODUCT(('Form responses 1'!$B$2:$B1000=$A46)*('Form responses 1'!$A$2:$A1000&lt;=EOMONTH(DATEVALUE("1 "&amp;AJ$1),0)))+
  SUMPRODUCT(('Form responses 1'!$C$2:$C1000=$A46)*('Form responses 1'!$A$2:$A1000&lt;=EOMONTH(DATEVALUE("1 "&amp;AJ$1),0)))+
  SUMPRODUCT(('Form responses 1'!$D$2:$D1000=$A46)*('Form responses 1'!$A$2:$A1000&lt;=EOMONTH(DATEVALUE("1 "&amp;AJ$1),0)))+
  SUMPRODUCT(('Form responses 1'!$E$2:$E1000=$A46)*('Form responses 1'!$A$2:$A1000&lt;=EOMONTH(DATEVALUE("1 "&amp;AJ$1),0)))+
  SUMPRODUCT(('Form responses 1'!$F$2:$F1000=$A46)*('Form responses 1'!$A$2:$A1000&lt;=EOMONTH(DATEVALUE("1 "&amp;AJ$1),0)))+
  SUMPRODUCT(('Form responses 1'!$G$2:$G1000=$A46)*('Form responses 1'!$A$2:$A1000&lt;=EOMONTH(DATEVALUE("1 "&amp;AJ$1),0)))
),2),"-")</f>
        <v>-</v>
      </c>
      <c r="AK46" s="2" t="str">
        <f>IFERROR(ROUND(Data!$B46/(
  SUMPRODUCT(('Form responses 1'!$B$2:$B1000=$A46)*('Form responses 1'!$A$2:$A1000&lt;=EOMONTH(DATEVALUE("1 "&amp;AK$1),0)))+
  SUMPRODUCT(('Form responses 1'!$C$2:$C1000=$A46)*('Form responses 1'!$A$2:$A1000&lt;=EOMONTH(DATEVALUE("1 "&amp;AK$1),0)))+
  SUMPRODUCT(('Form responses 1'!$D$2:$D1000=$A46)*('Form responses 1'!$A$2:$A1000&lt;=EOMONTH(DATEVALUE("1 "&amp;AK$1),0)))+
  SUMPRODUCT(('Form responses 1'!$E$2:$E1000=$A46)*('Form responses 1'!$A$2:$A1000&lt;=EOMONTH(DATEVALUE("1 "&amp;AK$1),0)))+
  SUMPRODUCT(('Form responses 1'!$F$2:$F1000=$A46)*('Form responses 1'!$A$2:$A1000&lt;=EOMONTH(DATEVALUE("1 "&amp;AK$1),0)))+
  SUMPRODUCT(('Form responses 1'!$G$2:$G1000=$A46)*('Form responses 1'!$A$2:$A1000&lt;=EOMONTH(DATEVALUE("1 "&amp;AK$1),0)))
),2),"-")</f>
        <v>-</v>
      </c>
      <c r="AL46" s="2" t="str">
        <f>IFERROR(ROUND(Data!$B46/(
  SUMPRODUCT(('Form responses 1'!$B$2:$B1000=$A46)*('Form responses 1'!$A$2:$A1000&lt;=EOMONTH(DATEVALUE("1 "&amp;AL$1),0)))+
  SUMPRODUCT(('Form responses 1'!$C$2:$C1000=$A46)*('Form responses 1'!$A$2:$A1000&lt;=EOMONTH(DATEVALUE("1 "&amp;AL$1),0)))+
  SUMPRODUCT(('Form responses 1'!$D$2:$D1000=$A46)*('Form responses 1'!$A$2:$A1000&lt;=EOMONTH(DATEVALUE("1 "&amp;AL$1),0)))+
  SUMPRODUCT(('Form responses 1'!$E$2:$E1000=$A46)*('Form responses 1'!$A$2:$A1000&lt;=EOMONTH(DATEVALUE("1 "&amp;AL$1),0)))+
  SUMPRODUCT(('Form responses 1'!$F$2:$F1000=$A46)*('Form responses 1'!$A$2:$A1000&lt;=EOMONTH(DATEVALUE("1 "&amp;AL$1),0)))+
  SUMPRODUCT(('Form responses 1'!$G$2:$G1000=$A46)*('Form responses 1'!$A$2:$A1000&lt;=EOMONTH(DATEVALUE("1 "&amp;AL$1),0)))
),2),"-")</f>
        <v>-</v>
      </c>
    </row>
    <row r="47">
      <c r="A47" s="3" t="str">
        <f>IFERROR(__xludf.DUMMYFUNCTION("""COMPUTED_VALUE"""),"Rode Sweater")</f>
        <v>Rode Sweater</v>
      </c>
      <c r="B47" s="2">
        <f>Data!F45:F1000</f>
        <v>0.15</v>
      </c>
      <c r="C47" s="2">
        <f>IFERROR(ROUND(Data!B45/(SUMPRODUCT(('Form responses 1'!$B$2:$B1000 = A47) * ('Form responses 1'!$A$2:$A1000 &lt;= DATE(2024, 1, 31)))
+ SUMPRODUCT(('Form responses 1'!$C$2:$C1000 = A47) * ('Form responses 1'!$A$2:$A1000 &lt;= DATE(2024, 1, 31)))
+ SUMPRODUCT(('Form responses 1'!$D$2:$D1000 = A47) * ('Form responses 1'!$A$2:$A1000 &lt;= DATE(2024, 1, 31)))
+ SUMPRODUCT(('Form responses 1'!$E$2:$E1000 = A47) * ('Form responses 1'!$A$2:$A1000 &lt;= DATE(2024, 1, 31)))
+ SUMPRODUCT(('Form responses 1'!$F$2:$F1000 = A47) * ('Form responses 1'!$A$2:$A1000 &lt;= DATE(2024, 1, 31)))
+ SUMPRODUCT(('Form responses 1'!$G$2:$G1000 = A47) * ('Form responses 1'!$A$2:$A1000 &lt;= DATE(2024, 1, 31)))), 2), "-")
</f>
        <v>1.38</v>
      </c>
      <c r="D47" s="2">
        <f>IFERROR(ROUND(Data!B45/(SUMPRODUCT(('Form responses 1'!$B$2:$B1000 = A47) * ('Form responses 1'!$A$2:$A1000 &lt;= DATE(2024, 2, 29)))
+ SUMPRODUCT(('Form responses 1'!$C$2:$C1000 = A47) * ('Form responses 1'!$A$2:$A1000 &lt;= DATE(2024, 2, 29)))
+ SUMPRODUCT(('Form responses 1'!$D$2:$D1000 = A47) * ('Form responses 1'!$A$2:$A1000 &lt;= DATE(2024, 2, 29)))
+ SUMPRODUCT(('Form responses 1'!$E$2:$E1000 = A47) * ('Form responses 1'!$A$2:$A1000 &lt;= DATE(2024, 2, 29)))
+ SUMPRODUCT(('Form responses 1'!$F$2:$F1000 = A47) * ('Form responses 1'!$A$2:$A1000 &lt;= DATE(2024, 2, 29)))
+ SUMPRODUCT(('Form responses 1'!$G$2:$G1000 = A47) * ('Form responses 1'!$A$2:$A1000 &lt;= DATE(2024, 2, 29)))), 2), "-")
</f>
        <v>1.07</v>
      </c>
      <c r="E47" s="2">
        <f>IFERROR(ROUND(Data!B45/(SUMPRODUCT(('Form responses 1'!$B$2:$B1000 = A47) * ('Form responses 1'!$A$2:$A1000 &lt;= DATE(2024, 3, 31)))
+ SUMPRODUCT(('Form responses 1'!$C$2:$C1000 = A47) * ('Form responses 1'!$A$2:$A1000 &lt;= DATE(2024, 3, 31)))
+ SUMPRODUCT(('Form responses 1'!$D$2:$D1000 = A47) * ('Form responses 1'!$A$2:$A1000 &lt;= DATE(2024, 3, 31)))
+ SUMPRODUCT(('Form responses 1'!$E$2:$E1000 = A47) * ('Form responses 1'!$A$2:$A1000 &lt;= DATE(2024, 3, 31)))
+ SUMPRODUCT(('Form responses 1'!$F$2:$F1000 = A47) * ('Form responses 1'!$A$2:$A1000 &lt;= DATE(2024, 3, 31)))
+ SUMPRODUCT(('Form responses 1'!$G$2:$G1000 = A47) * ('Form responses 1'!$A$2:$A1000 &lt;= DATE(2024, 3, 31)))), 2), "-")
</f>
        <v>0.88</v>
      </c>
      <c r="F47" s="2">
        <f>IFERROR(ROUND(Data!B45/(SUMPRODUCT(('Form responses 1'!$B$2:$B1000 = A47) * ('Form responses 1'!$A$2:$A1000 &lt;= DATE(2024, 4, 30)))
+ SUMPRODUCT(('Form responses 1'!$C$2:$C1000 = A47) * ('Form responses 1'!$A$2:$A1000 &lt;= DATE(2024, 4, 30)))
+ SUMPRODUCT(('Form responses 1'!$D$2:$D1000 = A47) * ('Form responses 1'!$A$2:$A1000 &lt;= DATE(2024, 4, 30)))
+ SUMPRODUCT(('Form responses 1'!$E$2:$E1000 = A47) * ('Form responses 1'!$A$2:$A1000 &lt;= DATE(2024, 4, 30)))
+ SUMPRODUCT(('Form responses 1'!$F$2:$F1000 = A47) * ('Form responses 1'!$A$2:$A1000 &lt;= DATE(2024, 4, 30)))
+ SUMPRODUCT(('Form responses 1'!$G$2:$G1000 = A47) * ('Form responses 1'!$A$2:$A1000 &lt;= DATE(2024, 4, 30)))), 2), "-")
</f>
        <v>0.69</v>
      </c>
      <c r="G47" s="2">
        <f>IFERROR(ROUND(Data!B45/(SUMPRODUCT(('Form responses 1'!$B$2:$B1000 = A47) * ('Form responses 1'!$A$2:$A1000 &lt;= DATE(2024, 5, 31)))
+ SUMPRODUCT(('Form responses 1'!$C$2:$C1000 = A47) * ('Form responses 1'!$A$2:$A1000 &lt;= DATE(2024, 5, 31)))
+ SUMPRODUCT(('Form responses 1'!$D$2:$D1000 = A47) * ('Form responses 1'!$A$2:$A1000 &lt;= DATE(2024, 5, 31)))
+ SUMPRODUCT(('Form responses 1'!$E$2:$E1000 = A47) * ('Form responses 1'!$A$2:$A1000 &lt;= DATE(2024, 5, 31)))
+ SUMPRODUCT(('Form responses 1'!$F$2:$F1000 = A47) * ('Form responses 1'!$A$2:$A1000 &lt;= DATE(2024, 5, 31)))
+ SUMPRODUCT(('Form responses 1'!$G$2:$G1000 = A47) * ('Form responses 1'!$A$2:$A1000 &lt;= DATE(2024, 5, 31)))), 2), "-")
</f>
        <v>0.57</v>
      </c>
      <c r="H47" s="2">
        <f>IFERROR(ROUND(Data!B45/(SUMPRODUCT(('Form responses 1'!$B$2:$B1000 = A47) * ('Form responses 1'!$A$2:$A1000 &lt;= DATE(2024, 6, 30)))
+ SUMPRODUCT(('Form responses 1'!$C$2:$C1000 = A47) * ('Form responses 1'!$A$2:$A1000 &lt;= DATE(2024, 6, 30)))
+ SUMPRODUCT(('Form responses 1'!$D$2:$D1000 = A47) * ('Form responses 1'!$A$2:$A1000 &lt;= DATE(2024, 6, 30)))
+ SUMPRODUCT(('Form responses 1'!$E$2:$E1000 = A47) * ('Form responses 1'!$A$2:$A1000 &lt;= DATE(2024, 6, 30)))
+ SUMPRODUCT(('Form responses 1'!$F$2:$F1000 = A47) * ('Form responses 1'!$A$2:$A1000 &lt;= DATE(2024, 6, 30)))
+ SUMPRODUCT(('Form responses 1'!$G$2:$G1000 = A47) * ('Form responses 1'!$A$2:$A1000 &lt;= DATE(2024, 6, 30)))), 2), "-")
</f>
        <v>0.54</v>
      </c>
      <c r="I47" s="2">
        <f>IFERROR(ROUND(Data!B45/(SUMPRODUCT(('Form responses 1'!$B$2:$B1000 = A47) * ('Form responses 1'!$A$2:$A1000 &lt;= DATE(2024, 7, 31)))
+ SUMPRODUCT(('Form responses 1'!$C$2:$C1000 = A47) * ('Form responses 1'!$A$2:$A1000 &lt;= DATE(2024, 7, 31)))
+ SUMPRODUCT(('Form responses 1'!$D$2:$D1000 = A47) * ('Form responses 1'!$A$2:$A1000 &lt;= DATE(2024, 7, 31)))
+ SUMPRODUCT(('Form responses 1'!$E$2:$E1000 = A47) * ('Form responses 1'!$A$2:$A1000 &lt;= DATE(2024, 7, 31)))
+ SUMPRODUCT(('Form responses 1'!$F$2:$F1000 = A47) * ('Form responses 1'!$A$2:$A1000 &lt;= DATE(2024, 7, 31)))
+ SUMPRODUCT(('Form responses 1'!$G$2:$G1000 = A47) * ('Form responses 1'!$A$2:$A1000 &lt;= DATE(2024, 7, 31)))), 2), "-")
</f>
        <v>0.49</v>
      </c>
      <c r="J47" s="2">
        <f>IFERROR(ROUND(Data!B45/(SUMPRODUCT(('Form responses 1'!$B$2:$B1000 = A47) * ('Form responses 1'!$A$2:$A1000 &lt;= DATE(2024, 8, 31)))
+ SUMPRODUCT(('Form responses 1'!$C$2:$C1000 = A47) * ('Form responses 1'!$A$2:$A1000 &lt;= DATE(2024, 8, 31)))
+ SUMPRODUCT(('Form responses 1'!$D$2:$D1000 = A47) * ('Form responses 1'!$A$2:$A1000 &lt;= DATE(2024, 8, 31)))
+ SUMPRODUCT(('Form responses 1'!$E$2:$E1000 = A47) * ('Form responses 1'!$A$2:$A1000 &lt;= DATE(2024, 8, 31)))
+ SUMPRODUCT(('Form responses 1'!$F$2:$F1000 = A47) * ('Form responses 1'!$A$2:$A1000 &lt;= DATE(2024, 8, 31)))
+ SUMPRODUCT(('Form responses 1'!$G$2:$G1000 = A47) * ('Form responses 1'!$A$2:$A1000 &lt;= DATE(2024, 8, 31)))), 2), "-")
</f>
        <v>0.48</v>
      </c>
      <c r="K47" s="2">
        <f>IFERROR(ROUND(Data!B45/(SUMPRODUCT(('Form responses 1'!$B$2:$B1000 = A47) * ('Form responses 1'!$A$2:$A1000 &lt;= DATE(2024, 9, 30)))
+ SUMPRODUCT(('Form responses 1'!$C$2:$C1000 = A47) * ('Form responses 1'!$A$2:$A1000 &lt;= DATE(2024, 9, 30)))
+ SUMPRODUCT(('Form responses 1'!$D$2:$D1000 = A47) * ('Form responses 1'!$A$2:$A1000 &lt;= DATE(2024, 9, 30)))
+ SUMPRODUCT(('Form responses 1'!$E$2:$E1000 = A47) * ('Form responses 1'!$A$2:$A1000 &lt;= DATE(2024, 9, 30)))
+ SUMPRODUCT(('Form responses 1'!$F$2:$F1000 = A47) * ('Form responses 1'!$A$2:$A1000 &lt;= DATE(2024, 9, 30)))
+ SUMPRODUCT(('Form responses 1'!$G$2:$G1000 = A47) * ('Form responses 1'!$A$2:$A1000 &lt;= DATE(2024, 9, 30)))), 2), "-")
</f>
        <v>0.46</v>
      </c>
      <c r="L47" s="2">
        <f>IFERROR(ROUND(Data!B45/(SUMPRODUCT(('Form responses 1'!$B$2:$B1000 = A47) * ('Form responses 1'!$A$2:$A1000 &lt;= DATE(2024, 10, 31)))
+ SUMPRODUCT(('Form responses 1'!$C$2:$C1000 = A47) * ('Form responses 1'!$A$2:$A1000 &lt;= DATE(2024, 10, 31)))
+ SUMPRODUCT(('Form responses 1'!$D$2:$D1000 = A47) * ('Form responses 1'!$A$2:$A1000 &lt;= DATE(2024, 10, 31)))
+ SUMPRODUCT(('Form responses 1'!$E$2:$E1000 = A47) * ('Form responses 1'!$A$2:$A1000 &lt;= DATE(2024, 10, 31)))
+ SUMPRODUCT(('Form responses 1'!$F$2:$F1000 = A47) * ('Form responses 1'!$A$2:$A1000 &lt;= DATE(2024, 10, 31)))
+ SUMPRODUCT(('Form responses 1'!$G$2:$G1000 = A47) * ('Form responses 1'!$A$2:$A1000 &lt;= DATE(2024, 10, 31)))), 2), "-")
</f>
        <v>0.46</v>
      </c>
      <c r="M47" s="2">
        <f>IFERROR(ROUND(Data!B45/(SUMPRODUCT(('Form responses 1'!$B$2:$B1000 = A47) * ('Form responses 1'!$A$2:$A1000 &lt;= DATE(2024, 11, 30)))
+ SUMPRODUCT(('Form responses 1'!$C$2:$C1000 = A47) * ('Form responses 1'!$A$2:$A1000 &lt;= DATE(2024, 11, 30)))
+ SUMPRODUCT(('Form responses 1'!$D$2:$D1000 = A47) * ('Form responses 1'!$A$2:$A1000 &lt;= DATE(2024, 11, 30)))
+ SUMPRODUCT(('Form responses 1'!$E$2:$E1000 = A47) * ('Form responses 1'!$A$2:$A1000 &lt;= DATE(2024, 11, 30)))
+ SUMPRODUCT(('Form responses 1'!$F$2:$F1000 = A47) * ('Form responses 1'!$A$2:$A1000 &lt;= DATE(2024, 11, 30)))
+ SUMPRODUCT(('Form responses 1'!$G$2:$G1000 = A47) * ('Form responses 1'!$A$2:$A1000 &lt;= DATE(2024, 11, 30)))), 2), "-")
</f>
        <v>0.44</v>
      </c>
      <c r="N47" s="2">
        <f>IFERROR(ROUND(Data!B45/(SUMPRODUCT(('Form responses 1'!$B$2:$B1000 = A47) * ('Form responses 1'!$A$2:$A1000 &lt;= DATE(2024, 12, 31)))
+ SUMPRODUCT(('Form responses 1'!$C$2:$C1000 = A47) * ('Form responses 1'!$A$2:$A1000 &lt;= DATE(2024, 12, 31)))
+ SUMPRODUCT(('Form responses 1'!$D$2:$D1000 = A47) * ('Form responses 1'!$A$2:$A1000 &lt;= DATE(2024, 12, 31)))
+ SUMPRODUCT(('Form responses 1'!$E$2:$E1000 = A47) * ('Form responses 1'!$A$2:$A1000 &lt;= DATE(2024, 12, 31)))
+ SUMPRODUCT(('Form responses 1'!$F$2:$F1000 = A47) * ('Form responses 1'!$A$2:$A1000 &lt;= DATE(2024, 12, 31)))
+ SUMPRODUCT(('Form responses 1'!$G$2:$G1000 = A47) * ('Form responses 1'!$A$2:$A1000 &lt;= DATE(2024, 12, 31)))), 2), "-")
</f>
        <v>0.42</v>
      </c>
      <c r="O47" s="2">
        <f>IFERROR(ROUND(Data!B45/(SUMPRODUCT(('Form responses 1'!$B$2:$B1000 = A47) * ('Form responses 1'!$A$2:$A1000 &lt;= DATE(2025, 1, 31)))
+ SUMPRODUCT(('Form responses 1'!$C$2:$C1000 = A47) * ('Form responses 1'!$A$2:$A1000 &lt;= DATE(2025, 1, 31)))
+ SUMPRODUCT(('Form responses 1'!$D$2:$D1000 = A47) * ('Form responses 1'!$A$2:$A1000 &lt;= DATE(2025, 1, 31)))
+ SUMPRODUCT(('Form responses 1'!$E$2:$E1000 = A47) * ('Form responses 1'!$A$2:$A1000 &lt;= DATE(2025, 1, 31)))
+ SUMPRODUCT(('Form responses 1'!$F$2:$F1000 = A47) * ('Form responses 1'!$A$2:$A1000 &lt;= DATE(2025, 1, 31)))
+ SUMPRODUCT(('Form responses 1'!$G$2:$G1000 = A47) * ('Form responses 1'!$A$2:$A1000 &lt;= DATE(2025, 1, 31)))), 2), "-")
</f>
        <v>0.37</v>
      </c>
      <c r="P47" s="2">
        <f>IFERROR(ROUND(Data!B45/(SUMPRODUCT(('Form responses 1'!$B$2:$B1000 = A47) * ('Form responses 1'!$A$2:$A1000 &lt;= DATE(2025, 2, 28)))
+ SUMPRODUCT(('Form responses 1'!$C$2:$C1000 = A47) * ('Form responses 1'!$A$2:$A1000 &lt;= DATE(2025, 2, 28)))
+ SUMPRODUCT(('Form responses 1'!$D$2:$D1000 = A47) * ('Form responses 1'!$A$2:$A1000 &lt;= DATE(2025, 2, 28)))
+ SUMPRODUCT(('Form responses 1'!$E$2:$E1000 = A47) * ('Form responses 1'!$A$2:$A1000 &lt;= DATE(2025, 2, 28)))
+ SUMPRODUCT(('Form responses 1'!$F$2:$F1000 = A47) * ('Form responses 1'!$A$2:$A1000 &lt;= DATE(2025, 2, 28)))
+ SUMPRODUCT(('Form responses 1'!$G$2:$G1000 = A47) * ('Form responses 1'!$A$2:$A1000 &lt;= DATE(2025, 2, 28)))), 2), "-")
</f>
        <v>0.33</v>
      </c>
      <c r="Q47" s="2">
        <f>IFERROR(ROUND(Data!B45/(SUMPRODUCT(('Form responses 1'!$B$2:$B1000 = A47) * ('Form responses 1'!$A$2:$A1000 &lt;= DATE(2025, 3, 31)))
+ SUMPRODUCT(('Form responses 1'!$C$2:$C1000 = A47) * ('Form responses 1'!$A$2:$A1000 &lt;= DATE(2025, 3, 31)))
+ SUMPRODUCT(('Form responses 1'!$D$2:$D1000 = A47) * ('Form responses 1'!$A$2:$A1000 &lt;= DATE(2025, 3, 31)))
+ SUMPRODUCT(('Form responses 1'!$E$2:$E1000 = A47) * ('Form responses 1'!$A$2:$A1000 &lt;= DATE(2025, 3, 31)))
+ SUMPRODUCT(('Form responses 1'!$F$2:$F1000 = A47) * ('Form responses 1'!$A$2:$A1000 &lt;= DATE(2025, 3, 31)))
+ SUMPRODUCT(('Form responses 1'!$G$2:$G1000 = A47) * ('Form responses 1'!$A$2:$A1000 &lt;= DATE(2025, 3, 31)))),2),"-")</f>
        <v>0.3</v>
      </c>
      <c r="R47" s="2">
        <f>IFERROR(ROUND(Data!B45/(SUMPRODUCT(('Form responses 1'!$B$2:$B1000 = A47) * ('Form responses 1'!$A$2:$A1000 &lt;= DATE(2025, 4, 30)))
+ SUMPRODUCT(('Form responses 1'!$C$2:$C1000 = A47) * ('Form responses 1'!$A$2:$A1000 &lt;= DATE(2025, 4, 30)))
+ SUMPRODUCT(('Form responses 1'!$D$2:$D1000 = A47) * ('Form responses 1'!$A$2:$A1000 &lt;= DATE(2025, 4, 30)))
+ SUMPRODUCT(('Form responses 1'!$E$2:$E1000 = A47) * ('Form responses 1'!$A$2:$A1000 &lt;= DATE(2025, 4, 30)))
+ SUMPRODUCT(('Form responses 1'!$F$2:$F1000 = A47) * ('Form responses 1'!$A$2:$A1000 &lt;= DATE(2025, 4, 30)))
+ SUMPRODUCT(('Form responses 1'!$G$2:$G1000 = A47) * ('Form responses 1'!$A$2:$A1000 &lt;= DATE(2025, 4, 30)))), 2), "-")
</f>
        <v>0.29</v>
      </c>
      <c r="S47" s="2">
        <f>IFERROR(ROUND(Data!B45/(SUMPRODUCT(('Form responses 1'!$B$2:$B1000 = A47) * ('Form responses 1'!$A$2:$A1000 &lt;= DATE(2025, 5, 31)))
+ SUMPRODUCT(('Form responses 1'!$C$2:$C1000 = A47) * ('Form responses 1'!$A$2:$A1000 &lt;= DATE(2025, 5, 31)))
+ SUMPRODUCT(('Form responses 1'!$D$2:$D1000 = A47) * ('Form responses 1'!$A$2:$A1000 &lt;= DATE(2025, 5, 31)))
+ SUMPRODUCT(('Form responses 1'!$E$2:$E1000 = A47) * ('Form responses 1'!$A$2:$A1000 &lt;= DATE(2025, 5, 31)))
+ SUMPRODUCT(('Form responses 1'!$F$2:$F1000 = A47) * ('Form responses 1'!$A$2:$A1000 &lt;= DATE(2025, 5, 31)))
+ SUMPRODUCT(('Form responses 1'!$G$2:$G1000 = A47) * ('Form responses 1'!$A$2:$A1000 &lt;= DATE(2025, 5, 31)))), 2), "-")
</f>
        <v>0.29</v>
      </c>
      <c r="T47" s="2">
        <f>IFERROR(ROUND(Data!B45/(SUMPRODUCT(('Form responses 1'!$B$2:$B1000 = A47) * ('Form responses 1'!$A$2:$A1000 &lt;= DATE(2025, 6, 30)))
+ SUMPRODUCT(('Form responses 1'!$C$2:$C1000 = A47) * ('Form responses 1'!$A$2:$A1000 &lt;= DATE(2025, 6, 30)))
+ SUMPRODUCT(('Form responses 1'!$D$2:$D1000 = A47) * ('Form responses 1'!$A$2:$A1000 &lt;= DATE(2025, 6, 30)))
+ SUMPRODUCT(('Form responses 1'!$E$2:$E1000 = A47) * ('Form responses 1'!$A$2:$A1000 &lt;= DATE(2025, 6, 30)))
+ SUMPRODUCT(('Form responses 1'!$F$2:$F1000 = A47) * ('Form responses 1'!$A$2:$A1000 &lt;= DATE(2025, 6, 30)))
+ SUMPRODUCT(('Form responses 1'!$G$2:$G1000 = A47) * ('Form responses 1'!$A$2:$A1000 &lt;= DATE(2025, 6, 30)))), 2), "-")
</f>
        <v>0.28</v>
      </c>
      <c r="U47" s="2">
        <f>IFERROR(ROUND(Data!B45/(SUMPRODUCT(('Form responses 1'!$B$2:$B1000 = A47) * ('Form responses 1'!$A$2:$A1000 &lt;= DATE(2025, 7, 31)))
+ SUMPRODUCT(('Form responses 1'!$C$2:$C1000 = A47) * ('Form responses 1'!$A$2:$A1000 &lt;= DATE(2025, 7, 31)))
+ SUMPRODUCT(('Form responses 1'!$D$2:$D1000 = A47) * ('Form responses 1'!$A$2:$A1000 &lt;= DATE(2025, 7, 31)))
+ SUMPRODUCT(('Form responses 1'!$E$2:$E1000 = A47) * ('Form responses 1'!$A$2:$A1000 &lt;= DATE(2025, 7, 31)))
+ SUMPRODUCT(('Form responses 1'!$F$2:$F1000 = A47) * ('Form responses 1'!$A$2:$A1000 &lt;= DATE(2025, 7, 31)))
+ SUMPRODUCT(('Form responses 1'!$G$2:$G1000 = A47) * ('Form responses 1'!$A$2:$A1000 &lt;= DATE(2025, 7, 31)))), 2), "-")
</f>
        <v>0.28</v>
      </c>
      <c r="V47" s="2">
        <f>IFERROR(ROUND(Data!B45/(SUMPRODUCT(('Form responses 1'!$B$2:$B1000 = A47) * ('Form responses 1'!$A$2:$A1000 &lt;= DATE(2025, 8, 31)))
+ SUMPRODUCT(('Form responses 1'!$C$2:$C1000 = A47) * ('Form responses 1'!$A$2:$A1000 &lt;= DATE(2025, 8, 31)))
+ SUMPRODUCT(('Form responses 1'!$D$2:$D1000 = A47) * ('Form responses 1'!$A$2:$A1000 &lt;= DATE(2025, 8, 31)))
+ SUMPRODUCT(('Form responses 1'!$E$2:$E1000 = A47) * ('Form responses 1'!$A$2:$A1000 &lt;= DATE(2025, 8, 31)))
+ SUMPRODUCT(('Form responses 1'!$F$2:$F1000 = A47) * ('Form responses 1'!$A$2:$A1000 &lt;= DATE(2025, 8, 31)))
+ SUMPRODUCT(('Form responses 1'!$G$2:$G1000 = A47) * ('Form responses 1'!$A$2:$A1000 &lt;= DATE(2025, 8, 31)))), 2), "-")
</f>
        <v>0.26</v>
      </c>
      <c r="W47" s="2">
        <f>IFERROR(ROUND(Data!B45/(SUMPRODUCT(('Form responses 1'!$B$2:$B1000 = A47) * ('Form responses 1'!$A$2:$A1000 &lt;= DATE(2025, 9, 30)))
+ SUMPRODUCT(('Form responses 1'!$C$2:$C1000 = A47) * ('Form responses 1'!$A$2:$A1000 &lt;= DATE(2025, 9, 30)))
+ SUMPRODUCT(('Form responses 1'!$D$2:$D1000 = A47) * ('Form responses 1'!$A$2:$A1000 &lt;= DATE(2025, 9, 30)))
+ SUMPRODUCT(('Form responses 1'!$E$2:$E1000 = A47) * ('Form responses 1'!$A$2:$A1000 &lt;= DATE(2025, 9, 30)))
+ SUMPRODUCT(('Form responses 1'!$F$2:$F1000 = A47) * ('Form responses 1'!$A$2:$A1000 &lt;= DATE(2025, 9, 30)))
+ SUMPRODUCT(('Form responses 1'!$G$2:$G1000 = A47) * ('Form responses 1'!$A$2:$A1000 &lt;= DATE(2025, 9, 30)))), 2), "-")
</f>
        <v>0.25</v>
      </c>
      <c r="X47" s="2">
        <f>IFERROR(ROUND(Data!B45/(SUMPRODUCT(('Form responses 1'!$B$2:$B1000 = A47) * ('Form responses 1'!$A$2:$A1000 &lt;= DATE(2025, 10, 31)))
+ SUMPRODUCT(('Form responses 1'!$C$2:$C1000 = A47) * ('Form responses 1'!$A$2:$A1000 &lt;= DATE(2025, 10, 31)))
+ SUMPRODUCT(('Form responses 1'!$D$2:$D1000 = A47) * ('Form responses 1'!$A$2:$A1000 &lt;= DATE(2025, 10, 31)))
+ SUMPRODUCT(('Form responses 1'!$E$2:$E1000 = A47) * ('Form responses 1'!$A$2:$A1000 &lt;= DATE(2025, 10, 31)))
+ SUMPRODUCT(('Form responses 1'!$F$2:$F1000 = A47) * ('Form responses 1'!$A$2:$A1000 &lt;= DATE(2025, 10, 31)))
+ SUMPRODUCT(('Form responses 1'!$G$2:$G1000 = A47) * ('Form responses 1'!$A$2:$A1000 &lt;= DATE(2025, 10, 31)))), 2), "-")
</f>
        <v>0.24</v>
      </c>
      <c r="Y47" s="2">
        <f>IFERROR(ROUND(Data!B45/(SUMPRODUCT(('Form responses 1'!$B$2:$B1000 = A47) * ('Form responses 1'!$A$2:$A1000 &lt;= DATE(2025, 11, 30)))
+ SUMPRODUCT(('Form responses 1'!$C$2:$C1000 = A47) * ('Form responses 1'!$A$2:$A1000 &lt;= DATE(2025, 11, 30)))
+ SUMPRODUCT(('Form responses 1'!$D$2:$D1000 = A47) * ('Form responses 1'!$A$2:$A1000 &lt;= DATE(2025, 11, 30)))
+ SUMPRODUCT(('Form responses 1'!$E$2:$E1000 = A47) * ('Form responses 1'!$A$2:$A1000 &lt;= DATE(2025, 11, 30)))
+ SUMPRODUCT(('Form responses 1'!$F$2:$F1000 = A47) * ('Form responses 1'!$A$2:$A1000 &lt;= DATE(2025, 11, 30)))
+ SUMPRODUCT(('Form responses 1'!$G$2:$G1000 = A47) * ('Form responses 1'!$A$2:$A1000 &lt;= DATE(2025, 11, 30)))), 2), "-")
</f>
        <v>0.23</v>
      </c>
      <c r="Z47" s="2">
        <f>IFERROR(ROUND(Data!B45/(SUMPRODUCT(('Form responses 1'!$B$2:$B1000 = A47) * ('Form responses 1'!$A$2:$A1000 &lt;= DATE(2025, 12, 31)))
+ SUMPRODUCT(('Form responses 1'!$C$2:$C1000 = A47) * ('Form responses 1'!$A$2:$A1000 &lt;= DATE(2025, 12, 31)))
+ SUMPRODUCT(('Form responses 1'!$D$2:$D1000 = A47) * ('Form responses 1'!$A$2:$A1000 &lt;= DATE(2025, 12, 31)))
+ SUMPRODUCT(('Form responses 1'!$E$2:$E1000 = A47) * ('Form responses 1'!$A$2:$A1000 &lt;= DATE(2025, 12, 31)))
+ SUMPRODUCT(('Form responses 1'!$F$2:$F1000 = A47) * ('Form responses 1'!$A$2:$A1000 &lt;= DATE(2025, 12, 31)))
+ SUMPRODUCT(('Form responses 1'!$G$2:$G1000 = A47) * ('Form responses 1'!$A$2:$A1000 &lt;= DATE(2025, 12, 31)))), 2), "-")
</f>
        <v>0.22</v>
      </c>
      <c r="AA47" s="2">
        <f>IFERROR(ROUND(Data!$B47/(
  SUMPRODUCT(('Form responses 1'!$B$2:$B1000=$A47)*('Form responses 1'!$A$2:$A1000&lt;=EOMONTH(DATEVALUE("1 "&amp;AA$1),0)))+
  SUMPRODUCT(('Form responses 1'!$C$2:$C1000=$A47)*('Form responses 1'!$A$2:$A1000&lt;=EOMONTH(DATEVALUE("1 "&amp;AA$1),0)))+
  SUMPRODUCT(('Form responses 1'!$D$2:$D1000=$A47)*('Form responses 1'!$A$2:$A1000&lt;=EOMONTH(DATEVALUE("1 "&amp;AA$1),0)))+
  SUMPRODUCT(('Form responses 1'!$E$2:$E1000=$A47)*('Form responses 1'!$A$2:$A1000&lt;=EOMONTH(DATEVALUE("1 "&amp;AA$1),0)))+
  SUMPRODUCT(('Form responses 1'!$F$2:$F1000=$A47)*('Form responses 1'!$A$2:$A1000&lt;=EOMONTH(DATEVALUE("1 "&amp;AA$1),0)))+
  SUMPRODUCT(('Form responses 1'!$G$2:$G1000=$A47)*('Form responses 1'!$A$2:$A1000&lt;=EOMONTH(DATEVALUE("1 "&amp;AA$1),0)))
),2),"-")</f>
        <v>0.17</v>
      </c>
      <c r="AB47" s="2">
        <f>IFERROR(ROUND(Data!$B47/(
  SUMPRODUCT(('Form responses 1'!$B$2:$B1000=$A47)*('Form responses 1'!$A$2:$A1000&lt;=EOMONTH(DATEVALUE("1 "&amp;AB$1),0)))+
  SUMPRODUCT(('Form responses 1'!$C$2:$C1000=$A47)*('Form responses 1'!$A$2:$A1000&lt;=EOMONTH(DATEVALUE("1 "&amp;AB$1),0)))+
  SUMPRODUCT(('Form responses 1'!$D$2:$D1000=$A47)*('Form responses 1'!$A$2:$A1000&lt;=EOMONTH(DATEVALUE("1 "&amp;AB$1),0)))+
  SUMPRODUCT(('Form responses 1'!$E$2:$E1000=$A47)*('Form responses 1'!$A$2:$A1000&lt;=EOMONTH(DATEVALUE("1 "&amp;AB$1),0)))+
  SUMPRODUCT(('Form responses 1'!$F$2:$F1000=$A47)*('Form responses 1'!$A$2:$A1000&lt;=EOMONTH(DATEVALUE("1 "&amp;AB$1),0)))+
  SUMPRODUCT(('Form responses 1'!$G$2:$G1000=$A47)*('Form responses 1'!$A$2:$A1000&lt;=EOMONTH(DATEVALUE("1 "&amp;AB$1),0)))
),2),"-")</f>
        <v>0.17</v>
      </c>
      <c r="AC47" s="2">
        <f>IFERROR(ROUND(Data!$B47/(
  SUMPRODUCT(('Form responses 1'!$B$2:$B1000=$A47)*('Form responses 1'!$A$2:$A1000&lt;=EOMONTH(DATEVALUE("1 "&amp;AC$1),0)))+
  SUMPRODUCT(('Form responses 1'!$C$2:$C1000=$A47)*('Form responses 1'!$A$2:$A1000&lt;=EOMONTH(DATEVALUE("1 "&amp;AC$1),0)))+
  SUMPRODUCT(('Form responses 1'!$D$2:$D1000=$A47)*('Form responses 1'!$A$2:$A1000&lt;=EOMONTH(DATEVALUE("1 "&amp;AC$1),0)))+
  SUMPRODUCT(('Form responses 1'!$E$2:$E1000=$A47)*('Form responses 1'!$A$2:$A1000&lt;=EOMONTH(DATEVALUE("1 "&amp;AC$1),0)))+
  SUMPRODUCT(('Form responses 1'!$F$2:$F1000=$A47)*('Form responses 1'!$A$2:$A1000&lt;=EOMONTH(DATEVALUE("1 "&amp;AC$1),0)))+
  SUMPRODUCT(('Form responses 1'!$G$2:$G1000=$A47)*('Form responses 1'!$A$2:$A1000&lt;=EOMONTH(DATEVALUE("1 "&amp;AC$1),0)))
),2),"-")</f>
        <v>0.16</v>
      </c>
      <c r="AD47" s="2" t="str">
        <f>IFERROR(ROUND(Data!$B47/(
  SUMPRODUCT(('Form responses 1'!$B$2:$B1000=$A47)*('Form responses 1'!$A$2:$A1000&lt;=EOMONTH(DATEVALUE("1 "&amp;AD$1),0)))+
  SUMPRODUCT(('Form responses 1'!$C$2:$C1000=$A47)*('Form responses 1'!$A$2:$A1000&lt;=EOMONTH(DATEVALUE("1 "&amp;AD$1),0)))+
  SUMPRODUCT(('Form responses 1'!$D$2:$D1000=$A47)*('Form responses 1'!$A$2:$A1000&lt;=EOMONTH(DATEVALUE("1 "&amp;AD$1),0)))+
  SUMPRODUCT(('Form responses 1'!$E$2:$E1000=$A47)*('Form responses 1'!$A$2:$A1000&lt;=EOMONTH(DATEVALUE("1 "&amp;AD$1),0)))+
  SUMPRODUCT(('Form responses 1'!$F$2:$F1000=$A47)*('Form responses 1'!$A$2:$A1000&lt;=EOMONTH(DATEVALUE("1 "&amp;AD$1),0)))+
  SUMPRODUCT(('Form responses 1'!$G$2:$G1000=$A47)*('Form responses 1'!$A$2:$A1000&lt;=EOMONTH(DATEVALUE("1 "&amp;AD$1),0)))
),2),"-")</f>
        <v>-</v>
      </c>
      <c r="AE47" s="2" t="str">
        <f>IFERROR(ROUND(Data!$B47/(
  SUMPRODUCT(('Form responses 1'!$B$2:$B1000=$A47)*('Form responses 1'!$A$2:$A1000&lt;=EOMONTH(DATEVALUE("1 "&amp;AE$1),0)))+
  SUMPRODUCT(('Form responses 1'!$C$2:$C1000=$A47)*('Form responses 1'!$A$2:$A1000&lt;=EOMONTH(DATEVALUE("1 "&amp;AE$1),0)))+
  SUMPRODUCT(('Form responses 1'!$D$2:$D1000=$A47)*('Form responses 1'!$A$2:$A1000&lt;=EOMONTH(DATEVALUE("1 "&amp;AE$1),0)))+
  SUMPRODUCT(('Form responses 1'!$E$2:$E1000=$A47)*('Form responses 1'!$A$2:$A1000&lt;=EOMONTH(DATEVALUE("1 "&amp;AE$1),0)))+
  SUMPRODUCT(('Form responses 1'!$F$2:$F1000=$A47)*('Form responses 1'!$A$2:$A1000&lt;=EOMONTH(DATEVALUE("1 "&amp;AE$1),0)))+
  SUMPRODUCT(('Form responses 1'!$G$2:$G1000=$A47)*('Form responses 1'!$A$2:$A1000&lt;=EOMONTH(DATEVALUE("1 "&amp;AE$1),0)))
),2),"-")</f>
        <v>-</v>
      </c>
      <c r="AF47" s="2" t="str">
        <f>IFERROR(ROUND(Data!$B47/(
  SUMPRODUCT(('Form responses 1'!$B$2:$B1000=$A47)*('Form responses 1'!$A$2:$A1000&lt;=EOMONTH(DATEVALUE("1 "&amp;AF$1),0)))+
  SUMPRODUCT(('Form responses 1'!$C$2:$C1000=$A47)*('Form responses 1'!$A$2:$A1000&lt;=EOMONTH(DATEVALUE("1 "&amp;AF$1),0)))+
  SUMPRODUCT(('Form responses 1'!$D$2:$D1000=$A47)*('Form responses 1'!$A$2:$A1000&lt;=EOMONTH(DATEVALUE("1 "&amp;AF$1),0)))+
  SUMPRODUCT(('Form responses 1'!$E$2:$E1000=$A47)*('Form responses 1'!$A$2:$A1000&lt;=EOMONTH(DATEVALUE("1 "&amp;AF$1),0)))+
  SUMPRODUCT(('Form responses 1'!$F$2:$F1000=$A47)*('Form responses 1'!$A$2:$A1000&lt;=EOMONTH(DATEVALUE("1 "&amp;AF$1),0)))+
  SUMPRODUCT(('Form responses 1'!$G$2:$G1000=$A47)*('Form responses 1'!$A$2:$A1000&lt;=EOMONTH(DATEVALUE("1 "&amp;AF$1),0)))
),2),"-")</f>
        <v>-</v>
      </c>
      <c r="AG47" s="2" t="str">
        <f>IFERROR(ROUND(Data!$B47/(
  SUMPRODUCT(('Form responses 1'!$B$2:$B1000=$A47)*('Form responses 1'!$A$2:$A1000&lt;=EOMONTH(DATEVALUE("1 "&amp;AG$1),0)))+
  SUMPRODUCT(('Form responses 1'!$C$2:$C1000=$A47)*('Form responses 1'!$A$2:$A1000&lt;=EOMONTH(DATEVALUE("1 "&amp;AG$1),0)))+
  SUMPRODUCT(('Form responses 1'!$D$2:$D1000=$A47)*('Form responses 1'!$A$2:$A1000&lt;=EOMONTH(DATEVALUE("1 "&amp;AG$1),0)))+
  SUMPRODUCT(('Form responses 1'!$E$2:$E1000=$A47)*('Form responses 1'!$A$2:$A1000&lt;=EOMONTH(DATEVALUE("1 "&amp;AG$1),0)))+
  SUMPRODUCT(('Form responses 1'!$F$2:$F1000=$A47)*('Form responses 1'!$A$2:$A1000&lt;=EOMONTH(DATEVALUE("1 "&amp;AG$1),0)))+
  SUMPRODUCT(('Form responses 1'!$G$2:$G1000=$A47)*('Form responses 1'!$A$2:$A1000&lt;=EOMONTH(DATEVALUE("1 "&amp;AG$1),0)))
),2),"-")</f>
        <v>-</v>
      </c>
      <c r="AH47" s="2" t="str">
        <f>IFERROR(ROUND(Data!$B47/(
  SUMPRODUCT(('Form responses 1'!$B$2:$B1000=$A47)*('Form responses 1'!$A$2:$A1000&lt;=EOMONTH(DATEVALUE("1 "&amp;AH$1),0)))+
  SUMPRODUCT(('Form responses 1'!$C$2:$C1000=$A47)*('Form responses 1'!$A$2:$A1000&lt;=EOMONTH(DATEVALUE("1 "&amp;AH$1),0)))+
  SUMPRODUCT(('Form responses 1'!$D$2:$D1000=$A47)*('Form responses 1'!$A$2:$A1000&lt;=EOMONTH(DATEVALUE("1 "&amp;AH$1),0)))+
  SUMPRODUCT(('Form responses 1'!$E$2:$E1000=$A47)*('Form responses 1'!$A$2:$A1000&lt;=EOMONTH(DATEVALUE("1 "&amp;AH$1),0)))+
  SUMPRODUCT(('Form responses 1'!$F$2:$F1000=$A47)*('Form responses 1'!$A$2:$A1000&lt;=EOMONTH(DATEVALUE("1 "&amp;AH$1),0)))+
  SUMPRODUCT(('Form responses 1'!$G$2:$G1000=$A47)*('Form responses 1'!$A$2:$A1000&lt;=EOMONTH(DATEVALUE("1 "&amp;AH$1),0)))
),2),"-")</f>
        <v>-</v>
      </c>
      <c r="AI47" s="2" t="str">
        <f>IFERROR(ROUND(Data!$B47/(
  SUMPRODUCT(('Form responses 1'!$B$2:$B1000=$A47)*('Form responses 1'!$A$2:$A1000&lt;=EOMONTH(DATEVALUE("1 "&amp;AI$1),0)))+
  SUMPRODUCT(('Form responses 1'!$C$2:$C1000=$A47)*('Form responses 1'!$A$2:$A1000&lt;=EOMONTH(DATEVALUE("1 "&amp;AI$1),0)))+
  SUMPRODUCT(('Form responses 1'!$D$2:$D1000=$A47)*('Form responses 1'!$A$2:$A1000&lt;=EOMONTH(DATEVALUE("1 "&amp;AI$1),0)))+
  SUMPRODUCT(('Form responses 1'!$E$2:$E1000=$A47)*('Form responses 1'!$A$2:$A1000&lt;=EOMONTH(DATEVALUE("1 "&amp;AI$1),0)))+
  SUMPRODUCT(('Form responses 1'!$F$2:$F1000=$A47)*('Form responses 1'!$A$2:$A1000&lt;=EOMONTH(DATEVALUE("1 "&amp;AI$1),0)))+
  SUMPRODUCT(('Form responses 1'!$G$2:$G1000=$A47)*('Form responses 1'!$A$2:$A1000&lt;=EOMONTH(DATEVALUE("1 "&amp;AI$1),0)))
),2),"-")</f>
        <v>-</v>
      </c>
      <c r="AJ47" s="2" t="str">
        <f>IFERROR(ROUND(Data!$B47/(
  SUMPRODUCT(('Form responses 1'!$B$2:$B1000=$A47)*('Form responses 1'!$A$2:$A1000&lt;=EOMONTH(DATEVALUE("1 "&amp;AJ$1),0)))+
  SUMPRODUCT(('Form responses 1'!$C$2:$C1000=$A47)*('Form responses 1'!$A$2:$A1000&lt;=EOMONTH(DATEVALUE("1 "&amp;AJ$1),0)))+
  SUMPRODUCT(('Form responses 1'!$D$2:$D1000=$A47)*('Form responses 1'!$A$2:$A1000&lt;=EOMONTH(DATEVALUE("1 "&amp;AJ$1),0)))+
  SUMPRODUCT(('Form responses 1'!$E$2:$E1000=$A47)*('Form responses 1'!$A$2:$A1000&lt;=EOMONTH(DATEVALUE("1 "&amp;AJ$1),0)))+
  SUMPRODUCT(('Form responses 1'!$F$2:$F1000=$A47)*('Form responses 1'!$A$2:$A1000&lt;=EOMONTH(DATEVALUE("1 "&amp;AJ$1),0)))+
  SUMPRODUCT(('Form responses 1'!$G$2:$G1000=$A47)*('Form responses 1'!$A$2:$A1000&lt;=EOMONTH(DATEVALUE("1 "&amp;AJ$1),0)))
),2),"-")</f>
        <v>-</v>
      </c>
      <c r="AK47" s="2" t="str">
        <f>IFERROR(ROUND(Data!$B47/(
  SUMPRODUCT(('Form responses 1'!$B$2:$B1000=$A47)*('Form responses 1'!$A$2:$A1000&lt;=EOMONTH(DATEVALUE("1 "&amp;AK$1),0)))+
  SUMPRODUCT(('Form responses 1'!$C$2:$C1000=$A47)*('Form responses 1'!$A$2:$A1000&lt;=EOMONTH(DATEVALUE("1 "&amp;AK$1),0)))+
  SUMPRODUCT(('Form responses 1'!$D$2:$D1000=$A47)*('Form responses 1'!$A$2:$A1000&lt;=EOMONTH(DATEVALUE("1 "&amp;AK$1),0)))+
  SUMPRODUCT(('Form responses 1'!$E$2:$E1000=$A47)*('Form responses 1'!$A$2:$A1000&lt;=EOMONTH(DATEVALUE("1 "&amp;AK$1),0)))+
  SUMPRODUCT(('Form responses 1'!$F$2:$F1000=$A47)*('Form responses 1'!$A$2:$A1000&lt;=EOMONTH(DATEVALUE("1 "&amp;AK$1),0)))+
  SUMPRODUCT(('Form responses 1'!$G$2:$G1000=$A47)*('Form responses 1'!$A$2:$A1000&lt;=EOMONTH(DATEVALUE("1 "&amp;AK$1),0)))
),2),"-")</f>
        <v>-</v>
      </c>
      <c r="AL47" s="2" t="str">
        <f>IFERROR(ROUND(Data!$B47/(
  SUMPRODUCT(('Form responses 1'!$B$2:$B1000=$A47)*('Form responses 1'!$A$2:$A1000&lt;=EOMONTH(DATEVALUE("1 "&amp;AL$1),0)))+
  SUMPRODUCT(('Form responses 1'!$C$2:$C1000=$A47)*('Form responses 1'!$A$2:$A1000&lt;=EOMONTH(DATEVALUE("1 "&amp;AL$1),0)))+
  SUMPRODUCT(('Form responses 1'!$D$2:$D1000=$A47)*('Form responses 1'!$A$2:$A1000&lt;=EOMONTH(DATEVALUE("1 "&amp;AL$1),0)))+
  SUMPRODUCT(('Form responses 1'!$E$2:$E1000=$A47)*('Form responses 1'!$A$2:$A1000&lt;=EOMONTH(DATEVALUE("1 "&amp;AL$1),0)))+
  SUMPRODUCT(('Form responses 1'!$F$2:$F1000=$A47)*('Form responses 1'!$A$2:$A1000&lt;=EOMONTH(DATEVALUE("1 "&amp;AL$1),0)))+
  SUMPRODUCT(('Form responses 1'!$G$2:$G1000=$A47)*('Form responses 1'!$A$2:$A1000&lt;=EOMONTH(DATEVALUE("1 "&amp;AL$1),0)))
),2),"-")</f>
        <v>-</v>
      </c>
    </row>
    <row r="48">
      <c r="A48" s="3" t="str">
        <f>IFERROR(__xludf.DUMMYFUNCTION("""COMPUTED_VALUE"""),"Grijze Uniqlo sweater")</f>
        <v>Grijze Uniqlo sweater</v>
      </c>
      <c r="B48" s="2">
        <f>Data!F46:F1000</f>
        <v>0.89</v>
      </c>
      <c r="C48" s="2" t="str">
        <f>IFERROR(ROUND(Data!B46/(SUMPRODUCT(('Form responses 1'!$B$2:$B1000 = A48) * ('Form responses 1'!$A$2:$A1000 &lt;= DATE(2024, 1, 31)))
+ SUMPRODUCT(('Form responses 1'!$C$2:$C1000 = A48) * ('Form responses 1'!$A$2:$A1000 &lt;= DATE(2024, 1, 31)))
+ SUMPRODUCT(('Form responses 1'!$D$2:$D1000 = A48) * ('Form responses 1'!$A$2:$A1000 &lt;= DATE(2024, 1, 31)))
+ SUMPRODUCT(('Form responses 1'!$E$2:$E1000 = A48) * ('Form responses 1'!$A$2:$A1000 &lt;= DATE(2024, 1, 31)))
+ SUMPRODUCT(('Form responses 1'!$F$2:$F1000 = A48) * ('Form responses 1'!$A$2:$A1000 &lt;= DATE(2024, 1, 31)))
+ SUMPRODUCT(('Form responses 1'!$G$2:$G1000 = A48) * ('Form responses 1'!$A$2:$A1000 &lt;= DATE(2024, 1, 31)))), 2), "-")
</f>
        <v>-</v>
      </c>
      <c r="D48" s="2" t="str">
        <f>IFERROR(ROUND(Data!B46/(SUMPRODUCT(('Form responses 1'!$B$2:$B1000 = A48) * ('Form responses 1'!$A$2:$A1000 &lt;= DATE(2024, 2, 29)))
+ SUMPRODUCT(('Form responses 1'!$C$2:$C1000 = A48) * ('Form responses 1'!$A$2:$A1000 &lt;= DATE(2024, 2, 29)))
+ SUMPRODUCT(('Form responses 1'!$D$2:$D1000 = A48) * ('Form responses 1'!$A$2:$A1000 &lt;= DATE(2024, 2, 29)))
+ SUMPRODUCT(('Form responses 1'!$E$2:$E1000 = A48) * ('Form responses 1'!$A$2:$A1000 &lt;= DATE(2024, 2, 29)))
+ SUMPRODUCT(('Form responses 1'!$F$2:$F1000 = A48) * ('Form responses 1'!$A$2:$A1000 &lt;= DATE(2024, 2, 29)))
+ SUMPRODUCT(('Form responses 1'!$G$2:$G1000 = A48) * ('Form responses 1'!$A$2:$A1000 &lt;= DATE(2024, 2, 29)))), 2), "-")
</f>
        <v>-</v>
      </c>
      <c r="E48" s="2" t="str">
        <f>IFERROR(ROUND(Data!B46/(SUMPRODUCT(('Form responses 1'!$B$2:$B1000 = A48) * ('Form responses 1'!$A$2:$A1000 &lt;= DATE(2024, 3, 31)))
+ SUMPRODUCT(('Form responses 1'!$C$2:$C1000 = A48) * ('Form responses 1'!$A$2:$A1000 &lt;= DATE(2024, 3, 31)))
+ SUMPRODUCT(('Form responses 1'!$D$2:$D1000 = A48) * ('Form responses 1'!$A$2:$A1000 &lt;= DATE(2024, 3, 31)))
+ SUMPRODUCT(('Form responses 1'!$E$2:$E1000 = A48) * ('Form responses 1'!$A$2:$A1000 &lt;= DATE(2024, 3, 31)))
+ SUMPRODUCT(('Form responses 1'!$F$2:$F1000 = A48) * ('Form responses 1'!$A$2:$A1000 &lt;= DATE(2024, 3, 31)))
+ SUMPRODUCT(('Form responses 1'!$G$2:$G1000 = A48) * ('Form responses 1'!$A$2:$A1000 &lt;= DATE(2024, 3, 31)))), 2), "-")
</f>
        <v>-</v>
      </c>
      <c r="F48" s="2" t="str">
        <f>IFERROR(ROUND(Data!B46/(SUMPRODUCT(('Form responses 1'!$B$2:$B1000 = A48) * ('Form responses 1'!$A$2:$A1000 &lt;= DATE(2024, 4, 30)))
+ SUMPRODUCT(('Form responses 1'!$C$2:$C1000 = A48) * ('Form responses 1'!$A$2:$A1000 &lt;= DATE(2024, 4, 30)))
+ SUMPRODUCT(('Form responses 1'!$D$2:$D1000 = A48) * ('Form responses 1'!$A$2:$A1000 &lt;= DATE(2024, 4, 30)))
+ SUMPRODUCT(('Form responses 1'!$E$2:$E1000 = A48) * ('Form responses 1'!$A$2:$A1000 &lt;= DATE(2024, 4, 30)))
+ SUMPRODUCT(('Form responses 1'!$F$2:$F1000 = A48) * ('Form responses 1'!$A$2:$A1000 &lt;= DATE(2024, 4, 30)))
+ SUMPRODUCT(('Form responses 1'!$G$2:$G1000 = A48) * ('Form responses 1'!$A$2:$A1000 &lt;= DATE(2024, 4, 30)))), 2), "-")
</f>
        <v>-</v>
      </c>
      <c r="G48" s="2" t="str">
        <f>IFERROR(ROUND(Data!B46/(SUMPRODUCT(('Form responses 1'!$B$2:$B1000 = A48) * ('Form responses 1'!$A$2:$A1000 &lt;= DATE(2024, 5, 31)))
+ SUMPRODUCT(('Form responses 1'!$C$2:$C1000 = A48) * ('Form responses 1'!$A$2:$A1000 &lt;= DATE(2024, 5, 31)))
+ SUMPRODUCT(('Form responses 1'!$D$2:$D1000 = A48) * ('Form responses 1'!$A$2:$A1000 &lt;= DATE(2024, 5, 31)))
+ SUMPRODUCT(('Form responses 1'!$E$2:$E1000 = A48) * ('Form responses 1'!$A$2:$A1000 &lt;= DATE(2024, 5, 31)))
+ SUMPRODUCT(('Form responses 1'!$F$2:$F1000 = A48) * ('Form responses 1'!$A$2:$A1000 &lt;= DATE(2024, 5, 31)))
+ SUMPRODUCT(('Form responses 1'!$G$2:$G1000 = A48) * ('Form responses 1'!$A$2:$A1000 &lt;= DATE(2024, 5, 31)))), 2), "-")
</f>
        <v>-</v>
      </c>
      <c r="H48" s="2" t="str">
        <f>IFERROR(ROUND(Data!B46/(SUMPRODUCT(('Form responses 1'!$B$2:$B1000 = A48) * ('Form responses 1'!$A$2:$A1000 &lt;= DATE(2024, 6, 30)))
+ SUMPRODUCT(('Form responses 1'!$C$2:$C1000 = A48) * ('Form responses 1'!$A$2:$A1000 &lt;= DATE(2024, 6, 30)))
+ SUMPRODUCT(('Form responses 1'!$D$2:$D1000 = A48) * ('Form responses 1'!$A$2:$A1000 &lt;= DATE(2024, 6, 30)))
+ SUMPRODUCT(('Form responses 1'!$E$2:$E1000 = A48) * ('Form responses 1'!$A$2:$A1000 &lt;= DATE(2024, 6, 30)))
+ SUMPRODUCT(('Form responses 1'!$F$2:$F1000 = A48) * ('Form responses 1'!$A$2:$A1000 &lt;= DATE(2024, 6, 30)))
+ SUMPRODUCT(('Form responses 1'!$G$2:$G1000 = A48) * ('Form responses 1'!$A$2:$A1000 &lt;= DATE(2024, 6, 30)))), 2), "-")
</f>
        <v>-</v>
      </c>
      <c r="I48" s="2" t="str">
        <f>IFERROR(ROUND(Data!B46/(SUMPRODUCT(('Form responses 1'!$B$2:$B1000 = A48) * ('Form responses 1'!$A$2:$A1000 &lt;= DATE(2024, 7, 31)))
+ SUMPRODUCT(('Form responses 1'!$C$2:$C1000 = A48) * ('Form responses 1'!$A$2:$A1000 &lt;= DATE(2024, 7, 31)))
+ SUMPRODUCT(('Form responses 1'!$D$2:$D1000 = A48) * ('Form responses 1'!$A$2:$A1000 &lt;= DATE(2024, 7, 31)))
+ SUMPRODUCT(('Form responses 1'!$E$2:$E1000 = A48) * ('Form responses 1'!$A$2:$A1000 &lt;= DATE(2024, 7, 31)))
+ SUMPRODUCT(('Form responses 1'!$F$2:$F1000 = A48) * ('Form responses 1'!$A$2:$A1000 &lt;= DATE(2024, 7, 31)))
+ SUMPRODUCT(('Form responses 1'!$G$2:$G1000 = A48) * ('Form responses 1'!$A$2:$A1000 &lt;= DATE(2024, 7, 31)))), 2), "-")
</f>
        <v>-</v>
      </c>
      <c r="J48" s="2" t="str">
        <f>IFERROR(ROUND(Data!B46/(SUMPRODUCT(('Form responses 1'!$B$2:$B1000 = A48) * ('Form responses 1'!$A$2:$A1000 &lt;= DATE(2024, 8, 31)))
+ SUMPRODUCT(('Form responses 1'!$C$2:$C1000 = A48) * ('Form responses 1'!$A$2:$A1000 &lt;= DATE(2024, 8, 31)))
+ SUMPRODUCT(('Form responses 1'!$D$2:$D1000 = A48) * ('Form responses 1'!$A$2:$A1000 &lt;= DATE(2024, 8, 31)))
+ SUMPRODUCT(('Form responses 1'!$E$2:$E1000 = A48) * ('Form responses 1'!$A$2:$A1000 &lt;= DATE(2024, 8, 31)))
+ SUMPRODUCT(('Form responses 1'!$F$2:$F1000 = A48) * ('Form responses 1'!$A$2:$A1000 &lt;= DATE(2024, 8, 31)))
+ SUMPRODUCT(('Form responses 1'!$G$2:$G1000 = A48) * ('Form responses 1'!$A$2:$A1000 &lt;= DATE(2024, 8, 31)))), 2), "-")
</f>
        <v>-</v>
      </c>
      <c r="K48" s="2" t="str">
        <f>IFERROR(ROUND(Data!B46/(SUMPRODUCT(('Form responses 1'!$B$2:$B1000 = A48) * ('Form responses 1'!$A$2:$A1000 &lt;= DATE(2024, 9, 30)))
+ SUMPRODUCT(('Form responses 1'!$C$2:$C1000 = A48) * ('Form responses 1'!$A$2:$A1000 &lt;= DATE(2024, 9, 30)))
+ SUMPRODUCT(('Form responses 1'!$D$2:$D1000 = A48) * ('Form responses 1'!$A$2:$A1000 &lt;= DATE(2024, 9, 30)))
+ SUMPRODUCT(('Form responses 1'!$E$2:$E1000 = A48) * ('Form responses 1'!$A$2:$A1000 &lt;= DATE(2024, 9, 30)))
+ SUMPRODUCT(('Form responses 1'!$F$2:$F1000 = A48) * ('Form responses 1'!$A$2:$A1000 &lt;= DATE(2024, 9, 30)))
+ SUMPRODUCT(('Form responses 1'!$G$2:$G1000 = A48) * ('Form responses 1'!$A$2:$A1000 &lt;= DATE(2024, 9, 30)))), 2), "-")
</f>
        <v>-</v>
      </c>
      <c r="L48" s="2" t="str">
        <f>IFERROR(ROUND(Data!B46/(SUMPRODUCT(('Form responses 1'!$B$2:$B1000 = A48) * ('Form responses 1'!$A$2:$A1000 &lt;= DATE(2024, 10, 31)))
+ SUMPRODUCT(('Form responses 1'!$C$2:$C1000 = A48) * ('Form responses 1'!$A$2:$A1000 &lt;= DATE(2024, 10, 31)))
+ SUMPRODUCT(('Form responses 1'!$D$2:$D1000 = A48) * ('Form responses 1'!$A$2:$A1000 &lt;= DATE(2024, 10, 31)))
+ SUMPRODUCT(('Form responses 1'!$E$2:$E1000 = A48) * ('Form responses 1'!$A$2:$A1000 &lt;= DATE(2024, 10, 31)))
+ SUMPRODUCT(('Form responses 1'!$F$2:$F1000 = A48) * ('Form responses 1'!$A$2:$A1000 &lt;= DATE(2024, 10, 31)))
+ SUMPRODUCT(('Form responses 1'!$G$2:$G1000 = A48) * ('Form responses 1'!$A$2:$A1000 &lt;= DATE(2024, 10, 31)))), 2), "-")
</f>
        <v>-</v>
      </c>
      <c r="M48" s="2" t="str">
        <f>IFERROR(ROUND(Data!B46/(SUMPRODUCT(('Form responses 1'!$B$2:$B1000 = A48) * ('Form responses 1'!$A$2:$A1000 &lt;= DATE(2024, 11, 30)))
+ SUMPRODUCT(('Form responses 1'!$C$2:$C1000 = A48) * ('Form responses 1'!$A$2:$A1000 &lt;= DATE(2024, 11, 30)))
+ SUMPRODUCT(('Form responses 1'!$D$2:$D1000 = A48) * ('Form responses 1'!$A$2:$A1000 &lt;= DATE(2024, 11, 30)))
+ SUMPRODUCT(('Form responses 1'!$E$2:$E1000 = A48) * ('Form responses 1'!$A$2:$A1000 &lt;= DATE(2024, 11, 30)))
+ SUMPRODUCT(('Form responses 1'!$F$2:$F1000 = A48) * ('Form responses 1'!$A$2:$A1000 &lt;= DATE(2024, 11, 30)))
+ SUMPRODUCT(('Form responses 1'!$G$2:$G1000 = A48) * ('Form responses 1'!$A$2:$A1000 &lt;= DATE(2024, 11, 30)))), 2), "-")
</f>
        <v>-</v>
      </c>
      <c r="N48" s="2" t="str">
        <f>IFERROR(ROUND(Data!B46/(SUMPRODUCT(('Form responses 1'!$B$2:$B1000 = A48) * ('Form responses 1'!$A$2:$A1000 &lt;= DATE(2024, 12, 31)))
+ SUMPRODUCT(('Form responses 1'!$C$2:$C1000 = A48) * ('Form responses 1'!$A$2:$A1000 &lt;= DATE(2024, 12, 31)))
+ SUMPRODUCT(('Form responses 1'!$D$2:$D1000 = A48) * ('Form responses 1'!$A$2:$A1000 &lt;= DATE(2024, 12, 31)))
+ SUMPRODUCT(('Form responses 1'!$E$2:$E1000 = A48) * ('Form responses 1'!$A$2:$A1000 &lt;= DATE(2024, 12, 31)))
+ SUMPRODUCT(('Form responses 1'!$F$2:$F1000 = A48) * ('Form responses 1'!$A$2:$A1000 &lt;= DATE(2024, 12, 31)))
+ SUMPRODUCT(('Form responses 1'!$G$2:$G1000 = A48) * ('Form responses 1'!$A$2:$A1000 &lt;= DATE(2024, 12, 31)))), 2), "-")
</f>
        <v>-</v>
      </c>
      <c r="O48" s="2" t="str">
        <f>IFERROR(ROUND(Data!B46/(SUMPRODUCT(('Form responses 1'!$B$2:$B1000 = A48) * ('Form responses 1'!$A$2:$A1000 &lt;= DATE(2025, 1, 31)))
+ SUMPRODUCT(('Form responses 1'!$C$2:$C1000 = A48) * ('Form responses 1'!$A$2:$A1000 &lt;= DATE(2025, 1, 31)))
+ SUMPRODUCT(('Form responses 1'!$D$2:$D1000 = A48) * ('Form responses 1'!$A$2:$A1000 &lt;= DATE(2025, 1, 31)))
+ SUMPRODUCT(('Form responses 1'!$E$2:$E1000 = A48) * ('Form responses 1'!$A$2:$A1000 &lt;= DATE(2025, 1, 31)))
+ SUMPRODUCT(('Form responses 1'!$F$2:$F1000 = A48) * ('Form responses 1'!$A$2:$A1000 &lt;= DATE(2025, 1, 31)))
+ SUMPRODUCT(('Form responses 1'!$G$2:$G1000 = A48) * ('Form responses 1'!$A$2:$A1000 &lt;= DATE(2025, 1, 31)))), 2), "-")
</f>
        <v>-</v>
      </c>
      <c r="P48" s="2">
        <f>IFERROR(ROUND(Data!B46/(SUMPRODUCT(('Form responses 1'!$B$2:$B1000 = A48) * ('Form responses 1'!$A$2:$A1000 &lt;= DATE(2025, 2, 28)))
+ SUMPRODUCT(('Form responses 1'!$C$2:$C1000 = A48) * ('Form responses 1'!$A$2:$A1000 &lt;= DATE(2025, 2, 28)))
+ SUMPRODUCT(('Form responses 1'!$D$2:$D1000 = A48) * ('Form responses 1'!$A$2:$A1000 &lt;= DATE(2025, 2, 28)))
+ SUMPRODUCT(('Form responses 1'!$E$2:$E1000 = A48) * ('Form responses 1'!$A$2:$A1000 &lt;= DATE(2025, 2, 28)))
+ SUMPRODUCT(('Form responses 1'!$F$2:$F1000 = A48) * ('Form responses 1'!$A$2:$A1000 &lt;= DATE(2025, 2, 28)))
+ SUMPRODUCT(('Form responses 1'!$G$2:$G1000 = A48) * ('Form responses 1'!$A$2:$A1000 &lt;= DATE(2025, 2, 28)))), 2), "-")
</f>
        <v>8.85</v>
      </c>
      <c r="Q48" s="2">
        <f>IFERROR(ROUND(Data!B46/(SUMPRODUCT(('Form responses 1'!$B$2:$B1000 = A48) * ('Form responses 1'!$A$2:$A1000 &lt;= DATE(2025, 3, 31)))
+ SUMPRODUCT(('Form responses 1'!$C$2:$C1000 = A48) * ('Form responses 1'!$A$2:$A1000 &lt;= DATE(2025, 3, 31)))
+ SUMPRODUCT(('Form responses 1'!$D$2:$D1000 = A48) * ('Form responses 1'!$A$2:$A1000 &lt;= DATE(2025, 3, 31)))
+ SUMPRODUCT(('Form responses 1'!$E$2:$E1000 = A48) * ('Form responses 1'!$A$2:$A1000 &lt;= DATE(2025, 3, 31)))
+ SUMPRODUCT(('Form responses 1'!$F$2:$F1000 = A48) * ('Form responses 1'!$A$2:$A1000 &lt;= DATE(2025, 3, 31)))
+ SUMPRODUCT(('Form responses 1'!$G$2:$G1000 = A48) * ('Form responses 1'!$A$2:$A1000 &lt;= DATE(2025, 3, 31)))),2),"-")</f>
        <v>4.42</v>
      </c>
      <c r="R48" s="2">
        <f>IFERROR(ROUND(Data!B46/(SUMPRODUCT(('Form responses 1'!$B$2:$B1000 = A48) * ('Form responses 1'!$A$2:$A1000 &lt;= DATE(2025, 4, 30)))
+ SUMPRODUCT(('Form responses 1'!$C$2:$C1000 = A48) * ('Form responses 1'!$A$2:$A1000 &lt;= DATE(2025, 4, 30)))
+ SUMPRODUCT(('Form responses 1'!$D$2:$D1000 = A48) * ('Form responses 1'!$A$2:$A1000 &lt;= DATE(2025, 4, 30)))
+ SUMPRODUCT(('Form responses 1'!$E$2:$E1000 = A48) * ('Form responses 1'!$A$2:$A1000 &lt;= DATE(2025, 4, 30)))
+ SUMPRODUCT(('Form responses 1'!$F$2:$F1000 = A48) * ('Form responses 1'!$A$2:$A1000 &lt;= DATE(2025, 4, 30)))
+ SUMPRODUCT(('Form responses 1'!$G$2:$G1000 = A48) * ('Form responses 1'!$A$2:$A1000 &lt;= DATE(2025, 4, 30)))), 2), "-")
</f>
        <v>4.42</v>
      </c>
      <c r="S48" s="2">
        <f>IFERROR(ROUND(Data!B46/(SUMPRODUCT(('Form responses 1'!$B$2:$B1000 = A48) * ('Form responses 1'!$A$2:$A1000 &lt;= DATE(2025, 5, 31)))
+ SUMPRODUCT(('Form responses 1'!$C$2:$C1000 = A48) * ('Form responses 1'!$A$2:$A1000 &lt;= DATE(2025, 5, 31)))
+ SUMPRODUCT(('Form responses 1'!$D$2:$D1000 = A48) * ('Form responses 1'!$A$2:$A1000 &lt;= DATE(2025, 5, 31)))
+ SUMPRODUCT(('Form responses 1'!$E$2:$E1000 = A48) * ('Form responses 1'!$A$2:$A1000 &lt;= DATE(2025, 5, 31)))
+ SUMPRODUCT(('Form responses 1'!$F$2:$F1000 = A48) * ('Form responses 1'!$A$2:$A1000 &lt;= DATE(2025, 5, 31)))
+ SUMPRODUCT(('Form responses 1'!$G$2:$G1000 = A48) * ('Form responses 1'!$A$2:$A1000 &lt;= DATE(2025, 5, 31)))), 2), "-")
</f>
        <v>4.42</v>
      </c>
      <c r="T48" s="2">
        <f>IFERROR(ROUND(Data!B46/(SUMPRODUCT(('Form responses 1'!$B$2:$B1000 = A48) * ('Form responses 1'!$A$2:$A1000 &lt;= DATE(2025, 6, 30)))
+ SUMPRODUCT(('Form responses 1'!$C$2:$C1000 = A48) * ('Form responses 1'!$A$2:$A1000 &lt;= DATE(2025, 6, 30)))
+ SUMPRODUCT(('Form responses 1'!$D$2:$D1000 = A48) * ('Form responses 1'!$A$2:$A1000 &lt;= DATE(2025, 6, 30)))
+ SUMPRODUCT(('Form responses 1'!$E$2:$E1000 = A48) * ('Form responses 1'!$A$2:$A1000 &lt;= DATE(2025, 6, 30)))
+ SUMPRODUCT(('Form responses 1'!$F$2:$F1000 = A48) * ('Form responses 1'!$A$2:$A1000 &lt;= DATE(2025, 6, 30)))
+ SUMPRODUCT(('Form responses 1'!$G$2:$G1000 = A48) * ('Form responses 1'!$A$2:$A1000 &lt;= DATE(2025, 6, 30)))), 2), "-")
</f>
        <v>3.54</v>
      </c>
      <c r="U48" s="2">
        <f>IFERROR(ROUND(Data!B46/(SUMPRODUCT(('Form responses 1'!$B$2:$B1000 = A48) * ('Form responses 1'!$A$2:$A1000 &lt;= DATE(2025, 7, 31)))
+ SUMPRODUCT(('Form responses 1'!$C$2:$C1000 = A48) * ('Form responses 1'!$A$2:$A1000 &lt;= DATE(2025, 7, 31)))
+ SUMPRODUCT(('Form responses 1'!$D$2:$D1000 = A48) * ('Form responses 1'!$A$2:$A1000 &lt;= DATE(2025, 7, 31)))
+ SUMPRODUCT(('Form responses 1'!$E$2:$E1000 = A48) * ('Form responses 1'!$A$2:$A1000 &lt;= DATE(2025, 7, 31)))
+ SUMPRODUCT(('Form responses 1'!$F$2:$F1000 = A48) * ('Form responses 1'!$A$2:$A1000 &lt;= DATE(2025, 7, 31)))
+ SUMPRODUCT(('Form responses 1'!$G$2:$G1000 = A48) * ('Form responses 1'!$A$2:$A1000 &lt;= DATE(2025, 7, 31)))), 2), "-")
</f>
        <v>3.54</v>
      </c>
      <c r="V48" s="2">
        <f>IFERROR(ROUND(Data!B46/(SUMPRODUCT(('Form responses 1'!$B$2:$B1000 = A48) * ('Form responses 1'!$A$2:$A1000 &lt;= DATE(2025, 8, 31)))
+ SUMPRODUCT(('Form responses 1'!$C$2:$C1000 = A48) * ('Form responses 1'!$A$2:$A1000 &lt;= DATE(2025, 8, 31)))
+ SUMPRODUCT(('Form responses 1'!$D$2:$D1000 = A48) * ('Form responses 1'!$A$2:$A1000 &lt;= DATE(2025, 8, 31)))
+ SUMPRODUCT(('Form responses 1'!$E$2:$E1000 = A48) * ('Form responses 1'!$A$2:$A1000 &lt;= DATE(2025, 8, 31)))
+ SUMPRODUCT(('Form responses 1'!$F$2:$F1000 = A48) * ('Form responses 1'!$A$2:$A1000 &lt;= DATE(2025, 8, 31)))
+ SUMPRODUCT(('Form responses 1'!$G$2:$G1000 = A48) * ('Form responses 1'!$A$2:$A1000 &lt;= DATE(2025, 8, 31)))), 2), "-")
</f>
        <v>2.72</v>
      </c>
      <c r="W48" s="2">
        <f>IFERROR(ROUND(Data!B46/(SUMPRODUCT(('Form responses 1'!$B$2:$B1000 = A48) * ('Form responses 1'!$A$2:$A1000 &lt;= DATE(2025, 9, 30)))
+ SUMPRODUCT(('Form responses 1'!$C$2:$C1000 = A48) * ('Form responses 1'!$A$2:$A1000 &lt;= DATE(2025, 9, 30)))
+ SUMPRODUCT(('Form responses 1'!$D$2:$D1000 = A48) * ('Form responses 1'!$A$2:$A1000 &lt;= DATE(2025, 9, 30)))
+ SUMPRODUCT(('Form responses 1'!$E$2:$E1000 = A48) * ('Form responses 1'!$A$2:$A1000 &lt;= DATE(2025, 9, 30)))
+ SUMPRODUCT(('Form responses 1'!$F$2:$F1000 = A48) * ('Form responses 1'!$A$2:$A1000 &lt;= DATE(2025, 9, 30)))
+ SUMPRODUCT(('Form responses 1'!$G$2:$G1000 = A48) * ('Form responses 1'!$A$2:$A1000 &lt;= DATE(2025, 9, 30)))), 2), "-")
</f>
        <v>2.53</v>
      </c>
      <c r="X48" s="2">
        <f>IFERROR(ROUND(Data!B46/(SUMPRODUCT(('Form responses 1'!$B$2:$B1000 = A48) * ('Form responses 1'!$A$2:$A1000 &lt;= DATE(2025, 10, 31)))
+ SUMPRODUCT(('Form responses 1'!$C$2:$C1000 = A48) * ('Form responses 1'!$A$2:$A1000 &lt;= DATE(2025, 10, 31)))
+ SUMPRODUCT(('Form responses 1'!$D$2:$D1000 = A48) * ('Form responses 1'!$A$2:$A1000 &lt;= DATE(2025, 10, 31)))
+ SUMPRODUCT(('Form responses 1'!$E$2:$E1000 = A48) * ('Form responses 1'!$A$2:$A1000 &lt;= DATE(2025, 10, 31)))
+ SUMPRODUCT(('Form responses 1'!$F$2:$F1000 = A48) * ('Form responses 1'!$A$2:$A1000 &lt;= DATE(2025, 10, 31)))
+ SUMPRODUCT(('Form responses 1'!$G$2:$G1000 = A48) * ('Form responses 1'!$A$2:$A1000 &lt;= DATE(2025, 10, 31)))), 2), "-")
</f>
        <v>1.86</v>
      </c>
      <c r="Y48" s="2">
        <f>IFERROR(ROUND(Data!B46/(SUMPRODUCT(('Form responses 1'!$B$2:$B1000 = A48) * ('Form responses 1'!$A$2:$A1000 &lt;= DATE(2025, 11, 30)))
+ SUMPRODUCT(('Form responses 1'!$C$2:$C1000 = A48) * ('Form responses 1'!$A$2:$A1000 &lt;= DATE(2025, 11, 30)))
+ SUMPRODUCT(('Form responses 1'!$D$2:$D1000 = A48) * ('Form responses 1'!$A$2:$A1000 &lt;= DATE(2025, 11, 30)))
+ SUMPRODUCT(('Form responses 1'!$E$2:$E1000 = A48) * ('Form responses 1'!$A$2:$A1000 &lt;= DATE(2025, 11, 30)))
+ SUMPRODUCT(('Form responses 1'!$F$2:$F1000 = A48) * ('Form responses 1'!$A$2:$A1000 &lt;= DATE(2025, 11, 30)))
+ SUMPRODUCT(('Form responses 1'!$G$2:$G1000 = A48) * ('Form responses 1'!$A$2:$A1000 &lt;= DATE(2025, 11, 30)))), 2), "-")
</f>
        <v>1.54</v>
      </c>
      <c r="Z48" s="2">
        <f>IFERROR(ROUND(Data!B46/(SUMPRODUCT(('Form responses 1'!$B$2:$B1000 = A48) * ('Form responses 1'!$A$2:$A1000 &lt;= DATE(2025, 12, 31)))
+ SUMPRODUCT(('Form responses 1'!$C$2:$C1000 = A48) * ('Form responses 1'!$A$2:$A1000 &lt;= DATE(2025, 12, 31)))
+ SUMPRODUCT(('Form responses 1'!$D$2:$D1000 = A48) * ('Form responses 1'!$A$2:$A1000 &lt;= DATE(2025, 12, 31)))
+ SUMPRODUCT(('Form responses 1'!$E$2:$E1000 = A48) * ('Form responses 1'!$A$2:$A1000 &lt;= DATE(2025, 12, 31)))
+ SUMPRODUCT(('Form responses 1'!$F$2:$F1000 = A48) * ('Form responses 1'!$A$2:$A1000 &lt;= DATE(2025, 12, 31)))
+ SUMPRODUCT(('Form responses 1'!$G$2:$G1000 = A48) * ('Form responses 1'!$A$2:$A1000 &lt;= DATE(2025, 12, 31)))), 2), "-")
</f>
        <v>1.47</v>
      </c>
      <c r="AA48" s="2">
        <f>IFERROR(ROUND(Data!$B48/(
  SUMPRODUCT(('Form responses 1'!$B$2:$B1000=$A48)*('Form responses 1'!$A$2:$A1000&lt;=EOMONTH(DATEVALUE("1 "&amp;AA$1),0)))+
  SUMPRODUCT(('Form responses 1'!$C$2:$C1000=$A48)*('Form responses 1'!$A$2:$A1000&lt;=EOMONTH(DATEVALUE("1 "&amp;AA$1),0)))+
  SUMPRODUCT(('Form responses 1'!$D$2:$D1000=$A48)*('Form responses 1'!$A$2:$A1000&lt;=EOMONTH(DATEVALUE("1 "&amp;AA$1),0)))+
  SUMPRODUCT(('Form responses 1'!$E$2:$E1000=$A48)*('Form responses 1'!$A$2:$A1000&lt;=EOMONTH(DATEVALUE("1 "&amp;AA$1),0)))+
  SUMPRODUCT(('Form responses 1'!$F$2:$F1000=$A48)*('Form responses 1'!$A$2:$A1000&lt;=EOMONTH(DATEVALUE("1 "&amp;AA$1),0)))+
  SUMPRODUCT(('Form responses 1'!$G$2:$G1000=$A48)*('Form responses 1'!$A$2:$A1000&lt;=EOMONTH(DATEVALUE("1 "&amp;AA$1),0)))
),2),"-")</f>
        <v>1.43</v>
      </c>
      <c r="AB48" s="2">
        <f>IFERROR(ROUND(Data!$B48/(
  SUMPRODUCT(('Form responses 1'!$B$2:$B1000=$A48)*('Form responses 1'!$A$2:$A1000&lt;=EOMONTH(DATEVALUE("1 "&amp;AB$1),0)))+
  SUMPRODUCT(('Form responses 1'!$C$2:$C1000=$A48)*('Form responses 1'!$A$2:$A1000&lt;=EOMONTH(DATEVALUE("1 "&amp;AB$1),0)))+
  SUMPRODUCT(('Form responses 1'!$D$2:$D1000=$A48)*('Form responses 1'!$A$2:$A1000&lt;=EOMONTH(DATEVALUE("1 "&amp;AB$1),0)))+
  SUMPRODUCT(('Form responses 1'!$E$2:$E1000=$A48)*('Form responses 1'!$A$2:$A1000&lt;=EOMONTH(DATEVALUE("1 "&amp;AB$1),0)))+
  SUMPRODUCT(('Form responses 1'!$F$2:$F1000=$A48)*('Form responses 1'!$A$2:$A1000&lt;=EOMONTH(DATEVALUE("1 "&amp;AB$1),0)))+
  SUMPRODUCT(('Form responses 1'!$G$2:$G1000=$A48)*('Form responses 1'!$A$2:$A1000&lt;=EOMONTH(DATEVALUE("1 "&amp;AB$1),0)))
),2),"-")</f>
        <v>1.33</v>
      </c>
      <c r="AC48" s="2">
        <f>IFERROR(ROUND(Data!$B48/(
  SUMPRODUCT(('Form responses 1'!$B$2:$B1000=$A48)*('Form responses 1'!$A$2:$A1000&lt;=EOMONTH(DATEVALUE("1 "&amp;AC$1),0)))+
  SUMPRODUCT(('Form responses 1'!$C$2:$C1000=$A48)*('Form responses 1'!$A$2:$A1000&lt;=EOMONTH(DATEVALUE("1 "&amp;AC$1),0)))+
  SUMPRODUCT(('Form responses 1'!$D$2:$D1000=$A48)*('Form responses 1'!$A$2:$A1000&lt;=EOMONTH(DATEVALUE("1 "&amp;AC$1),0)))+
  SUMPRODUCT(('Form responses 1'!$E$2:$E1000=$A48)*('Form responses 1'!$A$2:$A1000&lt;=EOMONTH(DATEVALUE("1 "&amp;AC$1),0)))+
  SUMPRODUCT(('Form responses 1'!$F$2:$F1000=$A48)*('Form responses 1'!$A$2:$A1000&lt;=EOMONTH(DATEVALUE("1 "&amp;AC$1),0)))+
  SUMPRODUCT(('Form responses 1'!$G$2:$G1000=$A48)*('Form responses 1'!$A$2:$A1000&lt;=EOMONTH(DATEVALUE("1 "&amp;AC$1),0)))
),2),"-")</f>
        <v>1.29</v>
      </c>
      <c r="AD48" s="2" t="str">
        <f>IFERROR(ROUND(Data!$B48/(
  SUMPRODUCT(('Form responses 1'!$B$2:$B1000=$A48)*('Form responses 1'!$A$2:$A1000&lt;=EOMONTH(DATEVALUE("1 "&amp;AD$1),0)))+
  SUMPRODUCT(('Form responses 1'!$C$2:$C1000=$A48)*('Form responses 1'!$A$2:$A1000&lt;=EOMONTH(DATEVALUE("1 "&amp;AD$1),0)))+
  SUMPRODUCT(('Form responses 1'!$D$2:$D1000=$A48)*('Form responses 1'!$A$2:$A1000&lt;=EOMONTH(DATEVALUE("1 "&amp;AD$1),0)))+
  SUMPRODUCT(('Form responses 1'!$E$2:$E1000=$A48)*('Form responses 1'!$A$2:$A1000&lt;=EOMONTH(DATEVALUE("1 "&amp;AD$1),0)))+
  SUMPRODUCT(('Form responses 1'!$F$2:$F1000=$A48)*('Form responses 1'!$A$2:$A1000&lt;=EOMONTH(DATEVALUE("1 "&amp;AD$1),0)))+
  SUMPRODUCT(('Form responses 1'!$G$2:$G1000=$A48)*('Form responses 1'!$A$2:$A1000&lt;=EOMONTH(DATEVALUE("1 "&amp;AD$1),0)))
),2),"-")</f>
        <v>-</v>
      </c>
      <c r="AE48" s="2" t="str">
        <f>IFERROR(ROUND(Data!$B48/(
  SUMPRODUCT(('Form responses 1'!$B$2:$B1000=$A48)*('Form responses 1'!$A$2:$A1000&lt;=EOMONTH(DATEVALUE("1 "&amp;AE$1),0)))+
  SUMPRODUCT(('Form responses 1'!$C$2:$C1000=$A48)*('Form responses 1'!$A$2:$A1000&lt;=EOMONTH(DATEVALUE("1 "&amp;AE$1),0)))+
  SUMPRODUCT(('Form responses 1'!$D$2:$D1000=$A48)*('Form responses 1'!$A$2:$A1000&lt;=EOMONTH(DATEVALUE("1 "&amp;AE$1),0)))+
  SUMPRODUCT(('Form responses 1'!$E$2:$E1000=$A48)*('Form responses 1'!$A$2:$A1000&lt;=EOMONTH(DATEVALUE("1 "&amp;AE$1),0)))+
  SUMPRODUCT(('Form responses 1'!$F$2:$F1000=$A48)*('Form responses 1'!$A$2:$A1000&lt;=EOMONTH(DATEVALUE("1 "&amp;AE$1),0)))+
  SUMPRODUCT(('Form responses 1'!$G$2:$G1000=$A48)*('Form responses 1'!$A$2:$A1000&lt;=EOMONTH(DATEVALUE("1 "&amp;AE$1),0)))
),2),"-")</f>
        <v>-</v>
      </c>
      <c r="AF48" s="2" t="str">
        <f>IFERROR(ROUND(Data!$B48/(
  SUMPRODUCT(('Form responses 1'!$B$2:$B1000=$A48)*('Form responses 1'!$A$2:$A1000&lt;=EOMONTH(DATEVALUE("1 "&amp;AF$1),0)))+
  SUMPRODUCT(('Form responses 1'!$C$2:$C1000=$A48)*('Form responses 1'!$A$2:$A1000&lt;=EOMONTH(DATEVALUE("1 "&amp;AF$1),0)))+
  SUMPRODUCT(('Form responses 1'!$D$2:$D1000=$A48)*('Form responses 1'!$A$2:$A1000&lt;=EOMONTH(DATEVALUE("1 "&amp;AF$1),0)))+
  SUMPRODUCT(('Form responses 1'!$E$2:$E1000=$A48)*('Form responses 1'!$A$2:$A1000&lt;=EOMONTH(DATEVALUE("1 "&amp;AF$1),0)))+
  SUMPRODUCT(('Form responses 1'!$F$2:$F1000=$A48)*('Form responses 1'!$A$2:$A1000&lt;=EOMONTH(DATEVALUE("1 "&amp;AF$1),0)))+
  SUMPRODUCT(('Form responses 1'!$G$2:$G1000=$A48)*('Form responses 1'!$A$2:$A1000&lt;=EOMONTH(DATEVALUE("1 "&amp;AF$1),0)))
),2),"-")</f>
        <v>-</v>
      </c>
      <c r="AG48" s="2" t="str">
        <f>IFERROR(ROUND(Data!$B48/(
  SUMPRODUCT(('Form responses 1'!$B$2:$B1000=$A48)*('Form responses 1'!$A$2:$A1000&lt;=EOMONTH(DATEVALUE("1 "&amp;AG$1),0)))+
  SUMPRODUCT(('Form responses 1'!$C$2:$C1000=$A48)*('Form responses 1'!$A$2:$A1000&lt;=EOMONTH(DATEVALUE("1 "&amp;AG$1),0)))+
  SUMPRODUCT(('Form responses 1'!$D$2:$D1000=$A48)*('Form responses 1'!$A$2:$A1000&lt;=EOMONTH(DATEVALUE("1 "&amp;AG$1),0)))+
  SUMPRODUCT(('Form responses 1'!$E$2:$E1000=$A48)*('Form responses 1'!$A$2:$A1000&lt;=EOMONTH(DATEVALUE("1 "&amp;AG$1),0)))+
  SUMPRODUCT(('Form responses 1'!$F$2:$F1000=$A48)*('Form responses 1'!$A$2:$A1000&lt;=EOMONTH(DATEVALUE("1 "&amp;AG$1),0)))+
  SUMPRODUCT(('Form responses 1'!$G$2:$G1000=$A48)*('Form responses 1'!$A$2:$A1000&lt;=EOMONTH(DATEVALUE("1 "&amp;AG$1),0)))
),2),"-")</f>
        <v>-</v>
      </c>
      <c r="AH48" s="2" t="str">
        <f>IFERROR(ROUND(Data!$B48/(
  SUMPRODUCT(('Form responses 1'!$B$2:$B1000=$A48)*('Form responses 1'!$A$2:$A1000&lt;=EOMONTH(DATEVALUE("1 "&amp;AH$1),0)))+
  SUMPRODUCT(('Form responses 1'!$C$2:$C1000=$A48)*('Form responses 1'!$A$2:$A1000&lt;=EOMONTH(DATEVALUE("1 "&amp;AH$1),0)))+
  SUMPRODUCT(('Form responses 1'!$D$2:$D1000=$A48)*('Form responses 1'!$A$2:$A1000&lt;=EOMONTH(DATEVALUE("1 "&amp;AH$1),0)))+
  SUMPRODUCT(('Form responses 1'!$E$2:$E1000=$A48)*('Form responses 1'!$A$2:$A1000&lt;=EOMONTH(DATEVALUE("1 "&amp;AH$1),0)))+
  SUMPRODUCT(('Form responses 1'!$F$2:$F1000=$A48)*('Form responses 1'!$A$2:$A1000&lt;=EOMONTH(DATEVALUE("1 "&amp;AH$1),0)))+
  SUMPRODUCT(('Form responses 1'!$G$2:$G1000=$A48)*('Form responses 1'!$A$2:$A1000&lt;=EOMONTH(DATEVALUE("1 "&amp;AH$1),0)))
),2),"-")</f>
        <v>-</v>
      </c>
      <c r="AI48" s="2" t="str">
        <f>IFERROR(ROUND(Data!$B48/(
  SUMPRODUCT(('Form responses 1'!$B$2:$B1000=$A48)*('Form responses 1'!$A$2:$A1000&lt;=EOMONTH(DATEVALUE("1 "&amp;AI$1),0)))+
  SUMPRODUCT(('Form responses 1'!$C$2:$C1000=$A48)*('Form responses 1'!$A$2:$A1000&lt;=EOMONTH(DATEVALUE("1 "&amp;AI$1),0)))+
  SUMPRODUCT(('Form responses 1'!$D$2:$D1000=$A48)*('Form responses 1'!$A$2:$A1000&lt;=EOMONTH(DATEVALUE("1 "&amp;AI$1),0)))+
  SUMPRODUCT(('Form responses 1'!$E$2:$E1000=$A48)*('Form responses 1'!$A$2:$A1000&lt;=EOMONTH(DATEVALUE("1 "&amp;AI$1),0)))+
  SUMPRODUCT(('Form responses 1'!$F$2:$F1000=$A48)*('Form responses 1'!$A$2:$A1000&lt;=EOMONTH(DATEVALUE("1 "&amp;AI$1),0)))+
  SUMPRODUCT(('Form responses 1'!$G$2:$G1000=$A48)*('Form responses 1'!$A$2:$A1000&lt;=EOMONTH(DATEVALUE("1 "&amp;AI$1),0)))
),2),"-")</f>
        <v>-</v>
      </c>
      <c r="AJ48" s="2" t="str">
        <f>IFERROR(ROUND(Data!$B48/(
  SUMPRODUCT(('Form responses 1'!$B$2:$B1000=$A48)*('Form responses 1'!$A$2:$A1000&lt;=EOMONTH(DATEVALUE("1 "&amp;AJ$1),0)))+
  SUMPRODUCT(('Form responses 1'!$C$2:$C1000=$A48)*('Form responses 1'!$A$2:$A1000&lt;=EOMONTH(DATEVALUE("1 "&amp;AJ$1),0)))+
  SUMPRODUCT(('Form responses 1'!$D$2:$D1000=$A48)*('Form responses 1'!$A$2:$A1000&lt;=EOMONTH(DATEVALUE("1 "&amp;AJ$1),0)))+
  SUMPRODUCT(('Form responses 1'!$E$2:$E1000=$A48)*('Form responses 1'!$A$2:$A1000&lt;=EOMONTH(DATEVALUE("1 "&amp;AJ$1),0)))+
  SUMPRODUCT(('Form responses 1'!$F$2:$F1000=$A48)*('Form responses 1'!$A$2:$A1000&lt;=EOMONTH(DATEVALUE("1 "&amp;AJ$1),0)))+
  SUMPRODUCT(('Form responses 1'!$G$2:$G1000=$A48)*('Form responses 1'!$A$2:$A1000&lt;=EOMONTH(DATEVALUE("1 "&amp;AJ$1),0)))
),2),"-")</f>
        <v>-</v>
      </c>
      <c r="AK48" s="2" t="str">
        <f>IFERROR(ROUND(Data!$B48/(
  SUMPRODUCT(('Form responses 1'!$B$2:$B1000=$A48)*('Form responses 1'!$A$2:$A1000&lt;=EOMONTH(DATEVALUE("1 "&amp;AK$1),0)))+
  SUMPRODUCT(('Form responses 1'!$C$2:$C1000=$A48)*('Form responses 1'!$A$2:$A1000&lt;=EOMONTH(DATEVALUE("1 "&amp;AK$1),0)))+
  SUMPRODUCT(('Form responses 1'!$D$2:$D1000=$A48)*('Form responses 1'!$A$2:$A1000&lt;=EOMONTH(DATEVALUE("1 "&amp;AK$1),0)))+
  SUMPRODUCT(('Form responses 1'!$E$2:$E1000=$A48)*('Form responses 1'!$A$2:$A1000&lt;=EOMONTH(DATEVALUE("1 "&amp;AK$1),0)))+
  SUMPRODUCT(('Form responses 1'!$F$2:$F1000=$A48)*('Form responses 1'!$A$2:$A1000&lt;=EOMONTH(DATEVALUE("1 "&amp;AK$1),0)))+
  SUMPRODUCT(('Form responses 1'!$G$2:$G1000=$A48)*('Form responses 1'!$A$2:$A1000&lt;=EOMONTH(DATEVALUE("1 "&amp;AK$1),0)))
),2),"-")</f>
        <v>-</v>
      </c>
      <c r="AL48" s="2" t="str">
        <f>IFERROR(ROUND(Data!$B48/(
  SUMPRODUCT(('Form responses 1'!$B$2:$B1000=$A48)*('Form responses 1'!$A$2:$A1000&lt;=EOMONTH(DATEVALUE("1 "&amp;AL$1),0)))+
  SUMPRODUCT(('Form responses 1'!$C$2:$C1000=$A48)*('Form responses 1'!$A$2:$A1000&lt;=EOMONTH(DATEVALUE("1 "&amp;AL$1),0)))+
  SUMPRODUCT(('Form responses 1'!$D$2:$D1000=$A48)*('Form responses 1'!$A$2:$A1000&lt;=EOMONTH(DATEVALUE("1 "&amp;AL$1),0)))+
  SUMPRODUCT(('Form responses 1'!$E$2:$E1000=$A48)*('Form responses 1'!$A$2:$A1000&lt;=EOMONTH(DATEVALUE("1 "&amp;AL$1),0)))+
  SUMPRODUCT(('Form responses 1'!$F$2:$F1000=$A48)*('Form responses 1'!$A$2:$A1000&lt;=EOMONTH(DATEVALUE("1 "&amp;AL$1),0)))+
  SUMPRODUCT(('Form responses 1'!$G$2:$G1000=$A48)*('Form responses 1'!$A$2:$A1000&lt;=EOMONTH(DATEVALUE("1 "&amp;AL$1),0)))
),2),"-")</f>
        <v>-</v>
      </c>
    </row>
    <row r="49">
      <c r="A49" s="3" t="str">
        <f>IFERROR(__xludf.DUMMYFUNCTION("""COMPUTED_VALUE"""),"Ralph Lauren Sweater")</f>
        <v>Ralph Lauren Sweater</v>
      </c>
      <c r="B49" s="2">
        <f>Data!F47:F1000</f>
        <v>0.43</v>
      </c>
      <c r="C49" s="2">
        <f>IFERROR(ROUND(Data!B47/(SUMPRODUCT(('Form responses 1'!$B$2:$B1000 = A49) * ('Form responses 1'!$A$2:$A1000 &lt;= DATE(2024, 1, 31)))
+ SUMPRODUCT(('Form responses 1'!$C$2:$C1000 = A49) * ('Form responses 1'!$A$2:$A1000 &lt;= DATE(2024, 1, 31)))
+ SUMPRODUCT(('Form responses 1'!$D$2:$D1000 = A49) * ('Form responses 1'!$A$2:$A1000 &lt;= DATE(2024, 1, 31)))
+ SUMPRODUCT(('Form responses 1'!$E$2:$E1000 = A49) * ('Form responses 1'!$A$2:$A1000 &lt;= DATE(2024, 1, 31)))
+ SUMPRODUCT(('Form responses 1'!$F$2:$F1000 = A49) * ('Form responses 1'!$A$2:$A1000 &lt;= DATE(2024, 1, 31)))
+ SUMPRODUCT(('Form responses 1'!$G$2:$G1000 = A49) * ('Form responses 1'!$A$2:$A1000 &lt;= DATE(2024, 1, 31)))), 2), "-")
</f>
        <v>0.33</v>
      </c>
      <c r="D49" s="2">
        <f>IFERROR(ROUND(Data!B47/(SUMPRODUCT(('Form responses 1'!$B$2:$B1000 = A49) * ('Form responses 1'!$A$2:$A1000 &lt;= DATE(2024, 2, 29)))
+ SUMPRODUCT(('Form responses 1'!$C$2:$C1000 = A49) * ('Form responses 1'!$A$2:$A1000 &lt;= DATE(2024, 2, 29)))
+ SUMPRODUCT(('Form responses 1'!$D$2:$D1000 = A49) * ('Form responses 1'!$A$2:$A1000 &lt;= DATE(2024, 2, 29)))
+ SUMPRODUCT(('Form responses 1'!$E$2:$E1000 = A49) * ('Form responses 1'!$A$2:$A1000 &lt;= DATE(2024, 2, 29)))
+ SUMPRODUCT(('Form responses 1'!$F$2:$F1000 = A49) * ('Form responses 1'!$A$2:$A1000 &lt;= DATE(2024, 2, 29)))
+ SUMPRODUCT(('Form responses 1'!$G$2:$G1000 = A49) * ('Form responses 1'!$A$2:$A1000 &lt;= DATE(2024, 2, 29)))), 2), "-")
</f>
        <v>0.33</v>
      </c>
      <c r="E49" s="2">
        <f>IFERROR(ROUND(Data!B47/(SUMPRODUCT(('Form responses 1'!$B$2:$B1000 = A49) * ('Form responses 1'!$A$2:$A1000 &lt;= DATE(2024, 3, 31)))
+ SUMPRODUCT(('Form responses 1'!$C$2:$C1000 = A49) * ('Form responses 1'!$A$2:$A1000 &lt;= DATE(2024, 3, 31)))
+ SUMPRODUCT(('Form responses 1'!$D$2:$D1000 = A49) * ('Form responses 1'!$A$2:$A1000 &lt;= DATE(2024, 3, 31)))
+ SUMPRODUCT(('Form responses 1'!$E$2:$E1000 = A49) * ('Form responses 1'!$A$2:$A1000 &lt;= DATE(2024, 3, 31)))
+ SUMPRODUCT(('Form responses 1'!$F$2:$F1000 = A49) * ('Form responses 1'!$A$2:$A1000 &lt;= DATE(2024, 3, 31)))
+ SUMPRODUCT(('Form responses 1'!$G$2:$G1000 = A49) * ('Form responses 1'!$A$2:$A1000 &lt;= DATE(2024, 3, 31)))), 2), "-")
</f>
        <v>0.29</v>
      </c>
      <c r="F49" s="2">
        <f>IFERROR(ROUND(Data!B47/(SUMPRODUCT(('Form responses 1'!$B$2:$B1000 = A49) * ('Form responses 1'!$A$2:$A1000 &lt;= DATE(2024, 4, 30)))
+ SUMPRODUCT(('Form responses 1'!$C$2:$C1000 = A49) * ('Form responses 1'!$A$2:$A1000 &lt;= DATE(2024, 4, 30)))
+ SUMPRODUCT(('Form responses 1'!$D$2:$D1000 = A49) * ('Form responses 1'!$A$2:$A1000 &lt;= DATE(2024, 4, 30)))
+ SUMPRODUCT(('Form responses 1'!$E$2:$E1000 = A49) * ('Form responses 1'!$A$2:$A1000 &lt;= DATE(2024, 4, 30)))
+ SUMPRODUCT(('Form responses 1'!$F$2:$F1000 = A49) * ('Form responses 1'!$A$2:$A1000 &lt;= DATE(2024, 4, 30)))
+ SUMPRODUCT(('Form responses 1'!$G$2:$G1000 = A49) * ('Form responses 1'!$A$2:$A1000 &lt;= DATE(2024, 4, 30)))), 2), "-")
</f>
        <v>0.29</v>
      </c>
      <c r="G49" s="2">
        <f>IFERROR(ROUND(Data!B47/(SUMPRODUCT(('Form responses 1'!$B$2:$B1000 = A49) * ('Form responses 1'!$A$2:$A1000 &lt;= DATE(2024, 5, 31)))
+ SUMPRODUCT(('Form responses 1'!$C$2:$C1000 = A49) * ('Form responses 1'!$A$2:$A1000 &lt;= DATE(2024, 5, 31)))
+ SUMPRODUCT(('Form responses 1'!$D$2:$D1000 = A49) * ('Form responses 1'!$A$2:$A1000 &lt;= DATE(2024, 5, 31)))
+ SUMPRODUCT(('Form responses 1'!$E$2:$E1000 = A49) * ('Form responses 1'!$A$2:$A1000 &lt;= DATE(2024, 5, 31)))
+ SUMPRODUCT(('Form responses 1'!$F$2:$F1000 = A49) * ('Form responses 1'!$A$2:$A1000 &lt;= DATE(2024, 5, 31)))
+ SUMPRODUCT(('Form responses 1'!$G$2:$G1000 = A49) * ('Form responses 1'!$A$2:$A1000 &lt;= DATE(2024, 5, 31)))), 2), "-")
</f>
        <v>0.29</v>
      </c>
      <c r="H49" s="2">
        <f>IFERROR(ROUND(Data!B47/(SUMPRODUCT(('Form responses 1'!$B$2:$B1000 = A49) * ('Form responses 1'!$A$2:$A1000 &lt;= DATE(2024, 6, 30)))
+ SUMPRODUCT(('Form responses 1'!$C$2:$C1000 = A49) * ('Form responses 1'!$A$2:$A1000 &lt;= DATE(2024, 6, 30)))
+ SUMPRODUCT(('Form responses 1'!$D$2:$D1000 = A49) * ('Form responses 1'!$A$2:$A1000 &lt;= DATE(2024, 6, 30)))
+ SUMPRODUCT(('Form responses 1'!$E$2:$E1000 = A49) * ('Form responses 1'!$A$2:$A1000 &lt;= DATE(2024, 6, 30)))
+ SUMPRODUCT(('Form responses 1'!$F$2:$F1000 = A49) * ('Form responses 1'!$A$2:$A1000 &lt;= DATE(2024, 6, 30)))
+ SUMPRODUCT(('Form responses 1'!$G$2:$G1000 = A49) * ('Form responses 1'!$A$2:$A1000 &lt;= DATE(2024, 6, 30)))), 2), "-")
</f>
        <v>0.28</v>
      </c>
      <c r="I49" s="2">
        <f>IFERROR(ROUND(Data!B47/(SUMPRODUCT(('Form responses 1'!$B$2:$B1000 = A49) * ('Form responses 1'!$A$2:$A1000 &lt;= DATE(2024, 7, 31)))
+ SUMPRODUCT(('Form responses 1'!$C$2:$C1000 = A49) * ('Form responses 1'!$A$2:$A1000 &lt;= DATE(2024, 7, 31)))
+ SUMPRODUCT(('Form responses 1'!$D$2:$D1000 = A49) * ('Form responses 1'!$A$2:$A1000 &lt;= DATE(2024, 7, 31)))
+ SUMPRODUCT(('Form responses 1'!$E$2:$E1000 = A49) * ('Form responses 1'!$A$2:$A1000 &lt;= DATE(2024, 7, 31)))
+ SUMPRODUCT(('Form responses 1'!$F$2:$F1000 = A49) * ('Form responses 1'!$A$2:$A1000 &lt;= DATE(2024, 7, 31)))
+ SUMPRODUCT(('Form responses 1'!$G$2:$G1000 = A49) * ('Form responses 1'!$A$2:$A1000 &lt;= DATE(2024, 7, 31)))), 2), "-")
</f>
        <v>0.26</v>
      </c>
      <c r="J49" s="2">
        <f>IFERROR(ROUND(Data!B47/(SUMPRODUCT(('Form responses 1'!$B$2:$B1000 = A49) * ('Form responses 1'!$A$2:$A1000 &lt;= DATE(2024, 8, 31)))
+ SUMPRODUCT(('Form responses 1'!$C$2:$C1000 = A49) * ('Form responses 1'!$A$2:$A1000 &lt;= DATE(2024, 8, 31)))
+ SUMPRODUCT(('Form responses 1'!$D$2:$D1000 = A49) * ('Form responses 1'!$A$2:$A1000 &lt;= DATE(2024, 8, 31)))
+ SUMPRODUCT(('Form responses 1'!$E$2:$E1000 = A49) * ('Form responses 1'!$A$2:$A1000 &lt;= DATE(2024, 8, 31)))
+ SUMPRODUCT(('Form responses 1'!$F$2:$F1000 = A49) * ('Form responses 1'!$A$2:$A1000 &lt;= DATE(2024, 8, 31)))
+ SUMPRODUCT(('Form responses 1'!$G$2:$G1000 = A49) * ('Form responses 1'!$A$2:$A1000 &lt;= DATE(2024, 8, 31)))), 2), "-")
</f>
        <v>0.26</v>
      </c>
      <c r="K49" s="2">
        <f>IFERROR(ROUND(Data!B47/(SUMPRODUCT(('Form responses 1'!$B$2:$B1000 = A49) * ('Form responses 1'!$A$2:$A1000 &lt;= DATE(2024, 9, 30)))
+ SUMPRODUCT(('Form responses 1'!$C$2:$C1000 = A49) * ('Form responses 1'!$A$2:$A1000 &lt;= DATE(2024, 9, 30)))
+ SUMPRODUCT(('Form responses 1'!$D$2:$D1000 = A49) * ('Form responses 1'!$A$2:$A1000 &lt;= DATE(2024, 9, 30)))
+ SUMPRODUCT(('Form responses 1'!$E$2:$E1000 = A49) * ('Form responses 1'!$A$2:$A1000 &lt;= DATE(2024, 9, 30)))
+ SUMPRODUCT(('Form responses 1'!$F$2:$F1000 = A49) * ('Form responses 1'!$A$2:$A1000 &lt;= DATE(2024, 9, 30)))
+ SUMPRODUCT(('Form responses 1'!$G$2:$G1000 = A49) * ('Form responses 1'!$A$2:$A1000 &lt;= DATE(2024, 9, 30)))), 2), "-")
</f>
        <v>0.26</v>
      </c>
      <c r="L49" s="2">
        <f>IFERROR(ROUND(Data!B47/(SUMPRODUCT(('Form responses 1'!$B$2:$B1000 = A49) * ('Form responses 1'!$A$2:$A1000 &lt;= DATE(2024, 10, 31)))
+ SUMPRODUCT(('Form responses 1'!$C$2:$C1000 = A49) * ('Form responses 1'!$A$2:$A1000 &lt;= DATE(2024, 10, 31)))
+ SUMPRODUCT(('Form responses 1'!$D$2:$D1000 = A49) * ('Form responses 1'!$A$2:$A1000 &lt;= DATE(2024, 10, 31)))
+ SUMPRODUCT(('Form responses 1'!$E$2:$E1000 = A49) * ('Form responses 1'!$A$2:$A1000 &lt;= DATE(2024, 10, 31)))
+ SUMPRODUCT(('Form responses 1'!$F$2:$F1000 = A49) * ('Form responses 1'!$A$2:$A1000 &lt;= DATE(2024, 10, 31)))
+ SUMPRODUCT(('Form responses 1'!$G$2:$G1000 = A49) * ('Form responses 1'!$A$2:$A1000 &lt;= DATE(2024, 10, 31)))), 2), "-")
</f>
        <v>0.25</v>
      </c>
      <c r="M49" s="2">
        <f>IFERROR(ROUND(Data!B47/(SUMPRODUCT(('Form responses 1'!$B$2:$B1000 = A49) * ('Form responses 1'!$A$2:$A1000 &lt;= DATE(2024, 11, 30)))
+ SUMPRODUCT(('Form responses 1'!$C$2:$C1000 = A49) * ('Form responses 1'!$A$2:$A1000 &lt;= DATE(2024, 11, 30)))
+ SUMPRODUCT(('Form responses 1'!$D$2:$D1000 = A49) * ('Form responses 1'!$A$2:$A1000 &lt;= DATE(2024, 11, 30)))
+ SUMPRODUCT(('Form responses 1'!$E$2:$E1000 = A49) * ('Form responses 1'!$A$2:$A1000 &lt;= DATE(2024, 11, 30)))
+ SUMPRODUCT(('Form responses 1'!$F$2:$F1000 = A49) * ('Form responses 1'!$A$2:$A1000 &lt;= DATE(2024, 11, 30)))
+ SUMPRODUCT(('Form responses 1'!$G$2:$G1000 = A49) * ('Form responses 1'!$A$2:$A1000 &lt;= DATE(2024, 11, 30)))), 2), "-")
</f>
        <v>0.25</v>
      </c>
      <c r="N49" s="2">
        <f>IFERROR(ROUND(Data!B47/(SUMPRODUCT(('Form responses 1'!$B$2:$B1000 = A49) * ('Form responses 1'!$A$2:$A1000 &lt;= DATE(2024, 12, 31)))
+ SUMPRODUCT(('Form responses 1'!$C$2:$C1000 = A49) * ('Form responses 1'!$A$2:$A1000 &lt;= DATE(2024, 12, 31)))
+ SUMPRODUCT(('Form responses 1'!$D$2:$D1000 = A49) * ('Form responses 1'!$A$2:$A1000 &lt;= DATE(2024, 12, 31)))
+ SUMPRODUCT(('Form responses 1'!$E$2:$E1000 = A49) * ('Form responses 1'!$A$2:$A1000 &lt;= DATE(2024, 12, 31)))
+ SUMPRODUCT(('Form responses 1'!$F$2:$F1000 = A49) * ('Form responses 1'!$A$2:$A1000 &lt;= DATE(2024, 12, 31)))
+ SUMPRODUCT(('Form responses 1'!$G$2:$G1000 = A49) * ('Form responses 1'!$A$2:$A1000 &lt;= DATE(2024, 12, 31)))), 2), "-")
</f>
        <v>0.25</v>
      </c>
      <c r="O49" s="2">
        <f>IFERROR(ROUND(Data!B47/(SUMPRODUCT(('Form responses 1'!$B$2:$B1000 = A49) * ('Form responses 1'!$A$2:$A1000 &lt;= DATE(2025, 1, 31)))
+ SUMPRODUCT(('Form responses 1'!$C$2:$C1000 = A49) * ('Form responses 1'!$A$2:$A1000 &lt;= DATE(2025, 1, 31)))
+ SUMPRODUCT(('Form responses 1'!$D$2:$D1000 = A49) * ('Form responses 1'!$A$2:$A1000 &lt;= DATE(2025, 1, 31)))
+ SUMPRODUCT(('Form responses 1'!$E$2:$E1000 = A49) * ('Form responses 1'!$A$2:$A1000 &lt;= DATE(2025, 1, 31)))
+ SUMPRODUCT(('Form responses 1'!$F$2:$F1000 = A49) * ('Form responses 1'!$A$2:$A1000 &lt;= DATE(2025, 1, 31)))
+ SUMPRODUCT(('Form responses 1'!$G$2:$G1000 = A49) * ('Form responses 1'!$A$2:$A1000 &lt;= DATE(2025, 1, 31)))), 2), "-")
</f>
        <v>0.23</v>
      </c>
      <c r="P49" s="2">
        <f>IFERROR(ROUND(Data!B47/(SUMPRODUCT(('Form responses 1'!$B$2:$B1000 = A49) * ('Form responses 1'!$A$2:$A1000 &lt;= DATE(2025, 2, 28)))
+ SUMPRODUCT(('Form responses 1'!$C$2:$C1000 = A49) * ('Form responses 1'!$A$2:$A1000 &lt;= DATE(2025, 2, 28)))
+ SUMPRODUCT(('Form responses 1'!$D$2:$D1000 = A49) * ('Form responses 1'!$A$2:$A1000 &lt;= DATE(2025, 2, 28)))
+ SUMPRODUCT(('Form responses 1'!$E$2:$E1000 = A49) * ('Form responses 1'!$A$2:$A1000 &lt;= DATE(2025, 2, 28)))
+ SUMPRODUCT(('Form responses 1'!$F$2:$F1000 = A49) * ('Form responses 1'!$A$2:$A1000 &lt;= DATE(2025, 2, 28)))
+ SUMPRODUCT(('Form responses 1'!$G$2:$G1000 = A49) * ('Form responses 1'!$A$2:$A1000 &lt;= DATE(2025, 2, 28)))), 2), "-")
</f>
        <v>0.23</v>
      </c>
      <c r="Q49" s="2">
        <f>IFERROR(ROUND(Data!B47/(SUMPRODUCT(('Form responses 1'!$B$2:$B1000 = A49) * ('Form responses 1'!$A$2:$A1000 &lt;= DATE(2025, 3, 31)))
+ SUMPRODUCT(('Form responses 1'!$C$2:$C1000 = A49) * ('Form responses 1'!$A$2:$A1000 &lt;= DATE(2025, 3, 31)))
+ SUMPRODUCT(('Form responses 1'!$D$2:$D1000 = A49) * ('Form responses 1'!$A$2:$A1000 &lt;= DATE(2025, 3, 31)))
+ SUMPRODUCT(('Form responses 1'!$E$2:$E1000 = A49) * ('Form responses 1'!$A$2:$A1000 &lt;= DATE(2025, 3, 31)))
+ SUMPRODUCT(('Form responses 1'!$F$2:$F1000 = A49) * ('Form responses 1'!$A$2:$A1000 &lt;= DATE(2025, 3, 31)))
+ SUMPRODUCT(('Form responses 1'!$G$2:$G1000 = A49) * ('Form responses 1'!$A$2:$A1000 &lt;= DATE(2025, 3, 31)))),2),"-")</f>
        <v>0.22</v>
      </c>
      <c r="R49" s="2">
        <f>IFERROR(ROUND(Data!B47/(SUMPRODUCT(('Form responses 1'!$B$2:$B1000 = A49) * ('Form responses 1'!$A$2:$A1000 &lt;= DATE(2025, 4, 30)))
+ SUMPRODUCT(('Form responses 1'!$C$2:$C1000 = A49) * ('Form responses 1'!$A$2:$A1000 &lt;= DATE(2025, 4, 30)))
+ SUMPRODUCT(('Form responses 1'!$D$2:$D1000 = A49) * ('Form responses 1'!$A$2:$A1000 &lt;= DATE(2025, 4, 30)))
+ SUMPRODUCT(('Form responses 1'!$E$2:$E1000 = A49) * ('Form responses 1'!$A$2:$A1000 &lt;= DATE(2025, 4, 30)))
+ SUMPRODUCT(('Form responses 1'!$F$2:$F1000 = A49) * ('Form responses 1'!$A$2:$A1000 &lt;= DATE(2025, 4, 30)))
+ SUMPRODUCT(('Form responses 1'!$G$2:$G1000 = A49) * ('Form responses 1'!$A$2:$A1000 &lt;= DATE(2025, 4, 30)))), 2), "-")
</f>
        <v>0.21</v>
      </c>
      <c r="S49" s="2">
        <f>IFERROR(ROUND(Data!B47/(SUMPRODUCT(('Form responses 1'!$B$2:$B1000 = A49) * ('Form responses 1'!$A$2:$A1000 &lt;= DATE(2025, 5, 31)))
+ SUMPRODUCT(('Form responses 1'!$C$2:$C1000 = A49) * ('Form responses 1'!$A$2:$A1000 &lt;= DATE(2025, 5, 31)))
+ SUMPRODUCT(('Form responses 1'!$D$2:$D1000 = A49) * ('Form responses 1'!$A$2:$A1000 &lt;= DATE(2025, 5, 31)))
+ SUMPRODUCT(('Form responses 1'!$E$2:$E1000 = A49) * ('Form responses 1'!$A$2:$A1000 &lt;= DATE(2025, 5, 31)))
+ SUMPRODUCT(('Form responses 1'!$F$2:$F1000 = A49) * ('Form responses 1'!$A$2:$A1000 &lt;= DATE(2025, 5, 31)))
+ SUMPRODUCT(('Form responses 1'!$G$2:$G1000 = A49) * ('Form responses 1'!$A$2:$A1000 &lt;= DATE(2025, 5, 31)))), 2), "-")
</f>
        <v>0.21</v>
      </c>
      <c r="T49" s="2">
        <f>IFERROR(ROUND(Data!B47/(SUMPRODUCT(('Form responses 1'!$B$2:$B1000 = A49) * ('Form responses 1'!$A$2:$A1000 &lt;= DATE(2025, 6, 30)))
+ SUMPRODUCT(('Form responses 1'!$C$2:$C1000 = A49) * ('Form responses 1'!$A$2:$A1000 &lt;= DATE(2025, 6, 30)))
+ SUMPRODUCT(('Form responses 1'!$D$2:$D1000 = A49) * ('Form responses 1'!$A$2:$A1000 &lt;= DATE(2025, 6, 30)))
+ SUMPRODUCT(('Form responses 1'!$E$2:$E1000 = A49) * ('Form responses 1'!$A$2:$A1000 &lt;= DATE(2025, 6, 30)))
+ SUMPRODUCT(('Form responses 1'!$F$2:$F1000 = A49) * ('Form responses 1'!$A$2:$A1000 &lt;= DATE(2025, 6, 30)))
+ SUMPRODUCT(('Form responses 1'!$G$2:$G1000 = A49) * ('Form responses 1'!$A$2:$A1000 &lt;= DATE(2025, 6, 30)))), 2), "-")
</f>
        <v>0.21</v>
      </c>
      <c r="U49" s="2">
        <f>IFERROR(ROUND(Data!B47/(SUMPRODUCT(('Form responses 1'!$B$2:$B1000 = A49) * ('Form responses 1'!$A$2:$A1000 &lt;= DATE(2025, 7, 31)))
+ SUMPRODUCT(('Form responses 1'!$C$2:$C1000 = A49) * ('Form responses 1'!$A$2:$A1000 &lt;= DATE(2025, 7, 31)))
+ SUMPRODUCT(('Form responses 1'!$D$2:$D1000 = A49) * ('Form responses 1'!$A$2:$A1000 &lt;= DATE(2025, 7, 31)))
+ SUMPRODUCT(('Form responses 1'!$E$2:$E1000 = A49) * ('Form responses 1'!$A$2:$A1000 &lt;= DATE(2025, 7, 31)))
+ SUMPRODUCT(('Form responses 1'!$F$2:$F1000 = A49) * ('Form responses 1'!$A$2:$A1000 &lt;= DATE(2025, 7, 31)))
+ SUMPRODUCT(('Form responses 1'!$G$2:$G1000 = A49) * ('Form responses 1'!$A$2:$A1000 &lt;= DATE(2025, 7, 31)))), 2), "-")
</f>
        <v>0.21</v>
      </c>
      <c r="V49" s="2">
        <f>IFERROR(ROUND(Data!B47/(SUMPRODUCT(('Form responses 1'!$B$2:$B1000 = A49) * ('Form responses 1'!$A$2:$A1000 &lt;= DATE(2025, 8, 31)))
+ SUMPRODUCT(('Form responses 1'!$C$2:$C1000 = A49) * ('Form responses 1'!$A$2:$A1000 &lt;= DATE(2025, 8, 31)))
+ SUMPRODUCT(('Form responses 1'!$D$2:$D1000 = A49) * ('Form responses 1'!$A$2:$A1000 &lt;= DATE(2025, 8, 31)))
+ SUMPRODUCT(('Form responses 1'!$E$2:$E1000 = A49) * ('Form responses 1'!$A$2:$A1000 &lt;= DATE(2025, 8, 31)))
+ SUMPRODUCT(('Form responses 1'!$F$2:$F1000 = A49) * ('Form responses 1'!$A$2:$A1000 &lt;= DATE(2025, 8, 31)))
+ SUMPRODUCT(('Form responses 1'!$G$2:$G1000 = A49) * ('Form responses 1'!$A$2:$A1000 &lt;= DATE(2025, 8, 31)))), 2), "-")
</f>
        <v>0.21</v>
      </c>
      <c r="W49" s="2">
        <f>IFERROR(ROUND(Data!B47/(SUMPRODUCT(('Form responses 1'!$B$2:$B1000 = A49) * ('Form responses 1'!$A$2:$A1000 &lt;= DATE(2025, 9, 30)))
+ SUMPRODUCT(('Form responses 1'!$C$2:$C1000 = A49) * ('Form responses 1'!$A$2:$A1000 &lt;= DATE(2025, 9, 30)))
+ SUMPRODUCT(('Form responses 1'!$D$2:$D1000 = A49) * ('Form responses 1'!$A$2:$A1000 &lt;= DATE(2025, 9, 30)))
+ SUMPRODUCT(('Form responses 1'!$E$2:$E1000 = A49) * ('Form responses 1'!$A$2:$A1000 &lt;= DATE(2025, 9, 30)))
+ SUMPRODUCT(('Form responses 1'!$F$2:$F1000 = A49) * ('Form responses 1'!$A$2:$A1000 &lt;= DATE(2025, 9, 30)))
+ SUMPRODUCT(('Form responses 1'!$G$2:$G1000 = A49) * ('Form responses 1'!$A$2:$A1000 &lt;= DATE(2025, 9, 30)))), 2), "-")
</f>
        <v>0.21</v>
      </c>
      <c r="X49" s="2">
        <f>IFERROR(ROUND(Data!B47/(SUMPRODUCT(('Form responses 1'!$B$2:$B1000 = A49) * ('Form responses 1'!$A$2:$A1000 &lt;= DATE(2025, 10, 31)))
+ SUMPRODUCT(('Form responses 1'!$C$2:$C1000 = A49) * ('Form responses 1'!$A$2:$A1000 &lt;= DATE(2025, 10, 31)))
+ SUMPRODUCT(('Form responses 1'!$D$2:$D1000 = A49) * ('Form responses 1'!$A$2:$A1000 &lt;= DATE(2025, 10, 31)))
+ SUMPRODUCT(('Form responses 1'!$E$2:$E1000 = A49) * ('Form responses 1'!$A$2:$A1000 &lt;= DATE(2025, 10, 31)))
+ SUMPRODUCT(('Form responses 1'!$F$2:$F1000 = A49) * ('Form responses 1'!$A$2:$A1000 &lt;= DATE(2025, 10, 31)))
+ SUMPRODUCT(('Form responses 1'!$G$2:$G1000 = A49) * ('Form responses 1'!$A$2:$A1000 &lt;= DATE(2025, 10, 31)))), 2), "-")
</f>
        <v>0.2</v>
      </c>
      <c r="Y49" s="2">
        <f>IFERROR(ROUND(Data!B47/(SUMPRODUCT(('Form responses 1'!$B$2:$B1000 = A49) * ('Form responses 1'!$A$2:$A1000 &lt;= DATE(2025, 11, 30)))
+ SUMPRODUCT(('Form responses 1'!$C$2:$C1000 = A49) * ('Form responses 1'!$A$2:$A1000 &lt;= DATE(2025, 11, 30)))
+ SUMPRODUCT(('Form responses 1'!$D$2:$D1000 = A49) * ('Form responses 1'!$A$2:$A1000 &lt;= DATE(2025, 11, 30)))
+ SUMPRODUCT(('Form responses 1'!$E$2:$E1000 = A49) * ('Form responses 1'!$A$2:$A1000 &lt;= DATE(2025, 11, 30)))
+ SUMPRODUCT(('Form responses 1'!$F$2:$F1000 = A49) * ('Form responses 1'!$A$2:$A1000 &lt;= DATE(2025, 11, 30)))
+ SUMPRODUCT(('Form responses 1'!$G$2:$G1000 = A49) * ('Form responses 1'!$A$2:$A1000 &lt;= DATE(2025, 11, 30)))), 2), "-")
</f>
        <v>0.2</v>
      </c>
      <c r="Z49" s="2">
        <f>IFERROR(ROUND(Data!B47/(SUMPRODUCT(('Form responses 1'!$B$2:$B1000 = A49) * ('Form responses 1'!$A$2:$A1000 &lt;= DATE(2025, 12, 31)))
+ SUMPRODUCT(('Form responses 1'!$C$2:$C1000 = A49) * ('Form responses 1'!$A$2:$A1000 &lt;= DATE(2025, 12, 31)))
+ SUMPRODUCT(('Form responses 1'!$D$2:$D1000 = A49) * ('Form responses 1'!$A$2:$A1000 &lt;= DATE(2025, 12, 31)))
+ SUMPRODUCT(('Form responses 1'!$E$2:$E1000 = A49) * ('Form responses 1'!$A$2:$A1000 &lt;= DATE(2025, 12, 31)))
+ SUMPRODUCT(('Form responses 1'!$F$2:$F1000 = A49) * ('Form responses 1'!$A$2:$A1000 &lt;= DATE(2025, 12, 31)))
+ SUMPRODUCT(('Form responses 1'!$G$2:$G1000 = A49) * ('Form responses 1'!$A$2:$A1000 &lt;= DATE(2025, 12, 31)))), 2), "-")
</f>
        <v>0.19</v>
      </c>
      <c r="AA49" s="2">
        <f>IFERROR(ROUND(Data!$B49/(
  SUMPRODUCT(('Form responses 1'!$B$2:$B1000=$A49)*('Form responses 1'!$A$2:$A1000&lt;=EOMONTH(DATEVALUE("1 "&amp;AA$1),0)))+
  SUMPRODUCT(('Form responses 1'!$C$2:$C1000=$A49)*('Form responses 1'!$A$2:$A1000&lt;=EOMONTH(DATEVALUE("1 "&amp;AA$1),0)))+
  SUMPRODUCT(('Form responses 1'!$D$2:$D1000=$A49)*('Form responses 1'!$A$2:$A1000&lt;=EOMONTH(DATEVALUE("1 "&amp;AA$1),0)))+
  SUMPRODUCT(('Form responses 1'!$E$2:$E1000=$A49)*('Form responses 1'!$A$2:$A1000&lt;=EOMONTH(DATEVALUE("1 "&amp;AA$1),0)))+
  SUMPRODUCT(('Form responses 1'!$F$2:$F1000=$A49)*('Form responses 1'!$A$2:$A1000&lt;=EOMONTH(DATEVALUE("1 "&amp;AA$1),0)))+
  SUMPRODUCT(('Form responses 1'!$G$2:$G1000=$A49)*('Form responses 1'!$A$2:$A1000&lt;=EOMONTH(DATEVALUE("1 "&amp;AA$1),0)))
),2),"-")</f>
        <v>0.5</v>
      </c>
      <c r="AB49" s="2">
        <f>IFERROR(ROUND(Data!$B49/(
  SUMPRODUCT(('Form responses 1'!$B$2:$B1000=$A49)*('Form responses 1'!$A$2:$A1000&lt;=EOMONTH(DATEVALUE("1 "&amp;AB$1),0)))+
  SUMPRODUCT(('Form responses 1'!$C$2:$C1000=$A49)*('Form responses 1'!$A$2:$A1000&lt;=EOMONTH(DATEVALUE("1 "&amp;AB$1),0)))+
  SUMPRODUCT(('Form responses 1'!$D$2:$D1000=$A49)*('Form responses 1'!$A$2:$A1000&lt;=EOMONTH(DATEVALUE("1 "&amp;AB$1),0)))+
  SUMPRODUCT(('Form responses 1'!$E$2:$E1000=$A49)*('Form responses 1'!$A$2:$A1000&lt;=EOMONTH(DATEVALUE("1 "&amp;AB$1),0)))+
  SUMPRODUCT(('Form responses 1'!$F$2:$F1000=$A49)*('Form responses 1'!$A$2:$A1000&lt;=EOMONTH(DATEVALUE("1 "&amp;AB$1),0)))+
  SUMPRODUCT(('Form responses 1'!$G$2:$G1000=$A49)*('Form responses 1'!$A$2:$A1000&lt;=EOMONTH(DATEVALUE("1 "&amp;AB$1),0)))
),2),"-")</f>
        <v>0.5</v>
      </c>
      <c r="AC49" s="2">
        <f>IFERROR(ROUND(Data!$B49/(
  SUMPRODUCT(('Form responses 1'!$B$2:$B1000=$A49)*('Form responses 1'!$A$2:$A1000&lt;=EOMONTH(DATEVALUE("1 "&amp;AC$1),0)))+
  SUMPRODUCT(('Form responses 1'!$C$2:$C1000=$A49)*('Form responses 1'!$A$2:$A1000&lt;=EOMONTH(DATEVALUE("1 "&amp;AC$1),0)))+
  SUMPRODUCT(('Form responses 1'!$D$2:$D1000=$A49)*('Form responses 1'!$A$2:$A1000&lt;=EOMONTH(DATEVALUE("1 "&amp;AC$1),0)))+
  SUMPRODUCT(('Form responses 1'!$E$2:$E1000=$A49)*('Form responses 1'!$A$2:$A1000&lt;=EOMONTH(DATEVALUE("1 "&amp;AC$1),0)))+
  SUMPRODUCT(('Form responses 1'!$F$2:$F1000=$A49)*('Form responses 1'!$A$2:$A1000&lt;=EOMONTH(DATEVALUE("1 "&amp;AC$1),0)))+
  SUMPRODUCT(('Form responses 1'!$G$2:$G1000=$A49)*('Form responses 1'!$A$2:$A1000&lt;=EOMONTH(DATEVALUE("1 "&amp;AC$1),0)))
),2),"-")</f>
        <v>0.48</v>
      </c>
      <c r="AD49" s="2" t="str">
        <f>IFERROR(ROUND(Data!$B49/(
  SUMPRODUCT(('Form responses 1'!$B$2:$B1000=$A49)*('Form responses 1'!$A$2:$A1000&lt;=EOMONTH(DATEVALUE("1 "&amp;AD$1),0)))+
  SUMPRODUCT(('Form responses 1'!$C$2:$C1000=$A49)*('Form responses 1'!$A$2:$A1000&lt;=EOMONTH(DATEVALUE("1 "&amp;AD$1),0)))+
  SUMPRODUCT(('Form responses 1'!$D$2:$D1000=$A49)*('Form responses 1'!$A$2:$A1000&lt;=EOMONTH(DATEVALUE("1 "&amp;AD$1),0)))+
  SUMPRODUCT(('Form responses 1'!$E$2:$E1000=$A49)*('Form responses 1'!$A$2:$A1000&lt;=EOMONTH(DATEVALUE("1 "&amp;AD$1),0)))+
  SUMPRODUCT(('Form responses 1'!$F$2:$F1000=$A49)*('Form responses 1'!$A$2:$A1000&lt;=EOMONTH(DATEVALUE("1 "&amp;AD$1),0)))+
  SUMPRODUCT(('Form responses 1'!$G$2:$G1000=$A49)*('Form responses 1'!$A$2:$A1000&lt;=EOMONTH(DATEVALUE("1 "&amp;AD$1),0)))
),2),"-")</f>
        <v>-</v>
      </c>
      <c r="AE49" s="2" t="str">
        <f>IFERROR(ROUND(Data!$B49/(
  SUMPRODUCT(('Form responses 1'!$B$2:$B1000=$A49)*('Form responses 1'!$A$2:$A1000&lt;=EOMONTH(DATEVALUE("1 "&amp;AE$1),0)))+
  SUMPRODUCT(('Form responses 1'!$C$2:$C1000=$A49)*('Form responses 1'!$A$2:$A1000&lt;=EOMONTH(DATEVALUE("1 "&amp;AE$1),0)))+
  SUMPRODUCT(('Form responses 1'!$D$2:$D1000=$A49)*('Form responses 1'!$A$2:$A1000&lt;=EOMONTH(DATEVALUE("1 "&amp;AE$1),0)))+
  SUMPRODUCT(('Form responses 1'!$E$2:$E1000=$A49)*('Form responses 1'!$A$2:$A1000&lt;=EOMONTH(DATEVALUE("1 "&amp;AE$1),0)))+
  SUMPRODUCT(('Form responses 1'!$F$2:$F1000=$A49)*('Form responses 1'!$A$2:$A1000&lt;=EOMONTH(DATEVALUE("1 "&amp;AE$1),0)))+
  SUMPRODUCT(('Form responses 1'!$G$2:$G1000=$A49)*('Form responses 1'!$A$2:$A1000&lt;=EOMONTH(DATEVALUE("1 "&amp;AE$1),0)))
),2),"-")</f>
        <v>-</v>
      </c>
      <c r="AF49" s="2" t="str">
        <f>IFERROR(ROUND(Data!$B49/(
  SUMPRODUCT(('Form responses 1'!$B$2:$B1000=$A49)*('Form responses 1'!$A$2:$A1000&lt;=EOMONTH(DATEVALUE("1 "&amp;AF$1),0)))+
  SUMPRODUCT(('Form responses 1'!$C$2:$C1000=$A49)*('Form responses 1'!$A$2:$A1000&lt;=EOMONTH(DATEVALUE("1 "&amp;AF$1),0)))+
  SUMPRODUCT(('Form responses 1'!$D$2:$D1000=$A49)*('Form responses 1'!$A$2:$A1000&lt;=EOMONTH(DATEVALUE("1 "&amp;AF$1),0)))+
  SUMPRODUCT(('Form responses 1'!$E$2:$E1000=$A49)*('Form responses 1'!$A$2:$A1000&lt;=EOMONTH(DATEVALUE("1 "&amp;AF$1),0)))+
  SUMPRODUCT(('Form responses 1'!$F$2:$F1000=$A49)*('Form responses 1'!$A$2:$A1000&lt;=EOMONTH(DATEVALUE("1 "&amp;AF$1),0)))+
  SUMPRODUCT(('Form responses 1'!$G$2:$G1000=$A49)*('Form responses 1'!$A$2:$A1000&lt;=EOMONTH(DATEVALUE("1 "&amp;AF$1),0)))
),2),"-")</f>
        <v>-</v>
      </c>
      <c r="AG49" s="2" t="str">
        <f>IFERROR(ROUND(Data!$B49/(
  SUMPRODUCT(('Form responses 1'!$B$2:$B1000=$A49)*('Form responses 1'!$A$2:$A1000&lt;=EOMONTH(DATEVALUE("1 "&amp;AG$1),0)))+
  SUMPRODUCT(('Form responses 1'!$C$2:$C1000=$A49)*('Form responses 1'!$A$2:$A1000&lt;=EOMONTH(DATEVALUE("1 "&amp;AG$1),0)))+
  SUMPRODUCT(('Form responses 1'!$D$2:$D1000=$A49)*('Form responses 1'!$A$2:$A1000&lt;=EOMONTH(DATEVALUE("1 "&amp;AG$1),0)))+
  SUMPRODUCT(('Form responses 1'!$E$2:$E1000=$A49)*('Form responses 1'!$A$2:$A1000&lt;=EOMONTH(DATEVALUE("1 "&amp;AG$1),0)))+
  SUMPRODUCT(('Form responses 1'!$F$2:$F1000=$A49)*('Form responses 1'!$A$2:$A1000&lt;=EOMONTH(DATEVALUE("1 "&amp;AG$1),0)))+
  SUMPRODUCT(('Form responses 1'!$G$2:$G1000=$A49)*('Form responses 1'!$A$2:$A1000&lt;=EOMONTH(DATEVALUE("1 "&amp;AG$1),0)))
),2),"-")</f>
        <v>-</v>
      </c>
      <c r="AH49" s="2" t="str">
        <f>IFERROR(ROUND(Data!$B49/(
  SUMPRODUCT(('Form responses 1'!$B$2:$B1000=$A49)*('Form responses 1'!$A$2:$A1000&lt;=EOMONTH(DATEVALUE("1 "&amp;AH$1),0)))+
  SUMPRODUCT(('Form responses 1'!$C$2:$C1000=$A49)*('Form responses 1'!$A$2:$A1000&lt;=EOMONTH(DATEVALUE("1 "&amp;AH$1),0)))+
  SUMPRODUCT(('Form responses 1'!$D$2:$D1000=$A49)*('Form responses 1'!$A$2:$A1000&lt;=EOMONTH(DATEVALUE("1 "&amp;AH$1),0)))+
  SUMPRODUCT(('Form responses 1'!$E$2:$E1000=$A49)*('Form responses 1'!$A$2:$A1000&lt;=EOMONTH(DATEVALUE("1 "&amp;AH$1),0)))+
  SUMPRODUCT(('Form responses 1'!$F$2:$F1000=$A49)*('Form responses 1'!$A$2:$A1000&lt;=EOMONTH(DATEVALUE("1 "&amp;AH$1),0)))+
  SUMPRODUCT(('Form responses 1'!$G$2:$G1000=$A49)*('Form responses 1'!$A$2:$A1000&lt;=EOMONTH(DATEVALUE("1 "&amp;AH$1),0)))
),2),"-")</f>
        <v>-</v>
      </c>
      <c r="AI49" s="2" t="str">
        <f>IFERROR(ROUND(Data!$B49/(
  SUMPRODUCT(('Form responses 1'!$B$2:$B1000=$A49)*('Form responses 1'!$A$2:$A1000&lt;=EOMONTH(DATEVALUE("1 "&amp;AI$1),0)))+
  SUMPRODUCT(('Form responses 1'!$C$2:$C1000=$A49)*('Form responses 1'!$A$2:$A1000&lt;=EOMONTH(DATEVALUE("1 "&amp;AI$1),0)))+
  SUMPRODUCT(('Form responses 1'!$D$2:$D1000=$A49)*('Form responses 1'!$A$2:$A1000&lt;=EOMONTH(DATEVALUE("1 "&amp;AI$1),0)))+
  SUMPRODUCT(('Form responses 1'!$E$2:$E1000=$A49)*('Form responses 1'!$A$2:$A1000&lt;=EOMONTH(DATEVALUE("1 "&amp;AI$1),0)))+
  SUMPRODUCT(('Form responses 1'!$F$2:$F1000=$A49)*('Form responses 1'!$A$2:$A1000&lt;=EOMONTH(DATEVALUE("1 "&amp;AI$1),0)))+
  SUMPRODUCT(('Form responses 1'!$G$2:$G1000=$A49)*('Form responses 1'!$A$2:$A1000&lt;=EOMONTH(DATEVALUE("1 "&amp;AI$1),0)))
),2),"-")</f>
        <v>-</v>
      </c>
      <c r="AJ49" s="2" t="str">
        <f>IFERROR(ROUND(Data!$B49/(
  SUMPRODUCT(('Form responses 1'!$B$2:$B1000=$A49)*('Form responses 1'!$A$2:$A1000&lt;=EOMONTH(DATEVALUE("1 "&amp;AJ$1),0)))+
  SUMPRODUCT(('Form responses 1'!$C$2:$C1000=$A49)*('Form responses 1'!$A$2:$A1000&lt;=EOMONTH(DATEVALUE("1 "&amp;AJ$1),0)))+
  SUMPRODUCT(('Form responses 1'!$D$2:$D1000=$A49)*('Form responses 1'!$A$2:$A1000&lt;=EOMONTH(DATEVALUE("1 "&amp;AJ$1),0)))+
  SUMPRODUCT(('Form responses 1'!$E$2:$E1000=$A49)*('Form responses 1'!$A$2:$A1000&lt;=EOMONTH(DATEVALUE("1 "&amp;AJ$1),0)))+
  SUMPRODUCT(('Form responses 1'!$F$2:$F1000=$A49)*('Form responses 1'!$A$2:$A1000&lt;=EOMONTH(DATEVALUE("1 "&amp;AJ$1),0)))+
  SUMPRODUCT(('Form responses 1'!$G$2:$G1000=$A49)*('Form responses 1'!$A$2:$A1000&lt;=EOMONTH(DATEVALUE("1 "&amp;AJ$1),0)))
),2),"-")</f>
        <v>-</v>
      </c>
      <c r="AK49" s="2" t="str">
        <f>IFERROR(ROUND(Data!$B49/(
  SUMPRODUCT(('Form responses 1'!$B$2:$B1000=$A49)*('Form responses 1'!$A$2:$A1000&lt;=EOMONTH(DATEVALUE("1 "&amp;AK$1),0)))+
  SUMPRODUCT(('Form responses 1'!$C$2:$C1000=$A49)*('Form responses 1'!$A$2:$A1000&lt;=EOMONTH(DATEVALUE("1 "&amp;AK$1),0)))+
  SUMPRODUCT(('Form responses 1'!$D$2:$D1000=$A49)*('Form responses 1'!$A$2:$A1000&lt;=EOMONTH(DATEVALUE("1 "&amp;AK$1),0)))+
  SUMPRODUCT(('Form responses 1'!$E$2:$E1000=$A49)*('Form responses 1'!$A$2:$A1000&lt;=EOMONTH(DATEVALUE("1 "&amp;AK$1),0)))+
  SUMPRODUCT(('Form responses 1'!$F$2:$F1000=$A49)*('Form responses 1'!$A$2:$A1000&lt;=EOMONTH(DATEVALUE("1 "&amp;AK$1),0)))+
  SUMPRODUCT(('Form responses 1'!$G$2:$G1000=$A49)*('Form responses 1'!$A$2:$A1000&lt;=EOMONTH(DATEVALUE("1 "&amp;AK$1),0)))
),2),"-")</f>
        <v>-</v>
      </c>
      <c r="AL49" s="2" t="str">
        <f>IFERROR(ROUND(Data!$B49/(
  SUMPRODUCT(('Form responses 1'!$B$2:$B1000=$A49)*('Form responses 1'!$A$2:$A1000&lt;=EOMONTH(DATEVALUE("1 "&amp;AL$1),0)))+
  SUMPRODUCT(('Form responses 1'!$C$2:$C1000=$A49)*('Form responses 1'!$A$2:$A1000&lt;=EOMONTH(DATEVALUE("1 "&amp;AL$1),0)))+
  SUMPRODUCT(('Form responses 1'!$D$2:$D1000=$A49)*('Form responses 1'!$A$2:$A1000&lt;=EOMONTH(DATEVALUE("1 "&amp;AL$1),0)))+
  SUMPRODUCT(('Form responses 1'!$E$2:$E1000=$A49)*('Form responses 1'!$A$2:$A1000&lt;=EOMONTH(DATEVALUE("1 "&amp;AL$1),0)))+
  SUMPRODUCT(('Form responses 1'!$F$2:$F1000=$A49)*('Form responses 1'!$A$2:$A1000&lt;=EOMONTH(DATEVALUE("1 "&amp;AL$1),0)))+
  SUMPRODUCT(('Form responses 1'!$G$2:$G1000=$A49)*('Form responses 1'!$A$2:$A1000&lt;=EOMONTH(DATEVALUE("1 "&amp;AL$1),0)))
),2),"-")</f>
        <v>-</v>
      </c>
    </row>
    <row r="50">
      <c r="A50" s="3" t="str">
        <f>IFERROR(__xludf.DUMMYFUNCTION("""COMPUTED_VALUE"""),"Grijze Ralph Lauren Sweater")</f>
        <v>Grijze Ralph Lauren Sweater</v>
      </c>
      <c r="B50" s="2">
        <f>Data!F48:F1000</f>
        <v>0.7</v>
      </c>
      <c r="C50" s="2" t="str">
        <f>IFERROR(ROUND(Data!B48/(SUMPRODUCT(('Form responses 1'!$B$2:$B1000 = A50) * ('Form responses 1'!$A$2:$A1000 &lt;= DATE(2024, 1, 31)))
+ SUMPRODUCT(('Form responses 1'!$C$2:$C1000 = A50) * ('Form responses 1'!$A$2:$A1000 &lt;= DATE(2024, 1, 31)))
+ SUMPRODUCT(('Form responses 1'!$D$2:$D1000 = A50) * ('Form responses 1'!$A$2:$A1000 &lt;= DATE(2024, 1, 31)))
+ SUMPRODUCT(('Form responses 1'!$E$2:$E1000 = A50) * ('Form responses 1'!$A$2:$A1000 &lt;= DATE(2024, 1, 31)))
+ SUMPRODUCT(('Form responses 1'!$F$2:$F1000 = A50) * ('Form responses 1'!$A$2:$A1000 &lt;= DATE(2024, 1, 31)))
+ SUMPRODUCT(('Form responses 1'!$G$2:$G1000 = A50) * ('Form responses 1'!$A$2:$A1000 &lt;= DATE(2024, 1, 31)))), 2), "-")
</f>
        <v>-</v>
      </c>
      <c r="D50" s="2" t="str">
        <f>IFERROR(ROUND(Data!B48/(SUMPRODUCT(('Form responses 1'!$B$2:$B1000 = A50) * ('Form responses 1'!$A$2:$A1000 &lt;= DATE(2024, 2, 29)))
+ SUMPRODUCT(('Form responses 1'!$C$2:$C1000 = A50) * ('Form responses 1'!$A$2:$A1000 &lt;= DATE(2024, 2, 29)))
+ SUMPRODUCT(('Form responses 1'!$D$2:$D1000 = A50) * ('Form responses 1'!$A$2:$A1000 &lt;= DATE(2024, 2, 29)))
+ SUMPRODUCT(('Form responses 1'!$E$2:$E1000 = A50) * ('Form responses 1'!$A$2:$A1000 &lt;= DATE(2024, 2, 29)))
+ SUMPRODUCT(('Form responses 1'!$F$2:$F1000 = A50) * ('Form responses 1'!$A$2:$A1000 &lt;= DATE(2024, 2, 29)))
+ SUMPRODUCT(('Form responses 1'!$G$2:$G1000 = A50) * ('Form responses 1'!$A$2:$A1000 &lt;= DATE(2024, 2, 29)))), 2), "-")
</f>
        <v>-</v>
      </c>
      <c r="E50" s="2" t="str">
        <f>IFERROR(ROUND(Data!B48/(SUMPRODUCT(('Form responses 1'!$B$2:$B1000 = A50) * ('Form responses 1'!$A$2:$A1000 &lt;= DATE(2024, 3, 31)))
+ SUMPRODUCT(('Form responses 1'!$C$2:$C1000 = A50) * ('Form responses 1'!$A$2:$A1000 &lt;= DATE(2024, 3, 31)))
+ SUMPRODUCT(('Form responses 1'!$D$2:$D1000 = A50) * ('Form responses 1'!$A$2:$A1000 &lt;= DATE(2024, 3, 31)))
+ SUMPRODUCT(('Form responses 1'!$E$2:$E1000 = A50) * ('Form responses 1'!$A$2:$A1000 &lt;= DATE(2024, 3, 31)))
+ SUMPRODUCT(('Form responses 1'!$F$2:$F1000 = A50) * ('Form responses 1'!$A$2:$A1000 &lt;= DATE(2024, 3, 31)))
+ SUMPRODUCT(('Form responses 1'!$G$2:$G1000 = A50) * ('Form responses 1'!$A$2:$A1000 &lt;= DATE(2024, 3, 31)))), 2), "-")
</f>
        <v>-</v>
      </c>
      <c r="F50" s="2" t="str">
        <f>IFERROR(ROUND(Data!B48/(SUMPRODUCT(('Form responses 1'!$B$2:$B1000 = A50) * ('Form responses 1'!$A$2:$A1000 &lt;= DATE(2024, 4, 30)))
+ SUMPRODUCT(('Form responses 1'!$C$2:$C1000 = A50) * ('Form responses 1'!$A$2:$A1000 &lt;= DATE(2024, 4, 30)))
+ SUMPRODUCT(('Form responses 1'!$D$2:$D1000 = A50) * ('Form responses 1'!$A$2:$A1000 &lt;= DATE(2024, 4, 30)))
+ SUMPRODUCT(('Form responses 1'!$E$2:$E1000 = A50) * ('Form responses 1'!$A$2:$A1000 &lt;= DATE(2024, 4, 30)))
+ SUMPRODUCT(('Form responses 1'!$F$2:$F1000 = A50) * ('Form responses 1'!$A$2:$A1000 &lt;= DATE(2024, 4, 30)))
+ SUMPRODUCT(('Form responses 1'!$G$2:$G1000 = A50) * ('Form responses 1'!$A$2:$A1000 &lt;= DATE(2024, 4, 30)))), 2), "-")
</f>
        <v>-</v>
      </c>
      <c r="G50" s="2" t="str">
        <f>IFERROR(ROUND(Data!B48/(SUMPRODUCT(('Form responses 1'!$B$2:$B1000 = A50) * ('Form responses 1'!$A$2:$A1000 &lt;= DATE(2024, 5, 31)))
+ SUMPRODUCT(('Form responses 1'!$C$2:$C1000 = A50) * ('Form responses 1'!$A$2:$A1000 &lt;= DATE(2024, 5, 31)))
+ SUMPRODUCT(('Form responses 1'!$D$2:$D1000 = A50) * ('Form responses 1'!$A$2:$A1000 &lt;= DATE(2024, 5, 31)))
+ SUMPRODUCT(('Form responses 1'!$E$2:$E1000 = A50) * ('Form responses 1'!$A$2:$A1000 &lt;= DATE(2024, 5, 31)))
+ SUMPRODUCT(('Form responses 1'!$F$2:$F1000 = A50) * ('Form responses 1'!$A$2:$A1000 &lt;= DATE(2024, 5, 31)))
+ SUMPRODUCT(('Form responses 1'!$G$2:$G1000 = A50) * ('Form responses 1'!$A$2:$A1000 &lt;= DATE(2024, 5, 31)))), 2), "-")
</f>
        <v>-</v>
      </c>
      <c r="H50" s="2">
        <f>IFERROR(ROUND(Data!B48/(SUMPRODUCT(('Form responses 1'!$B$2:$B1000 = A50) * ('Form responses 1'!$A$2:$A1000 &lt;= DATE(2024, 6, 30)))
+ SUMPRODUCT(('Form responses 1'!$C$2:$C1000 = A50) * ('Form responses 1'!$A$2:$A1000 &lt;= DATE(2024, 6, 30)))
+ SUMPRODUCT(('Form responses 1'!$D$2:$D1000 = A50) * ('Form responses 1'!$A$2:$A1000 &lt;= DATE(2024, 6, 30)))
+ SUMPRODUCT(('Form responses 1'!$E$2:$E1000 = A50) * ('Form responses 1'!$A$2:$A1000 &lt;= DATE(2024, 6, 30)))
+ SUMPRODUCT(('Form responses 1'!$F$2:$F1000 = A50) * ('Form responses 1'!$A$2:$A1000 &lt;= DATE(2024, 6, 30)))
+ SUMPRODUCT(('Form responses 1'!$G$2:$G1000 = A50) * ('Form responses 1'!$A$2:$A1000 &lt;= DATE(2024, 6, 30)))), 2), "-")
</f>
        <v>3.33</v>
      </c>
      <c r="I50" s="2">
        <f>IFERROR(ROUND(Data!B48/(SUMPRODUCT(('Form responses 1'!$B$2:$B1000 = A50) * ('Form responses 1'!$A$2:$A1000 &lt;= DATE(2024, 7, 31)))
+ SUMPRODUCT(('Form responses 1'!$C$2:$C1000 = A50) * ('Form responses 1'!$A$2:$A1000 &lt;= DATE(2024, 7, 31)))
+ SUMPRODUCT(('Form responses 1'!$D$2:$D1000 = A50) * ('Form responses 1'!$A$2:$A1000 &lt;= DATE(2024, 7, 31)))
+ SUMPRODUCT(('Form responses 1'!$E$2:$E1000 = A50) * ('Form responses 1'!$A$2:$A1000 &lt;= DATE(2024, 7, 31)))
+ SUMPRODUCT(('Form responses 1'!$F$2:$F1000 = A50) * ('Form responses 1'!$A$2:$A1000 &lt;= DATE(2024, 7, 31)))
+ SUMPRODUCT(('Form responses 1'!$G$2:$G1000 = A50) * ('Form responses 1'!$A$2:$A1000 &lt;= DATE(2024, 7, 31)))), 2), "-")
</f>
        <v>3.33</v>
      </c>
      <c r="J50" s="2">
        <f>IFERROR(ROUND(Data!B48/(SUMPRODUCT(('Form responses 1'!$B$2:$B1000 = A50) * ('Form responses 1'!$A$2:$A1000 &lt;= DATE(2024, 8, 31)))
+ SUMPRODUCT(('Form responses 1'!$C$2:$C1000 = A50) * ('Form responses 1'!$A$2:$A1000 &lt;= DATE(2024, 8, 31)))
+ SUMPRODUCT(('Form responses 1'!$D$2:$D1000 = A50) * ('Form responses 1'!$A$2:$A1000 &lt;= DATE(2024, 8, 31)))
+ SUMPRODUCT(('Form responses 1'!$E$2:$E1000 = A50) * ('Form responses 1'!$A$2:$A1000 &lt;= DATE(2024, 8, 31)))
+ SUMPRODUCT(('Form responses 1'!$F$2:$F1000 = A50) * ('Form responses 1'!$A$2:$A1000 &lt;= DATE(2024, 8, 31)))
+ SUMPRODUCT(('Form responses 1'!$G$2:$G1000 = A50) * ('Form responses 1'!$A$2:$A1000 &lt;= DATE(2024, 8, 31)))), 2), "-")
</f>
        <v>3.33</v>
      </c>
      <c r="K50" s="2">
        <f>IFERROR(ROUND(Data!B48/(SUMPRODUCT(('Form responses 1'!$B$2:$B1000 = A50) * ('Form responses 1'!$A$2:$A1000 &lt;= DATE(2024, 9, 30)))
+ SUMPRODUCT(('Form responses 1'!$C$2:$C1000 = A50) * ('Form responses 1'!$A$2:$A1000 &lt;= DATE(2024, 9, 30)))
+ SUMPRODUCT(('Form responses 1'!$D$2:$D1000 = A50) * ('Form responses 1'!$A$2:$A1000 &lt;= DATE(2024, 9, 30)))
+ SUMPRODUCT(('Form responses 1'!$E$2:$E1000 = A50) * ('Form responses 1'!$A$2:$A1000 &lt;= DATE(2024, 9, 30)))
+ SUMPRODUCT(('Form responses 1'!$F$2:$F1000 = A50) * ('Form responses 1'!$A$2:$A1000 &lt;= DATE(2024, 9, 30)))
+ SUMPRODUCT(('Form responses 1'!$G$2:$G1000 = A50) * ('Form responses 1'!$A$2:$A1000 &lt;= DATE(2024, 9, 30)))), 2), "-")
</f>
        <v>2.1</v>
      </c>
      <c r="L50" s="2">
        <f>IFERROR(ROUND(Data!B48/(SUMPRODUCT(('Form responses 1'!$B$2:$B1000 = A50) * ('Form responses 1'!$A$2:$A1000 &lt;= DATE(2024, 10, 31)))
+ SUMPRODUCT(('Form responses 1'!$C$2:$C1000 = A50) * ('Form responses 1'!$A$2:$A1000 &lt;= DATE(2024, 10, 31)))
+ SUMPRODUCT(('Form responses 1'!$D$2:$D1000 = A50) * ('Form responses 1'!$A$2:$A1000 &lt;= DATE(2024, 10, 31)))
+ SUMPRODUCT(('Form responses 1'!$E$2:$E1000 = A50) * ('Form responses 1'!$A$2:$A1000 &lt;= DATE(2024, 10, 31)))
+ SUMPRODUCT(('Form responses 1'!$F$2:$F1000 = A50) * ('Form responses 1'!$A$2:$A1000 &lt;= DATE(2024, 10, 31)))
+ SUMPRODUCT(('Form responses 1'!$G$2:$G1000 = A50) * ('Form responses 1'!$A$2:$A1000 &lt;= DATE(2024, 10, 31)))), 2), "-")
</f>
        <v>2</v>
      </c>
      <c r="M50" s="2">
        <f>IFERROR(ROUND(Data!B48/(SUMPRODUCT(('Form responses 1'!$B$2:$B1000 = A50) * ('Form responses 1'!$A$2:$A1000 &lt;= DATE(2024, 11, 30)))
+ SUMPRODUCT(('Form responses 1'!$C$2:$C1000 = A50) * ('Form responses 1'!$A$2:$A1000 &lt;= DATE(2024, 11, 30)))
+ SUMPRODUCT(('Form responses 1'!$D$2:$D1000 = A50) * ('Form responses 1'!$A$2:$A1000 &lt;= DATE(2024, 11, 30)))
+ SUMPRODUCT(('Form responses 1'!$E$2:$E1000 = A50) * ('Form responses 1'!$A$2:$A1000 &lt;= DATE(2024, 11, 30)))
+ SUMPRODUCT(('Form responses 1'!$F$2:$F1000 = A50) * ('Form responses 1'!$A$2:$A1000 &lt;= DATE(2024, 11, 30)))
+ SUMPRODUCT(('Form responses 1'!$G$2:$G1000 = A50) * ('Form responses 1'!$A$2:$A1000 &lt;= DATE(2024, 11, 30)))), 2), "-")
</f>
        <v>1.6</v>
      </c>
      <c r="N50" s="2">
        <f>IFERROR(ROUND(Data!B48/(SUMPRODUCT(('Form responses 1'!$B$2:$B1000 = A50) * ('Form responses 1'!$A$2:$A1000 &lt;= DATE(2024, 12, 31)))
+ SUMPRODUCT(('Form responses 1'!$C$2:$C1000 = A50) * ('Form responses 1'!$A$2:$A1000 &lt;= DATE(2024, 12, 31)))
+ SUMPRODUCT(('Form responses 1'!$D$2:$D1000 = A50) * ('Form responses 1'!$A$2:$A1000 &lt;= DATE(2024, 12, 31)))
+ SUMPRODUCT(('Form responses 1'!$E$2:$E1000 = A50) * ('Form responses 1'!$A$2:$A1000 &lt;= DATE(2024, 12, 31)))
+ SUMPRODUCT(('Form responses 1'!$F$2:$F1000 = A50) * ('Form responses 1'!$A$2:$A1000 &lt;= DATE(2024, 12, 31)))
+ SUMPRODUCT(('Form responses 1'!$G$2:$G1000 = A50) * ('Form responses 1'!$A$2:$A1000 &lt;= DATE(2024, 12, 31)))), 2), "-")
</f>
        <v>1.29</v>
      </c>
      <c r="O50" s="2">
        <f>IFERROR(ROUND(Data!B48/(SUMPRODUCT(('Form responses 1'!$B$2:$B1000 = A50) * ('Form responses 1'!$A$2:$A1000 &lt;= DATE(2025, 1, 31)))
+ SUMPRODUCT(('Form responses 1'!$C$2:$C1000 = A50) * ('Form responses 1'!$A$2:$A1000 &lt;= DATE(2025, 1, 31)))
+ SUMPRODUCT(('Form responses 1'!$D$2:$D1000 = A50) * ('Form responses 1'!$A$2:$A1000 &lt;= DATE(2025, 1, 31)))
+ SUMPRODUCT(('Form responses 1'!$E$2:$E1000 = A50) * ('Form responses 1'!$A$2:$A1000 &lt;= DATE(2025, 1, 31)))
+ SUMPRODUCT(('Form responses 1'!$F$2:$F1000 = A50) * ('Form responses 1'!$A$2:$A1000 &lt;= DATE(2025, 1, 31)))
+ SUMPRODUCT(('Form responses 1'!$G$2:$G1000 = A50) * ('Form responses 1'!$A$2:$A1000 &lt;= DATE(2025, 1, 31)))), 2), "-")
</f>
        <v>1.21</v>
      </c>
      <c r="P50" s="2">
        <f>IFERROR(ROUND(Data!B48/(SUMPRODUCT(('Form responses 1'!$B$2:$B1000 = A50) * ('Form responses 1'!$A$2:$A1000 &lt;= DATE(2025, 2, 28)))
+ SUMPRODUCT(('Form responses 1'!$C$2:$C1000 = A50) * ('Form responses 1'!$A$2:$A1000 &lt;= DATE(2025, 2, 28)))
+ SUMPRODUCT(('Form responses 1'!$D$2:$D1000 = A50) * ('Form responses 1'!$A$2:$A1000 &lt;= DATE(2025, 2, 28)))
+ SUMPRODUCT(('Form responses 1'!$E$2:$E1000 = A50) * ('Form responses 1'!$A$2:$A1000 &lt;= DATE(2025, 2, 28)))
+ SUMPRODUCT(('Form responses 1'!$F$2:$F1000 = A50) * ('Form responses 1'!$A$2:$A1000 &lt;= DATE(2025, 2, 28)))
+ SUMPRODUCT(('Form responses 1'!$G$2:$G1000 = A50) * ('Form responses 1'!$A$2:$A1000 &lt;= DATE(2025, 2, 28)))), 2), "-")
</f>
        <v>1.14</v>
      </c>
      <c r="Q50" s="2">
        <f>IFERROR(ROUND(Data!B48/(SUMPRODUCT(('Form responses 1'!$B$2:$B1000 = A50) * ('Form responses 1'!$A$2:$A1000 &lt;= DATE(2025, 3, 31)))
+ SUMPRODUCT(('Form responses 1'!$C$2:$C1000 = A50) * ('Form responses 1'!$A$2:$A1000 &lt;= DATE(2025, 3, 31)))
+ SUMPRODUCT(('Form responses 1'!$D$2:$D1000 = A50) * ('Form responses 1'!$A$2:$A1000 &lt;= DATE(2025, 3, 31)))
+ SUMPRODUCT(('Form responses 1'!$E$2:$E1000 = A50) * ('Form responses 1'!$A$2:$A1000 &lt;= DATE(2025, 3, 31)))
+ SUMPRODUCT(('Form responses 1'!$F$2:$F1000 = A50) * ('Form responses 1'!$A$2:$A1000 &lt;= DATE(2025, 3, 31)))
+ SUMPRODUCT(('Form responses 1'!$G$2:$G1000 = A50) * ('Form responses 1'!$A$2:$A1000 &lt;= DATE(2025, 3, 31)))),2),"-")</f>
        <v>1.08</v>
      </c>
      <c r="R50" s="2">
        <f>IFERROR(ROUND(Data!B48/(SUMPRODUCT(('Form responses 1'!$B$2:$B1000 = A50) * ('Form responses 1'!$A$2:$A1000 &lt;= DATE(2025, 4, 30)))
+ SUMPRODUCT(('Form responses 1'!$C$2:$C1000 = A50) * ('Form responses 1'!$A$2:$A1000 &lt;= DATE(2025, 4, 30)))
+ SUMPRODUCT(('Form responses 1'!$D$2:$D1000 = A50) * ('Form responses 1'!$A$2:$A1000 &lt;= DATE(2025, 4, 30)))
+ SUMPRODUCT(('Form responses 1'!$E$2:$E1000 = A50) * ('Form responses 1'!$A$2:$A1000 &lt;= DATE(2025, 4, 30)))
+ SUMPRODUCT(('Form responses 1'!$F$2:$F1000 = A50) * ('Form responses 1'!$A$2:$A1000 &lt;= DATE(2025, 4, 30)))
+ SUMPRODUCT(('Form responses 1'!$G$2:$G1000 = A50) * ('Form responses 1'!$A$2:$A1000 &lt;= DATE(2025, 4, 30)))), 2), "-")
</f>
        <v>1.02</v>
      </c>
      <c r="S50" s="2">
        <f>IFERROR(ROUND(Data!B48/(SUMPRODUCT(('Form responses 1'!$B$2:$B1000 = A50) * ('Form responses 1'!$A$2:$A1000 &lt;= DATE(2025, 5, 31)))
+ SUMPRODUCT(('Form responses 1'!$C$2:$C1000 = A50) * ('Form responses 1'!$A$2:$A1000 &lt;= DATE(2025, 5, 31)))
+ SUMPRODUCT(('Form responses 1'!$D$2:$D1000 = A50) * ('Form responses 1'!$A$2:$A1000 &lt;= DATE(2025, 5, 31)))
+ SUMPRODUCT(('Form responses 1'!$E$2:$E1000 = A50) * ('Form responses 1'!$A$2:$A1000 &lt;= DATE(2025, 5, 31)))
+ SUMPRODUCT(('Form responses 1'!$F$2:$F1000 = A50) * ('Form responses 1'!$A$2:$A1000 &lt;= DATE(2025, 5, 31)))
+ SUMPRODUCT(('Form responses 1'!$G$2:$G1000 = A50) * ('Form responses 1'!$A$2:$A1000 &lt;= DATE(2025, 5, 31)))), 2), "-")
</f>
        <v>1</v>
      </c>
      <c r="T50" s="2">
        <f>IFERROR(ROUND(Data!B48/(SUMPRODUCT(('Form responses 1'!$B$2:$B1000 = A50) * ('Form responses 1'!$A$2:$A1000 &lt;= DATE(2025, 6, 30)))
+ SUMPRODUCT(('Form responses 1'!$C$2:$C1000 = A50) * ('Form responses 1'!$A$2:$A1000 &lt;= DATE(2025, 6, 30)))
+ SUMPRODUCT(('Form responses 1'!$D$2:$D1000 = A50) * ('Form responses 1'!$A$2:$A1000 &lt;= DATE(2025, 6, 30)))
+ SUMPRODUCT(('Form responses 1'!$E$2:$E1000 = A50) * ('Form responses 1'!$A$2:$A1000 &lt;= DATE(2025, 6, 30)))
+ SUMPRODUCT(('Form responses 1'!$F$2:$F1000 = A50) * ('Form responses 1'!$A$2:$A1000 &lt;= DATE(2025, 6, 30)))
+ SUMPRODUCT(('Form responses 1'!$G$2:$G1000 = A50) * ('Form responses 1'!$A$2:$A1000 &lt;= DATE(2025, 6, 30)))), 2), "-")
</f>
        <v>1</v>
      </c>
      <c r="U50" s="2">
        <f>IFERROR(ROUND(Data!B48/(SUMPRODUCT(('Form responses 1'!$B$2:$B1000 = A50) * ('Form responses 1'!$A$2:$A1000 &lt;= DATE(2025, 7, 31)))
+ SUMPRODUCT(('Form responses 1'!$C$2:$C1000 = A50) * ('Form responses 1'!$A$2:$A1000 &lt;= DATE(2025, 7, 31)))
+ SUMPRODUCT(('Form responses 1'!$D$2:$D1000 = A50) * ('Form responses 1'!$A$2:$A1000 &lt;= DATE(2025, 7, 31)))
+ SUMPRODUCT(('Form responses 1'!$E$2:$E1000 = A50) * ('Form responses 1'!$A$2:$A1000 &lt;= DATE(2025, 7, 31)))
+ SUMPRODUCT(('Form responses 1'!$F$2:$F1000 = A50) * ('Form responses 1'!$A$2:$A1000 &lt;= DATE(2025, 7, 31)))
+ SUMPRODUCT(('Form responses 1'!$G$2:$G1000 = A50) * ('Form responses 1'!$A$2:$A1000 &lt;= DATE(2025, 7, 31)))), 2), "-")
</f>
        <v>1</v>
      </c>
      <c r="V50" s="2">
        <f>IFERROR(ROUND(Data!B48/(SUMPRODUCT(('Form responses 1'!$B$2:$B1000 = A50) * ('Form responses 1'!$A$2:$A1000 &lt;= DATE(2025, 8, 31)))
+ SUMPRODUCT(('Form responses 1'!$C$2:$C1000 = A50) * ('Form responses 1'!$A$2:$A1000 &lt;= DATE(2025, 8, 31)))
+ SUMPRODUCT(('Form responses 1'!$D$2:$D1000 = A50) * ('Form responses 1'!$A$2:$A1000 &lt;= DATE(2025, 8, 31)))
+ SUMPRODUCT(('Form responses 1'!$E$2:$E1000 = A50) * ('Form responses 1'!$A$2:$A1000 &lt;= DATE(2025, 8, 31)))
+ SUMPRODUCT(('Form responses 1'!$F$2:$F1000 = A50) * ('Form responses 1'!$A$2:$A1000 &lt;= DATE(2025, 8, 31)))
+ SUMPRODUCT(('Form responses 1'!$G$2:$G1000 = A50) * ('Form responses 1'!$A$2:$A1000 &lt;= DATE(2025, 8, 31)))), 2), "-")
</f>
        <v>1</v>
      </c>
      <c r="W50" s="2">
        <f>IFERROR(ROUND(Data!B48/(SUMPRODUCT(('Form responses 1'!$B$2:$B1000 = A50) * ('Form responses 1'!$A$2:$A1000 &lt;= DATE(2025, 9, 30)))
+ SUMPRODUCT(('Form responses 1'!$C$2:$C1000 = A50) * ('Form responses 1'!$A$2:$A1000 &lt;= DATE(2025, 9, 30)))
+ SUMPRODUCT(('Form responses 1'!$D$2:$D1000 = A50) * ('Form responses 1'!$A$2:$A1000 &lt;= DATE(2025, 9, 30)))
+ SUMPRODUCT(('Form responses 1'!$E$2:$E1000 = A50) * ('Form responses 1'!$A$2:$A1000 &lt;= DATE(2025, 9, 30)))
+ SUMPRODUCT(('Form responses 1'!$F$2:$F1000 = A50) * ('Form responses 1'!$A$2:$A1000 &lt;= DATE(2025, 9, 30)))
+ SUMPRODUCT(('Form responses 1'!$G$2:$G1000 = A50) * ('Form responses 1'!$A$2:$A1000 &lt;= DATE(2025, 9, 30)))), 2), "-")
</f>
        <v>1</v>
      </c>
      <c r="X50" s="2">
        <f>IFERROR(ROUND(Data!B48/(SUMPRODUCT(('Form responses 1'!$B$2:$B1000 = A50) * ('Form responses 1'!$A$2:$A1000 &lt;= DATE(2025, 10, 31)))
+ SUMPRODUCT(('Form responses 1'!$C$2:$C1000 = A50) * ('Form responses 1'!$A$2:$A1000 &lt;= DATE(2025, 10, 31)))
+ SUMPRODUCT(('Form responses 1'!$D$2:$D1000 = A50) * ('Form responses 1'!$A$2:$A1000 &lt;= DATE(2025, 10, 31)))
+ SUMPRODUCT(('Form responses 1'!$E$2:$E1000 = A50) * ('Form responses 1'!$A$2:$A1000 &lt;= DATE(2025, 10, 31)))
+ SUMPRODUCT(('Form responses 1'!$F$2:$F1000 = A50) * ('Form responses 1'!$A$2:$A1000 &lt;= DATE(2025, 10, 31)))
+ SUMPRODUCT(('Form responses 1'!$G$2:$G1000 = A50) * ('Form responses 1'!$A$2:$A1000 &lt;= DATE(2025, 10, 31)))), 2), "-")
</f>
        <v>0.95</v>
      </c>
      <c r="Y50" s="2">
        <f>IFERROR(ROUND(Data!B48/(SUMPRODUCT(('Form responses 1'!$B$2:$B1000 = A50) * ('Form responses 1'!$A$2:$A1000 &lt;= DATE(2025, 11, 30)))
+ SUMPRODUCT(('Form responses 1'!$C$2:$C1000 = A50) * ('Form responses 1'!$A$2:$A1000 &lt;= DATE(2025, 11, 30)))
+ SUMPRODUCT(('Form responses 1'!$D$2:$D1000 = A50) * ('Form responses 1'!$A$2:$A1000 &lt;= DATE(2025, 11, 30)))
+ SUMPRODUCT(('Form responses 1'!$E$2:$E1000 = A50) * ('Form responses 1'!$A$2:$A1000 &lt;= DATE(2025, 11, 30)))
+ SUMPRODUCT(('Form responses 1'!$F$2:$F1000 = A50) * ('Form responses 1'!$A$2:$A1000 &lt;= DATE(2025, 11, 30)))
+ SUMPRODUCT(('Form responses 1'!$G$2:$G1000 = A50) * ('Form responses 1'!$A$2:$A1000 &lt;= DATE(2025, 11, 30)))), 2), "-")
</f>
        <v>0.85</v>
      </c>
      <c r="Z50" s="2">
        <f>IFERROR(ROUND(Data!B48/(SUMPRODUCT(('Form responses 1'!$B$2:$B1000 = A50) * ('Form responses 1'!$A$2:$A1000 &lt;= DATE(2025, 12, 31)))
+ SUMPRODUCT(('Form responses 1'!$C$2:$C1000 = A50) * ('Form responses 1'!$A$2:$A1000 &lt;= DATE(2025, 12, 31)))
+ SUMPRODUCT(('Form responses 1'!$D$2:$D1000 = A50) * ('Form responses 1'!$A$2:$A1000 &lt;= DATE(2025, 12, 31)))
+ SUMPRODUCT(('Form responses 1'!$E$2:$E1000 = A50) * ('Form responses 1'!$A$2:$A1000 &lt;= DATE(2025, 12, 31)))
+ SUMPRODUCT(('Form responses 1'!$F$2:$F1000 = A50) * ('Form responses 1'!$A$2:$A1000 &lt;= DATE(2025, 12, 31)))
+ SUMPRODUCT(('Form responses 1'!$G$2:$G1000 = A50) * ('Form responses 1'!$A$2:$A1000 &lt;= DATE(2025, 12, 31)))), 2), "-")
</f>
        <v>0.83</v>
      </c>
      <c r="AA50" s="2">
        <f>IFERROR(ROUND(Data!$B50/(
  SUMPRODUCT(('Form responses 1'!$B$2:$B1000=$A50)*('Form responses 1'!$A$2:$A1000&lt;=EOMONTH(DATEVALUE("1 "&amp;AA$1),0)))+
  SUMPRODUCT(('Form responses 1'!$C$2:$C1000=$A50)*('Form responses 1'!$A$2:$A1000&lt;=EOMONTH(DATEVALUE("1 "&amp;AA$1),0)))+
  SUMPRODUCT(('Form responses 1'!$D$2:$D1000=$A50)*('Form responses 1'!$A$2:$A1000&lt;=EOMONTH(DATEVALUE("1 "&amp;AA$1),0)))+
  SUMPRODUCT(('Form responses 1'!$E$2:$E1000=$A50)*('Form responses 1'!$A$2:$A1000&lt;=EOMONTH(DATEVALUE("1 "&amp;AA$1),0)))+
  SUMPRODUCT(('Form responses 1'!$F$2:$F1000=$A50)*('Form responses 1'!$A$2:$A1000&lt;=EOMONTH(DATEVALUE("1 "&amp;AA$1),0)))+
  SUMPRODUCT(('Form responses 1'!$G$2:$G1000=$A50)*('Form responses 1'!$A$2:$A1000&lt;=EOMONTH(DATEVALUE("1 "&amp;AA$1),0)))
),2),"-")</f>
        <v>0.79</v>
      </c>
      <c r="AB50" s="2">
        <f>IFERROR(ROUND(Data!$B50/(
  SUMPRODUCT(('Form responses 1'!$B$2:$B1000=$A50)*('Form responses 1'!$A$2:$A1000&lt;=EOMONTH(DATEVALUE("1 "&amp;AB$1),0)))+
  SUMPRODUCT(('Form responses 1'!$C$2:$C1000=$A50)*('Form responses 1'!$A$2:$A1000&lt;=EOMONTH(DATEVALUE("1 "&amp;AB$1),0)))+
  SUMPRODUCT(('Form responses 1'!$D$2:$D1000=$A50)*('Form responses 1'!$A$2:$A1000&lt;=EOMONTH(DATEVALUE("1 "&amp;AB$1),0)))+
  SUMPRODUCT(('Form responses 1'!$E$2:$E1000=$A50)*('Form responses 1'!$A$2:$A1000&lt;=EOMONTH(DATEVALUE("1 "&amp;AB$1),0)))+
  SUMPRODUCT(('Form responses 1'!$F$2:$F1000=$A50)*('Form responses 1'!$A$2:$A1000&lt;=EOMONTH(DATEVALUE("1 "&amp;AB$1),0)))+
  SUMPRODUCT(('Form responses 1'!$G$2:$G1000=$A50)*('Form responses 1'!$A$2:$A1000&lt;=EOMONTH(DATEVALUE("1 "&amp;AB$1),0)))
),2),"-")</f>
        <v>0.76</v>
      </c>
      <c r="AC50" s="2">
        <f>IFERROR(ROUND(Data!$B50/(
  SUMPRODUCT(('Form responses 1'!$B$2:$B1000=$A50)*('Form responses 1'!$A$2:$A1000&lt;=EOMONTH(DATEVALUE("1 "&amp;AC$1),0)))+
  SUMPRODUCT(('Form responses 1'!$C$2:$C1000=$A50)*('Form responses 1'!$A$2:$A1000&lt;=EOMONTH(DATEVALUE("1 "&amp;AC$1),0)))+
  SUMPRODUCT(('Form responses 1'!$D$2:$D1000=$A50)*('Form responses 1'!$A$2:$A1000&lt;=EOMONTH(DATEVALUE("1 "&amp;AC$1),0)))+
  SUMPRODUCT(('Form responses 1'!$E$2:$E1000=$A50)*('Form responses 1'!$A$2:$A1000&lt;=EOMONTH(DATEVALUE("1 "&amp;AC$1),0)))+
  SUMPRODUCT(('Form responses 1'!$F$2:$F1000=$A50)*('Form responses 1'!$A$2:$A1000&lt;=EOMONTH(DATEVALUE("1 "&amp;AC$1),0)))+
  SUMPRODUCT(('Form responses 1'!$G$2:$G1000=$A50)*('Form responses 1'!$A$2:$A1000&lt;=EOMONTH(DATEVALUE("1 "&amp;AC$1),0)))
),2),"-")</f>
        <v>0.74</v>
      </c>
      <c r="AD50" s="2" t="str">
        <f>IFERROR(ROUND(Data!$B50/(
  SUMPRODUCT(('Form responses 1'!$B$2:$B1000=$A50)*('Form responses 1'!$A$2:$A1000&lt;=EOMONTH(DATEVALUE("1 "&amp;AD$1),0)))+
  SUMPRODUCT(('Form responses 1'!$C$2:$C1000=$A50)*('Form responses 1'!$A$2:$A1000&lt;=EOMONTH(DATEVALUE("1 "&amp;AD$1),0)))+
  SUMPRODUCT(('Form responses 1'!$D$2:$D1000=$A50)*('Form responses 1'!$A$2:$A1000&lt;=EOMONTH(DATEVALUE("1 "&amp;AD$1),0)))+
  SUMPRODUCT(('Form responses 1'!$E$2:$E1000=$A50)*('Form responses 1'!$A$2:$A1000&lt;=EOMONTH(DATEVALUE("1 "&amp;AD$1),0)))+
  SUMPRODUCT(('Form responses 1'!$F$2:$F1000=$A50)*('Form responses 1'!$A$2:$A1000&lt;=EOMONTH(DATEVALUE("1 "&amp;AD$1),0)))+
  SUMPRODUCT(('Form responses 1'!$G$2:$G1000=$A50)*('Form responses 1'!$A$2:$A1000&lt;=EOMONTH(DATEVALUE("1 "&amp;AD$1),0)))
),2),"-")</f>
        <v>-</v>
      </c>
      <c r="AE50" s="2" t="str">
        <f>IFERROR(ROUND(Data!$B50/(
  SUMPRODUCT(('Form responses 1'!$B$2:$B1000=$A50)*('Form responses 1'!$A$2:$A1000&lt;=EOMONTH(DATEVALUE("1 "&amp;AE$1),0)))+
  SUMPRODUCT(('Form responses 1'!$C$2:$C1000=$A50)*('Form responses 1'!$A$2:$A1000&lt;=EOMONTH(DATEVALUE("1 "&amp;AE$1),0)))+
  SUMPRODUCT(('Form responses 1'!$D$2:$D1000=$A50)*('Form responses 1'!$A$2:$A1000&lt;=EOMONTH(DATEVALUE("1 "&amp;AE$1),0)))+
  SUMPRODUCT(('Form responses 1'!$E$2:$E1000=$A50)*('Form responses 1'!$A$2:$A1000&lt;=EOMONTH(DATEVALUE("1 "&amp;AE$1),0)))+
  SUMPRODUCT(('Form responses 1'!$F$2:$F1000=$A50)*('Form responses 1'!$A$2:$A1000&lt;=EOMONTH(DATEVALUE("1 "&amp;AE$1),0)))+
  SUMPRODUCT(('Form responses 1'!$G$2:$G1000=$A50)*('Form responses 1'!$A$2:$A1000&lt;=EOMONTH(DATEVALUE("1 "&amp;AE$1),0)))
),2),"-")</f>
        <v>-</v>
      </c>
      <c r="AF50" s="2" t="str">
        <f>IFERROR(ROUND(Data!$B50/(
  SUMPRODUCT(('Form responses 1'!$B$2:$B1000=$A50)*('Form responses 1'!$A$2:$A1000&lt;=EOMONTH(DATEVALUE("1 "&amp;AF$1),0)))+
  SUMPRODUCT(('Form responses 1'!$C$2:$C1000=$A50)*('Form responses 1'!$A$2:$A1000&lt;=EOMONTH(DATEVALUE("1 "&amp;AF$1),0)))+
  SUMPRODUCT(('Form responses 1'!$D$2:$D1000=$A50)*('Form responses 1'!$A$2:$A1000&lt;=EOMONTH(DATEVALUE("1 "&amp;AF$1),0)))+
  SUMPRODUCT(('Form responses 1'!$E$2:$E1000=$A50)*('Form responses 1'!$A$2:$A1000&lt;=EOMONTH(DATEVALUE("1 "&amp;AF$1),0)))+
  SUMPRODUCT(('Form responses 1'!$F$2:$F1000=$A50)*('Form responses 1'!$A$2:$A1000&lt;=EOMONTH(DATEVALUE("1 "&amp;AF$1),0)))+
  SUMPRODUCT(('Form responses 1'!$G$2:$G1000=$A50)*('Form responses 1'!$A$2:$A1000&lt;=EOMONTH(DATEVALUE("1 "&amp;AF$1),0)))
),2),"-")</f>
        <v>-</v>
      </c>
      <c r="AG50" s="2" t="str">
        <f>IFERROR(ROUND(Data!$B50/(
  SUMPRODUCT(('Form responses 1'!$B$2:$B1000=$A50)*('Form responses 1'!$A$2:$A1000&lt;=EOMONTH(DATEVALUE("1 "&amp;AG$1),0)))+
  SUMPRODUCT(('Form responses 1'!$C$2:$C1000=$A50)*('Form responses 1'!$A$2:$A1000&lt;=EOMONTH(DATEVALUE("1 "&amp;AG$1),0)))+
  SUMPRODUCT(('Form responses 1'!$D$2:$D1000=$A50)*('Form responses 1'!$A$2:$A1000&lt;=EOMONTH(DATEVALUE("1 "&amp;AG$1),0)))+
  SUMPRODUCT(('Form responses 1'!$E$2:$E1000=$A50)*('Form responses 1'!$A$2:$A1000&lt;=EOMONTH(DATEVALUE("1 "&amp;AG$1),0)))+
  SUMPRODUCT(('Form responses 1'!$F$2:$F1000=$A50)*('Form responses 1'!$A$2:$A1000&lt;=EOMONTH(DATEVALUE("1 "&amp;AG$1),0)))+
  SUMPRODUCT(('Form responses 1'!$G$2:$G1000=$A50)*('Form responses 1'!$A$2:$A1000&lt;=EOMONTH(DATEVALUE("1 "&amp;AG$1),0)))
),2),"-")</f>
        <v>-</v>
      </c>
      <c r="AH50" s="2" t="str">
        <f>IFERROR(ROUND(Data!$B50/(
  SUMPRODUCT(('Form responses 1'!$B$2:$B1000=$A50)*('Form responses 1'!$A$2:$A1000&lt;=EOMONTH(DATEVALUE("1 "&amp;AH$1),0)))+
  SUMPRODUCT(('Form responses 1'!$C$2:$C1000=$A50)*('Form responses 1'!$A$2:$A1000&lt;=EOMONTH(DATEVALUE("1 "&amp;AH$1),0)))+
  SUMPRODUCT(('Form responses 1'!$D$2:$D1000=$A50)*('Form responses 1'!$A$2:$A1000&lt;=EOMONTH(DATEVALUE("1 "&amp;AH$1),0)))+
  SUMPRODUCT(('Form responses 1'!$E$2:$E1000=$A50)*('Form responses 1'!$A$2:$A1000&lt;=EOMONTH(DATEVALUE("1 "&amp;AH$1),0)))+
  SUMPRODUCT(('Form responses 1'!$F$2:$F1000=$A50)*('Form responses 1'!$A$2:$A1000&lt;=EOMONTH(DATEVALUE("1 "&amp;AH$1),0)))+
  SUMPRODUCT(('Form responses 1'!$G$2:$G1000=$A50)*('Form responses 1'!$A$2:$A1000&lt;=EOMONTH(DATEVALUE("1 "&amp;AH$1),0)))
),2),"-")</f>
        <v>-</v>
      </c>
      <c r="AI50" s="2" t="str">
        <f>IFERROR(ROUND(Data!$B50/(
  SUMPRODUCT(('Form responses 1'!$B$2:$B1000=$A50)*('Form responses 1'!$A$2:$A1000&lt;=EOMONTH(DATEVALUE("1 "&amp;AI$1),0)))+
  SUMPRODUCT(('Form responses 1'!$C$2:$C1000=$A50)*('Form responses 1'!$A$2:$A1000&lt;=EOMONTH(DATEVALUE("1 "&amp;AI$1),0)))+
  SUMPRODUCT(('Form responses 1'!$D$2:$D1000=$A50)*('Form responses 1'!$A$2:$A1000&lt;=EOMONTH(DATEVALUE("1 "&amp;AI$1),0)))+
  SUMPRODUCT(('Form responses 1'!$E$2:$E1000=$A50)*('Form responses 1'!$A$2:$A1000&lt;=EOMONTH(DATEVALUE("1 "&amp;AI$1),0)))+
  SUMPRODUCT(('Form responses 1'!$F$2:$F1000=$A50)*('Form responses 1'!$A$2:$A1000&lt;=EOMONTH(DATEVALUE("1 "&amp;AI$1),0)))+
  SUMPRODUCT(('Form responses 1'!$G$2:$G1000=$A50)*('Form responses 1'!$A$2:$A1000&lt;=EOMONTH(DATEVALUE("1 "&amp;AI$1),0)))
),2),"-")</f>
        <v>-</v>
      </c>
      <c r="AJ50" s="2" t="str">
        <f>IFERROR(ROUND(Data!$B50/(
  SUMPRODUCT(('Form responses 1'!$B$2:$B1000=$A50)*('Form responses 1'!$A$2:$A1000&lt;=EOMONTH(DATEVALUE("1 "&amp;AJ$1),0)))+
  SUMPRODUCT(('Form responses 1'!$C$2:$C1000=$A50)*('Form responses 1'!$A$2:$A1000&lt;=EOMONTH(DATEVALUE("1 "&amp;AJ$1),0)))+
  SUMPRODUCT(('Form responses 1'!$D$2:$D1000=$A50)*('Form responses 1'!$A$2:$A1000&lt;=EOMONTH(DATEVALUE("1 "&amp;AJ$1),0)))+
  SUMPRODUCT(('Form responses 1'!$E$2:$E1000=$A50)*('Form responses 1'!$A$2:$A1000&lt;=EOMONTH(DATEVALUE("1 "&amp;AJ$1),0)))+
  SUMPRODUCT(('Form responses 1'!$F$2:$F1000=$A50)*('Form responses 1'!$A$2:$A1000&lt;=EOMONTH(DATEVALUE("1 "&amp;AJ$1),0)))+
  SUMPRODUCT(('Form responses 1'!$G$2:$G1000=$A50)*('Form responses 1'!$A$2:$A1000&lt;=EOMONTH(DATEVALUE("1 "&amp;AJ$1),0)))
),2),"-")</f>
        <v>-</v>
      </c>
      <c r="AK50" s="2" t="str">
        <f>IFERROR(ROUND(Data!$B50/(
  SUMPRODUCT(('Form responses 1'!$B$2:$B1000=$A50)*('Form responses 1'!$A$2:$A1000&lt;=EOMONTH(DATEVALUE("1 "&amp;AK$1),0)))+
  SUMPRODUCT(('Form responses 1'!$C$2:$C1000=$A50)*('Form responses 1'!$A$2:$A1000&lt;=EOMONTH(DATEVALUE("1 "&amp;AK$1),0)))+
  SUMPRODUCT(('Form responses 1'!$D$2:$D1000=$A50)*('Form responses 1'!$A$2:$A1000&lt;=EOMONTH(DATEVALUE("1 "&amp;AK$1),0)))+
  SUMPRODUCT(('Form responses 1'!$E$2:$E1000=$A50)*('Form responses 1'!$A$2:$A1000&lt;=EOMONTH(DATEVALUE("1 "&amp;AK$1),0)))+
  SUMPRODUCT(('Form responses 1'!$F$2:$F1000=$A50)*('Form responses 1'!$A$2:$A1000&lt;=EOMONTH(DATEVALUE("1 "&amp;AK$1),0)))+
  SUMPRODUCT(('Form responses 1'!$G$2:$G1000=$A50)*('Form responses 1'!$A$2:$A1000&lt;=EOMONTH(DATEVALUE("1 "&amp;AK$1),0)))
),2),"-")</f>
        <v>-</v>
      </c>
      <c r="AL50" s="2" t="str">
        <f>IFERROR(ROUND(Data!$B50/(
  SUMPRODUCT(('Form responses 1'!$B$2:$B1000=$A50)*('Form responses 1'!$A$2:$A1000&lt;=EOMONTH(DATEVALUE("1 "&amp;AL$1),0)))+
  SUMPRODUCT(('Form responses 1'!$C$2:$C1000=$A50)*('Form responses 1'!$A$2:$A1000&lt;=EOMONTH(DATEVALUE("1 "&amp;AL$1),0)))+
  SUMPRODUCT(('Form responses 1'!$D$2:$D1000=$A50)*('Form responses 1'!$A$2:$A1000&lt;=EOMONTH(DATEVALUE("1 "&amp;AL$1),0)))+
  SUMPRODUCT(('Form responses 1'!$E$2:$E1000=$A50)*('Form responses 1'!$A$2:$A1000&lt;=EOMONTH(DATEVALUE("1 "&amp;AL$1),0)))+
  SUMPRODUCT(('Form responses 1'!$F$2:$F1000=$A50)*('Form responses 1'!$A$2:$A1000&lt;=EOMONTH(DATEVALUE("1 "&amp;AL$1),0)))+
  SUMPRODUCT(('Form responses 1'!$G$2:$G1000=$A50)*('Form responses 1'!$A$2:$A1000&lt;=EOMONTH(DATEVALUE("1 "&amp;AL$1),0)))
),2),"-")</f>
        <v>-</v>
      </c>
    </row>
    <row r="51">
      <c r="A51" s="3" t="str">
        <f>IFERROR(__xludf.DUMMYFUNCTION("""COMPUTED_VALUE"""),"Grijze ralph lauren polo")</f>
        <v>Grijze ralph lauren polo</v>
      </c>
      <c r="B51" s="2">
        <f>Data!F49:F1000</f>
        <v>0.8</v>
      </c>
      <c r="C51" s="2">
        <f>IFERROR(ROUND(Data!B49/(SUMPRODUCT(('Form responses 1'!$B$2:$B1000 = A51) * ('Form responses 1'!$A$2:$A1000 &lt;= DATE(2024, 1, 31)))
+ SUMPRODUCT(('Form responses 1'!$C$2:$C1000 = A51) * ('Form responses 1'!$A$2:$A1000 &lt;= DATE(2024, 1, 31)))
+ SUMPRODUCT(('Form responses 1'!$D$2:$D1000 = A51) * ('Form responses 1'!$A$2:$A1000 &lt;= DATE(2024, 1, 31)))
+ SUMPRODUCT(('Form responses 1'!$E$2:$E1000 = A51) * ('Form responses 1'!$A$2:$A1000 &lt;= DATE(2024, 1, 31)))
+ SUMPRODUCT(('Form responses 1'!$F$2:$F1000 = A51) * ('Form responses 1'!$A$2:$A1000 &lt;= DATE(2024, 1, 31)))
+ SUMPRODUCT(('Form responses 1'!$G$2:$G1000 = A51) * ('Form responses 1'!$A$2:$A1000 &lt;= DATE(2024, 1, 31)))), 2), "-")
</f>
        <v>20.57</v>
      </c>
      <c r="D51" s="2">
        <f>IFERROR(ROUND(Data!B49/(SUMPRODUCT(('Form responses 1'!$B$2:$B1000 = A51) * ('Form responses 1'!$A$2:$A1000 &lt;= DATE(2024, 2, 29)))
+ SUMPRODUCT(('Form responses 1'!$C$2:$C1000 = A51) * ('Form responses 1'!$A$2:$A1000 &lt;= DATE(2024, 2, 29)))
+ SUMPRODUCT(('Form responses 1'!$D$2:$D1000 = A51) * ('Form responses 1'!$A$2:$A1000 &lt;= DATE(2024, 2, 29)))
+ SUMPRODUCT(('Form responses 1'!$E$2:$E1000 = A51) * ('Form responses 1'!$A$2:$A1000 &lt;= DATE(2024, 2, 29)))
+ SUMPRODUCT(('Form responses 1'!$F$2:$F1000 = A51) * ('Form responses 1'!$A$2:$A1000 &lt;= DATE(2024, 2, 29)))
+ SUMPRODUCT(('Form responses 1'!$G$2:$G1000 = A51) * ('Form responses 1'!$A$2:$A1000 &lt;= DATE(2024, 2, 29)))), 2), "-")
</f>
        <v>20.57</v>
      </c>
      <c r="E51" s="2">
        <f>IFERROR(ROUND(Data!B49/(SUMPRODUCT(('Form responses 1'!$B$2:$B1000 = A51) * ('Form responses 1'!$A$2:$A1000 &lt;= DATE(2024, 3, 31)))
+ SUMPRODUCT(('Form responses 1'!$C$2:$C1000 = A51) * ('Form responses 1'!$A$2:$A1000 &lt;= DATE(2024, 3, 31)))
+ SUMPRODUCT(('Form responses 1'!$D$2:$D1000 = A51) * ('Form responses 1'!$A$2:$A1000 &lt;= DATE(2024, 3, 31)))
+ SUMPRODUCT(('Form responses 1'!$E$2:$E1000 = A51) * ('Form responses 1'!$A$2:$A1000 &lt;= DATE(2024, 3, 31)))
+ SUMPRODUCT(('Form responses 1'!$F$2:$F1000 = A51) * ('Form responses 1'!$A$2:$A1000 &lt;= DATE(2024, 3, 31)))
+ SUMPRODUCT(('Form responses 1'!$G$2:$G1000 = A51) * ('Form responses 1'!$A$2:$A1000 &lt;= DATE(2024, 3, 31)))), 2), "-")
</f>
        <v>10.29</v>
      </c>
      <c r="F51" s="2">
        <f>IFERROR(ROUND(Data!B49/(SUMPRODUCT(('Form responses 1'!$B$2:$B1000 = A51) * ('Form responses 1'!$A$2:$A1000 &lt;= DATE(2024, 4, 30)))
+ SUMPRODUCT(('Form responses 1'!$C$2:$C1000 = A51) * ('Form responses 1'!$A$2:$A1000 &lt;= DATE(2024, 4, 30)))
+ SUMPRODUCT(('Form responses 1'!$D$2:$D1000 = A51) * ('Form responses 1'!$A$2:$A1000 &lt;= DATE(2024, 4, 30)))
+ SUMPRODUCT(('Form responses 1'!$E$2:$E1000 = A51) * ('Form responses 1'!$A$2:$A1000 &lt;= DATE(2024, 4, 30)))
+ SUMPRODUCT(('Form responses 1'!$F$2:$F1000 = A51) * ('Form responses 1'!$A$2:$A1000 &lt;= DATE(2024, 4, 30)))
+ SUMPRODUCT(('Form responses 1'!$G$2:$G1000 = A51) * ('Form responses 1'!$A$2:$A1000 &lt;= DATE(2024, 4, 30)))), 2), "-")
</f>
        <v>6.86</v>
      </c>
      <c r="G51" s="2">
        <f>IFERROR(ROUND(Data!B49/(SUMPRODUCT(('Form responses 1'!$B$2:$B1000 = A51) * ('Form responses 1'!$A$2:$A1000 &lt;= DATE(2024, 5, 31)))
+ SUMPRODUCT(('Form responses 1'!$C$2:$C1000 = A51) * ('Form responses 1'!$A$2:$A1000 &lt;= DATE(2024, 5, 31)))
+ SUMPRODUCT(('Form responses 1'!$D$2:$D1000 = A51) * ('Form responses 1'!$A$2:$A1000 &lt;= DATE(2024, 5, 31)))
+ SUMPRODUCT(('Form responses 1'!$E$2:$E1000 = A51) * ('Form responses 1'!$A$2:$A1000 &lt;= DATE(2024, 5, 31)))
+ SUMPRODUCT(('Form responses 1'!$F$2:$F1000 = A51) * ('Form responses 1'!$A$2:$A1000 &lt;= DATE(2024, 5, 31)))
+ SUMPRODUCT(('Form responses 1'!$G$2:$G1000 = A51) * ('Form responses 1'!$A$2:$A1000 &lt;= DATE(2024, 5, 31)))), 2), "-")
</f>
        <v>4.57</v>
      </c>
      <c r="H51" s="2">
        <f>IFERROR(ROUND(Data!B49/(SUMPRODUCT(('Form responses 1'!$B$2:$B1000 = A51) * ('Form responses 1'!$A$2:$A1000 &lt;= DATE(2024, 6, 30)))
+ SUMPRODUCT(('Form responses 1'!$C$2:$C1000 = A51) * ('Form responses 1'!$A$2:$A1000 &lt;= DATE(2024, 6, 30)))
+ SUMPRODUCT(('Form responses 1'!$D$2:$D1000 = A51) * ('Form responses 1'!$A$2:$A1000 &lt;= DATE(2024, 6, 30)))
+ SUMPRODUCT(('Form responses 1'!$E$2:$E1000 = A51) * ('Form responses 1'!$A$2:$A1000 &lt;= DATE(2024, 6, 30)))
+ SUMPRODUCT(('Form responses 1'!$F$2:$F1000 = A51) * ('Form responses 1'!$A$2:$A1000 &lt;= DATE(2024, 6, 30)))
+ SUMPRODUCT(('Form responses 1'!$G$2:$G1000 = A51) * ('Form responses 1'!$A$2:$A1000 &lt;= DATE(2024, 6, 30)))), 2), "-")
</f>
        <v>2.94</v>
      </c>
      <c r="I51" s="2">
        <f>IFERROR(ROUND(Data!B49/(SUMPRODUCT(('Form responses 1'!$B$2:$B1000 = A51) * ('Form responses 1'!$A$2:$A1000 &lt;= DATE(2024, 7, 31)))
+ SUMPRODUCT(('Form responses 1'!$C$2:$C1000 = A51) * ('Form responses 1'!$A$2:$A1000 &lt;= DATE(2024, 7, 31)))
+ SUMPRODUCT(('Form responses 1'!$D$2:$D1000 = A51) * ('Form responses 1'!$A$2:$A1000 &lt;= DATE(2024, 7, 31)))
+ SUMPRODUCT(('Form responses 1'!$E$2:$E1000 = A51) * ('Form responses 1'!$A$2:$A1000 &lt;= DATE(2024, 7, 31)))
+ SUMPRODUCT(('Form responses 1'!$F$2:$F1000 = A51) * ('Form responses 1'!$A$2:$A1000 &lt;= DATE(2024, 7, 31)))
+ SUMPRODUCT(('Form responses 1'!$G$2:$G1000 = A51) * ('Form responses 1'!$A$2:$A1000 &lt;= DATE(2024, 7, 31)))), 2), "-")
</f>
        <v>2.57</v>
      </c>
      <c r="J51" s="2">
        <f>IFERROR(ROUND(Data!B49/(SUMPRODUCT(('Form responses 1'!$B$2:$B1000 = A51) * ('Form responses 1'!$A$2:$A1000 &lt;= DATE(2024, 8, 31)))
+ SUMPRODUCT(('Form responses 1'!$C$2:$C1000 = A51) * ('Form responses 1'!$A$2:$A1000 &lt;= DATE(2024, 8, 31)))
+ SUMPRODUCT(('Form responses 1'!$D$2:$D1000 = A51) * ('Form responses 1'!$A$2:$A1000 &lt;= DATE(2024, 8, 31)))
+ SUMPRODUCT(('Form responses 1'!$E$2:$E1000 = A51) * ('Form responses 1'!$A$2:$A1000 &lt;= DATE(2024, 8, 31)))
+ SUMPRODUCT(('Form responses 1'!$F$2:$F1000 = A51) * ('Form responses 1'!$A$2:$A1000 &lt;= DATE(2024, 8, 31)))
+ SUMPRODUCT(('Form responses 1'!$G$2:$G1000 = A51) * ('Form responses 1'!$A$2:$A1000 &lt;= DATE(2024, 8, 31)))), 2), "-")
</f>
        <v>2.57</v>
      </c>
      <c r="K51" s="2">
        <f>IFERROR(ROUND(Data!B49/(SUMPRODUCT(('Form responses 1'!$B$2:$B1000 = A51) * ('Form responses 1'!$A$2:$A1000 &lt;= DATE(2024, 9, 30)))
+ SUMPRODUCT(('Form responses 1'!$C$2:$C1000 = A51) * ('Form responses 1'!$A$2:$A1000 &lt;= DATE(2024, 9, 30)))
+ SUMPRODUCT(('Form responses 1'!$D$2:$D1000 = A51) * ('Form responses 1'!$A$2:$A1000 &lt;= DATE(2024, 9, 30)))
+ SUMPRODUCT(('Form responses 1'!$E$2:$E1000 = A51) * ('Form responses 1'!$A$2:$A1000 &lt;= DATE(2024, 9, 30)))
+ SUMPRODUCT(('Form responses 1'!$F$2:$F1000 = A51) * ('Form responses 1'!$A$2:$A1000 &lt;= DATE(2024, 9, 30)))
+ SUMPRODUCT(('Form responses 1'!$G$2:$G1000 = A51) * ('Form responses 1'!$A$2:$A1000 &lt;= DATE(2024, 9, 30)))), 2), "-")
</f>
        <v>2.57</v>
      </c>
      <c r="L51" s="2">
        <f>IFERROR(ROUND(Data!B49/(SUMPRODUCT(('Form responses 1'!$B$2:$B1000 = A51) * ('Form responses 1'!$A$2:$A1000 &lt;= DATE(2024, 10, 31)))
+ SUMPRODUCT(('Form responses 1'!$C$2:$C1000 = A51) * ('Form responses 1'!$A$2:$A1000 &lt;= DATE(2024, 10, 31)))
+ SUMPRODUCT(('Form responses 1'!$D$2:$D1000 = A51) * ('Form responses 1'!$A$2:$A1000 &lt;= DATE(2024, 10, 31)))
+ SUMPRODUCT(('Form responses 1'!$E$2:$E1000 = A51) * ('Form responses 1'!$A$2:$A1000 &lt;= DATE(2024, 10, 31)))
+ SUMPRODUCT(('Form responses 1'!$F$2:$F1000 = A51) * ('Form responses 1'!$A$2:$A1000 &lt;= DATE(2024, 10, 31)))
+ SUMPRODUCT(('Form responses 1'!$G$2:$G1000 = A51) * ('Form responses 1'!$A$2:$A1000 &lt;= DATE(2024, 10, 31)))), 2), "-")
</f>
        <v>2.57</v>
      </c>
      <c r="M51" s="2">
        <f>IFERROR(ROUND(Data!B49/(SUMPRODUCT(('Form responses 1'!$B$2:$B1000 = A51) * ('Form responses 1'!$A$2:$A1000 &lt;= DATE(2024, 11, 30)))
+ SUMPRODUCT(('Form responses 1'!$C$2:$C1000 = A51) * ('Form responses 1'!$A$2:$A1000 &lt;= DATE(2024, 11, 30)))
+ SUMPRODUCT(('Form responses 1'!$D$2:$D1000 = A51) * ('Form responses 1'!$A$2:$A1000 &lt;= DATE(2024, 11, 30)))
+ SUMPRODUCT(('Form responses 1'!$E$2:$E1000 = A51) * ('Form responses 1'!$A$2:$A1000 &lt;= DATE(2024, 11, 30)))
+ SUMPRODUCT(('Form responses 1'!$F$2:$F1000 = A51) * ('Form responses 1'!$A$2:$A1000 &lt;= DATE(2024, 11, 30)))
+ SUMPRODUCT(('Form responses 1'!$G$2:$G1000 = A51) * ('Form responses 1'!$A$2:$A1000 &lt;= DATE(2024, 11, 30)))), 2), "-")
</f>
        <v>2.57</v>
      </c>
      <c r="N51" s="2">
        <f>IFERROR(ROUND(Data!B49/(SUMPRODUCT(('Form responses 1'!$B$2:$B1000 = A51) * ('Form responses 1'!$A$2:$A1000 &lt;= DATE(2024, 12, 31)))
+ SUMPRODUCT(('Form responses 1'!$C$2:$C1000 = A51) * ('Form responses 1'!$A$2:$A1000 &lt;= DATE(2024, 12, 31)))
+ SUMPRODUCT(('Form responses 1'!$D$2:$D1000 = A51) * ('Form responses 1'!$A$2:$A1000 &lt;= DATE(2024, 12, 31)))
+ SUMPRODUCT(('Form responses 1'!$E$2:$E1000 = A51) * ('Form responses 1'!$A$2:$A1000 &lt;= DATE(2024, 12, 31)))
+ SUMPRODUCT(('Form responses 1'!$F$2:$F1000 = A51) * ('Form responses 1'!$A$2:$A1000 &lt;= DATE(2024, 12, 31)))
+ SUMPRODUCT(('Form responses 1'!$G$2:$G1000 = A51) * ('Form responses 1'!$A$2:$A1000 &lt;= DATE(2024, 12, 31)))), 2), "-")
</f>
        <v>2.57</v>
      </c>
      <c r="O51" s="2">
        <f>IFERROR(ROUND(Data!B49/(SUMPRODUCT(('Form responses 1'!$B$2:$B1000 = A51) * ('Form responses 1'!$A$2:$A1000 &lt;= DATE(2025, 1, 31)))
+ SUMPRODUCT(('Form responses 1'!$C$2:$C1000 = A51) * ('Form responses 1'!$A$2:$A1000 &lt;= DATE(2025, 1, 31)))
+ SUMPRODUCT(('Form responses 1'!$D$2:$D1000 = A51) * ('Form responses 1'!$A$2:$A1000 &lt;= DATE(2025, 1, 31)))
+ SUMPRODUCT(('Form responses 1'!$E$2:$E1000 = A51) * ('Form responses 1'!$A$2:$A1000 &lt;= DATE(2025, 1, 31)))
+ SUMPRODUCT(('Form responses 1'!$F$2:$F1000 = A51) * ('Form responses 1'!$A$2:$A1000 &lt;= DATE(2025, 1, 31)))
+ SUMPRODUCT(('Form responses 1'!$G$2:$G1000 = A51) * ('Form responses 1'!$A$2:$A1000 &lt;= DATE(2025, 1, 31)))), 2), "-")
</f>
        <v>2.57</v>
      </c>
      <c r="P51" s="2">
        <f>IFERROR(ROUND(Data!B49/(SUMPRODUCT(('Form responses 1'!$B$2:$B1000 = A51) * ('Form responses 1'!$A$2:$A1000 &lt;= DATE(2025, 2, 28)))
+ SUMPRODUCT(('Form responses 1'!$C$2:$C1000 = A51) * ('Form responses 1'!$A$2:$A1000 &lt;= DATE(2025, 2, 28)))
+ SUMPRODUCT(('Form responses 1'!$D$2:$D1000 = A51) * ('Form responses 1'!$A$2:$A1000 &lt;= DATE(2025, 2, 28)))
+ SUMPRODUCT(('Form responses 1'!$E$2:$E1000 = A51) * ('Form responses 1'!$A$2:$A1000 &lt;= DATE(2025, 2, 28)))
+ SUMPRODUCT(('Form responses 1'!$F$2:$F1000 = A51) * ('Form responses 1'!$A$2:$A1000 &lt;= DATE(2025, 2, 28)))
+ SUMPRODUCT(('Form responses 1'!$G$2:$G1000 = A51) * ('Form responses 1'!$A$2:$A1000 &lt;= DATE(2025, 2, 28)))), 2), "-")
</f>
        <v>2.42</v>
      </c>
      <c r="Q51" s="2">
        <f>IFERROR(ROUND(Data!B49/(SUMPRODUCT(('Form responses 1'!$B$2:$B1000 = A51) * ('Form responses 1'!$A$2:$A1000 &lt;= DATE(2025, 3, 31)))
+ SUMPRODUCT(('Form responses 1'!$C$2:$C1000 = A51) * ('Form responses 1'!$A$2:$A1000 &lt;= DATE(2025, 3, 31)))
+ SUMPRODUCT(('Form responses 1'!$D$2:$D1000 = A51) * ('Form responses 1'!$A$2:$A1000 &lt;= DATE(2025, 3, 31)))
+ SUMPRODUCT(('Form responses 1'!$E$2:$E1000 = A51) * ('Form responses 1'!$A$2:$A1000 &lt;= DATE(2025, 3, 31)))
+ SUMPRODUCT(('Form responses 1'!$F$2:$F1000 = A51) * ('Form responses 1'!$A$2:$A1000 &lt;= DATE(2025, 3, 31)))
+ SUMPRODUCT(('Form responses 1'!$G$2:$G1000 = A51) * ('Form responses 1'!$A$2:$A1000 &lt;= DATE(2025, 3, 31)))),2),"-")</f>
        <v>2.42</v>
      </c>
      <c r="R51" s="2">
        <f>IFERROR(ROUND(Data!B49/(SUMPRODUCT(('Form responses 1'!$B$2:$B1000 = A51) * ('Form responses 1'!$A$2:$A1000 &lt;= DATE(2025, 4, 30)))
+ SUMPRODUCT(('Form responses 1'!$C$2:$C1000 = A51) * ('Form responses 1'!$A$2:$A1000 &lt;= DATE(2025, 4, 30)))
+ SUMPRODUCT(('Form responses 1'!$D$2:$D1000 = A51) * ('Form responses 1'!$A$2:$A1000 &lt;= DATE(2025, 4, 30)))
+ SUMPRODUCT(('Form responses 1'!$E$2:$E1000 = A51) * ('Form responses 1'!$A$2:$A1000 &lt;= DATE(2025, 4, 30)))
+ SUMPRODUCT(('Form responses 1'!$F$2:$F1000 = A51) * ('Form responses 1'!$A$2:$A1000 &lt;= DATE(2025, 4, 30)))
+ SUMPRODUCT(('Form responses 1'!$G$2:$G1000 = A51) * ('Form responses 1'!$A$2:$A1000 &lt;= DATE(2025, 4, 30)))), 2), "-")
</f>
        <v>2.42</v>
      </c>
      <c r="S51" s="2">
        <f>IFERROR(ROUND(Data!B49/(SUMPRODUCT(('Form responses 1'!$B$2:$B1000 = A51) * ('Form responses 1'!$A$2:$A1000 &lt;= DATE(2025, 5, 31)))
+ SUMPRODUCT(('Form responses 1'!$C$2:$C1000 = A51) * ('Form responses 1'!$A$2:$A1000 &lt;= DATE(2025, 5, 31)))
+ SUMPRODUCT(('Form responses 1'!$D$2:$D1000 = A51) * ('Form responses 1'!$A$2:$A1000 &lt;= DATE(2025, 5, 31)))
+ SUMPRODUCT(('Form responses 1'!$E$2:$E1000 = A51) * ('Form responses 1'!$A$2:$A1000 &lt;= DATE(2025, 5, 31)))
+ SUMPRODUCT(('Form responses 1'!$F$2:$F1000 = A51) * ('Form responses 1'!$A$2:$A1000 &lt;= DATE(2025, 5, 31)))
+ SUMPRODUCT(('Form responses 1'!$G$2:$G1000 = A51) * ('Form responses 1'!$A$2:$A1000 &lt;= DATE(2025, 5, 31)))), 2), "-")
</f>
        <v>2.29</v>
      </c>
      <c r="T51" s="2">
        <f>IFERROR(ROUND(Data!B49/(SUMPRODUCT(('Form responses 1'!$B$2:$B1000 = A51) * ('Form responses 1'!$A$2:$A1000 &lt;= DATE(2025, 6, 30)))
+ SUMPRODUCT(('Form responses 1'!$C$2:$C1000 = A51) * ('Form responses 1'!$A$2:$A1000 &lt;= DATE(2025, 6, 30)))
+ SUMPRODUCT(('Form responses 1'!$D$2:$D1000 = A51) * ('Form responses 1'!$A$2:$A1000 &lt;= DATE(2025, 6, 30)))
+ SUMPRODUCT(('Form responses 1'!$E$2:$E1000 = A51) * ('Form responses 1'!$A$2:$A1000 &lt;= DATE(2025, 6, 30)))
+ SUMPRODUCT(('Form responses 1'!$F$2:$F1000 = A51) * ('Form responses 1'!$A$2:$A1000 &lt;= DATE(2025, 6, 30)))
+ SUMPRODUCT(('Form responses 1'!$G$2:$G1000 = A51) * ('Form responses 1'!$A$2:$A1000 &lt;= DATE(2025, 6, 30)))), 2), "-")
</f>
        <v>2.29</v>
      </c>
      <c r="U51" s="2">
        <f>IFERROR(ROUND(Data!B49/(SUMPRODUCT(('Form responses 1'!$B$2:$B1000 = A51) * ('Form responses 1'!$A$2:$A1000 &lt;= DATE(2025, 7, 31)))
+ SUMPRODUCT(('Form responses 1'!$C$2:$C1000 = A51) * ('Form responses 1'!$A$2:$A1000 &lt;= DATE(2025, 7, 31)))
+ SUMPRODUCT(('Form responses 1'!$D$2:$D1000 = A51) * ('Form responses 1'!$A$2:$A1000 &lt;= DATE(2025, 7, 31)))
+ SUMPRODUCT(('Form responses 1'!$E$2:$E1000 = A51) * ('Form responses 1'!$A$2:$A1000 &lt;= DATE(2025, 7, 31)))
+ SUMPRODUCT(('Form responses 1'!$F$2:$F1000 = A51) * ('Form responses 1'!$A$2:$A1000 &lt;= DATE(2025, 7, 31)))
+ SUMPRODUCT(('Form responses 1'!$G$2:$G1000 = A51) * ('Form responses 1'!$A$2:$A1000 &lt;= DATE(2025, 7, 31)))), 2), "-")
</f>
        <v>2.29</v>
      </c>
      <c r="V51" s="2">
        <f>IFERROR(ROUND(Data!B49/(SUMPRODUCT(('Form responses 1'!$B$2:$B1000 = A51) * ('Form responses 1'!$A$2:$A1000 &lt;= DATE(2025, 8, 31)))
+ SUMPRODUCT(('Form responses 1'!$C$2:$C1000 = A51) * ('Form responses 1'!$A$2:$A1000 &lt;= DATE(2025, 8, 31)))
+ SUMPRODUCT(('Form responses 1'!$D$2:$D1000 = A51) * ('Form responses 1'!$A$2:$A1000 &lt;= DATE(2025, 8, 31)))
+ SUMPRODUCT(('Form responses 1'!$E$2:$E1000 = A51) * ('Form responses 1'!$A$2:$A1000 &lt;= DATE(2025, 8, 31)))
+ SUMPRODUCT(('Form responses 1'!$F$2:$F1000 = A51) * ('Form responses 1'!$A$2:$A1000 &lt;= DATE(2025, 8, 31)))
+ SUMPRODUCT(('Form responses 1'!$G$2:$G1000 = A51) * ('Form responses 1'!$A$2:$A1000 &lt;= DATE(2025, 8, 31)))), 2), "-")
</f>
        <v>2.29</v>
      </c>
      <c r="W51" s="2">
        <f>IFERROR(ROUND(Data!B49/(SUMPRODUCT(('Form responses 1'!$B$2:$B1000 = A51) * ('Form responses 1'!$A$2:$A1000 &lt;= DATE(2025, 9, 30)))
+ SUMPRODUCT(('Form responses 1'!$C$2:$C1000 = A51) * ('Form responses 1'!$A$2:$A1000 &lt;= DATE(2025, 9, 30)))
+ SUMPRODUCT(('Form responses 1'!$D$2:$D1000 = A51) * ('Form responses 1'!$A$2:$A1000 &lt;= DATE(2025, 9, 30)))
+ SUMPRODUCT(('Form responses 1'!$E$2:$E1000 = A51) * ('Form responses 1'!$A$2:$A1000 &lt;= DATE(2025, 9, 30)))
+ SUMPRODUCT(('Form responses 1'!$F$2:$F1000 = A51) * ('Form responses 1'!$A$2:$A1000 &lt;= DATE(2025, 9, 30)))
+ SUMPRODUCT(('Form responses 1'!$G$2:$G1000 = A51) * ('Form responses 1'!$A$2:$A1000 &lt;= DATE(2025, 9, 30)))), 2), "-")
</f>
        <v>2.29</v>
      </c>
      <c r="X51" s="2">
        <f>IFERROR(ROUND(Data!B49/(SUMPRODUCT(('Form responses 1'!$B$2:$B1000 = A51) * ('Form responses 1'!$A$2:$A1000 &lt;= DATE(2025, 10, 31)))
+ SUMPRODUCT(('Form responses 1'!$C$2:$C1000 = A51) * ('Form responses 1'!$A$2:$A1000 &lt;= DATE(2025, 10, 31)))
+ SUMPRODUCT(('Form responses 1'!$D$2:$D1000 = A51) * ('Form responses 1'!$A$2:$A1000 &lt;= DATE(2025, 10, 31)))
+ SUMPRODUCT(('Form responses 1'!$E$2:$E1000 = A51) * ('Form responses 1'!$A$2:$A1000 &lt;= DATE(2025, 10, 31)))
+ SUMPRODUCT(('Form responses 1'!$F$2:$F1000 = A51) * ('Form responses 1'!$A$2:$A1000 &lt;= DATE(2025, 10, 31)))
+ SUMPRODUCT(('Form responses 1'!$G$2:$G1000 = A51) * ('Form responses 1'!$A$2:$A1000 &lt;= DATE(2025, 10, 31)))), 2), "-")
</f>
        <v>2.29</v>
      </c>
      <c r="Y51" s="2">
        <f>IFERROR(ROUND(Data!B49/(SUMPRODUCT(('Form responses 1'!$B$2:$B1000 = A51) * ('Form responses 1'!$A$2:$A1000 &lt;= DATE(2025, 11, 30)))
+ SUMPRODUCT(('Form responses 1'!$C$2:$C1000 = A51) * ('Form responses 1'!$A$2:$A1000 &lt;= DATE(2025, 11, 30)))
+ SUMPRODUCT(('Form responses 1'!$D$2:$D1000 = A51) * ('Form responses 1'!$A$2:$A1000 &lt;= DATE(2025, 11, 30)))
+ SUMPRODUCT(('Form responses 1'!$E$2:$E1000 = A51) * ('Form responses 1'!$A$2:$A1000 &lt;= DATE(2025, 11, 30)))
+ SUMPRODUCT(('Form responses 1'!$F$2:$F1000 = A51) * ('Form responses 1'!$A$2:$A1000 &lt;= DATE(2025, 11, 30)))
+ SUMPRODUCT(('Form responses 1'!$G$2:$G1000 = A51) * ('Form responses 1'!$A$2:$A1000 &lt;= DATE(2025, 11, 30)))), 2), "-")
</f>
        <v>2.29</v>
      </c>
      <c r="Z51" s="2">
        <f>IFERROR(ROUND(Data!B49/(SUMPRODUCT(('Form responses 1'!$B$2:$B1000 = A51) * ('Form responses 1'!$A$2:$A1000 &lt;= DATE(2025, 12, 31)))
+ SUMPRODUCT(('Form responses 1'!$C$2:$C1000 = A51) * ('Form responses 1'!$A$2:$A1000 &lt;= DATE(2025, 12, 31)))
+ SUMPRODUCT(('Form responses 1'!$D$2:$D1000 = A51) * ('Form responses 1'!$A$2:$A1000 &lt;= DATE(2025, 12, 31)))
+ SUMPRODUCT(('Form responses 1'!$E$2:$E1000 = A51) * ('Form responses 1'!$A$2:$A1000 &lt;= DATE(2025, 12, 31)))
+ SUMPRODUCT(('Form responses 1'!$F$2:$F1000 = A51) * ('Form responses 1'!$A$2:$A1000 &lt;= DATE(2025, 12, 31)))
+ SUMPRODUCT(('Form responses 1'!$G$2:$G1000 = A51) * ('Form responses 1'!$A$2:$A1000 &lt;= DATE(2025, 12, 31)))), 2), "-")
</f>
        <v>2.29</v>
      </c>
      <c r="AA51" s="2">
        <f>IFERROR(ROUND(Data!$B51/(
  SUMPRODUCT(('Form responses 1'!$B$2:$B1000=$A51)*('Form responses 1'!$A$2:$A1000&lt;=EOMONTH(DATEVALUE("1 "&amp;AA$1),0)))+
  SUMPRODUCT(('Form responses 1'!$C$2:$C1000=$A51)*('Form responses 1'!$A$2:$A1000&lt;=EOMONTH(DATEVALUE("1 "&amp;AA$1),0)))+
  SUMPRODUCT(('Form responses 1'!$D$2:$D1000=$A51)*('Form responses 1'!$A$2:$A1000&lt;=EOMONTH(DATEVALUE("1 "&amp;AA$1),0)))+
  SUMPRODUCT(('Form responses 1'!$E$2:$E1000=$A51)*('Form responses 1'!$A$2:$A1000&lt;=EOMONTH(DATEVALUE("1 "&amp;AA$1),0)))+
  SUMPRODUCT(('Form responses 1'!$F$2:$F1000=$A51)*('Form responses 1'!$A$2:$A1000&lt;=EOMONTH(DATEVALUE("1 "&amp;AA$1),0)))+
  SUMPRODUCT(('Form responses 1'!$G$2:$G1000=$A51)*('Form responses 1'!$A$2:$A1000&lt;=EOMONTH(DATEVALUE("1 "&amp;AA$1),0)))
),2),"-")</f>
        <v>1.07</v>
      </c>
      <c r="AB51" s="2">
        <f>IFERROR(ROUND(Data!$B51/(
  SUMPRODUCT(('Form responses 1'!$B$2:$B1000=$A51)*('Form responses 1'!$A$2:$A1000&lt;=EOMONTH(DATEVALUE("1 "&amp;AB$1),0)))+
  SUMPRODUCT(('Form responses 1'!$C$2:$C1000=$A51)*('Form responses 1'!$A$2:$A1000&lt;=EOMONTH(DATEVALUE("1 "&amp;AB$1),0)))+
  SUMPRODUCT(('Form responses 1'!$D$2:$D1000=$A51)*('Form responses 1'!$A$2:$A1000&lt;=EOMONTH(DATEVALUE("1 "&amp;AB$1),0)))+
  SUMPRODUCT(('Form responses 1'!$E$2:$E1000=$A51)*('Form responses 1'!$A$2:$A1000&lt;=EOMONTH(DATEVALUE("1 "&amp;AB$1),0)))+
  SUMPRODUCT(('Form responses 1'!$F$2:$F1000=$A51)*('Form responses 1'!$A$2:$A1000&lt;=EOMONTH(DATEVALUE("1 "&amp;AB$1),0)))+
  SUMPRODUCT(('Form responses 1'!$G$2:$G1000=$A51)*('Form responses 1'!$A$2:$A1000&lt;=EOMONTH(DATEVALUE("1 "&amp;AB$1),0)))
),2),"-")</f>
        <v>1.07</v>
      </c>
      <c r="AC51" s="2">
        <f>IFERROR(ROUND(Data!$B51/(
  SUMPRODUCT(('Form responses 1'!$B$2:$B1000=$A51)*('Form responses 1'!$A$2:$A1000&lt;=EOMONTH(DATEVALUE("1 "&amp;AC$1),0)))+
  SUMPRODUCT(('Form responses 1'!$C$2:$C1000=$A51)*('Form responses 1'!$A$2:$A1000&lt;=EOMONTH(DATEVALUE("1 "&amp;AC$1),0)))+
  SUMPRODUCT(('Form responses 1'!$D$2:$D1000=$A51)*('Form responses 1'!$A$2:$A1000&lt;=EOMONTH(DATEVALUE("1 "&amp;AC$1),0)))+
  SUMPRODUCT(('Form responses 1'!$E$2:$E1000=$A51)*('Form responses 1'!$A$2:$A1000&lt;=EOMONTH(DATEVALUE("1 "&amp;AC$1),0)))+
  SUMPRODUCT(('Form responses 1'!$F$2:$F1000=$A51)*('Form responses 1'!$A$2:$A1000&lt;=EOMONTH(DATEVALUE("1 "&amp;AC$1),0)))+
  SUMPRODUCT(('Form responses 1'!$G$2:$G1000=$A51)*('Form responses 1'!$A$2:$A1000&lt;=EOMONTH(DATEVALUE("1 "&amp;AC$1),0)))
),2),"-")</f>
        <v>1.07</v>
      </c>
      <c r="AD51" s="2" t="str">
        <f>IFERROR(ROUND(Data!$B51/(
  SUMPRODUCT(('Form responses 1'!$B$2:$B1000=$A51)*('Form responses 1'!$A$2:$A1000&lt;=EOMONTH(DATEVALUE("1 "&amp;AD$1),0)))+
  SUMPRODUCT(('Form responses 1'!$C$2:$C1000=$A51)*('Form responses 1'!$A$2:$A1000&lt;=EOMONTH(DATEVALUE("1 "&amp;AD$1),0)))+
  SUMPRODUCT(('Form responses 1'!$D$2:$D1000=$A51)*('Form responses 1'!$A$2:$A1000&lt;=EOMONTH(DATEVALUE("1 "&amp;AD$1),0)))+
  SUMPRODUCT(('Form responses 1'!$E$2:$E1000=$A51)*('Form responses 1'!$A$2:$A1000&lt;=EOMONTH(DATEVALUE("1 "&amp;AD$1),0)))+
  SUMPRODUCT(('Form responses 1'!$F$2:$F1000=$A51)*('Form responses 1'!$A$2:$A1000&lt;=EOMONTH(DATEVALUE("1 "&amp;AD$1),0)))+
  SUMPRODUCT(('Form responses 1'!$G$2:$G1000=$A51)*('Form responses 1'!$A$2:$A1000&lt;=EOMONTH(DATEVALUE("1 "&amp;AD$1),0)))
),2),"-")</f>
        <v>-</v>
      </c>
      <c r="AE51" s="2" t="str">
        <f>IFERROR(ROUND(Data!$B51/(
  SUMPRODUCT(('Form responses 1'!$B$2:$B1000=$A51)*('Form responses 1'!$A$2:$A1000&lt;=EOMONTH(DATEVALUE("1 "&amp;AE$1),0)))+
  SUMPRODUCT(('Form responses 1'!$C$2:$C1000=$A51)*('Form responses 1'!$A$2:$A1000&lt;=EOMONTH(DATEVALUE("1 "&amp;AE$1),0)))+
  SUMPRODUCT(('Form responses 1'!$D$2:$D1000=$A51)*('Form responses 1'!$A$2:$A1000&lt;=EOMONTH(DATEVALUE("1 "&amp;AE$1),0)))+
  SUMPRODUCT(('Form responses 1'!$E$2:$E1000=$A51)*('Form responses 1'!$A$2:$A1000&lt;=EOMONTH(DATEVALUE("1 "&amp;AE$1),0)))+
  SUMPRODUCT(('Form responses 1'!$F$2:$F1000=$A51)*('Form responses 1'!$A$2:$A1000&lt;=EOMONTH(DATEVALUE("1 "&amp;AE$1),0)))+
  SUMPRODUCT(('Form responses 1'!$G$2:$G1000=$A51)*('Form responses 1'!$A$2:$A1000&lt;=EOMONTH(DATEVALUE("1 "&amp;AE$1),0)))
),2),"-")</f>
        <v>-</v>
      </c>
      <c r="AF51" s="2" t="str">
        <f>IFERROR(ROUND(Data!$B51/(
  SUMPRODUCT(('Form responses 1'!$B$2:$B1000=$A51)*('Form responses 1'!$A$2:$A1000&lt;=EOMONTH(DATEVALUE("1 "&amp;AF$1),0)))+
  SUMPRODUCT(('Form responses 1'!$C$2:$C1000=$A51)*('Form responses 1'!$A$2:$A1000&lt;=EOMONTH(DATEVALUE("1 "&amp;AF$1),0)))+
  SUMPRODUCT(('Form responses 1'!$D$2:$D1000=$A51)*('Form responses 1'!$A$2:$A1000&lt;=EOMONTH(DATEVALUE("1 "&amp;AF$1),0)))+
  SUMPRODUCT(('Form responses 1'!$E$2:$E1000=$A51)*('Form responses 1'!$A$2:$A1000&lt;=EOMONTH(DATEVALUE("1 "&amp;AF$1),0)))+
  SUMPRODUCT(('Form responses 1'!$F$2:$F1000=$A51)*('Form responses 1'!$A$2:$A1000&lt;=EOMONTH(DATEVALUE("1 "&amp;AF$1),0)))+
  SUMPRODUCT(('Form responses 1'!$G$2:$G1000=$A51)*('Form responses 1'!$A$2:$A1000&lt;=EOMONTH(DATEVALUE("1 "&amp;AF$1),0)))
),2),"-")</f>
        <v>-</v>
      </c>
      <c r="AG51" s="2" t="str">
        <f>IFERROR(ROUND(Data!$B51/(
  SUMPRODUCT(('Form responses 1'!$B$2:$B1000=$A51)*('Form responses 1'!$A$2:$A1000&lt;=EOMONTH(DATEVALUE("1 "&amp;AG$1),0)))+
  SUMPRODUCT(('Form responses 1'!$C$2:$C1000=$A51)*('Form responses 1'!$A$2:$A1000&lt;=EOMONTH(DATEVALUE("1 "&amp;AG$1),0)))+
  SUMPRODUCT(('Form responses 1'!$D$2:$D1000=$A51)*('Form responses 1'!$A$2:$A1000&lt;=EOMONTH(DATEVALUE("1 "&amp;AG$1),0)))+
  SUMPRODUCT(('Form responses 1'!$E$2:$E1000=$A51)*('Form responses 1'!$A$2:$A1000&lt;=EOMONTH(DATEVALUE("1 "&amp;AG$1),0)))+
  SUMPRODUCT(('Form responses 1'!$F$2:$F1000=$A51)*('Form responses 1'!$A$2:$A1000&lt;=EOMONTH(DATEVALUE("1 "&amp;AG$1),0)))+
  SUMPRODUCT(('Form responses 1'!$G$2:$G1000=$A51)*('Form responses 1'!$A$2:$A1000&lt;=EOMONTH(DATEVALUE("1 "&amp;AG$1),0)))
),2),"-")</f>
        <v>-</v>
      </c>
      <c r="AH51" s="2" t="str">
        <f>IFERROR(ROUND(Data!$B51/(
  SUMPRODUCT(('Form responses 1'!$B$2:$B1000=$A51)*('Form responses 1'!$A$2:$A1000&lt;=EOMONTH(DATEVALUE("1 "&amp;AH$1),0)))+
  SUMPRODUCT(('Form responses 1'!$C$2:$C1000=$A51)*('Form responses 1'!$A$2:$A1000&lt;=EOMONTH(DATEVALUE("1 "&amp;AH$1),0)))+
  SUMPRODUCT(('Form responses 1'!$D$2:$D1000=$A51)*('Form responses 1'!$A$2:$A1000&lt;=EOMONTH(DATEVALUE("1 "&amp;AH$1),0)))+
  SUMPRODUCT(('Form responses 1'!$E$2:$E1000=$A51)*('Form responses 1'!$A$2:$A1000&lt;=EOMONTH(DATEVALUE("1 "&amp;AH$1),0)))+
  SUMPRODUCT(('Form responses 1'!$F$2:$F1000=$A51)*('Form responses 1'!$A$2:$A1000&lt;=EOMONTH(DATEVALUE("1 "&amp;AH$1),0)))+
  SUMPRODUCT(('Form responses 1'!$G$2:$G1000=$A51)*('Form responses 1'!$A$2:$A1000&lt;=EOMONTH(DATEVALUE("1 "&amp;AH$1),0)))
),2),"-")</f>
        <v>-</v>
      </c>
      <c r="AI51" s="2" t="str">
        <f>IFERROR(ROUND(Data!$B51/(
  SUMPRODUCT(('Form responses 1'!$B$2:$B1000=$A51)*('Form responses 1'!$A$2:$A1000&lt;=EOMONTH(DATEVALUE("1 "&amp;AI$1),0)))+
  SUMPRODUCT(('Form responses 1'!$C$2:$C1000=$A51)*('Form responses 1'!$A$2:$A1000&lt;=EOMONTH(DATEVALUE("1 "&amp;AI$1),0)))+
  SUMPRODUCT(('Form responses 1'!$D$2:$D1000=$A51)*('Form responses 1'!$A$2:$A1000&lt;=EOMONTH(DATEVALUE("1 "&amp;AI$1),0)))+
  SUMPRODUCT(('Form responses 1'!$E$2:$E1000=$A51)*('Form responses 1'!$A$2:$A1000&lt;=EOMONTH(DATEVALUE("1 "&amp;AI$1),0)))+
  SUMPRODUCT(('Form responses 1'!$F$2:$F1000=$A51)*('Form responses 1'!$A$2:$A1000&lt;=EOMONTH(DATEVALUE("1 "&amp;AI$1),0)))+
  SUMPRODUCT(('Form responses 1'!$G$2:$G1000=$A51)*('Form responses 1'!$A$2:$A1000&lt;=EOMONTH(DATEVALUE("1 "&amp;AI$1),0)))
),2),"-")</f>
        <v>-</v>
      </c>
      <c r="AJ51" s="2" t="str">
        <f>IFERROR(ROUND(Data!$B51/(
  SUMPRODUCT(('Form responses 1'!$B$2:$B1000=$A51)*('Form responses 1'!$A$2:$A1000&lt;=EOMONTH(DATEVALUE("1 "&amp;AJ$1),0)))+
  SUMPRODUCT(('Form responses 1'!$C$2:$C1000=$A51)*('Form responses 1'!$A$2:$A1000&lt;=EOMONTH(DATEVALUE("1 "&amp;AJ$1),0)))+
  SUMPRODUCT(('Form responses 1'!$D$2:$D1000=$A51)*('Form responses 1'!$A$2:$A1000&lt;=EOMONTH(DATEVALUE("1 "&amp;AJ$1),0)))+
  SUMPRODUCT(('Form responses 1'!$E$2:$E1000=$A51)*('Form responses 1'!$A$2:$A1000&lt;=EOMONTH(DATEVALUE("1 "&amp;AJ$1),0)))+
  SUMPRODUCT(('Form responses 1'!$F$2:$F1000=$A51)*('Form responses 1'!$A$2:$A1000&lt;=EOMONTH(DATEVALUE("1 "&amp;AJ$1),0)))+
  SUMPRODUCT(('Form responses 1'!$G$2:$G1000=$A51)*('Form responses 1'!$A$2:$A1000&lt;=EOMONTH(DATEVALUE("1 "&amp;AJ$1),0)))
),2),"-")</f>
        <v>-</v>
      </c>
      <c r="AK51" s="2" t="str">
        <f>IFERROR(ROUND(Data!$B51/(
  SUMPRODUCT(('Form responses 1'!$B$2:$B1000=$A51)*('Form responses 1'!$A$2:$A1000&lt;=EOMONTH(DATEVALUE("1 "&amp;AK$1),0)))+
  SUMPRODUCT(('Form responses 1'!$C$2:$C1000=$A51)*('Form responses 1'!$A$2:$A1000&lt;=EOMONTH(DATEVALUE("1 "&amp;AK$1),0)))+
  SUMPRODUCT(('Form responses 1'!$D$2:$D1000=$A51)*('Form responses 1'!$A$2:$A1000&lt;=EOMONTH(DATEVALUE("1 "&amp;AK$1),0)))+
  SUMPRODUCT(('Form responses 1'!$E$2:$E1000=$A51)*('Form responses 1'!$A$2:$A1000&lt;=EOMONTH(DATEVALUE("1 "&amp;AK$1),0)))+
  SUMPRODUCT(('Form responses 1'!$F$2:$F1000=$A51)*('Form responses 1'!$A$2:$A1000&lt;=EOMONTH(DATEVALUE("1 "&amp;AK$1),0)))+
  SUMPRODUCT(('Form responses 1'!$G$2:$G1000=$A51)*('Form responses 1'!$A$2:$A1000&lt;=EOMONTH(DATEVALUE("1 "&amp;AK$1),0)))
),2),"-")</f>
        <v>-</v>
      </c>
      <c r="AL51" s="2" t="str">
        <f>IFERROR(ROUND(Data!$B51/(
  SUMPRODUCT(('Form responses 1'!$B$2:$B1000=$A51)*('Form responses 1'!$A$2:$A1000&lt;=EOMONTH(DATEVALUE("1 "&amp;AL$1),0)))+
  SUMPRODUCT(('Form responses 1'!$C$2:$C1000=$A51)*('Form responses 1'!$A$2:$A1000&lt;=EOMONTH(DATEVALUE("1 "&amp;AL$1),0)))+
  SUMPRODUCT(('Form responses 1'!$D$2:$D1000=$A51)*('Form responses 1'!$A$2:$A1000&lt;=EOMONTH(DATEVALUE("1 "&amp;AL$1),0)))+
  SUMPRODUCT(('Form responses 1'!$E$2:$E1000=$A51)*('Form responses 1'!$A$2:$A1000&lt;=EOMONTH(DATEVALUE("1 "&amp;AL$1),0)))+
  SUMPRODUCT(('Form responses 1'!$F$2:$F1000=$A51)*('Form responses 1'!$A$2:$A1000&lt;=EOMONTH(DATEVALUE("1 "&amp;AL$1),0)))+
  SUMPRODUCT(('Form responses 1'!$G$2:$G1000=$A51)*('Form responses 1'!$A$2:$A1000&lt;=EOMONTH(DATEVALUE("1 "&amp;AL$1),0)))
),2),"-")</f>
        <v>-</v>
      </c>
    </row>
    <row r="52">
      <c r="A52" s="3" t="str">
        <f>IFERROR(__xludf.DUMMYFUNCTION("""COMPUTED_VALUE"""),"Blauwe lange mouwen polo")</f>
        <v>Blauwe lange mouwen polo</v>
      </c>
      <c r="B52" s="2">
        <f>Data!F50:F1000</f>
        <v>0.35</v>
      </c>
      <c r="C52" s="2">
        <f>IFERROR(ROUND(Data!B50/(SUMPRODUCT(('Form responses 1'!$B$2:$B1000 = A52) * ('Form responses 1'!$A$2:$A1000 &lt;= DATE(2024, 1, 31)))
+ SUMPRODUCT(('Form responses 1'!$C$2:$C1000 = A52) * ('Form responses 1'!$A$2:$A1000 &lt;= DATE(2024, 1, 31)))
+ SUMPRODUCT(('Form responses 1'!$D$2:$D1000 = A52) * ('Form responses 1'!$A$2:$A1000 &lt;= DATE(2024, 1, 31)))
+ SUMPRODUCT(('Form responses 1'!$E$2:$E1000 = A52) * ('Form responses 1'!$A$2:$A1000 &lt;= DATE(2024, 1, 31)))
+ SUMPRODUCT(('Form responses 1'!$F$2:$F1000 = A52) * ('Form responses 1'!$A$2:$A1000 &lt;= DATE(2024, 1, 31)))
+ SUMPRODUCT(('Form responses 1'!$G$2:$G1000 = A52) * ('Form responses 1'!$A$2:$A1000 &lt;= DATE(2024, 1, 31)))), 2), "-")
</f>
        <v>7.59</v>
      </c>
      <c r="D52" s="2">
        <f>IFERROR(ROUND(Data!B50/(SUMPRODUCT(('Form responses 1'!$B$2:$B1000 = A52) * ('Form responses 1'!$A$2:$A1000 &lt;= DATE(2024, 2, 29)))
+ SUMPRODUCT(('Form responses 1'!$C$2:$C1000 = A52) * ('Form responses 1'!$A$2:$A1000 &lt;= DATE(2024, 2, 29)))
+ SUMPRODUCT(('Form responses 1'!$D$2:$D1000 = A52) * ('Form responses 1'!$A$2:$A1000 &lt;= DATE(2024, 2, 29)))
+ SUMPRODUCT(('Form responses 1'!$E$2:$E1000 = A52) * ('Form responses 1'!$A$2:$A1000 &lt;= DATE(2024, 2, 29)))
+ SUMPRODUCT(('Form responses 1'!$F$2:$F1000 = A52) * ('Form responses 1'!$A$2:$A1000 &lt;= DATE(2024, 2, 29)))
+ SUMPRODUCT(('Form responses 1'!$G$2:$G1000 = A52) * ('Form responses 1'!$A$2:$A1000 &lt;= DATE(2024, 2, 29)))), 2), "-")
</f>
        <v>4.75</v>
      </c>
      <c r="E52" s="2">
        <f>IFERROR(ROUND(Data!B50/(SUMPRODUCT(('Form responses 1'!$B$2:$B1000 = A52) * ('Form responses 1'!$A$2:$A1000 &lt;= DATE(2024, 3, 31)))
+ SUMPRODUCT(('Form responses 1'!$C$2:$C1000 = A52) * ('Form responses 1'!$A$2:$A1000 &lt;= DATE(2024, 3, 31)))
+ SUMPRODUCT(('Form responses 1'!$D$2:$D1000 = A52) * ('Form responses 1'!$A$2:$A1000 &lt;= DATE(2024, 3, 31)))
+ SUMPRODUCT(('Form responses 1'!$E$2:$E1000 = A52) * ('Form responses 1'!$A$2:$A1000 &lt;= DATE(2024, 3, 31)))
+ SUMPRODUCT(('Form responses 1'!$F$2:$F1000 = A52) * ('Form responses 1'!$A$2:$A1000 &lt;= DATE(2024, 3, 31)))
+ SUMPRODUCT(('Form responses 1'!$G$2:$G1000 = A52) * ('Form responses 1'!$A$2:$A1000 &lt;= DATE(2024, 3, 31)))), 2), "-")
</f>
        <v>2.92</v>
      </c>
      <c r="F52" s="2">
        <f>IFERROR(ROUND(Data!B50/(SUMPRODUCT(('Form responses 1'!$B$2:$B1000 = A52) * ('Form responses 1'!$A$2:$A1000 &lt;= DATE(2024, 4, 30)))
+ SUMPRODUCT(('Form responses 1'!$C$2:$C1000 = A52) * ('Form responses 1'!$A$2:$A1000 &lt;= DATE(2024, 4, 30)))
+ SUMPRODUCT(('Form responses 1'!$D$2:$D1000 = A52) * ('Form responses 1'!$A$2:$A1000 &lt;= DATE(2024, 4, 30)))
+ SUMPRODUCT(('Form responses 1'!$E$2:$E1000 = A52) * ('Form responses 1'!$A$2:$A1000 &lt;= DATE(2024, 4, 30)))
+ SUMPRODUCT(('Form responses 1'!$F$2:$F1000 = A52) * ('Form responses 1'!$A$2:$A1000 &lt;= DATE(2024, 4, 30)))
+ SUMPRODUCT(('Form responses 1'!$G$2:$G1000 = A52) * ('Form responses 1'!$A$2:$A1000 &lt;= DATE(2024, 4, 30)))), 2), "-")
</f>
        <v>2.23</v>
      </c>
      <c r="G52" s="2">
        <f>IFERROR(ROUND(Data!B50/(SUMPRODUCT(('Form responses 1'!$B$2:$B1000 = A52) * ('Form responses 1'!$A$2:$A1000 &lt;= DATE(2024, 5, 31)))
+ SUMPRODUCT(('Form responses 1'!$C$2:$C1000 = A52) * ('Form responses 1'!$A$2:$A1000 &lt;= DATE(2024, 5, 31)))
+ SUMPRODUCT(('Form responses 1'!$D$2:$D1000 = A52) * ('Form responses 1'!$A$2:$A1000 &lt;= DATE(2024, 5, 31)))
+ SUMPRODUCT(('Form responses 1'!$E$2:$E1000 = A52) * ('Form responses 1'!$A$2:$A1000 &lt;= DATE(2024, 5, 31)))
+ SUMPRODUCT(('Form responses 1'!$F$2:$F1000 = A52) * ('Form responses 1'!$A$2:$A1000 &lt;= DATE(2024, 5, 31)))
+ SUMPRODUCT(('Form responses 1'!$G$2:$G1000 = A52) * ('Form responses 1'!$A$2:$A1000 &lt;= DATE(2024, 5, 31)))), 2), "-")
</f>
        <v>2.11</v>
      </c>
      <c r="H52" s="2">
        <f>IFERROR(ROUND(Data!B50/(SUMPRODUCT(('Form responses 1'!$B$2:$B1000 = A52) * ('Form responses 1'!$A$2:$A1000 &lt;= DATE(2024, 6, 30)))
+ SUMPRODUCT(('Form responses 1'!$C$2:$C1000 = A52) * ('Form responses 1'!$A$2:$A1000 &lt;= DATE(2024, 6, 30)))
+ SUMPRODUCT(('Form responses 1'!$D$2:$D1000 = A52) * ('Form responses 1'!$A$2:$A1000 &lt;= DATE(2024, 6, 30)))
+ SUMPRODUCT(('Form responses 1'!$E$2:$E1000 = A52) * ('Form responses 1'!$A$2:$A1000 &lt;= DATE(2024, 6, 30)))
+ SUMPRODUCT(('Form responses 1'!$F$2:$F1000 = A52) * ('Form responses 1'!$A$2:$A1000 &lt;= DATE(2024, 6, 30)))
+ SUMPRODUCT(('Form responses 1'!$G$2:$G1000 = A52) * ('Form responses 1'!$A$2:$A1000 &lt;= DATE(2024, 6, 30)))), 2), "-")
</f>
        <v>1.65</v>
      </c>
      <c r="I52" s="2">
        <f>IFERROR(ROUND(Data!B50/(SUMPRODUCT(('Form responses 1'!$B$2:$B1000 = A52) * ('Form responses 1'!$A$2:$A1000 &lt;= DATE(2024, 7, 31)))
+ SUMPRODUCT(('Form responses 1'!$C$2:$C1000 = A52) * ('Form responses 1'!$A$2:$A1000 &lt;= DATE(2024, 7, 31)))
+ SUMPRODUCT(('Form responses 1'!$D$2:$D1000 = A52) * ('Form responses 1'!$A$2:$A1000 &lt;= DATE(2024, 7, 31)))
+ SUMPRODUCT(('Form responses 1'!$E$2:$E1000 = A52) * ('Form responses 1'!$A$2:$A1000 &lt;= DATE(2024, 7, 31)))
+ SUMPRODUCT(('Form responses 1'!$F$2:$F1000 = A52) * ('Form responses 1'!$A$2:$A1000 &lt;= DATE(2024, 7, 31)))
+ SUMPRODUCT(('Form responses 1'!$G$2:$G1000 = A52) * ('Form responses 1'!$A$2:$A1000 &lt;= DATE(2024, 7, 31)))), 2), "-")
</f>
        <v>1.46</v>
      </c>
      <c r="J52" s="2">
        <f>IFERROR(ROUND(Data!B50/(SUMPRODUCT(('Form responses 1'!$B$2:$B1000 = A52) * ('Form responses 1'!$A$2:$A1000 &lt;= DATE(2024, 8, 31)))
+ SUMPRODUCT(('Form responses 1'!$C$2:$C1000 = A52) * ('Form responses 1'!$A$2:$A1000 &lt;= DATE(2024, 8, 31)))
+ SUMPRODUCT(('Form responses 1'!$D$2:$D1000 = A52) * ('Form responses 1'!$A$2:$A1000 &lt;= DATE(2024, 8, 31)))
+ SUMPRODUCT(('Form responses 1'!$E$2:$E1000 = A52) * ('Form responses 1'!$A$2:$A1000 &lt;= DATE(2024, 8, 31)))
+ SUMPRODUCT(('Form responses 1'!$F$2:$F1000 = A52) * ('Form responses 1'!$A$2:$A1000 &lt;= DATE(2024, 8, 31)))
+ SUMPRODUCT(('Form responses 1'!$G$2:$G1000 = A52) * ('Form responses 1'!$A$2:$A1000 &lt;= DATE(2024, 8, 31)))), 2), "-")
</f>
        <v>1.46</v>
      </c>
      <c r="K52" s="2">
        <f>IFERROR(ROUND(Data!B50/(SUMPRODUCT(('Form responses 1'!$B$2:$B1000 = A52) * ('Form responses 1'!$A$2:$A1000 &lt;= DATE(2024, 9, 30)))
+ SUMPRODUCT(('Form responses 1'!$C$2:$C1000 = A52) * ('Form responses 1'!$A$2:$A1000 &lt;= DATE(2024, 9, 30)))
+ SUMPRODUCT(('Form responses 1'!$D$2:$D1000 = A52) * ('Form responses 1'!$A$2:$A1000 &lt;= DATE(2024, 9, 30)))
+ SUMPRODUCT(('Form responses 1'!$E$2:$E1000 = A52) * ('Form responses 1'!$A$2:$A1000 &lt;= DATE(2024, 9, 30)))
+ SUMPRODUCT(('Form responses 1'!$F$2:$F1000 = A52) * ('Form responses 1'!$A$2:$A1000 &lt;= DATE(2024, 9, 30)))
+ SUMPRODUCT(('Form responses 1'!$G$2:$G1000 = A52) * ('Form responses 1'!$A$2:$A1000 &lt;= DATE(2024, 9, 30)))), 2), "-")
</f>
        <v>1.41</v>
      </c>
      <c r="L52" s="2">
        <f>IFERROR(ROUND(Data!B50/(SUMPRODUCT(('Form responses 1'!$B$2:$B1000 = A52) * ('Form responses 1'!$A$2:$A1000 &lt;= DATE(2024, 10, 31)))
+ SUMPRODUCT(('Form responses 1'!$C$2:$C1000 = A52) * ('Form responses 1'!$A$2:$A1000 &lt;= DATE(2024, 10, 31)))
+ SUMPRODUCT(('Form responses 1'!$D$2:$D1000 = A52) * ('Form responses 1'!$A$2:$A1000 &lt;= DATE(2024, 10, 31)))
+ SUMPRODUCT(('Form responses 1'!$E$2:$E1000 = A52) * ('Form responses 1'!$A$2:$A1000 &lt;= DATE(2024, 10, 31)))
+ SUMPRODUCT(('Form responses 1'!$F$2:$F1000 = A52) * ('Form responses 1'!$A$2:$A1000 &lt;= DATE(2024, 10, 31)))
+ SUMPRODUCT(('Form responses 1'!$G$2:$G1000 = A52) * ('Form responses 1'!$A$2:$A1000 &lt;= DATE(2024, 10, 31)))), 2), "-")
</f>
        <v>1.41</v>
      </c>
      <c r="M52" s="2">
        <f>IFERROR(ROUND(Data!B50/(SUMPRODUCT(('Form responses 1'!$B$2:$B1000 = A52) * ('Form responses 1'!$A$2:$A1000 &lt;= DATE(2024, 11, 30)))
+ SUMPRODUCT(('Form responses 1'!$C$2:$C1000 = A52) * ('Form responses 1'!$A$2:$A1000 &lt;= DATE(2024, 11, 30)))
+ SUMPRODUCT(('Form responses 1'!$D$2:$D1000 = A52) * ('Form responses 1'!$A$2:$A1000 &lt;= DATE(2024, 11, 30)))
+ SUMPRODUCT(('Form responses 1'!$E$2:$E1000 = A52) * ('Form responses 1'!$A$2:$A1000 &lt;= DATE(2024, 11, 30)))
+ SUMPRODUCT(('Form responses 1'!$F$2:$F1000 = A52) * ('Form responses 1'!$A$2:$A1000 &lt;= DATE(2024, 11, 30)))
+ SUMPRODUCT(('Form responses 1'!$G$2:$G1000 = A52) * ('Form responses 1'!$A$2:$A1000 &lt;= DATE(2024, 11, 30)))), 2), "-")
</f>
        <v>1.31</v>
      </c>
      <c r="N52" s="2">
        <f>IFERROR(ROUND(Data!B50/(SUMPRODUCT(('Form responses 1'!$B$2:$B1000 = A52) * ('Form responses 1'!$A$2:$A1000 &lt;= DATE(2024, 12, 31)))
+ SUMPRODUCT(('Form responses 1'!$C$2:$C1000 = A52) * ('Form responses 1'!$A$2:$A1000 &lt;= DATE(2024, 12, 31)))
+ SUMPRODUCT(('Form responses 1'!$D$2:$D1000 = A52) * ('Form responses 1'!$A$2:$A1000 &lt;= DATE(2024, 12, 31)))
+ SUMPRODUCT(('Form responses 1'!$E$2:$E1000 = A52) * ('Form responses 1'!$A$2:$A1000 &lt;= DATE(2024, 12, 31)))
+ SUMPRODUCT(('Form responses 1'!$F$2:$F1000 = A52) * ('Form responses 1'!$A$2:$A1000 &lt;= DATE(2024, 12, 31)))
+ SUMPRODUCT(('Form responses 1'!$G$2:$G1000 = A52) * ('Form responses 1'!$A$2:$A1000 &lt;= DATE(2024, 12, 31)))), 2), "-")
</f>
        <v>1.27</v>
      </c>
      <c r="O52" s="2">
        <f>IFERROR(ROUND(Data!B50/(SUMPRODUCT(('Form responses 1'!$B$2:$B1000 = A52) * ('Form responses 1'!$A$2:$A1000 &lt;= DATE(2025, 1, 31)))
+ SUMPRODUCT(('Form responses 1'!$C$2:$C1000 = A52) * ('Form responses 1'!$A$2:$A1000 &lt;= DATE(2025, 1, 31)))
+ SUMPRODUCT(('Form responses 1'!$D$2:$D1000 = A52) * ('Form responses 1'!$A$2:$A1000 &lt;= DATE(2025, 1, 31)))
+ SUMPRODUCT(('Form responses 1'!$E$2:$E1000 = A52) * ('Form responses 1'!$A$2:$A1000 &lt;= DATE(2025, 1, 31)))
+ SUMPRODUCT(('Form responses 1'!$F$2:$F1000 = A52) * ('Form responses 1'!$A$2:$A1000 &lt;= DATE(2025, 1, 31)))
+ SUMPRODUCT(('Form responses 1'!$G$2:$G1000 = A52) * ('Form responses 1'!$A$2:$A1000 &lt;= DATE(2025, 1, 31)))), 2), "-")
</f>
        <v>1.22</v>
      </c>
      <c r="P52" s="2">
        <f>IFERROR(ROUND(Data!B50/(SUMPRODUCT(('Form responses 1'!$B$2:$B1000 = A52) * ('Form responses 1'!$A$2:$A1000 &lt;= DATE(2025, 2, 28)))
+ SUMPRODUCT(('Form responses 1'!$C$2:$C1000 = A52) * ('Form responses 1'!$A$2:$A1000 &lt;= DATE(2025, 2, 28)))
+ SUMPRODUCT(('Form responses 1'!$D$2:$D1000 = A52) * ('Form responses 1'!$A$2:$A1000 &lt;= DATE(2025, 2, 28)))
+ SUMPRODUCT(('Form responses 1'!$E$2:$E1000 = A52) * ('Form responses 1'!$A$2:$A1000 &lt;= DATE(2025, 2, 28)))
+ SUMPRODUCT(('Form responses 1'!$F$2:$F1000 = A52) * ('Form responses 1'!$A$2:$A1000 &lt;= DATE(2025, 2, 28)))
+ SUMPRODUCT(('Form responses 1'!$G$2:$G1000 = A52) * ('Form responses 1'!$A$2:$A1000 &lt;= DATE(2025, 2, 28)))), 2), "-")
</f>
        <v>1.22</v>
      </c>
      <c r="Q52" s="2">
        <f>IFERROR(ROUND(Data!B50/(SUMPRODUCT(('Form responses 1'!$B$2:$B1000 = A52) * ('Form responses 1'!$A$2:$A1000 &lt;= DATE(2025, 3, 31)))
+ SUMPRODUCT(('Form responses 1'!$C$2:$C1000 = A52) * ('Form responses 1'!$A$2:$A1000 &lt;= DATE(2025, 3, 31)))
+ SUMPRODUCT(('Form responses 1'!$D$2:$D1000 = A52) * ('Form responses 1'!$A$2:$A1000 &lt;= DATE(2025, 3, 31)))
+ SUMPRODUCT(('Form responses 1'!$E$2:$E1000 = A52) * ('Form responses 1'!$A$2:$A1000 &lt;= DATE(2025, 3, 31)))
+ SUMPRODUCT(('Form responses 1'!$F$2:$F1000 = A52) * ('Form responses 1'!$A$2:$A1000 &lt;= DATE(2025, 3, 31)))
+ SUMPRODUCT(('Form responses 1'!$G$2:$G1000 = A52) * ('Form responses 1'!$A$2:$A1000 &lt;= DATE(2025, 3, 31)))),2),"-")</f>
        <v>1.08</v>
      </c>
      <c r="R52" s="2">
        <f>IFERROR(ROUND(Data!B50/(SUMPRODUCT(('Form responses 1'!$B$2:$B1000 = A52) * ('Form responses 1'!$A$2:$A1000 &lt;= DATE(2025, 4, 30)))
+ SUMPRODUCT(('Form responses 1'!$C$2:$C1000 = A52) * ('Form responses 1'!$A$2:$A1000 &lt;= DATE(2025, 4, 30)))
+ SUMPRODUCT(('Form responses 1'!$D$2:$D1000 = A52) * ('Form responses 1'!$A$2:$A1000 &lt;= DATE(2025, 4, 30)))
+ SUMPRODUCT(('Form responses 1'!$E$2:$E1000 = A52) * ('Form responses 1'!$A$2:$A1000 &lt;= DATE(2025, 4, 30)))
+ SUMPRODUCT(('Form responses 1'!$F$2:$F1000 = A52) * ('Form responses 1'!$A$2:$A1000 &lt;= DATE(2025, 4, 30)))
+ SUMPRODUCT(('Form responses 1'!$G$2:$G1000 = A52) * ('Form responses 1'!$A$2:$A1000 &lt;= DATE(2025, 4, 30)))), 2), "-")
</f>
        <v>1</v>
      </c>
      <c r="S52" s="2">
        <f>IFERROR(ROUND(Data!B50/(SUMPRODUCT(('Form responses 1'!$B$2:$B1000 = A52) * ('Form responses 1'!$A$2:$A1000 &lt;= DATE(2025, 5, 31)))
+ SUMPRODUCT(('Form responses 1'!$C$2:$C1000 = A52) * ('Form responses 1'!$A$2:$A1000 &lt;= DATE(2025, 5, 31)))
+ SUMPRODUCT(('Form responses 1'!$D$2:$D1000 = A52) * ('Form responses 1'!$A$2:$A1000 &lt;= DATE(2025, 5, 31)))
+ SUMPRODUCT(('Form responses 1'!$E$2:$E1000 = A52) * ('Form responses 1'!$A$2:$A1000 &lt;= DATE(2025, 5, 31)))
+ SUMPRODUCT(('Form responses 1'!$F$2:$F1000 = A52) * ('Form responses 1'!$A$2:$A1000 &lt;= DATE(2025, 5, 31)))
+ SUMPRODUCT(('Form responses 1'!$G$2:$G1000 = A52) * ('Form responses 1'!$A$2:$A1000 &lt;= DATE(2025, 5, 31)))), 2), "-")
</f>
        <v>0.97</v>
      </c>
      <c r="T52" s="2">
        <f>IFERROR(ROUND(Data!B50/(SUMPRODUCT(('Form responses 1'!$B$2:$B1000 = A52) * ('Form responses 1'!$A$2:$A1000 &lt;= DATE(2025, 6, 30)))
+ SUMPRODUCT(('Form responses 1'!$C$2:$C1000 = A52) * ('Form responses 1'!$A$2:$A1000 &lt;= DATE(2025, 6, 30)))
+ SUMPRODUCT(('Form responses 1'!$D$2:$D1000 = A52) * ('Form responses 1'!$A$2:$A1000 &lt;= DATE(2025, 6, 30)))
+ SUMPRODUCT(('Form responses 1'!$E$2:$E1000 = A52) * ('Form responses 1'!$A$2:$A1000 &lt;= DATE(2025, 6, 30)))
+ SUMPRODUCT(('Form responses 1'!$F$2:$F1000 = A52) * ('Form responses 1'!$A$2:$A1000 &lt;= DATE(2025, 6, 30)))
+ SUMPRODUCT(('Form responses 1'!$G$2:$G1000 = A52) * ('Form responses 1'!$A$2:$A1000 &lt;= DATE(2025, 6, 30)))), 2), "-")
</f>
        <v>0.88</v>
      </c>
      <c r="U52" s="2">
        <f>IFERROR(ROUND(Data!B50/(SUMPRODUCT(('Form responses 1'!$B$2:$B1000 = A52) * ('Form responses 1'!$A$2:$A1000 &lt;= DATE(2025, 7, 31)))
+ SUMPRODUCT(('Form responses 1'!$C$2:$C1000 = A52) * ('Form responses 1'!$A$2:$A1000 &lt;= DATE(2025, 7, 31)))
+ SUMPRODUCT(('Form responses 1'!$D$2:$D1000 = A52) * ('Form responses 1'!$A$2:$A1000 &lt;= DATE(2025, 7, 31)))
+ SUMPRODUCT(('Form responses 1'!$E$2:$E1000 = A52) * ('Form responses 1'!$A$2:$A1000 &lt;= DATE(2025, 7, 31)))
+ SUMPRODUCT(('Form responses 1'!$F$2:$F1000 = A52) * ('Form responses 1'!$A$2:$A1000 &lt;= DATE(2025, 7, 31)))
+ SUMPRODUCT(('Form responses 1'!$G$2:$G1000 = A52) * ('Form responses 1'!$A$2:$A1000 &lt;= DATE(2025, 7, 31)))), 2), "-")
</f>
        <v>0.88</v>
      </c>
      <c r="V52" s="2">
        <f>IFERROR(ROUND(Data!B50/(SUMPRODUCT(('Form responses 1'!$B$2:$B1000 = A52) * ('Form responses 1'!$A$2:$A1000 &lt;= DATE(2025, 8, 31)))
+ SUMPRODUCT(('Form responses 1'!$C$2:$C1000 = A52) * ('Form responses 1'!$A$2:$A1000 &lt;= DATE(2025, 8, 31)))
+ SUMPRODUCT(('Form responses 1'!$D$2:$D1000 = A52) * ('Form responses 1'!$A$2:$A1000 &lt;= DATE(2025, 8, 31)))
+ SUMPRODUCT(('Form responses 1'!$E$2:$E1000 = A52) * ('Form responses 1'!$A$2:$A1000 &lt;= DATE(2025, 8, 31)))
+ SUMPRODUCT(('Form responses 1'!$F$2:$F1000 = A52) * ('Form responses 1'!$A$2:$A1000 &lt;= DATE(2025, 8, 31)))
+ SUMPRODUCT(('Form responses 1'!$G$2:$G1000 = A52) * ('Form responses 1'!$A$2:$A1000 &lt;= DATE(2025, 8, 31)))), 2), "-")
</f>
        <v>0.88</v>
      </c>
      <c r="W52" s="2">
        <f>IFERROR(ROUND(Data!B50/(SUMPRODUCT(('Form responses 1'!$B$2:$B1000 = A52) * ('Form responses 1'!$A$2:$A1000 &lt;= DATE(2025, 9, 30)))
+ SUMPRODUCT(('Form responses 1'!$C$2:$C1000 = A52) * ('Form responses 1'!$A$2:$A1000 &lt;= DATE(2025, 9, 30)))
+ SUMPRODUCT(('Form responses 1'!$D$2:$D1000 = A52) * ('Form responses 1'!$A$2:$A1000 &lt;= DATE(2025, 9, 30)))
+ SUMPRODUCT(('Form responses 1'!$E$2:$E1000 = A52) * ('Form responses 1'!$A$2:$A1000 &lt;= DATE(2025, 9, 30)))
+ SUMPRODUCT(('Form responses 1'!$F$2:$F1000 = A52) * ('Form responses 1'!$A$2:$A1000 &lt;= DATE(2025, 9, 30)))
+ SUMPRODUCT(('Form responses 1'!$G$2:$G1000 = A52) * ('Form responses 1'!$A$2:$A1000 &lt;= DATE(2025, 9, 30)))), 2), "-")
</f>
        <v>0.88</v>
      </c>
      <c r="X52" s="2">
        <f>IFERROR(ROUND(Data!B50/(SUMPRODUCT(('Form responses 1'!$B$2:$B1000 = A52) * ('Form responses 1'!$A$2:$A1000 &lt;= DATE(2025, 10, 31)))
+ SUMPRODUCT(('Form responses 1'!$C$2:$C1000 = A52) * ('Form responses 1'!$A$2:$A1000 &lt;= DATE(2025, 10, 31)))
+ SUMPRODUCT(('Form responses 1'!$D$2:$D1000 = A52) * ('Form responses 1'!$A$2:$A1000 &lt;= DATE(2025, 10, 31)))
+ SUMPRODUCT(('Form responses 1'!$E$2:$E1000 = A52) * ('Form responses 1'!$A$2:$A1000 &lt;= DATE(2025, 10, 31)))
+ SUMPRODUCT(('Form responses 1'!$F$2:$F1000 = A52) * ('Form responses 1'!$A$2:$A1000 &lt;= DATE(2025, 10, 31)))
+ SUMPRODUCT(('Form responses 1'!$G$2:$G1000 = A52) * ('Form responses 1'!$A$2:$A1000 &lt;= DATE(2025, 10, 31)))), 2), "-")
</f>
        <v>0.88</v>
      </c>
      <c r="Y52" s="2">
        <f>IFERROR(ROUND(Data!B50/(SUMPRODUCT(('Form responses 1'!$B$2:$B1000 = A52) * ('Form responses 1'!$A$2:$A1000 &lt;= DATE(2025, 11, 30)))
+ SUMPRODUCT(('Form responses 1'!$C$2:$C1000 = A52) * ('Form responses 1'!$A$2:$A1000 &lt;= DATE(2025, 11, 30)))
+ SUMPRODUCT(('Form responses 1'!$D$2:$D1000 = A52) * ('Form responses 1'!$A$2:$A1000 &lt;= DATE(2025, 11, 30)))
+ SUMPRODUCT(('Form responses 1'!$E$2:$E1000 = A52) * ('Form responses 1'!$A$2:$A1000 &lt;= DATE(2025, 11, 30)))
+ SUMPRODUCT(('Form responses 1'!$F$2:$F1000 = A52) * ('Form responses 1'!$A$2:$A1000 &lt;= DATE(2025, 11, 30)))
+ SUMPRODUCT(('Form responses 1'!$G$2:$G1000 = A52) * ('Form responses 1'!$A$2:$A1000 &lt;= DATE(2025, 11, 30)))), 2), "-")
</f>
        <v>0.81</v>
      </c>
      <c r="Z52" s="2">
        <f>IFERROR(ROUND(Data!B50/(SUMPRODUCT(('Form responses 1'!$B$2:$B1000 = A52) * ('Form responses 1'!$A$2:$A1000 &lt;= DATE(2025, 12, 31)))
+ SUMPRODUCT(('Form responses 1'!$C$2:$C1000 = A52) * ('Form responses 1'!$A$2:$A1000 &lt;= DATE(2025, 12, 31)))
+ SUMPRODUCT(('Form responses 1'!$D$2:$D1000 = A52) * ('Form responses 1'!$A$2:$A1000 &lt;= DATE(2025, 12, 31)))
+ SUMPRODUCT(('Form responses 1'!$E$2:$E1000 = A52) * ('Form responses 1'!$A$2:$A1000 &lt;= DATE(2025, 12, 31)))
+ SUMPRODUCT(('Form responses 1'!$F$2:$F1000 = A52) * ('Form responses 1'!$A$2:$A1000 &lt;= DATE(2025, 12, 31)))
+ SUMPRODUCT(('Form responses 1'!$G$2:$G1000 = A52) * ('Form responses 1'!$A$2:$A1000 &lt;= DATE(2025, 12, 31)))), 2), "-")
</f>
        <v>0.76</v>
      </c>
      <c r="AA52" s="2">
        <f>IFERROR(ROUND(Data!$B52/(
  SUMPRODUCT(('Form responses 1'!$B$2:$B1000=$A52)*('Form responses 1'!$A$2:$A1000&lt;=EOMONTH(DATEVALUE("1 "&amp;AA$1),0)))+
  SUMPRODUCT(('Form responses 1'!$C$2:$C1000=$A52)*('Form responses 1'!$A$2:$A1000&lt;=EOMONTH(DATEVALUE("1 "&amp;AA$1),0)))+
  SUMPRODUCT(('Form responses 1'!$D$2:$D1000=$A52)*('Form responses 1'!$A$2:$A1000&lt;=EOMONTH(DATEVALUE("1 "&amp;AA$1),0)))+
  SUMPRODUCT(('Form responses 1'!$E$2:$E1000=$A52)*('Form responses 1'!$A$2:$A1000&lt;=EOMONTH(DATEVALUE("1 "&amp;AA$1),0)))+
  SUMPRODUCT(('Form responses 1'!$F$2:$F1000=$A52)*('Form responses 1'!$A$2:$A1000&lt;=EOMONTH(DATEVALUE("1 "&amp;AA$1),0)))+
  SUMPRODUCT(('Form responses 1'!$G$2:$G1000=$A52)*('Form responses 1'!$A$2:$A1000&lt;=EOMONTH(DATEVALUE("1 "&amp;AA$1),0)))
),2),"-")</f>
        <v>0.41</v>
      </c>
      <c r="AB52" s="2">
        <f>IFERROR(ROUND(Data!$B52/(
  SUMPRODUCT(('Form responses 1'!$B$2:$B1000=$A52)*('Form responses 1'!$A$2:$A1000&lt;=EOMONTH(DATEVALUE("1 "&amp;AB$1),0)))+
  SUMPRODUCT(('Form responses 1'!$C$2:$C1000=$A52)*('Form responses 1'!$A$2:$A1000&lt;=EOMONTH(DATEVALUE("1 "&amp;AB$1),0)))+
  SUMPRODUCT(('Form responses 1'!$D$2:$D1000=$A52)*('Form responses 1'!$A$2:$A1000&lt;=EOMONTH(DATEVALUE("1 "&amp;AB$1),0)))+
  SUMPRODUCT(('Form responses 1'!$E$2:$E1000=$A52)*('Form responses 1'!$A$2:$A1000&lt;=EOMONTH(DATEVALUE("1 "&amp;AB$1),0)))+
  SUMPRODUCT(('Form responses 1'!$F$2:$F1000=$A52)*('Form responses 1'!$A$2:$A1000&lt;=EOMONTH(DATEVALUE("1 "&amp;AB$1),0)))+
  SUMPRODUCT(('Form responses 1'!$G$2:$G1000=$A52)*('Form responses 1'!$A$2:$A1000&lt;=EOMONTH(DATEVALUE("1 "&amp;AB$1),0)))
),2),"-")</f>
        <v>0.41</v>
      </c>
      <c r="AC52" s="2">
        <f>IFERROR(ROUND(Data!$B52/(
  SUMPRODUCT(('Form responses 1'!$B$2:$B1000=$A52)*('Form responses 1'!$A$2:$A1000&lt;=EOMONTH(DATEVALUE("1 "&amp;AC$1),0)))+
  SUMPRODUCT(('Form responses 1'!$C$2:$C1000=$A52)*('Form responses 1'!$A$2:$A1000&lt;=EOMONTH(DATEVALUE("1 "&amp;AC$1),0)))+
  SUMPRODUCT(('Form responses 1'!$D$2:$D1000=$A52)*('Form responses 1'!$A$2:$A1000&lt;=EOMONTH(DATEVALUE("1 "&amp;AC$1),0)))+
  SUMPRODUCT(('Form responses 1'!$E$2:$E1000=$A52)*('Form responses 1'!$A$2:$A1000&lt;=EOMONTH(DATEVALUE("1 "&amp;AC$1),0)))+
  SUMPRODUCT(('Form responses 1'!$F$2:$F1000=$A52)*('Form responses 1'!$A$2:$A1000&lt;=EOMONTH(DATEVALUE("1 "&amp;AC$1),0)))+
  SUMPRODUCT(('Form responses 1'!$G$2:$G1000=$A52)*('Form responses 1'!$A$2:$A1000&lt;=EOMONTH(DATEVALUE("1 "&amp;AC$1),0)))
),2),"-")</f>
        <v>0.4</v>
      </c>
      <c r="AD52" s="2" t="str">
        <f>IFERROR(ROUND(Data!$B52/(
  SUMPRODUCT(('Form responses 1'!$B$2:$B1000=$A52)*('Form responses 1'!$A$2:$A1000&lt;=EOMONTH(DATEVALUE("1 "&amp;AD$1),0)))+
  SUMPRODUCT(('Form responses 1'!$C$2:$C1000=$A52)*('Form responses 1'!$A$2:$A1000&lt;=EOMONTH(DATEVALUE("1 "&amp;AD$1),0)))+
  SUMPRODUCT(('Form responses 1'!$D$2:$D1000=$A52)*('Form responses 1'!$A$2:$A1000&lt;=EOMONTH(DATEVALUE("1 "&amp;AD$1),0)))+
  SUMPRODUCT(('Form responses 1'!$E$2:$E1000=$A52)*('Form responses 1'!$A$2:$A1000&lt;=EOMONTH(DATEVALUE("1 "&amp;AD$1),0)))+
  SUMPRODUCT(('Form responses 1'!$F$2:$F1000=$A52)*('Form responses 1'!$A$2:$A1000&lt;=EOMONTH(DATEVALUE("1 "&amp;AD$1),0)))+
  SUMPRODUCT(('Form responses 1'!$G$2:$G1000=$A52)*('Form responses 1'!$A$2:$A1000&lt;=EOMONTH(DATEVALUE("1 "&amp;AD$1),0)))
),2),"-")</f>
        <v>-</v>
      </c>
      <c r="AE52" s="2" t="str">
        <f>IFERROR(ROUND(Data!$B52/(
  SUMPRODUCT(('Form responses 1'!$B$2:$B1000=$A52)*('Form responses 1'!$A$2:$A1000&lt;=EOMONTH(DATEVALUE("1 "&amp;AE$1),0)))+
  SUMPRODUCT(('Form responses 1'!$C$2:$C1000=$A52)*('Form responses 1'!$A$2:$A1000&lt;=EOMONTH(DATEVALUE("1 "&amp;AE$1),0)))+
  SUMPRODUCT(('Form responses 1'!$D$2:$D1000=$A52)*('Form responses 1'!$A$2:$A1000&lt;=EOMONTH(DATEVALUE("1 "&amp;AE$1),0)))+
  SUMPRODUCT(('Form responses 1'!$E$2:$E1000=$A52)*('Form responses 1'!$A$2:$A1000&lt;=EOMONTH(DATEVALUE("1 "&amp;AE$1),0)))+
  SUMPRODUCT(('Form responses 1'!$F$2:$F1000=$A52)*('Form responses 1'!$A$2:$A1000&lt;=EOMONTH(DATEVALUE("1 "&amp;AE$1),0)))+
  SUMPRODUCT(('Form responses 1'!$G$2:$G1000=$A52)*('Form responses 1'!$A$2:$A1000&lt;=EOMONTH(DATEVALUE("1 "&amp;AE$1),0)))
),2),"-")</f>
        <v>-</v>
      </c>
      <c r="AF52" s="2" t="str">
        <f>IFERROR(ROUND(Data!$B52/(
  SUMPRODUCT(('Form responses 1'!$B$2:$B1000=$A52)*('Form responses 1'!$A$2:$A1000&lt;=EOMONTH(DATEVALUE("1 "&amp;AF$1),0)))+
  SUMPRODUCT(('Form responses 1'!$C$2:$C1000=$A52)*('Form responses 1'!$A$2:$A1000&lt;=EOMONTH(DATEVALUE("1 "&amp;AF$1),0)))+
  SUMPRODUCT(('Form responses 1'!$D$2:$D1000=$A52)*('Form responses 1'!$A$2:$A1000&lt;=EOMONTH(DATEVALUE("1 "&amp;AF$1),0)))+
  SUMPRODUCT(('Form responses 1'!$E$2:$E1000=$A52)*('Form responses 1'!$A$2:$A1000&lt;=EOMONTH(DATEVALUE("1 "&amp;AF$1),0)))+
  SUMPRODUCT(('Form responses 1'!$F$2:$F1000=$A52)*('Form responses 1'!$A$2:$A1000&lt;=EOMONTH(DATEVALUE("1 "&amp;AF$1),0)))+
  SUMPRODUCT(('Form responses 1'!$G$2:$G1000=$A52)*('Form responses 1'!$A$2:$A1000&lt;=EOMONTH(DATEVALUE("1 "&amp;AF$1),0)))
),2),"-")</f>
        <v>-</v>
      </c>
      <c r="AG52" s="2" t="str">
        <f>IFERROR(ROUND(Data!$B52/(
  SUMPRODUCT(('Form responses 1'!$B$2:$B1000=$A52)*('Form responses 1'!$A$2:$A1000&lt;=EOMONTH(DATEVALUE("1 "&amp;AG$1),0)))+
  SUMPRODUCT(('Form responses 1'!$C$2:$C1000=$A52)*('Form responses 1'!$A$2:$A1000&lt;=EOMONTH(DATEVALUE("1 "&amp;AG$1),0)))+
  SUMPRODUCT(('Form responses 1'!$D$2:$D1000=$A52)*('Form responses 1'!$A$2:$A1000&lt;=EOMONTH(DATEVALUE("1 "&amp;AG$1),0)))+
  SUMPRODUCT(('Form responses 1'!$E$2:$E1000=$A52)*('Form responses 1'!$A$2:$A1000&lt;=EOMONTH(DATEVALUE("1 "&amp;AG$1),0)))+
  SUMPRODUCT(('Form responses 1'!$F$2:$F1000=$A52)*('Form responses 1'!$A$2:$A1000&lt;=EOMONTH(DATEVALUE("1 "&amp;AG$1),0)))+
  SUMPRODUCT(('Form responses 1'!$G$2:$G1000=$A52)*('Form responses 1'!$A$2:$A1000&lt;=EOMONTH(DATEVALUE("1 "&amp;AG$1),0)))
),2),"-")</f>
        <v>-</v>
      </c>
      <c r="AH52" s="2" t="str">
        <f>IFERROR(ROUND(Data!$B52/(
  SUMPRODUCT(('Form responses 1'!$B$2:$B1000=$A52)*('Form responses 1'!$A$2:$A1000&lt;=EOMONTH(DATEVALUE("1 "&amp;AH$1),0)))+
  SUMPRODUCT(('Form responses 1'!$C$2:$C1000=$A52)*('Form responses 1'!$A$2:$A1000&lt;=EOMONTH(DATEVALUE("1 "&amp;AH$1),0)))+
  SUMPRODUCT(('Form responses 1'!$D$2:$D1000=$A52)*('Form responses 1'!$A$2:$A1000&lt;=EOMONTH(DATEVALUE("1 "&amp;AH$1),0)))+
  SUMPRODUCT(('Form responses 1'!$E$2:$E1000=$A52)*('Form responses 1'!$A$2:$A1000&lt;=EOMONTH(DATEVALUE("1 "&amp;AH$1),0)))+
  SUMPRODUCT(('Form responses 1'!$F$2:$F1000=$A52)*('Form responses 1'!$A$2:$A1000&lt;=EOMONTH(DATEVALUE("1 "&amp;AH$1),0)))+
  SUMPRODUCT(('Form responses 1'!$G$2:$G1000=$A52)*('Form responses 1'!$A$2:$A1000&lt;=EOMONTH(DATEVALUE("1 "&amp;AH$1),0)))
),2),"-")</f>
        <v>-</v>
      </c>
      <c r="AI52" s="2" t="str">
        <f>IFERROR(ROUND(Data!$B52/(
  SUMPRODUCT(('Form responses 1'!$B$2:$B1000=$A52)*('Form responses 1'!$A$2:$A1000&lt;=EOMONTH(DATEVALUE("1 "&amp;AI$1),0)))+
  SUMPRODUCT(('Form responses 1'!$C$2:$C1000=$A52)*('Form responses 1'!$A$2:$A1000&lt;=EOMONTH(DATEVALUE("1 "&amp;AI$1),0)))+
  SUMPRODUCT(('Form responses 1'!$D$2:$D1000=$A52)*('Form responses 1'!$A$2:$A1000&lt;=EOMONTH(DATEVALUE("1 "&amp;AI$1),0)))+
  SUMPRODUCT(('Form responses 1'!$E$2:$E1000=$A52)*('Form responses 1'!$A$2:$A1000&lt;=EOMONTH(DATEVALUE("1 "&amp;AI$1),0)))+
  SUMPRODUCT(('Form responses 1'!$F$2:$F1000=$A52)*('Form responses 1'!$A$2:$A1000&lt;=EOMONTH(DATEVALUE("1 "&amp;AI$1),0)))+
  SUMPRODUCT(('Form responses 1'!$G$2:$G1000=$A52)*('Form responses 1'!$A$2:$A1000&lt;=EOMONTH(DATEVALUE("1 "&amp;AI$1),0)))
),2),"-")</f>
        <v>-</v>
      </c>
      <c r="AJ52" s="2" t="str">
        <f>IFERROR(ROUND(Data!$B52/(
  SUMPRODUCT(('Form responses 1'!$B$2:$B1000=$A52)*('Form responses 1'!$A$2:$A1000&lt;=EOMONTH(DATEVALUE("1 "&amp;AJ$1),0)))+
  SUMPRODUCT(('Form responses 1'!$C$2:$C1000=$A52)*('Form responses 1'!$A$2:$A1000&lt;=EOMONTH(DATEVALUE("1 "&amp;AJ$1),0)))+
  SUMPRODUCT(('Form responses 1'!$D$2:$D1000=$A52)*('Form responses 1'!$A$2:$A1000&lt;=EOMONTH(DATEVALUE("1 "&amp;AJ$1),0)))+
  SUMPRODUCT(('Form responses 1'!$E$2:$E1000=$A52)*('Form responses 1'!$A$2:$A1000&lt;=EOMONTH(DATEVALUE("1 "&amp;AJ$1),0)))+
  SUMPRODUCT(('Form responses 1'!$F$2:$F1000=$A52)*('Form responses 1'!$A$2:$A1000&lt;=EOMONTH(DATEVALUE("1 "&amp;AJ$1),0)))+
  SUMPRODUCT(('Form responses 1'!$G$2:$G1000=$A52)*('Form responses 1'!$A$2:$A1000&lt;=EOMONTH(DATEVALUE("1 "&amp;AJ$1),0)))
),2),"-")</f>
        <v>-</v>
      </c>
      <c r="AK52" s="2" t="str">
        <f>IFERROR(ROUND(Data!$B52/(
  SUMPRODUCT(('Form responses 1'!$B$2:$B1000=$A52)*('Form responses 1'!$A$2:$A1000&lt;=EOMONTH(DATEVALUE("1 "&amp;AK$1),0)))+
  SUMPRODUCT(('Form responses 1'!$C$2:$C1000=$A52)*('Form responses 1'!$A$2:$A1000&lt;=EOMONTH(DATEVALUE("1 "&amp;AK$1),0)))+
  SUMPRODUCT(('Form responses 1'!$D$2:$D1000=$A52)*('Form responses 1'!$A$2:$A1000&lt;=EOMONTH(DATEVALUE("1 "&amp;AK$1),0)))+
  SUMPRODUCT(('Form responses 1'!$E$2:$E1000=$A52)*('Form responses 1'!$A$2:$A1000&lt;=EOMONTH(DATEVALUE("1 "&amp;AK$1),0)))+
  SUMPRODUCT(('Form responses 1'!$F$2:$F1000=$A52)*('Form responses 1'!$A$2:$A1000&lt;=EOMONTH(DATEVALUE("1 "&amp;AK$1),0)))+
  SUMPRODUCT(('Form responses 1'!$G$2:$G1000=$A52)*('Form responses 1'!$A$2:$A1000&lt;=EOMONTH(DATEVALUE("1 "&amp;AK$1),0)))
),2),"-")</f>
        <v>-</v>
      </c>
      <c r="AL52" s="2" t="str">
        <f>IFERROR(ROUND(Data!$B52/(
  SUMPRODUCT(('Form responses 1'!$B$2:$B1000=$A52)*('Form responses 1'!$A$2:$A1000&lt;=EOMONTH(DATEVALUE("1 "&amp;AL$1),0)))+
  SUMPRODUCT(('Form responses 1'!$C$2:$C1000=$A52)*('Form responses 1'!$A$2:$A1000&lt;=EOMONTH(DATEVALUE("1 "&amp;AL$1),0)))+
  SUMPRODUCT(('Form responses 1'!$D$2:$D1000=$A52)*('Form responses 1'!$A$2:$A1000&lt;=EOMONTH(DATEVALUE("1 "&amp;AL$1),0)))+
  SUMPRODUCT(('Form responses 1'!$E$2:$E1000=$A52)*('Form responses 1'!$A$2:$A1000&lt;=EOMONTH(DATEVALUE("1 "&amp;AL$1),0)))+
  SUMPRODUCT(('Form responses 1'!$F$2:$F1000=$A52)*('Form responses 1'!$A$2:$A1000&lt;=EOMONTH(DATEVALUE("1 "&amp;AL$1),0)))+
  SUMPRODUCT(('Form responses 1'!$G$2:$G1000=$A52)*('Form responses 1'!$A$2:$A1000&lt;=EOMONTH(DATEVALUE("1 "&amp;AL$1),0)))
),2),"-")</f>
        <v>-</v>
      </c>
    </row>
    <row r="53">
      <c r="A53" s="3" t="str">
        <f>IFERROR(__xludf.DUMMYFUNCTION("""COMPUTED_VALUE"""),"Rood vest")</f>
        <v>Rood vest</v>
      </c>
      <c r="B53" s="2">
        <f>Data!F51:F1000</f>
        <v>0.6</v>
      </c>
      <c r="C53" s="2">
        <f>IFERROR(ROUND(Data!B51/(SUMPRODUCT(('Form responses 1'!$B$2:$B1000 = A53) * ('Form responses 1'!$A$2:$A1000 &lt;= DATE(2024, 1, 31)))
+ SUMPRODUCT(('Form responses 1'!$C$2:$C1000 = A53) * ('Form responses 1'!$A$2:$A1000 &lt;= DATE(2024, 1, 31)))
+ SUMPRODUCT(('Form responses 1'!$D$2:$D1000 = A53) * ('Form responses 1'!$A$2:$A1000 &lt;= DATE(2024, 1, 31)))
+ SUMPRODUCT(('Form responses 1'!$E$2:$E1000 = A53) * ('Form responses 1'!$A$2:$A1000 &lt;= DATE(2024, 1, 31)))
+ SUMPRODUCT(('Form responses 1'!$F$2:$F1000 = A53) * ('Form responses 1'!$A$2:$A1000 &lt;= DATE(2024, 1, 31)))
+ SUMPRODUCT(('Form responses 1'!$G$2:$G1000 = A53) * ('Form responses 1'!$A$2:$A1000 &lt;= DATE(2024, 1, 31)))), 2), "-")
</f>
        <v>0.64</v>
      </c>
      <c r="D53" s="2">
        <f>IFERROR(ROUND(Data!B51/(SUMPRODUCT(('Form responses 1'!$B$2:$B1000 = A53) * ('Form responses 1'!$A$2:$A1000 &lt;= DATE(2024, 2, 29)))
+ SUMPRODUCT(('Form responses 1'!$C$2:$C1000 = A53) * ('Form responses 1'!$A$2:$A1000 &lt;= DATE(2024, 2, 29)))
+ SUMPRODUCT(('Form responses 1'!$D$2:$D1000 = A53) * ('Form responses 1'!$A$2:$A1000 &lt;= DATE(2024, 2, 29)))
+ SUMPRODUCT(('Form responses 1'!$E$2:$E1000 = A53) * ('Form responses 1'!$A$2:$A1000 &lt;= DATE(2024, 2, 29)))
+ SUMPRODUCT(('Form responses 1'!$F$2:$F1000 = A53) * ('Form responses 1'!$A$2:$A1000 &lt;= DATE(2024, 2, 29)))
+ SUMPRODUCT(('Form responses 1'!$G$2:$G1000 = A53) * ('Form responses 1'!$A$2:$A1000 &lt;= DATE(2024, 2, 29)))), 2), "-")
</f>
        <v>0.64</v>
      </c>
      <c r="E53" s="2">
        <f>IFERROR(ROUND(Data!B51/(SUMPRODUCT(('Form responses 1'!$B$2:$B1000 = A53) * ('Form responses 1'!$A$2:$A1000 &lt;= DATE(2024, 3, 31)))
+ SUMPRODUCT(('Form responses 1'!$C$2:$C1000 = A53) * ('Form responses 1'!$A$2:$A1000 &lt;= DATE(2024, 3, 31)))
+ SUMPRODUCT(('Form responses 1'!$D$2:$D1000 = A53) * ('Form responses 1'!$A$2:$A1000 &lt;= DATE(2024, 3, 31)))
+ SUMPRODUCT(('Form responses 1'!$E$2:$E1000 = A53) * ('Form responses 1'!$A$2:$A1000 &lt;= DATE(2024, 3, 31)))
+ SUMPRODUCT(('Form responses 1'!$F$2:$F1000 = A53) * ('Form responses 1'!$A$2:$A1000 &lt;= DATE(2024, 3, 31)))
+ SUMPRODUCT(('Form responses 1'!$G$2:$G1000 = A53) * ('Form responses 1'!$A$2:$A1000 &lt;= DATE(2024, 3, 31)))), 2), "-")
</f>
        <v>0.64</v>
      </c>
      <c r="F53" s="2">
        <f>IFERROR(ROUND(Data!B51/(SUMPRODUCT(('Form responses 1'!$B$2:$B1000 = A53) * ('Form responses 1'!$A$2:$A1000 &lt;= DATE(2024, 4, 30)))
+ SUMPRODUCT(('Form responses 1'!$C$2:$C1000 = A53) * ('Form responses 1'!$A$2:$A1000 &lt;= DATE(2024, 4, 30)))
+ SUMPRODUCT(('Form responses 1'!$D$2:$D1000 = A53) * ('Form responses 1'!$A$2:$A1000 &lt;= DATE(2024, 4, 30)))
+ SUMPRODUCT(('Form responses 1'!$E$2:$E1000 = A53) * ('Form responses 1'!$A$2:$A1000 &lt;= DATE(2024, 4, 30)))
+ SUMPRODUCT(('Form responses 1'!$F$2:$F1000 = A53) * ('Form responses 1'!$A$2:$A1000 &lt;= DATE(2024, 4, 30)))
+ SUMPRODUCT(('Form responses 1'!$G$2:$G1000 = A53) * ('Form responses 1'!$A$2:$A1000 &lt;= DATE(2024, 4, 30)))), 2), "-")
</f>
        <v>0.64</v>
      </c>
      <c r="G53" s="2">
        <f>IFERROR(ROUND(Data!B51/(SUMPRODUCT(('Form responses 1'!$B$2:$B1000 = A53) * ('Form responses 1'!$A$2:$A1000 &lt;= DATE(2024, 5, 31)))
+ SUMPRODUCT(('Form responses 1'!$C$2:$C1000 = A53) * ('Form responses 1'!$A$2:$A1000 &lt;= DATE(2024, 5, 31)))
+ SUMPRODUCT(('Form responses 1'!$D$2:$D1000 = A53) * ('Form responses 1'!$A$2:$A1000 &lt;= DATE(2024, 5, 31)))
+ SUMPRODUCT(('Form responses 1'!$E$2:$E1000 = A53) * ('Form responses 1'!$A$2:$A1000 &lt;= DATE(2024, 5, 31)))
+ SUMPRODUCT(('Form responses 1'!$F$2:$F1000 = A53) * ('Form responses 1'!$A$2:$A1000 &lt;= DATE(2024, 5, 31)))
+ SUMPRODUCT(('Form responses 1'!$G$2:$G1000 = A53) * ('Form responses 1'!$A$2:$A1000 &lt;= DATE(2024, 5, 31)))), 2), "-")
</f>
        <v>0.64</v>
      </c>
      <c r="H53" s="2">
        <f>IFERROR(ROUND(Data!B51/(SUMPRODUCT(('Form responses 1'!$B$2:$B1000 = A53) * ('Form responses 1'!$A$2:$A1000 &lt;= DATE(2024, 6, 30)))
+ SUMPRODUCT(('Form responses 1'!$C$2:$C1000 = A53) * ('Form responses 1'!$A$2:$A1000 &lt;= DATE(2024, 6, 30)))
+ SUMPRODUCT(('Form responses 1'!$D$2:$D1000 = A53) * ('Form responses 1'!$A$2:$A1000 &lt;= DATE(2024, 6, 30)))
+ SUMPRODUCT(('Form responses 1'!$E$2:$E1000 = A53) * ('Form responses 1'!$A$2:$A1000 &lt;= DATE(2024, 6, 30)))
+ SUMPRODUCT(('Form responses 1'!$F$2:$F1000 = A53) * ('Form responses 1'!$A$2:$A1000 &lt;= DATE(2024, 6, 30)))
+ SUMPRODUCT(('Form responses 1'!$G$2:$G1000 = A53) * ('Form responses 1'!$A$2:$A1000 &lt;= DATE(2024, 6, 30)))), 2), "-")
</f>
        <v>0.64</v>
      </c>
      <c r="I53" s="2">
        <f>IFERROR(ROUND(Data!B51/(SUMPRODUCT(('Form responses 1'!$B$2:$B1000 = A53) * ('Form responses 1'!$A$2:$A1000 &lt;= DATE(2024, 7, 31)))
+ SUMPRODUCT(('Form responses 1'!$C$2:$C1000 = A53) * ('Form responses 1'!$A$2:$A1000 &lt;= DATE(2024, 7, 31)))
+ SUMPRODUCT(('Form responses 1'!$D$2:$D1000 = A53) * ('Form responses 1'!$A$2:$A1000 &lt;= DATE(2024, 7, 31)))
+ SUMPRODUCT(('Form responses 1'!$E$2:$E1000 = A53) * ('Form responses 1'!$A$2:$A1000 &lt;= DATE(2024, 7, 31)))
+ SUMPRODUCT(('Form responses 1'!$F$2:$F1000 = A53) * ('Form responses 1'!$A$2:$A1000 &lt;= DATE(2024, 7, 31)))
+ SUMPRODUCT(('Form responses 1'!$G$2:$G1000 = A53) * ('Form responses 1'!$A$2:$A1000 &lt;= DATE(2024, 7, 31)))), 2), "-")
</f>
        <v>0.64</v>
      </c>
      <c r="J53" s="2">
        <f>IFERROR(ROUND(Data!B51/(SUMPRODUCT(('Form responses 1'!$B$2:$B1000 = A53) * ('Form responses 1'!$A$2:$A1000 &lt;= DATE(2024, 8, 31)))
+ SUMPRODUCT(('Form responses 1'!$C$2:$C1000 = A53) * ('Form responses 1'!$A$2:$A1000 &lt;= DATE(2024, 8, 31)))
+ SUMPRODUCT(('Form responses 1'!$D$2:$D1000 = A53) * ('Form responses 1'!$A$2:$A1000 &lt;= DATE(2024, 8, 31)))
+ SUMPRODUCT(('Form responses 1'!$E$2:$E1000 = A53) * ('Form responses 1'!$A$2:$A1000 &lt;= DATE(2024, 8, 31)))
+ SUMPRODUCT(('Form responses 1'!$F$2:$F1000 = A53) * ('Form responses 1'!$A$2:$A1000 &lt;= DATE(2024, 8, 31)))
+ SUMPRODUCT(('Form responses 1'!$G$2:$G1000 = A53) * ('Form responses 1'!$A$2:$A1000 &lt;= DATE(2024, 8, 31)))), 2), "-")
</f>
        <v>0.64</v>
      </c>
      <c r="K53" s="2">
        <f>IFERROR(ROUND(Data!B51/(SUMPRODUCT(('Form responses 1'!$B$2:$B1000 = A53) * ('Form responses 1'!$A$2:$A1000 &lt;= DATE(2024, 9, 30)))
+ SUMPRODUCT(('Form responses 1'!$C$2:$C1000 = A53) * ('Form responses 1'!$A$2:$A1000 &lt;= DATE(2024, 9, 30)))
+ SUMPRODUCT(('Form responses 1'!$D$2:$D1000 = A53) * ('Form responses 1'!$A$2:$A1000 &lt;= DATE(2024, 9, 30)))
+ SUMPRODUCT(('Form responses 1'!$E$2:$E1000 = A53) * ('Form responses 1'!$A$2:$A1000 &lt;= DATE(2024, 9, 30)))
+ SUMPRODUCT(('Form responses 1'!$F$2:$F1000 = A53) * ('Form responses 1'!$A$2:$A1000 &lt;= DATE(2024, 9, 30)))
+ SUMPRODUCT(('Form responses 1'!$G$2:$G1000 = A53) * ('Form responses 1'!$A$2:$A1000 &lt;= DATE(2024, 9, 30)))), 2), "-")
</f>
        <v>0.64</v>
      </c>
      <c r="L53" s="2">
        <f>IFERROR(ROUND(Data!B51/(SUMPRODUCT(('Form responses 1'!$B$2:$B1000 = A53) * ('Form responses 1'!$A$2:$A1000 &lt;= DATE(2024, 10, 31)))
+ SUMPRODUCT(('Form responses 1'!$C$2:$C1000 = A53) * ('Form responses 1'!$A$2:$A1000 &lt;= DATE(2024, 10, 31)))
+ SUMPRODUCT(('Form responses 1'!$D$2:$D1000 = A53) * ('Form responses 1'!$A$2:$A1000 &lt;= DATE(2024, 10, 31)))
+ SUMPRODUCT(('Form responses 1'!$E$2:$E1000 = A53) * ('Form responses 1'!$A$2:$A1000 &lt;= DATE(2024, 10, 31)))
+ SUMPRODUCT(('Form responses 1'!$F$2:$F1000 = A53) * ('Form responses 1'!$A$2:$A1000 &lt;= DATE(2024, 10, 31)))
+ SUMPRODUCT(('Form responses 1'!$G$2:$G1000 = A53) * ('Form responses 1'!$A$2:$A1000 &lt;= DATE(2024, 10, 31)))), 2), "-")
</f>
        <v>0.64</v>
      </c>
      <c r="M53" s="2">
        <f>IFERROR(ROUND(Data!B51/(SUMPRODUCT(('Form responses 1'!$B$2:$B1000 = A53) * ('Form responses 1'!$A$2:$A1000 &lt;= DATE(2024, 11, 30)))
+ SUMPRODUCT(('Form responses 1'!$C$2:$C1000 = A53) * ('Form responses 1'!$A$2:$A1000 &lt;= DATE(2024, 11, 30)))
+ SUMPRODUCT(('Form responses 1'!$D$2:$D1000 = A53) * ('Form responses 1'!$A$2:$A1000 &lt;= DATE(2024, 11, 30)))
+ SUMPRODUCT(('Form responses 1'!$E$2:$E1000 = A53) * ('Form responses 1'!$A$2:$A1000 &lt;= DATE(2024, 11, 30)))
+ SUMPRODUCT(('Form responses 1'!$F$2:$F1000 = A53) * ('Form responses 1'!$A$2:$A1000 &lt;= DATE(2024, 11, 30)))
+ SUMPRODUCT(('Form responses 1'!$G$2:$G1000 = A53) * ('Form responses 1'!$A$2:$A1000 &lt;= DATE(2024, 11, 30)))), 2), "-")
</f>
        <v>0.62</v>
      </c>
      <c r="N53" s="2">
        <f>IFERROR(ROUND(Data!B51/(SUMPRODUCT(('Form responses 1'!$B$2:$B1000 = A53) * ('Form responses 1'!$A$2:$A1000 &lt;= DATE(2024, 12, 31)))
+ SUMPRODUCT(('Form responses 1'!$C$2:$C1000 = A53) * ('Form responses 1'!$A$2:$A1000 &lt;= DATE(2024, 12, 31)))
+ SUMPRODUCT(('Form responses 1'!$D$2:$D1000 = A53) * ('Form responses 1'!$A$2:$A1000 &lt;= DATE(2024, 12, 31)))
+ SUMPRODUCT(('Form responses 1'!$E$2:$E1000 = A53) * ('Form responses 1'!$A$2:$A1000 &lt;= DATE(2024, 12, 31)))
+ SUMPRODUCT(('Form responses 1'!$F$2:$F1000 = A53) * ('Form responses 1'!$A$2:$A1000 &lt;= DATE(2024, 12, 31)))
+ SUMPRODUCT(('Form responses 1'!$G$2:$G1000 = A53) * ('Form responses 1'!$A$2:$A1000 &lt;= DATE(2024, 12, 31)))), 2), "-")
</f>
        <v>0.55</v>
      </c>
      <c r="O53" s="2">
        <f>IFERROR(ROUND(Data!B51/(SUMPRODUCT(('Form responses 1'!$B$2:$B1000 = A53) * ('Form responses 1'!$A$2:$A1000 &lt;= DATE(2025, 1, 31)))
+ SUMPRODUCT(('Form responses 1'!$C$2:$C1000 = A53) * ('Form responses 1'!$A$2:$A1000 &lt;= DATE(2025, 1, 31)))
+ SUMPRODUCT(('Form responses 1'!$D$2:$D1000 = A53) * ('Form responses 1'!$A$2:$A1000 &lt;= DATE(2025, 1, 31)))
+ SUMPRODUCT(('Form responses 1'!$E$2:$E1000 = A53) * ('Form responses 1'!$A$2:$A1000 &lt;= DATE(2025, 1, 31)))
+ SUMPRODUCT(('Form responses 1'!$F$2:$F1000 = A53) * ('Form responses 1'!$A$2:$A1000 &lt;= DATE(2025, 1, 31)))
+ SUMPRODUCT(('Form responses 1'!$G$2:$G1000 = A53) * ('Form responses 1'!$A$2:$A1000 &lt;= DATE(2025, 1, 31)))), 2), "-")
</f>
        <v>0.47</v>
      </c>
      <c r="P53" s="2">
        <f>IFERROR(ROUND(Data!B51/(SUMPRODUCT(('Form responses 1'!$B$2:$B1000 = A53) * ('Form responses 1'!$A$2:$A1000 &lt;= DATE(2025, 2, 28)))
+ SUMPRODUCT(('Form responses 1'!$C$2:$C1000 = A53) * ('Form responses 1'!$A$2:$A1000 &lt;= DATE(2025, 2, 28)))
+ SUMPRODUCT(('Form responses 1'!$D$2:$D1000 = A53) * ('Form responses 1'!$A$2:$A1000 &lt;= DATE(2025, 2, 28)))
+ SUMPRODUCT(('Form responses 1'!$E$2:$E1000 = A53) * ('Form responses 1'!$A$2:$A1000 &lt;= DATE(2025, 2, 28)))
+ SUMPRODUCT(('Form responses 1'!$F$2:$F1000 = A53) * ('Form responses 1'!$A$2:$A1000 &lt;= DATE(2025, 2, 28)))
+ SUMPRODUCT(('Form responses 1'!$G$2:$G1000 = A53) * ('Form responses 1'!$A$2:$A1000 &lt;= DATE(2025, 2, 28)))), 2), "-")
</f>
        <v>0.4</v>
      </c>
      <c r="Q53" s="2">
        <f>IFERROR(ROUND(Data!B51/(SUMPRODUCT(('Form responses 1'!$B$2:$B1000 = A53) * ('Form responses 1'!$A$2:$A1000 &lt;= DATE(2025, 3, 31)))
+ SUMPRODUCT(('Form responses 1'!$C$2:$C1000 = A53) * ('Form responses 1'!$A$2:$A1000 &lt;= DATE(2025, 3, 31)))
+ SUMPRODUCT(('Form responses 1'!$D$2:$D1000 = A53) * ('Form responses 1'!$A$2:$A1000 &lt;= DATE(2025, 3, 31)))
+ SUMPRODUCT(('Form responses 1'!$E$2:$E1000 = A53) * ('Form responses 1'!$A$2:$A1000 &lt;= DATE(2025, 3, 31)))
+ SUMPRODUCT(('Form responses 1'!$F$2:$F1000 = A53) * ('Form responses 1'!$A$2:$A1000 &lt;= DATE(2025, 3, 31)))
+ SUMPRODUCT(('Form responses 1'!$G$2:$G1000 = A53) * ('Form responses 1'!$A$2:$A1000 &lt;= DATE(2025, 3, 31)))),2),"-")</f>
        <v>0.37</v>
      </c>
      <c r="R53" s="2">
        <f>IFERROR(ROUND(Data!B51/(SUMPRODUCT(('Form responses 1'!$B$2:$B1000 = A53) * ('Form responses 1'!$A$2:$A1000 &lt;= DATE(2025, 4, 30)))
+ SUMPRODUCT(('Form responses 1'!$C$2:$C1000 = A53) * ('Form responses 1'!$A$2:$A1000 &lt;= DATE(2025, 4, 30)))
+ SUMPRODUCT(('Form responses 1'!$D$2:$D1000 = A53) * ('Form responses 1'!$A$2:$A1000 &lt;= DATE(2025, 4, 30)))
+ SUMPRODUCT(('Form responses 1'!$E$2:$E1000 = A53) * ('Form responses 1'!$A$2:$A1000 &lt;= DATE(2025, 4, 30)))
+ SUMPRODUCT(('Form responses 1'!$F$2:$F1000 = A53) * ('Form responses 1'!$A$2:$A1000 &lt;= DATE(2025, 4, 30)))
+ SUMPRODUCT(('Form responses 1'!$G$2:$G1000 = A53) * ('Form responses 1'!$A$2:$A1000 &lt;= DATE(2025, 4, 30)))), 2), "-")
</f>
        <v>0.37</v>
      </c>
      <c r="S53" s="2">
        <f>IFERROR(ROUND(Data!B51/(SUMPRODUCT(('Form responses 1'!$B$2:$B1000 = A53) * ('Form responses 1'!$A$2:$A1000 &lt;= DATE(2025, 5, 31)))
+ SUMPRODUCT(('Form responses 1'!$C$2:$C1000 = A53) * ('Form responses 1'!$A$2:$A1000 &lt;= DATE(2025, 5, 31)))
+ SUMPRODUCT(('Form responses 1'!$D$2:$D1000 = A53) * ('Form responses 1'!$A$2:$A1000 &lt;= DATE(2025, 5, 31)))
+ SUMPRODUCT(('Form responses 1'!$E$2:$E1000 = A53) * ('Form responses 1'!$A$2:$A1000 &lt;= DATE(2025, 5, 31)))
+ SUMPRODUCT(('Form responses 1'!$F$2:$F1000 = A53) * ('Form responses 1'!$A$2:$A1000 &lt;= DATE(2025, 5, 31)))
+ SUMPRODUCT(('Form responses 1'!$G$2:$G1000 = A53) * ('Form responses 1'!$A$2:$A1000 &lt;= DATE(2025, 5, 31)))), 2), "-")
</f>
        <v>0.33</v>
      </c>
      <c r="T53" s="2">
        <f>IFERROR(ROUND(Data!B51/(SUMPRODUCT(('Form responses 1'!$B$2:$B1000 = A53) * ('Form responses 1'!$A$2:$A1000 &lt;= DATE(2025, 6, 30)))
+ SUMPRODUCT(('Form responses 1'!$C$2:$C1000 = A53) * ('Form responses 1'!$A$2:$A1000 &lt;= DATE(2025, 6, 30)))
+ SUMPRODUCT(('Form responses 1'!$D$2:$D1000 = A53) * ('Form responses 1'!$A$2:$A1000 &lt;= DATE(2025, 6, 30)))
+ SUMPRODUCT(('Form responses 1'!$E$2:$E1000 = A53) * ('Form responses 1'!$A$2:$A1000 &lt;= DATE(2025, 6, 30)))
+ SUMPRODUCT(('Form responses 1'!$F$2:$F1000 = A53) * ('Form responses 1'!$A$2:$A1000 &lt;= DATE(2025, 6, 30)))
+ SUMPRODUCT(('Form responses 1'!$G$2:$G1000 = A53) * ('Form responses 1'!$A$2:$A1000 &lt;= DATE(2025, 6, 30)))), 2), "-")
</f>
        <v>0.33</v>
      </c>
      <c r="U53" s="2">
        <f>IFERROR(ROUND(Data!B51/(SUMPRODUCT(('Form responses 1'!$B$2:$B1000 = A53) * ('Form responses 1'!$A$2:$A1000 &lt;= DATE(2025, 7, 31)))
+ SUMPRODUCT(('Form responses 1'!$C$2:$C1000 = A53) * ('Form responses 1'!$A$2:$A1000 &lt;= DATE(2025, 7, 31)))
+ SUMPRODUCT(('Form responses 1'!$D$2:$D1000 = A53) * ('Form responses 1'!$A$2:$A1000 &lt;= DATE(2025, 7, 31)))
+ SUMPRODUCT(('Form responses 1'!$E$2:$E1000 = A53) * ('Form responses 1'!$A$2:$A1000 &lt;= DATE(2025, 7, 31)))
+ SUMPRODUCT(('Form responses 1'!$F$2:$F1000 = A53) * ('Form responses 1'!$A$2:$A1000 &lt;= DATE(2025, 7, 31)))
+ SUMPRODUCT(('Form responses 1'!$G$2:$G1000 = A53) * ('Form responses 1'!$A$2:$A1000 &lt;= DATE(2025, 7, 31)))), 2), "-")
</f>
        <v>0.33</v>
      </c>
      <c r="V53" s="2">
        <f>IFERROR(ROUND(Data!B51/(SUMPRODUCT(('Form responses 1'!$B$2:$B1000 = A53) * ('Form responses 1'!$A$2:$A1000 &lt;= DATE(2025, 8, 31)))
+ SUMPRODUCT(('Form responses 1'!$C$2:$C1000 = A53) * ('Form responses 1'!$A$2:$A1000 &lt;= DATE(2025, 8, 31)))
+ SUMPRODUCT(('Form responses 1'!$D$2:$D1000 = A53) * ('Form responses 1'!$A$2:$A1000 &lt;= DATE(2025, 8, 31)))
+ SUMPRODUCT(('Form responses 1'!$E$2:$E1000 = A53) * ('Form responses 1'!$A$2:$A1000 &lt;= DATE(2025, 8, 31)))
+ SUMPRODUCT(('Form responses 1'!$F$2:$F1000 = A53) * ('Form responses 1'!$A$2:$A1000 &lt;= DATE(2025, 8, 31)))
+ SUMPRODUCT(('Form responses 1'!$G$2:$G1000 = A53) * ('Form responses 1'!$A$2:$A1000 &lt;= DATE(2025, 8, 31)))), 2), "-")
</f>
        <v>0.33</v>
      </c>
      <c r="W53" s="2">
        <f>IFERROR(ROUND(Data!B51/(SUMPRODUCT(('Form responses 1'!$B$2:$B1000 = A53) * ('Form responses 1'!$A$2:$A1000 &lt;= DATE(2025, 9, 30)))
+ SUMPRODUCT(('Form responses 1'!$C$2:$C1000 = A53) * ('Form responses 1'!$A$2:$A1000 &lt;= DATE(2025, 9, 30)))
+ SUMPRODUCT(('Form responses 1'!$D$2:$D1000 = A53) * ('Form responses 1'!$A$2:$A1000 &lt;= DATE(2025, 9, 30)))
+ SUMPRODUCT(('Form responses 1'!$E$2:$E1000 = A53) * ('Form responses 1'!$A$2:$A1000 &lt;= DATE(2025, 9, 30)))
+ SUMPRODUCT(('Form responses 1'!$F$2:$F1000 = A53) * ('Form responses 1'!$A$2:$A1000 &lt;= DATE(2025, 9, 30)))
+ SUMPRODUCT(('Form responses 1'!$G$2:$G1000 = A53) * ('Form responses 1'!$A$2:$A1000 &lt;= DATE(2025, 9, 30)))), 2), "-")
</f>
        <v>0.33</v>
      </c>
      <c r="X53" s="2">
        <f>IFERROR(ROUND(Data!B51/(SUMPRODUCT(('Form responses 1'!$B$2:$B1000 = A53) * ('Form responses 1'!$A$2:$A1000 &lt;= DATE(2025, 10, 31)))
+ SUMPRODUCT(('Form responses 1'!$C$2:$C1000 = A53) * ('Form responses 1'!$A$2:$A1000 &lt;= DATE(2025, 10, 31)))
+ SUMPRODUCT(('Form responses 1'!$D$2:$D1000 = A53) * ('Form responses 1'!$A$2:$A1000 &lt;= DATE(2025, 10, 31)))
+ SUMPRODUCT(('Form responses 1'!$E$2:$E1000 = A53) * ('Form responses 1'!$A$2:$A1000 &lt;= DATE(2025, 10, 31)))
+ SUMPRODUCT(('Form responses 1'!$F$2:$F1000 = A53) * ('Form responses 1'!$A$2:$A1000 &lt;= DATE(2025, 10, 31)))
+ SUMPRODUCT(('Form responses 1'!$G$2:$G1000 = A53) * ('Form responses 1'!$A$2:$A1000 &lt;= DATE(2025, 10, 31)))), 2), "-")
</f>
        <v>0.33</v>
      </c>
      <c r="Y53" s="2">
        <f>IFERROR(ROUND(Data!B51/(SUMPRODUCT(('Form responses 1'!$B$2:$B1000 = A53) * ('Form responses 1'!$A$2:$A1000 &lt;= DATE(2025, 11, 30)))
+ SUMPRODUCT(('Form responses 1'!$C$2:$C1000 = A53) * ('Form responses 1'!$A$2:$A1000 &lt;= DATE(2025, 11, 30)))
+ SUMPRODUCT(('Form responses 1'!$D$2:$D1000 = A53) * ('Form responses 1'!$A$2:$A1000 &lt;= DATE(2025, 11, 30)))
+ SUMPRODUCT(('Form responses 1'!$E$2:$E1000 = A53) * ('Form responses 1'!$A$2:$A1000 &lt;= DATE(2025, 11, 30)))
+ SUMPRODUCT(('Form responses 1'!$F$2:$F1000 = A53) * ('Form responses 1'!$A$2:$A1000 &lt;= DATE(2025, 11, 30)))
+ SUMPRODUCT(('Form responses 1'!$G$2:$G1000 = A53) * ('Form responses 1'!$A$2:$A1000 &lt;= DATE(2025, 11, 30)))), 2), "-")
</f>
        <v>0.33</v>
      </c>
      <c r="Z53" s="2">
        <f>IFERROR(ROUND(Data!B51/(SUMPRODUCT(('Form responses 1'!$B$2:$B1000 = A53) * ('Form responses 1'!$A$2:$A1000 &lt;= DATE(2025, 12, 31)))
+ SUMPRODUCT(('Form responses 1'!$C$2:$C1000 = A53) * ('Form responses 1'!$A$2:$A1000 &lt;= DATE(2025, 12, 31)))
+ SUMPRODUCT(('Form responses 1'!$D$2:$D1000 = A53) * ('Form responses 1'!$A$2:$A1000 &lt;= DATE(2025, 12, 31)))
+ SUMPRODUCT(('Form responses 1'!$E$2:$E1000 = A53) * ('Form responses 1'!$A$2:$A1000 &lt;= DATE(2025, 12, 31)))
+ SUMPRODUCT(('Form responses 1'!$F$2:$F1000 = A53) * ('Form responses 1'!$A$2:$A1000 &lt;= DATE(2025, 12, 31)))
+ SUMPRODUCT(('Form responses 1'!$G$2:$G1000 = A53) * ('Form responses 1'!$A$2:$A1000 &lt;= DATE(2025, 12, 31)))), 2), "-")
</f>
        <v>0.33</v>
      </c>
      <c r="AA53" s="2">
        <f>IFERROR(ROUND(Data!$B53/(
  SUMPRODUCT(('Form responses 1'!$B$2:$B1000=$A53)*('Form responses 1'!$A$2:$A1000&lt;=EOMONTH(DATEVALUE("1 "&amp;AA$1),0)))+
  SUMPRODUCT(('Form responses 1'!$C$2:$C1000=$A53)*('Form responses 1'!$A$2:$A1000&lt;=EOMONTH(DATEVALUE("1 "&amp;AA$1),0)))+
  SUMPRODUCT(('Form responses 1'!$D$2:$D1000=$A53)*('Form responses 1'!$A$2:$A1000&lt;=EOMONTH(DATEVALUE("1 "&amp;AA$1),0)))+
  SUMPRODUCT(('Form responses 1'!$E$2:$E1000=$A53)*('Form responses 1'!$A$2:$A1000&lt;=EOMONTH(DATEVALUE("1 "&amp;AA$1),0)))+
  SUMPRODUCT(('Form responses 1'!$F$2:$F1000=$A53)*('Form responses 1'!$A$2:$A1000&lt;=EOMONTH(DATEVALUE("1 "&amp;AA$1),0)))+
  SUMPRODUCT(('Form responses 1'!$G$2:$G1000=$A53)*('Form responses 1'!$A$2:$A1000&lt;=EOMONTH(DATEVALUE("1 "&amp;AA$1),0)))
),2),"-")</f>
        <v>0.6</v>
      </c>
      <c r="AB53" s="2">
        <f>IFERROR(ROUND(Data!$B53/(
  SUMPRODUCT(('Form responses 1'!$B$2:$B1000=$A53)*('Form responses 1'!$A$2:$A1000&lt;=EOMONTH(DATEVALUE("1 "&amp;AB$1),0)))+
  SUMPRODUCT(('Form responses 1'!$C$2:$C1000=$A53)*('Form responses 1'!$A$2:$A1000&lt;=EOMONTH(DATEVALUE("1 "&amp;AB$1),0)))+
  SUMPRODUCT(('Form responses 1'!$D$2:$D1000=$A53)*('Form responses 1'!$A$2:$A1000&lt;=EOMONTH(DATEVALUE("1 "&amp;AB$1),0)))+
  SUMPRODUCT(('Form responses 1'!$E$2:$E1000=$A53)*('Form responses 1'!$A$2:$A1000&lt;=EOMONTH(DATEVALUE("1 "&amp;AB$1),0)))+
  SUMPRODUCT(('Form responses 1'!$F$2:$F1000=$A53)*('Form responses 1'!$A$2:$A1000&lt;=EOMONTH(DATEVALUE("1 "&amp;AB$1),0)))+
  SUMPRODUCT(('Form responses 1'!$G$2:$G1000=$A53)*('Form responses 1'!$A$2:$A1000&lt;=EOMONTH(DATEVALUE("1 "&amp;AB$1),0)))
),2),"-")</f>
        <v>0.6</v>
      </c>
      <c r="AC53" s="2">
        <f>IFERROR(ROUND(Data!$B53/(
  SUMPRODUCT(('Form responses 1'!$B$2:$B1000=$A53)*('Form responses 1'!$A$2:$A1000&lt;=EOMONTH(DATEVALUE("1 "&amp;AC$1),0)))+
  SUMPRODUCT(('Form responses 1'!$C$2:$C1000=$A53)*('Form responses 1'!$A$2:$A1000&lt;=EOMONTH(DATEVALUE("1 "&amp;AC$1),0)))+
  SUMPRODUCT(('Form responses 1'!$D$2:$D1000=$A53)*('Form responses 1'!$A$2:$A1000&lt;=EOMONTH(DATEVALUE("1 "&amp;AC$1),0)))+
  SUMPRODUCT(('Form responses 1'!$E$2:$E1000=$A53)*('Form responses 1'!$A$2:$A1000&lt;=EOMONTH(DATEVALUE("1 "&amp;AC$1),0)))+
  SUMPRODUCT(('Form responses 1'!$F$2:$F1000=$A53)*('Form responses 1'!$A$2:$A1000&lt;=EOMONTH(DATEVALUE("1 "&amp;AC$1),0)))+
  SUMPRODUCT(('Form responses 1'!$G$2:$G1000=$A53)*('Form responses 1'!$A$2:$A1000&lt;=EOMONTH(DATEVALUE("1 "&amp;AC$1),0)))
),2),"-")</f>
        <v>0.6</v>
      </c>
      <c r="AD53" s="2" t="str">
        <f>IFERROR(ROUND(Data!$B53/(
  SUMPRODUCT(('Form responses 1'!$B$2:$B1000=$A53)*('Form responses 1'!$A$2:$A1000&lt;=EOMONTH(DATEVALUE("1 "&amp;AD$1),0)))+
  SUMPRODUCT(('Form responses 1'!$C$2:$C1000=$A53)*('Form responses 1'!$A$2:$A1000&lt;=EOMONTH(DATEVALUE("1 "&amp;AD$1),0)))+
  SUMPRODUCT(('Form responses 1'!$D$2:$D1000=$A53)*('Form responses 1'!$A$2:$A1000&lt;=EOMONTH(DATEVALUE("1 "&amp;AD$1),0)))+
  SUMPRODUCT(('Form responses 1'!$E$2:$E1000=$A53)*('Form responses 1'!$A$2:$A1000&lt;=EOMONTH(DATEVALUE("1 "&amp;AD$1),0)))+
  SUMPRODUCT(('Form responses 1'!$F$2:$F1000=$A53)*('Form responses 1'!$A$2:$A1000&lt;=EOMONTH(DATEVALUE("1 "&amp;AD$1),0)))+
  SUMPRODUCT(('Form responses 1'!$G$2:$G1000=$A53)*('Form responses 1'!$A$2:$A1000&lt;=EOMONTH(DATEVALUE("1 "&amp;AD$1),0)))
),2),"-")</f>
        <v>-</v>
      </c>
      <c r="AE53" s="2" t="str">
        <f>IFERROR(ROUND(Data!$B53/(
  SUMPRODUCT(('Form responses 1'!$B$2:$B1000=$A53)*('Form responses 1'!$A$2:$A1000&lt;=EOMONTH(DATEVALUE("1 "&amp;AE$1),0)))+
  SUMPRODUCT(('Form responses 1'!$C$2:$C1000=$A53)*('Form responses 1'!$A$2:$A1000&lt;=EOMONTH(DATEVALUE("1 "&amp;AE$1),0)))+
  SUMPRODUCT(('Form responses 1'!$D$2:$D1000=$A53)*('Form responses 1'!$A$2:$A1000&lt;=EOMONTH(DATEVALUE("1 "&amp;AE$1),0)))+
  SUMPRODUCT(('Form responses 1'!$E$2:$E1000=$A53)*('Form responses 1'!$A$2:$A1000&lt;=EOMONTH(DATEVALUE("1 "&amp;AE$1),0)))+
  SUMPRODUCT(('Form responses 1'!$F$2:$F1000=$A53)*('Form responses 1'!$A$2:$A1000&lt;=EOMONTH(DATEVALUE("1 "&amp;AE$1),0)))+
  SUMPRODUCT(('Form responses 1'!$G$2:$G1000=$A53)*('Form responses 1'!$A$2:$A1000&lt;=EOMONTH(DATEVALUE("1 "&amp;AE$1),0)))
),2),"-")</f>
        <v>-</v>
      </c>
      <c r="AF53" s="2" t="str">
        <f>IFERROR(ROUND(Data!$B53/(
  SUMPRODUCT(('Form responses 1'!$B$2:$B1000=$A53)*('Form responses 1'!$A$2:$A1000&lt;=EOMONTH(DATEVALUE("1 "&amp;AF$1),0)))+
  SUMPRODUCT(('Form responses 1'!$C$2:$C1000=$A53)*('Form responses 1'!$A$2:$A1000&lt;=EOMONTH(DATEVALUE("1 "&amp;AF$1),0)))+
  SUMPRODUCT(('Form responses 1'!$D$2:$D1000=$A53)*('Form responses 1'!$A$2:$A1000&lt;=EOMONTH(DATEVALUE("1 "&amp;AF$1),0)))+
  SUMPRODUCT(('Form responses 1'!$E$2:$E1000=$A53)*('Form responses 1'!$A$2:$A1000&lt;=EOMONTH(DATEVALUE("1 "&amp;AF$1),0)))+
  SUMPRODUCT(('Form responses 1'!$F$2:$F1000=$A53)*('Form responses 1'!$A$2:$A1000&lt;=EOMONTH(DATEVALUE("1 "&amp;AF$1),0)))+
  SUMPRODUCT(('Form responses 1'!$G$2:$G1000=$A53)*('Form responses 1'!$A$2:$A1000&lt;=EOMONTH(DATEVALUE("1 "&amp;AF$1),0)))
),2),"-")</f>
        <v>-</v>
      </c>
      <c r="AG53" s="2" t="str">
        <f>IFERROR(ROUND(Data!$B53/(
  SUMPRODUCT(('Form responses 1'!$B$2:$B1000=$A53)*('Form responses 1'!$A$2:$A1000&lt;=EOMONTH(DATEVALUE("1 "&amp;AG$1),0)))+
  SUMPRODUCT(('Form responses 1'!$C$2:$C1000=$A53)*('Form responses 1'!$A$2:$A1000&lt;=EOMONTH(DATEVALUE("1 "&amp;AG$1),0)))+
  SUMPRODUCT(('Form responses 1'!$D$2:$D1000=$A53)*('Form responses 1'!$A$2:$A1000&lt;=EOMONTH(DATEVALUE("1 "&amp;AG$1),0)))+
  SUMPRODUCT(('Form responses 1'!$E$2:$E1000=$A53)*('Form responses 1'!$A$2:$A1000&lt;=EOMONTH(DATEVALUE("1 "&amp;AG$1),0)))+
  SUMPRODUCT(('Form responses 1'!$F$2:$F1000=$A53)*('Form responses 1'!$A$2:$A1000&lt;=EOMONTH(DATEVALUE("1 "&amp;AG$1),0)))+
  SUMPRODUCT(('Form responses 1'!$G$2:$G1000=$A53)*('Form responses 1'!$A$2:$A1000&lt;=EOMONTH(DATEVALUE("1 "&amp;AG$1),0)))
),2),"-")</f>
        <v>-</v>
      </c>
      <c r="AH53" s="2" t="str">
        <f>IFERROR(ROUND(Data!$B53/(
  SUMPRODUCT(('Form responses 1'!$B$2:$B1000=$A53)*('Form responses 1'!$A$2:$A1000&lt;=EOMONTH(DATEVALUE("1 "&amp;AH$1),0)))+
  SUMPRODUCT(('Form responses 1'!$C$2:$C1000=$A53)*('Form responses 1'!$A$2:$A1000&lt;=EOMONTH(DATEVALUE("1 "&amp;AH$1),0)))+
  SUMPRODUCT(('Form responses 1'!$D$2:$D1000=$A53)*('Form responses 1'!$A$2:$A1000&lt;=EOMONTH(DATEVALUE("1 "&amp;AH$1),0)))+
  SUMPRODUCT(('Form responses 1'!$E$2:$E1000=$A53)*('Form responses 1'!$A$2:$A1000&lt;=EOMONTH(DATEVALUE("1 "&amp;AH$1),0)))+
  SUMPRODUCT(('Form responses 1'!$F$2:$F1000=$A53)*('Form responses 1'!$A$2:$A1000&lt;=EOMONTH(DATEVALUE("1 "&amp;AH$1),0)))+
  SUMPRODUCT(('Form responses 1'!$G$2:$G1000=$A53)*('Form responses 1'!$A$2:$A1000&lt;=EOMONTH(DATEVALUE("1 "&amp;AH$1),0)))
),2),"-")</f>
        <v>-</v>
      </c>
      <c r="AI53" s="2" t="str">
        <f>IFERROR(ROUND(Data!$B53/(
  SUMPRODUCT(('Form responses 1'!$B$2:$B1000=$A53)*('Form responses 1'!$A$2:$A1000&lt;=EOMONTH(DATEVALUE("1 "&amp;AI$1),0)))+
  SUMPRODUCT(('Form responses 1'!$C$2:$C1000=$A53)*('Form responses 1'!$A$2:$A1000&lt;=EOMONTH(DATEVALUE("1 "&amp;AI$1),0)))+
  SUMPRODUCT(('Form responses 1'!$D$2:$D1000=$A53)*('Form responses 1'!$A$2:$A1000&lt;=EOMONTH(DATEVALUE("1 "&amp;AI$1),0)))+
  SUMPRODUCT(('Form responses 1'!$E$2:$E1000=$A53)*('Form responses 1'!$A$2:$A1000&lt;=EOMONTH(DATEVALUE("1 "&amp;AI$1),0)))+
  SUMPRODUCT(('Form responses 1'!$F$2:$F1000=$A53)*('Form responses 1'!$A$2:$A1000&lt;=EOMONTH(DATEVALUE("1 "&amp;AI$1),0)))+
  SUMPRODUCT(('Form responses 1'!$G$2:$G1000=$A53)*('Form responses 1'!$A$2:$A1000&lt;=EOMONTH(DATEVALUE("1 "&amp;AI$1),0)))
),2),"-")</f>
        <v>-</v>
      </c>
      <c r="AJ53" s="2" t="str">
        <f>IFERROR(ROUND(Data!$B53/(
  SUMPRODUCT(('Form responses 1'!$B$2:$B1000=$A53)*('Form responses 1'!$A$2:$A1000&lt;=EOMONTH(DATEVALUE("1 "&amp;AJ$1),0)))+
  SUMPRODUCT(('Form responses 1'!$C$2:$C1000=$A53)*('Form responses 1'!$A$2:$A1000&lt;=EOMONTH(DATEVALUE("1 "&amp;AJ$1),0)))+
  SUMPRODUCT(('Form responses 1'!$D$2:$D1000=$A53)*('Form responses 1'!$A$2:$A1000&lt;=EOMONTH(DATEVALUE("1 "&amp;AJ$1),0)))+
  SUMPRODUCT(('Form responses 1'!$E$2:$E1000=$A53)*('Form responses 1'!$A$2:$A1000&lt;=EOMONTH(DATEVALUE("1 "&amp;AJ$1),0)))+
  SUMPRODUCT(('Form responses 1'!$F$2:$F1000=$A53)*('Form responses 1'!$A$2:$A1000&lt;=EOMONTH(DATEVALUE("1 "&amp;AJ$1),0)))+
  SUMPRODUCT(('Form responses 1'!$G$2:$G1000=$A53)*('Form responses 1'!$A$2:$A1000&lt;=EOMONTH(DATEVALUE("1 "&amp;AJ$1),0)))
),2),"-")</f>
        <v>-</v>
      </c>
      <c r="AK53" s="2" t="str">
        <f>IFERROR(ROUND(Data!$B53/(
  SUMPRODUCT(('Form responses 1'!$B$2:$B1000=$A53)*('Form responses 1'!$A$2:$A1000&lt;=EOMONTH(DATEVALUE("1 "&amp;AK$1),0)))+
  SUMPRODUCT(('Form responses 1'!$C$2:$C1000=$A53)*('Form responses 1'!$A$2:$A1000&lt;=EOMONTH(DATEVALUE("1 "&amp;AK$1),0)))+
  SUMPRODUCT(('Form responses 1'!$D$2:$D1000=$A53)*('Form responses 1'!$A$2:$A1000&lt;=EOMONTH(DATEVALUE("1 "&amp;AK$1),0)))+
  SUMPRODUCT(('Form responses 1'!$E$2:$E1000=$A53)*('Form responses 1'!$A$2:$A1000&lt;=EOMONTH(DATEVALUE("1 "&amp;AK$1),0)))+
  SUMPRODUCT(('Form responses 1'!$F$2:$F1000=$A53)*('Form responses 1'!$A$2:$A1000&lt;=EOMONTH(DATEVALUE("1 "&amp;AK$1),0)))+
  SUMPRODUCT(('Form responses 1'!$G$2:$G1000=$A53)*('Form responses 1'!$A$2:$A1000&lt;=EOMONTH(DATEVALUE("1 "&amp;AK$1),0)))
),2),"-")</f>
        <v>-</v>
      </c>
      <c r="AL53" s="2" t="str">
        <f>IFERROR(ROUND(Data!$B53/(
  SUMPRODUCT(('Form responses 1'!$B$2:$B1000=$A53)*('Form responses 1'!$A$2:$A1000&lt;=EOMONTH(DATEVALUE("1 "&amp;AL$1),0)))+
  SUMPRODUCT(('Form responses 1'!$C$2:$C1000=$A53)*('Form responses 1'!$A$2:$A1000&lt;=EOMONTH(DATEVALUE("1 "&amp;AL$1),0)))+
  SUMPRODUCT(('Form responses 1'!$D$2:$D1000=$A53)*('Form responses 1'!$A$2:$A1000&lt;=EOMONTH(DATEVALUE("1 "&amp;AL$1),0)))+
  SUMPRODUCT(('Form responses 1'!$E$2:$E1000=$A53)*('Form responses 1'!$A$2:$A1000&lt;=EOMONTH(DATEVALUE("1 "&amp;AL$1),0)))+
  SUMPRODUCT(('Form responses 1'!$F$2:$F1000=$A53)*('Form responses 1'!$A$2:$A1000&lt;=EOMONTH(DATEVALUE("1 "&amp;AL$1),0)))+
  SUMPRODUCT(('Form responses 1'!$G$2:$G1000=$A53)*('Form responses 1'!$A$2:$A1000&lt;=EOMONTH(DATEVALUE("1 "&amp;AL$1),0)))
),2),"-")</f>
        <v>-</v>
      </c>
    </row>
    <row r="54">
      <c r="A54" s="3" t="str">
        <f>IFERROR(__xludf.DUMMYFUNCTION("""COMPUTED_VALUE"""),"Zwart/rood vest")</f>
        <v>Zwart/rood vest</v>
      </c>
      <c r="B54" s="2">
        <f>Data!F52:F1000</f>
        <v>1.46</v>
      </c>
      <c r="C54" s="2">
        <f>IFERROR(ROUND(Data!B52/(SUMPRODUCT(('Form responses 1'!$B$2:$B1000 = A54) * ('Form responses 1'!$A$2:$A1000 &lt;= DATE(2024, 1, 31)))
+ SUMPRODUCT(('Form responses 1'!$C$2:$C1000 = A54) * ('Form responses 1'!$A$2:$A1000 &lt;= DATE(2024, 1, 31)))
+ SUMPRODUCT(('Form responses 1'!$D$2:$D1000 = A54) * ('Form responses 1'!$A$2:$A1000 &lt;= DATE(2024, 1, 31)))
+ SUMPRODUCT(('Form responses 1'!$E$2:$E1000 = A54) * ('Form responses 1'!$A$2:$A1000 &lt;= DATE(2024, 1, 31)))
+ SUMPRODUCT(('Form responses 1'!$F$2:$F1000 = A54) * ('Form responses 1'!$A$2:$A1000 &lt;= DATE(2024, 1, 31)))
+ SUMPRODUCT(('Form responses 1'!$G$2:$G1000 = A54) * ('Form responses 1'!$A$2:$A1000 &lt;= DATE(2024, 1, 31)))), 2), "-")
</f>
        <v>6.9</v>
      </c>
      <c r="D54" s="2">
        <f>IFERROR(ROUND(Data!B52/(SUMPRODUCT(('Form responses 1'!$B$2:$B1000 = A54) * ('Form responses 1'!$A$2:$A1000 &lt;= DATE(2024, 2, 29)))
+ SUMPRODUCT(('Form responses 1'!$C$2:$C1000 = A54) * ('Form responses 1'!$A$2:$A1000 &lt;= DATE(2024, 2, 29)))
+ SUMPRODUCT(('Form responses 1'!$D$2:$D1000 = A54) * ('Form responses 1'!$A$2:$A1000 &lt;= DATE(2024, 2, 29)))
+ SUMPRODUCT(('Form responses 1'!$E$2:$E1000 = A54) * ('Form responses 1'!$A$2:$A1000 &lt;= DATE(2024, 2, 29)))
+ SUMPRODUCT(('Form responses 1'!$F$2:$F1000 = A54) * ('Form responses 1'!$A$2:$A1000 &lt;= DATE(2024, 2, 29)))
+ SUMPRODUCT(('Form responses 1'!$G$2:$G1000 = A54) * ('Form responses 1'!$A$2:$A1000 &lt;= DATE(2024, 2, 29)))), 2), "-")
</f>
        <v>6.9</v>
      </c>
      <c r="E54" s="2">
        <f>IFERROR(ROUND(Data!B52/(SUMPRODUCT(('Form responses 1'!$B$2:$B1000 = A54) * ('Form responses 1'!$A$2:$A1000 &lt;= DATE(2024, 3, 31)))
+ SUMPRODUCT(('Form responses 1'!$C$2:$C1000 = A54) * ('Form responses 1'!$A$2:$A1000 &lt;= DATE(2024, 3, 31)))
+ SUMPRODUCT(('Form responses 1'!$D$2:$D1000 = A54) * ('Form responses 1'!$A$2:$A1000 &lt;= DATE(2024, 3, 31)))
+ SUMPRODUCT(('Form responses 1'!$E$2:$E1000 = A54) * ('Form responses 1'!$A$2:$A1000 &lt;= DATE(2024, 3, 31)))
+ SUMPRODUCT(('Form responses 1'!$F$2:$F1000 = A54) * ('Form responses 1'!$A$2:$A1000 &lt;= DATE(2024, 3, 31)))
+ SUMPRODUCT(('Form responses 1'!$G$2:$G1000 = A54) * ('Form responses 1'!$A$2:$A1000 &lt;= DATE(2024, 3, 31)))), 2), "-")
</f>
        <v>6.9</v>
      </c>
      <c r="F54" s="2">
        <f>IFERROR(ROUND(Data!B52/(SUMPRODUCT(('Form responses 1'!$B$2:$B1000 = A54) * ('Form responses 1'!$A$2:$A1000 &lt;= DATE(2024, 4, 30)))
+ SUMPRODUCT(('Form responses 1'!$C$2:$C1000 = A54) * ('Form responses 1'!$A$2:$A1000 &lt;= DATE(2024, 4, 30)))
+ SUMPRODUCT(('Form responses 1'!$D$2:$D1000 = A54) * ('Form responses 1'!$A$2:$A1000 &lt;= DATE(2024, 4, 30)))
+ SUMPRODUCT(('Form responses 1'!$E$2:$E1000 = A54) * ('Form responses 1'!$A$2:$A1000 &lt;= DATE(2024, 4, 30)))
+ SUMPRODUCT(('Form responses 1'!$F$2:$F1000 = A54) * ('Form responses 1'!$A$2:$A1000 &lt;= DATE(2024, 4, 30)))
+ SUMPRODUCT(('Form responses 1'!$G$2:$G1000 = A54) * ('Form responses 1'!$A$2:$A1000 &lt;= DATE(2024, 4, 30)))), 2), "-")
</f>
        <v>6.9</v>
      </c>
      <c r="G54" s="2">
        <f>IFERROR(ROUND(Data!B52/(SUMPRODUCT(('Form responses 1'!$B$2:$B1000 = A54) * ('Form responses 1'!$A$2:$A1000 &lt;= DATE(2024, 5, 31)))
+ SUMPRODUCT(('Form responses 1'!$C$2:$C1000 = A54) * ('Form responses 1'!$A$2:$A1000 &lt;= DATE(2024, 5, 31)))
+ SUMPRODUCT(('Form responses 1'!$D$2:$D1000 = A54) * ('Form responses 1'!$A$2:$A1000 &lt;= DATE(2024, 5, 31)))
+ SUMPRODUCT(('Form responses 1'!$E$2:$E1000 = A54) * ('Form responses 1'!$A$2:$A1000 &lt;= DATE(2024, 5, 31)))
+ SUMPRODUCT(('Form responses 1'!$F$2:$F1000 = A54) * ('Form responses 1'!$A$2:$A1000 &lt;= DATE(2024, 5, 31)))
+ SUMPRODUCT(('Form responses 1'!$G$2:$G1000 = A54) * ('Form responses 1'!$A$2:$A1000 &lt;= DATE(2024, 5, 31)))), 2), "-")
</f>
        <v>6.9</v>
      </c>
      <c r="H54" s="2">
        <f>IFERROR(ROUND(Data!B52/(SUMPRODUCT(('Form responses 1'!$B$2:$B1000 = A54) * ('Form responses 1'!$A$2:$A1000 &lt;= DATE(2024, 6, 30)))
+ SUMPRODUCT(('Form responses 1'!$C$2:$C1000 = A54) * ('Form responses 1'!$A$2:$A1000 &lt;= DATE(2024, 6, 30)))
+ SUMPRODUCT(('Form responses 1'!$D$2:$D1000 = A54) * ('Form responses 1'!$A$2:$A1000 &lt;= DATE(2024, 6, 30)))
+ SUMPRODUCT(('Form responses 1'!$E$2:$E1000 = A54) * ('Form responses 1'!$A$2:$A1000 &lt;= DATE(2024, 6, 30)))
+ SUMPRODUCT(('Form responses 1'!$F$2:$F1000 = A54) * ('Form responses 1'!$A$2:$A1000 &lt;= DATE(2024, 6, 30)))
+ SUMPRODUCT(('Form responses 1'!$G$2:$G1000 = A54) * ('Form responses 1'!$A$2:$A1000 &lt;= DATE(2024, 6, 30)))), 2), "-")
</f>
        <v>6.9</v>
      </c>
      <c r="I54" s="2">
        <f>IFERROR(ROUND(Data!B52/(SUMPRODUCT(('Form responses 1'!$B$2:$B1000 = A54) * ('Form responses 1'!$A$2:$A1000 &lt;= DATE(2024, 7, 31)))
+ SUMPRODUCT(('Form responses 1'!$C$2:$C1000 = A54) * ('Form responses 1'!$A$2:$A1000 &lt;= DATE(2024, 7, 31)))
+ SUMPRODUCT(('Form responses 1'!$D$2:$D1000 = A54) * ('Form responses 1'!$A$2:$A1000 &lt;= DATE(2024, 7, 31)))
+ SUMPRODUCT(('Form responses 1'!$E$2:$E1000 = A54) * ('Form responses 1'!$A$2:$A1000 &lt;= DATE(2024, 7, 31)))
+ SUMPRODUCT(('Form responses 1'!$F$2:$F1000 = A54) * ('Form responses 1'!$A$2:$A1000 &lt;= DATE(2024, 7, 31)))
+ SUMPRODUCT(('Form responses 1'!$G$2:$G1000 = A54) * ('Form responses 1'!$A$2:$A1000 &lt;= DATE(2024, 7, 31)))), 2), "-")
</f>
        <v>6.9</v>
      </c>
      <c r="J54" s="2">
        <f>IFERROR(ROUND(Data!B52/(SUMPRODUCT(('Form responses 1'!$B$2:$B1000 = A54) * ('Form responses 1'!$A$2:$A1000 &lt;= DATE(2024, 8, 31)))
+ SUMPRODUCT(('Form responses 1'!$C$2:$C1000 = A54) * ('Form responses 1'!$A$2:$A1000 &lt;= DATE(2024, 8, 31)))
+ SUMPRODUCT(('Form responses 1'!$D$2:$D1000 = A54) * ('Form responses 1'!$A$2:$A1000 &lt;= DATE(2024, 8, 31)))
+ SUMPRODUCT(('Form responses 1'!$E$2:$E1000 = A54) * ('Form responses 1'!$A$2:$A1000 &lt;= DATE(2024, 8, 31)))
+ SUMPRODUCT(('Form responses 1'!$F$2:$F1000 = A54) * ('Form responses 1'!$A$2:$A1000 &lt;= DATE(2024, 8, 31)))
+ SUMPRODUCT(('Form responses 1'!$G$2:$G1000 = A54) * ('Form responses 1'!$A$2:$A1000 &lt;= DATE(2024, 8, 31)))), 2), "-")
</f>
        <v>6.9</v>
      </c>
      <c r="K54" s="2">
        <f>IFERROR(ROUND(Data!B52/(SUMPRODUCT(('Form responses 1'!$B$2:$B1000 = A54) * ('Form responses 1'!$A$2:$A1000 &lt;= DATE(2024, 9, 30)))
+ SUMPRODUCT(('Form responses 1'!$C$2:$C1000 = A54) * ('Form responses 1'!$A$2:$A1000 &lt;= DATE(2024, 9, 30)))
+ SUMPRODUCT(('Form responses 1'!$D$2:$D1000 = A54) * ('Form responses 1'!$A$2:$A1000 &lt;= DATE(2024, 9, 30)))
+ SUMPRODUCT(('Form responses 1'!$E$2:$E1000 = A54) * ('Form responses 1'!$A$2:$A1000 &lt;= DATE(2024, 9, 30)))
+ SUMPRODUCT(('Form responses 1'!$F$2:$F1000 = A54) * ('Form responses 1'!$A$2:$A1000 &lt;= DATE(2024, 9, 30)))
+ SUMPRODUCT(('Form responses 1'!$G$2:$G1000 = A54) * ('Form responses 1'!$A$2:$A1000 &lt;= DATE(2024, 9, 30)))), 2), "-")
</f>
        <v>6.9</v>
      </c>
      <c r="L54" s="2">
        <f>IFERROR(ROUND(Data!B52/(SUMPRODUCT(('Form responses 1'!$B$2:$B1000 = A54) * ('Form responses 1'!$A$2:$A1000 &lt;= DATE(2024, 10, 31)))
+ SUMPRODUCT(('Form responses 1'!$C$2:$C1000 = A54) * ('Form responses 1'!$A$2:$A1000 &lt;= DATE(2024, 10, 31)))
+ SUMPRODUCT(('Form responses 1'!$D$2:$D1000 = A54) * ('Form responses 1'!$A$2:$A1000 &lt;= DATE(2024, 10, 31)))
+ SUMPRODUCT(('Form responses 1'!$E$2:$E1000 = A54) * ('Form responses 1'!$A$2:$A1000 &lt;= DATE(2024, 10, 31)))
+ SUMPRODUCT(('Form responses 1'!$F$2:$F1000 = A54) * ('Form responses 1'!$A$2:$A1000 &lt;= DATE(2024, 10, 31)))
+ SUMPRODUCT(('Form responses 1'!$G$2:$G1000 = A54) * ('Form responses 1'!$A$2:$A1000 &lt;= DATE(2024, 10, 31)))), 2), "-")
</f>
        <v>6.9</v>
      </c>
      <c r="M54" s="2">
        <f>IFERROR(ROUND(Data!B52/(SUMPRODUCT(('Form responses 1'!$B$2:$B1000 = A54) * ('Form responses 1'!$A$2:$A1000 &lt;= DATE(2024, 11, 30)))
+ SUMPRODUCT(('Form responses 1'!$C$2:$C1000 = A54) * ('Form responses 1'!$A$2:$A1000 &lt;= DATE(2024, 11, 30)))
+ SUMPRODUCT(('Form responses 1'!$D$2:$D1000 = A54) * ('Form responses 1'!$A$2:$A1000 &lt;= DATE(2024, 11, 30)))
+ SUMPRODUCT(('Form responses 1'!$E$2:$E1000 = A54) * ('Form responses 1'!$A$2:$A1000 &lt;= DATE(2024, 11, 30)))
+ SUMPRODUCT(('Form responses 1'!$F$2:$F1000 = A54) * ('Form responses 1'!$A$2:$A1000 &lt;= DATE(2024, 11, 30)))
+ SUMPRODUCT(('Form responses 1'!$G$2:$G1000 = A54) * ('Form responses 1'!$A$2:$A1000 &lt;= DATE(2024, 11, 30)))), 2), "-")
</f>
        <v>6.9</v>
      </c>
      <c r="N54" s="2">
        <f>IFERROR(ROUND(Data!B52/(SUMPRODUCT(('Form responses 1'!$B$2:$B1000 = A54) * ('Form responses 1'!$A$2:$A1000 &lt;= DATE(2024, 12, 31)))
+ SUMPRODUCT(('Form responses 1'!$C$2:$C1000 = A54) * ('Form responses 1'!$A$2:$A1000 &lt;= DATE(2024, 12, 31)))
+ SUMPRODUCT(('Form responses 1'!$D$2:$D1000 = A54) * ('Form responses 1'!$A$2:$A1000 &lt;= DATE(2024, 12, 31)))
+ SUMPRODUCT(('Form responses 1'!$E$2:$E1000 = A54) * ('Form responses 1'!$A$2:$A1000 &lt;= DATE(2024, 12, 31)))
+ SUMPRODUCT(('Form responses 1'!$F$2:$F1000 = A54) * ('Form responses 1'!$A$2:$A1000 &lt;= DATE(2024, 12, 31)))
+ SUMPRODUCT(('Form responses 1'!$G$2:$G1000 = A54) * ('Form responses 1'!$A$2:$A1000 &lt;= DATE(2024, 12, 31)))), 2), "-")
</f>
        <v>6.9</v>
      </c>
      <c r="O54" s="2">
        <f>IFERROR(ROUND(Data!B52/(SUMPRODUCT(('Form responses 1'!$B$2:$B1000 = A54) * ('Form responses 1'!$A$2:$A1000 &lt;= DATE(2025, 1, 31)))
+ SUMPRODUCT(('Form responses 1'!$C$2:$C1000 = A54) * ('Form responses 1'!$A$2:$A1000 &lt;= DATE(2025, 1, 31)))
+ SUMPRODUCT(('Form responses 1'!$D$2:$D1000 = A54) * ('Form responses 1'!$A$2:$A1000 &lt;= DATE(2025, 1, 31)))
+ SUMPRODUCT(('Form responses 1'!$E$2:$E1000 = A54) * ('Form responses 1'!$A$2:$A1000 &lt;= DATE(2025, 1, 31)))
+ SUMPRODUCT(('Form responses 1'!$F$2:$F1000 = A54) * ('Form responses 1'!$A$2:$A1000 &lt;= DATE(2025, 1, 31)))
+ SUMPRODUCT(('Form responses 1'!$G$2:$G1000 = A54) * ('Form responses 1'!$A$2:$A1000 &lt;= DATE(2025, 1, 31)))), 2), "-")
</f>
        <v>5.17</v>
      </c>
      <c r="P54" s="2">
        <f>IFERROR(ROUND(Data!B52/(SUMPRODUCT(('Form responses 1'!$B$2:$B1000 = A54) * ('Form responses 1'!$A$2:$A1000 &lt;= DATE(2025, 2, 28)))
+ SUMPRODUCT(('Form responses 1'!$C$2:$C1000 = A54) * ('Form responses 1'!$A$2:$A1000 &lt;= DATE(2025, 2, 28)))
+ SUMPRODUCT(('Form responses 1'!$D$2:$D1000 = A54) * ('Form responses 1'!$A$2:$A1000 &lt;= DATE(2025, 2, 28)))
+ SUMPRODUCT(('Form responses 1'!$E$2:$E1000 = A54) * ('Form responses 1'!$A$2:$A1000 &lt;= DATE(2025, 2, 28)))
+ SUMPRODUCT(('Form responses 1'!$F$2:$F1000 = A54) * ('Form responses 1'!$A$2:$A1000 &lt;= DATE(2025, 2, 28)))
+ SUMPRODUCT(('Form responses 1'!$G$2:$G1000 = A54) * ('Form responses 1'!$A$2:$A1000 &lt;= DATE(2025, 2, 28)))), 2), "-")
</f>
        <v>5.17</v>
      </c>
      <c r="Q54" s="2">
        <f>IFERROR(ROUND(Data!B52/(SUMPRODUCT(('Form responses 1'!$B$2:$B1000 = A54) * ('Form responses 1'!$A$2:$A1000 &lt;= DATE(2025, 3, 31)))
+ SUMPRODUCT(('Form responses 1'!$C$2:$C1000 = A54) * ('Form responses 1'!$A$2:$A1000 &lt;= DATE(2025, 3, 31)))
+ SUMPRODUCT(('Form responses 1'!$D$2:$D1000 = A54) * ('Form responses 1'!$A$2:$A1000 &lt;= DATE(2025, 3, 31)))
+ SUMPRODUCT(('Form responses 1'!$E$2:$E1000 = A54) * ('Form responses 1'!$A$2:$A1000 &lt;= DATE(2025, 3, 31)))
+ SUMPRODUCT(('Form responses 1'!$F$2:$F1000 = A54) * ('Form responses 1'!$A$2:$A1000 &lt;= DATE(2025, 3, 31)))
+ SUMPRODUCT(('Form responses 1'!$G$2:$G1000 = A54) * ('Form responses 1'!$A$2:$A1000 &lt;= DATE(2025, 3, 31)))),2),"-")</f>
        <v>5.17</v>
      </c>
      <c r="R54" s="2">
        <f>IFERROR(ROUND(Data!B52/(SUMPRODUCT(('Form responses 1'!$B$2:$B1000 = A54) * ('Form responses 1'!$A$2:$A1000 &lt;= DATE(2025, 4, 30)))
+ SUMPRODUCT(('Form responses 1'!$C$2:$C1000 = A54) * ('Form responses 1'!$A$2:$A1000 &lt;= DATE(2025, 4, 30)))
+ SUMPRODUCT(('Form responses 1'!$D$2:$D1000 = A54) * ('Form responses 1'!$A$2:$A1000 &lt;= DATE(2025, 4, 30)))
+ SUMPRODUCT(('Form responses 1'!$E$2:$E1000 = A54) * ('Form responses 1'!$A$2:$A1000 &lt;= DATE(2025, 4, 30)))
+ SUMPRODUCT(('Form responses 1'!$F$2:$F1000 = A54) * ('Form responses 1'!$A$2:$A1000 &lt;= DATE(2025, 4, 30)))
+ SUMPRODUCT(('Form responses 1'!$G$2:$G1000 = A54) * ('Form responses 1'!$A$2:$A1000 &lt;= DATE(2025, 4, 30)))), 2), "-")
</f>
        <v>5.17</v>
      </c>
      <c r="S54" s="2">
        <f>IFERROR(ROUND(Data!B52/(SUMPRODUCT(('Form responses 1'!$B$2:$B1000 = A54) * ('Form responses 1'!$A$2:$A1000 &lt;= DATE(2025, 5, 31)))
+ SUMPRODUCT(('Form responses 1'!$C$2:$C1000 = A54) * ('Form responses 1'!$A$2:$A1000 &lt;= DATE(2025, 5, 31)))
+ SUMPRODUCT(('Form responses 1'!$D$2:$D1000 = A54) * ('Form responses 1'!$A$2:$A1000 &lt;= DATE(2025, 5, 31)))
+ SUMPRODUCT(('Form responses 1'!$E$2:$E1000 = A54) * ('Form responses 1'!$A$2:$A1000 &lt;= DATE(2025, 5, 31)))
+ SUMPRODUCT(('Form responses 1'!$F$2:$F1000 = A54) * ('Form responses 1'!$A$2:$A1000 &lt;= DATE(2025, 5, 31)))
+ SUMPRODUCT(('Form responses 1'!$G$2:$G1000 = A54) * ('Form responses 1'!$A$2:$A1000 &lt;= DATE(2025, 5, 31)))), 2), "-")
</f>
        <v>4.14</v>
      </c>
      <c r="T54" s="2">
        <f>IFERROR(ROUND(Data!B52/(SUMPRODUCT(('Form responses 1'!$B$2:$B1000 = A54) * ('Form responses 1'!$A$2:$A1000 &lt;= DATE(2025, 6, 30)))
+ SUMPRODUCT(('Form responses 1'!$C$2:$C1000 = A54) * ('Form responses 1'!$A$2:$A1000 &lt;= DATE(2025, 6, 30)))
+ SUMPRODUCT(('Form responses 1'!$D$2:$D1000 = A54) * ('Form responses 1'!$A$2:$A1000 &lt;= DATE(2025, 6, 30)))
+ SUMPRODUCT(('Form responses 1'!$E$2:$E1000 = A54) * ('Form responses 1'!$A$2:$A1000 &lt;= DATE(2025, 6, 30)))
+ SUMPRODUCT(('Form responses 1'!$F$2:$F1000 = A54) * ('Form responses 1'!$A$2:$A1000 &lt;= DATE(2025, 6, 30)))
+ SUMPRODUCT(('Form responses 1'!$G$2:$G1000 = A54) * ('Form responses 1'!$A$2:$A1000 &lt;= DATE(2025, 6, 30)))), 2), "-")
</f>
        <v>3.45</v>
      </c>
      <c r="U54" s="2">
        <f>IFERROR(ROUND(Data!B52/(SUMPRODUCT(('Form responses 1'!$B$2:$B1000 = A54) * ('Form responses 1'!$A$2:$A1000 &lt;= DATE(2025, 7, 31)))
+ SUMPRODUCT(('Form responses 1'!$C$2:$C1000 = A54) * ('Form responses 1'!$A$2:$A1000 &lt;= DATE(2025, 7, 31)))
+ SUMPRODUCT(('Form responses 1'!$D$2:$D1000 = A54) * ('Form responses 1'!$A$2:$A1000 &lt;= DATE(2025, 7, 31)))
+ SUMPRODUCT(('Form responses 1'!$E$2:$E1000 = A54) * ('Form responses 1'!$A$2:$A1000 &lt;= DATE(2025, 7, 31)))
+ SUMPRODUCT(('Form responses 1'!$F$2:$F1000 = A54) * ('Form responses 1'!$A$2:$A1000 &lt;= DATE(2025, 7, 31)))
+ SUMPRODUCT(('Form responses 1'!$G$2:$G1000 = A54) * ('Form responses 1'!$A$2:$A1000 &lt;= DATE(2025, 7, 31)))), 2), "-")
</f>
        <v>3.45</v>
      </c>
      <c r="V54" s="2">
        <f>IFERROR(ROUND(Data!B52/(SUMPRODUCT(('Form responses 1'!$B$2:$B1000 = A54) * ('Form responses 1'!$A$2:$A1000 &lt;= DATE(2025, 8, 31)))
+ SUMPRODUCT(('Form responses 1'!$C$2:$C1000 = A54) * ('Form responses 1'!$A$2:$A1000 &lt;= DATE(2025, 8, 31)))
+ SUMPRODUCT(('Form responses 1'!$D$2:$D1000 = A54) * ('Form responses 1'!$A$2:$A1000 &lt;= DATE(2025, 8, 31)))
+ SUMPRODUCT(('Form responses 1'!$E$2:$E1000 = A54) * ('Form responses 1'!$A$2:$A1000 &lt;= DATE(2025, 8, 31)))
+ SUMPRODUCT(('Form responses 1'!$F$2:$F1000 = A54) * ('Form responses 1'!$A$2:$A1000 &lt;= DATE(2025, 8, 31)))
+ SUMPRODUCT(('Form responses 1'!$G$2:$G1000 = A54) * ('Form responses 1'!$A$2:$A1000 &lt;= DATE(2025, 8, 31)))), 2), "-")
</f>
        <v>3.45</v>
      </c>
      <c r="W54" s="2">
        <f>IFERROR(ROUND(Data!B52/(SUMPRODUCT(('Form responses 1'!$B$2:$B1000 = A54) * ('Form responses 1'!$A$2:$A1000 &lt;= DATE(2025, 9, 30)))
+ SUMPRODUCT(('Form responses 1'!$C$2:$C1000 = A54) * ('Form responses 1'!$A$2:$A1000 &lt;= DATE(2025, 9, 30)))
+ SUMPRODUCT(('Form responses 1'!$D$2:$D1000 = A54) * ('Form responses 1'!$A$2:$A1000 &lt;= DATE(2025, 9, 30)))
+ SUMPRODUCT(('Form responses 1'!$E$2:$E1000 = A54) * ('Form responses 1'!$A$2:$A1000 &lt;= DATE(2025, 9, 30)))
+ SUMPRODUCT(('Form responses 1'!$F$2:$F1000 = A54) * ('Form responses 1'!$A$2:$A1000 &lt;= DATE(2025, 9, 30)))
+ SUMPRODUCT(('Form responses 1'!$G$2:$G1000 = A54) * ('Form responses 1'!$A$2:$A1000 &lt;= DATE(2025, 9, 30)))), 2), "-")
</f>
        <v>1.88</v>
      </c>
      <c r="X54" s="2">
        <f>IFERROR(ROUND(Data!B52/(SUMPRODUCT(('Form responses 1'!$B$2:$B1000 = A54) * ('Form responses 1'!$A$2:$A1000 &lt;= DATE(2025, 10, 31)))
+ SUMPRODUCT(('Form responses 1'!$C$2:$C1000 = A54) * ('Form responses 1'!$A$2:$A1000 &lt;= DATE(2025, 10, 31)))
+ SUMPRODUCT(('Form responses 1'!$D$2:$D1000 = A54) * ('Form responses 1'!$A$2:$A1000 &lt;= DATE(2025, 10, 31)))
+ SUMPRODUCT(('Form responses 1'!$E$2:$E1000 = A54) * ('Form responses 1'!$A$2:$A1000 &lt;= DATE(2025, 10, 31)))
+ SUMPRODUCT(('Form responses 1'!$F$2:$F1000 = A54) * ('Form responses 1'!$A$2:$A1000 &lt;= DATE(2025, 10, 31)))
+ SUMPRODUCT(('Form responses 1'!$G$2:$G1000 = A54) * ('Form responses 1'!$A$2:$A1000 &lt;= DATE(2025, 10, 31)))), 2), "-")
</f>
        <v>1.59</v>
      </c>
      <c r="Y54" s="2">
        <f>IFERROR(ROUND(Data!B52/(SUMPRODUCT(('Form responses 1'!$B$2:$B1000 = A54) * ('Form responses 1'!$A$2:$A1000 &lt;= DATE(2025, 11, 30)))
+ SUMPRODUCT(('Form responses 1'!$C$2:$C1000 = A54) * ('Form responses 1'!$A$2:$A1000 &lt;= DATE(2025, 11, 30)))
+ SUMPRODUCT(('Form responses 1'!$D$2:$D1000 = A54) * ('Form responses 1'!$A$2:$A1000 &lt;= DATE(2025, 11, 30)))
+ SUMPRODUCT(('Form responses 1'!$E$2:$E1000 = A54) * ('Form responses 1'!$A$2:$A1000 &lt;= DATE(2025, 11, 30)))
+ SUMPRODUCT(('Form responses 1'!$F$2:$F1000 = A54) * ('Form responses 1'!$A$2:$A1000 &lt;= DATE(2025, 11, 30)))
+ SUMPRODUCT(('Form responses 1'!$G$2:$G1000 = A54) * ('Form responses 1'!$A$2:$A1000 &lt;= DATE(2025, 11, 30)))), 2), "-")
</f>
        <v>1.38</v>
      </c>
      <c r="Z54" s="2">
        <f>IFERROR(ROUND(Data!B52/(SUMPRODUCT(('Form responses 1'!$B$2:$B1000 = A54) * ('Form responses 1'!$A$2:$A1000 &lt;= DATE(2025, 12, 31)))
+ SUMPRODUCT(('Form responses 1'!$C$2:$C1000 = A54) * ('Form responses 1'!$A$2:$A1000 &lt;= DATE(2025, 12, 31)))
+ SUMPRODUCT(('Form responses 1'!$D$2:$D1000 = A54) * ('Form responses 1'!$A$2:$A1000 &lt;= DATE(2025, 12, 31)))
+ SUMPRODUCT(('Form responses 1'!$E$2:$E1000 = A54) * ('Form responses 1'!$A$2:$A1000 &lt;= DATE(2025, 12, 31)))
+ SUMPRODUCT(('Form responses 1'!$F$2:$F1000 = A54) * ('Form responses 1'!$A$2:$A1000 &lt;= DATE(2025, 12, 31)))
+ SUMPRODUCT(('Form responses 1'!$G$2:$G1000 = A54) * ('Form responses 1'!$A$2:$A1000 &lt;= DATE(2025, 12, 31)))), 2), "-")
</f>
        <v>1.15</v>
      </c>
      <c r="AA54" s="2">
        <f>IFERROR(ROUND(Data!$B54/(
  SUMPRODUCT(('Form responses 1'!$B$2:$B1000=$A54)*('Form responses 1'!$A$2:$A1000&lt;=EOMONTH(DATEVALUE("1 "&amp;AA$1),0)))+
  SUMPRODUCT(('Form responses 1'!$C$2:$C1000=$A54)*('Form responses 1'!$A$2:$A1000&lt;=EOMONTH(DATEVALUE("1 "&amp;AA$1),0)))+
  SUMPRODUCT(('Form responses 1'!$D$2:$D1000=$A54)*('Form responses 1'!$A$2:$A1000&lt;=EOMONTH(DATEVALUE("1 "&amp;AA$1),0)))+
  SUMPRODUCT(('Form responses 1'!$E$2:$E1000=$A54)*('Form responses 1'!$A$2:$A1000&lt;=EOMONTH(DATEVALUE("1 "&amp;AA$1),0)))+
  SUMPRODUCT(('Form responses 1'!$F$2:$F1000=$A54)*('Form responses 1'!$A$2:$A1000&lt;=EOMONTH(DATEVALUE("1 "&amp;AA$1),0)))+
  SUMPRODUCT(('Form responses 1'!$G$2:$G1000=$A54)*('Form responses 1'!$A$2:$A1000&lt;=EOMONTH(DATEVALUE("1 "&amp;AA$1),0)))
),2),"-")</f>
        <v>1.84</v>
      </c>
      <c r="AB54" s="2">
        <f>IFERROR(ROUND(Data!$B54/(
  SUMPRODUCT(('Form responses 1'!$B$2:$B1000=$A54)*('Form responses 1'!$A$2:$A1000&lt;=EOMONTH(DATEVALUE("1 "&amp;AB$1),0)))+
  SUMPRODUCT(('Form responses 1'!$C$2:$C1000=$A54)*('Form responses 1'!$A$2:$A1000&lt;=EOMONTH(DATEVALUE("1 "&amp;AB$1),0)))+
  SUMPRODUCT(('Form responses 1'!$D$2:$D1000=$A54)*('Form responses 1'!$A$2:$A1000&lt;=EOMONTH(DATEVALUE("1 "&amp;AB$1),0)))+
  SUMPRODUCT(('Form responses 1'!$E$2:$E1000=$A54)*('Form responses 1'!$A$2:$A1000&lt;=EOMONTH(DATEVALUE("1 "&amp;AB$1),0)))+
  SUMPRODUCT(('Form responses 1'!$F$2:$F1000=$A54)*('Form responses 1'!$A$2:$A1000&lt;=EOMONTH(DATEVALUE("1 "&amp;AB$1),0)))+
  SUMPRODUCT(('Form responses 1'!$G$2:$G1000=$A54)*('Form responses 1'!$A$2:$A1000&lt;=EOMONTH(DATEVALUE("1 "&amp;AB$1),0)))
),2),"-")</f>
        <v>1.52</v>
      </c>
      <c r="AC54" s="2">
        <f>IFERROR(ROUND(Data!$B54/(
  SUMPRODUCT(('Form responses 1'!$B$2:$B1000=$A54)*('Form responses 1'!$A$2:$A1000&lt;=EOMONTH(DATEVALUE("1 "&amp;AC$1),0)))+
  SUMPRODUCT(('Form responses 1'!$C$2:$C1000=$A54)*('Form responses 1'!$A$2:$A1000&lt;=EOMONTH(DATEVALUE("1 "&amp;AC$1),0)))+
  SUMPRODUCT(('Form responses 1'!$D$2:$D1000=$A54)*('Form responses 1'!$A$2:$A1000&lt;=EOMONTH(DATEVALUE("1 "&amp;AC$1),0)))+
  SUMPRODUCT(('Form responses 1'!$E$2:$E1000=$A54)*('Form responses 1'!$A$2:$A1000&lt;=EOMONTH(DATEVALUE("1 "&amp;AC$1),0)))+
  SUMPRODUCT(('Form responses 1'!$F$2:$F1000=$A54)*('Form responses 1'!$A$2:$A1000&lt;=EOMONTH(DATEVALUE("1 "&amp;AC$1),0)))+
  SUMPRODUCT(('Form responses 1'!$G$2:$G1000=$A54)*('Form responses 1'!$A$2:$A1000&lt;=EOMONTH(DATEVALUE("1 "&amp;AC$1),0)))
),2),"-")</f>
        <v>1.52</v>
      </c>
      <c r="AD54" s="2" t="str">
        <f>IFERROR(ROUND(Data!$B54/(
  SUMPRODUCT(('Form responses 1'!$B$2:$B1000=$A54)*('Form responses 1'!$A$2:$A1000&lt;=EOMONTH(DATEVALUE("1 "&amp;AD$1),0)))+
  SUMPRODUCT(('Form responses 1'!$C$2:$C1000=$A54)*('Form responses 1'!$A$2:$A1000&lt;=EOMONTH(DATEVALUE("1 "&amp;AD$1),0)))+
  SUMPRODUCT(('Form responses 1'!$D$2:$D1000=$A54)*('Form responses 1'!$A$2:$A1000&lt;=EOMONTH(DATEVALUE("1 "&amp;AD$1),0)))+
  SUMPRODUCT(('Form responses 1'!$E$2:$E1000=$A54)*('Form responses 1'!$A$2:$A1000&lt;=EOMONTH(DATEVALUE("1 "&amp;AD$1),0)))+
  SUMPRODUCT(('Form responses 1'!$F$2:$F1000=$A54)*('Form responses 1'!$A$2:$A1000&lt;=EOMONTH(DATEVALUE("1 "&amp;AD$1),0)))+
  SUMPRODUCT(('Form responses 1'!$G$2:$G1000=$A54)*('Form responses 1'!$A$2:$A1000&lt;=EOMONTH(DATEVALUE("1 "&amp;AD$1),0)))
),2),"-")</f>
        <v>-</v>
      </c>
      <c r="AE54" s="2" t="str">
        <f>IFERROR(ROUND(Data!$B54/(
  SUMPRODUCT(('Form responses 1'!$B$2:$B1000=$A54)*('Form responses 1'!$A$2:$A1000&lt;=EOMONTH(DATEVALUE("1 "&amp;AE$1),0)))+
  SUMPRODUCT(('Form responses 1'!$C$2:$C1000=$A54)*('Form responses 1'!$A$2:$A1000&lt;=EOMONTH(DATEVALUE("1 "&amp;AE$1),0)))+
  SUMPRODUCT(('Form responses 1'!$D$2:$D1000=$A54)*('Form responses 1'!$A$2:$A1000&lt;=EOMONTH(DATEVALUE("1 "&amp;AE$1),0)))+
  SUMPRODUCT(('Form responses 1'!$E$2:$E1000=$A54)*('Form responses 1'!$A$2:$A1000&lt;=EOMONTH(DATEVALUE("1 "&amp;AE$1),0)))+
  SUMPRODUCT(('Form responses 1'!$F$2:$F1000=$A54)*('Form responses 1'!$A$2:$A1000&lt;=EOMONTH(DATEVALUE("1 "&amp;AE$1),0)))+
  SUMPRODUCT(('Form responses 1'!$G$2:$G1000=$A54)*('Form responses 1'!$A$2:$A1000&lt;=EOMONTH(DATEVALUE("1 "&amp;AE$1),0)))
),2),"-")</f>
        <v>-</v>
      </c>
      <c r="AF54" s="2" t="str">
        <f>IFERROR(ROUND(Data!$B54/(
  SUMPRODUCT(('Form responses 1'!$B$2:$B1000=$A54)*('Form responses 1'!$A$2:$A1000&lt;=EOMONTH(DATEVALUE("1 "&amp;AF$1),0)))+
  SUMPRODUCT(('Form responses 1'!$C$2:$C1000=$A54)*('Form responses 1'!$A$2:$A1000&lt;=EOMONTH(DATEVALUE("1 "&amp;AF$1),0)))+
  SUMPRODUCT(('Form responses 1'!$D$2:$D1000=$A54)*('Form responses 1'!$A$2:$A1000&lt;=EOMONTH(DATEVALUE("1 "&amp;AF$1),0)))+
  SUMPRODUCT(('Form responses 1'!$E$2:$E1000=$A54)*('Form responses 1'!$A$2:$A1000&lt;=EOMONTH(DATEVALUE("1 "&amp;AF$1),0)))+
  SUMPRODUCT(('Form responses 1'!$F$2:$F1000=$A54)*('Form responses 1'!$A$2:$A1000&lt;=EOMONTH(DATEVALUE("1 "&amp;AF$1),0)))+
  SUMPRODUCT(('Form responses 1'!$G$2:$G1000=$A54)*('Form responses 1'!$A$2:$A1000&lt;=EOMONTH(DATEVALUE("1 "&amp;AF$1),0)))
),2),"-")</f>
        <v>-</v>
      </c>
      <c r="AG54" s="2" t="str">
        <f>IFERROR(ROUND(Data!$B54/(
  SUMPRODUCT(('Form responses 1'!$B$2:$B1000=$A54)*('Form responses 1'!$A$2:$A1000&lt;=EOMONTH(DATEVALUE("1 "&amp;AG$1),0)))+
  SUMPRODUCT(('Form responses 1'!$C$2:$C1000=$A54)*('Form responses 1'!$A$2:$A1000&lt;=EOMONTH(DATEVALUE("1 "&amp;AG$1),0)))+
  SUMPRODUCT(('Form responses 1'!$D$2:$D1000=$A54)*('Form responses 1'!$A$2:$A1000&lt;=EOMONTH(DATEVALUE("1 "&amp;AG$1),0)))+
  SUMPRODUCT(('Form responses 1'!$E$2:$E1000=$A54)*('Form responses 1'!$A$2:$A1000&lt;=EOMONTH(DATEVALUE("1 "&amp;AG$1),0)))+
  SUMPRODUCT(('Form responses 1'!$F$2:$F1000=$A54)*('Form responses 1'!$A$2:$A1000&lt;=EOMONTH(DATEVALUE("1 "&amp;AG$1),0)))+
  SUMPRODUCT(('Form responses 1'!$G$2:$G1000=$A54)*('Form responses 1'!$A$2:$A1000&lt;=EOMONTH(DATEVALUE("1 "&amp;AG$1),0)))
),2),"-")</f>
        <v>-</v>
      </c>
      <c r="AH54" s="2" t="str">
        <f>IFERROR(ROUND(Data!$B54/(
  SUMPRODUCT(('Form responses 1'!$B$2:$B1000=$A54)*('Form responses 1'!$A$2:$A1000&lt;=EOMONTH(DATEVALUE("1 "&amp;AH$1),0)))+
  SUMPRODUCT(('Form responses 1'!$C$2:$C1000=$A54)*('Form responses 1'!$A$2:$A1000&lt;=EOMONTH(DATEVALUE("1 "&amp;AH$1),0)))+
  SUMPRODUCT(('Form responses 1'!$D$2:$D1000=$A54)*('Form responses 1'!$A$2:$A1000&lt;=EOMONTH(DATEVALUE("1 "&amp;AH$1),0)))+
  SUMPRODUCT(('Form responses 1'!$E$2:$E1000=$A54)*('Form responses 1'!$A$2:$A1000&lt;=EOMONTH(DATEVALUE("1 "&amp;AH$1),0)))+
  SUMPRODUCT(('Form responses 1'!$F$2:$F1000=$A54)*('Form responses 1'!$A$2:$A1000&lt;=EOMONTH(DATEVALUE("1 "&amp;AH$1),0)))+
  SUMPRODUCT(('Form responses 1'!$G$2:$G1000=$A54)*('Form responses 1'!$A$2:$A1000&lt;=EOMONTH(DATEVALUE("1 "&amp;AH$1),0)))
),2),"-")</f>
        <v>-</v>
      </c>
      <c r="AI54" s="2" t="str">
        <f>IFERROR(ROUND(Data!$B54/(
  SUMPRODUCT(('Form responses 1'!$B$2:$B1000=$A54)*('Form responses 1'!$A$2:$A1000&lt;=EOMONTH(DATEVALUE("1 "&amp;AI$1),0)))+
  SUMPRODUCT(('Form responses 1'!$C$2:$C1000=$A54)*('Form responses 1'!$A$2:$A1000&lt;=EOMONTH(DATEVALUE("1 "&amp;AI$1),0)))+
  SUMPRODUCT(('Form responses 1'!$D$2:$D1000=$A54)*('Form responses 1'!$A$2:$A1000&lt;=EOMONTH(DATEVALUE("1 "&amp;AI$1),0)))+
  SUMPRODUCT(('Form responses 1'!$E$2:$E1000=$A54)*('Form responses 1'!$A$2:$A1000&lt;=EOMONTH(DATEVALUE("1 "&amp;AI$1),0)))+
  SUMPRODUCT(('Form responses 1'!$F$2:$F1000=$A54)*('Form responses 1'!$A$2:$A1000&lt;=EOMONTH(DATEVALUE("1 "&amp;AI$1),0)))+
  SUMPRODUCT(('Form responses 1'!$G$2:$G1000=$A54)*('Form responses 1'!$A$2:$A1000&lt;=EOMONTH(DATEVALUE("1 "&amp;AI$1),0)))
),2),"-")</f>
        <v>-</v>
      </c>
      <c r="AJ54" s="2" t="str">
        <f>IFERROR(ROUND(Data!$B54/(
  SUMPRODUCT(('Form responses 1'!$B$2:$B1000=$A54)*('Form responses 1'!$A$2:$A1000&lt;=EOMONTH(DATEVALUE("1 "&amp;AJ$1),0)))+
  SUMPRODUCT(('Form responses 1'!$C$2:$C1000=$A54)*('Form responses 1'!$A$2:$A1000&lt;=EOMONTH(DATEVALUE("1 "&amp;AJ$1),0)))+
  SUMPRODUCT(('Form responses 1'!$D$2:$D1000=$A54)*('Form responses 1'!$A$2:$A1000&lt;=EOMONTH(DATEVALUE("1 "&amp;AJ$1),0)))+
  SUMPRODUCT(('Form responses 1'!$E$2:$E1000=$A54)*('Form responses 1'!$A$2:$A1000&lt;=EOMONTH(DATEVALUE("1 "&amp;AJ$1),0)))+
  SUMPRODUCT(('Form responses 1'!$F$2:$F1000=$A54)*('Form responses 1'!$A$2:$A1000&lt;=EOMONTH(DATEVALUE("1 "&amp;AJ$1),0)))+
  SUMPRODUCT(('Form responses 1'!$G$2:$G1000=$A54)*('Form responses 1'!$A$2:$A1000&lt;=EOMONTH(DATEVALUE("1 "&amp;AJ$1),0)))
),2),"-")</f>
        <v>-</v>
      </c>
      <c r="AK54" s="2" t="str">
        <f>IFERROR(ROUND(Data!$B54/(
  SUMPRODUCT(('Form responses 1'!$B$2:$B1000=$A54)*('Form responses 1'!$A$2:$A1000&lt;=EOMONTH(DATEVALUE("1 "&amp;AK$1),0)))+
  SUMPRODUCT(('Form responses 1'!$C$2:$C1000=$A54)*('Form responses 1'!$A$2:$A1000&lt;=EOMONTH(DATEVALUE("1 "&amp;AK$1),0)))+
  SUMPRODUCT(('Form responses 1'!$D$2:$D1000=$A54)*('Form responses 1'!$A$2:$A1000&lt;=EOMONTH(DATEVALUE("1 "&amp;AK$1),0)))+
  SUMPRODUCT(('Form responses 1'!$E$2:$E1000=$A54)*('Form responses 1'!$A$2:$A1000&lt;=EOMONTH(DATEVALUE("1 "&amp;AK$1),0)))+
  SUMPRODUCT(('Form responses 1'!$F$2:$F1000=$A54)*('Form responses 1'!$A$2:$A1000&lt;=EOMONTH(DATEVALUE("1 "&amp;AK$1),0)))+
  SUMPRODUCT(('Form responses 1'!$G$2:$G1000=$A54)*('Form responses 1'!$A$2:$A1000&lt;=EOMONTH(DATEVALUE("1 "&amp;AK$1),0)))
),2),"-")</f>
        <v>-</v>
      </c>
      <c r="AL54" s="2" t="str">
        <f>IFERROR(ROUND(Data!$B54/(
  SUMPRODUCT(('Form responses 1'!$B$2:$B1000=$A54)*('Form responses 1'!$A$2:$A1000&lt;=EOMONTH(DATEVALUE("1 "&amp;AL$1),0)))+
  SUMPRODUCT(('Form responses 1'!$C$2:$C1000=$A54)*('Form responses 1'!$A$2:$A1000&lt;=EOMONTH(DATEVALUE("1 "&amp;AL$1),0)))+
  SUMPRODUCT(('Form responses 1'!$D$2:$D1000=$A54)*('Form responses 1'!$A$2:$A1000&lt;=EOMONTH(DATEVALUE("1 "&amp;AL$1),0)))+
  SUMPRODUCT(('Form responses 1'!$E$2:$E1000=$A54)*('Form responses 1'!$A$2:$A1000&lt;=EOMONTH(DATEVALUE("1 "&amp;AL$1),0)))+
  SUMPRODUCT(('Form responses 1'!$F$2:$F1000=$A54)*('Form responses 1'!$A$2:$A1000&lt;=EOMONTH(DATEVALUE("1 "&amp;AL$1),0)))+
  SUMPRODUCT(('Form responses 1'!$G$2:$G1000=$A54)*('Form responses 1'!$A$2:$A1000&lt;=EOMONTH(DATEVALUE("1 "&amp;AL$1),0)))
),2),"-")</f>
        <v>-</v>
      </c>
    </row>
    <row r="55">
      <c r="A55" s="3" t="str">
        <f>IFERROR(__xludf.DUMMYFUNCTION("""COMPUTED_VALUE"""),"Rood jasje")</f>
        <v>Rood jasje</v>
      </c>
      <c r="B55" s="2">
        <f>Data!F53:F1000</f>
        <v>2.5</v>
      </c>
      <c r="C55" s="2">
        <f>IFERROR(ROUND(Data!B53/(SUMPRODUCT(('Form responses 1'!$B$2:$B1000 = A55) * ('Form responses 1'!$A$2:$A1000 &lt;= DATE(2024, 1, 31)))
+ SUMPRODUCT(('Form responses 1'!$C$2:$C1000 = A55) * ('Form responses 1'!$A$2:$A1000 &lt;= DATE(2024, 1, 31)))
+ SUMPRODUCT(('Form responses 1'!$D$2:$D1000 = A55) * ('Form responses 1'!$A$2:$A1000 &lt;= DATE(2024, 1, 31)))
+ SUMPRODUCT(('Form responses 1'!$E$2:$E1000 = A55) * ('Form responses 1'!$A$2:$A1000 &lt;= DATE(2024, 1, 31)))
+ SUMPRODUCT(('Form responses 1'!$F$2:$F1000 = A55) * ('Form responses 1'!$A$2:$A1000 &lt;= DATE(2024, 1, 31)))
+ SUMPRODUCT(('Form responses 1'!$G$2:$G1000 = A55) * ('Form responses 1'!$A$2:$A1000 &lt;= DATE(2024, 1, 31)))), 2), "-")
</f>
        <v>2.19</v>
      </c>
      <c r="D55" s="2">
        <f>IFERROR(ROUND(Data!B53/(SUMPRODUCT(('Form responses 1'!$B$2:$B1000 = A55) * ('Form responses 1'!$A$2:$A1000 &lt;= DATE(2024, 2, 29)))
+ SUMPRODUCT(('Form responses 1'!$C$2:$C1000 = A55) * ('Form responses 1'!$A$2:$A1000 &lt;= DATE(2024, 2, 29)))
+ SUMPRODUCT(('Form responses 1'!$D$2:$D1000 = A55) * ('Form responses 1'!$A$2:$A1000 &lt;= DATE(2024, 2, 29)))
+ SUMPRODUCT(('Form responses 1'!$E$2:$E1000 = A55) * ('Form responses 1'!$A$2:$A1000 &lt;= DATE(2024, 2, 29)))
+ SUMPRODUCT(('Form responses 1'!$F$2:$F1000 = A55) * ('Form responses 1'!$A$2:$A1000 &lt;= DATE(2024, 2, 29)))
+ SUMPRODUCT(('Form responses 1'!$G$2:$G1000 = A55) * ('Form responses 1'!$A$2:$A1000 &lt;= DATE(2024, 2, 29)))), 2), "-")
</f>
        <v>2.19</v>
      </c>
      <c r="E55" s="2">
        <f>IFERROR(ROUND(Data!B53/(SUMPRODUCT(('Form responses 1'!$B$2:$B1000 = A55) * ('Form responses 1'!$A$2:$A1000 &lt;= DATE(2024, 3, 31)))
+ SUMPRODUCT(('Form responses 1'!$C$2:$C1000 = A55) * ('Form responses 1'!$A$2:$A1000 &lt;= DATE(2024, 3, 31)))
+ SUMPRODUCT(('Form responses 1'!$D$2:$D1000 = A55) * ('Form responses 1'!$A$2:$A1000 &lt;= DATE(2024, 3, 31)))
+ SUMPRODUCT(('Form responses 1'!$E$2:$E1000 = A55) * ('Form responses 1'!$A$2:$A1000 &lt;= DATE(2024, 3, 31)))
+ SUMPRODUCT(('Form responses 1'!$F$2:$F1000 = A55) * ('Form responses 1'!$A$2:$A1000 &lt;= DATE(2024, 3, 31)))
+ SUMPRODUCT(('Form responses 1'!$G$2:$G1000 = A55) * ('Form responses 1'!$A$2:$A1000 &lt;= DATE(2024, 3, 31)))), 2), "-")
</f>
        <v>2.19</v>
      </c>
      <c r="F55" s="2">
        <f>IFERROR(ROUND(Data!B53/(SUMPRODUCT(('Form responses 1'!$B$2:$B1000 = A55) * ('Form responses 1'!$A$2:$A1000 &lt;= DATE(2024, 4, 30)))
+ SUMPRODUCT(('Form responses 1'!$C$2:$C1000 = A55) * ('Form responses 1'!$A$2:$A1000 &lt;= DATE(2024, 4, 30)))
+ SUMPRODUCT(('Form responses 1'!$D$2:$D1000 = A55) * ('Form responses 1'!$A$2:$A1000 &lt;= DATE(2024, 4, 30)))
+ SUMPRODUCT(('Form responses 1'!$E$2:$E1000 = A55) * ('Form responses 1'!$A$2:$A1000 &lt;= DATE(2024, 4, 30)))
+ SUMPRODUCT(('Form responses 1'!$F$2:$F1000 = A55) * ('Form responses 1'!$A$2:$A1000 &lt;= DATE(2024, 4, 30)))
+ SUMPRODUCT(('Form responses 1'!$G$2:$G1000 = A55) * ('Form responses 1'!$A$2:$A1000 &lt;= DATE(2024, 4, 30)))), 2), "-")
</f>
        <v>2.19</v>
      </c>
      <c r="G55" s="2">
        <f>IFERROR(ROUND(Data!B53/(SUMPRODUCT(('Form responses 1'!$B$2:$B1000 = A55) * ('Form responses 1'!$A$2:$A1000 &lt;= DATE(2024, 5, 31)))
+ SUMPRODUCT(('Form responses 1'!$C$2:$C1000 = A55) * ('Form responses 1'!$A$2:$A1000 &lt;= DATE(2024, 5, 31)))
+ SUMPRODUCT(('Form responses 1'!$D$2:$D1000 = A55) * ('Form responses 1'!$A$2:$A1000 &lt;= DATE(2024, 5, 31)))
+ SUMPRODUCT(('Form responses 1'!$E$2:$E1000 = A55) * ('Form responses 1'!$A$2:$A1000 &lt;= DATE(2024, 5, 31)))
+ SUMPRODUCT(('Form responses 1'!$F$2:$F1000 = A55) * ('Form responses 1'!$A$2:$A1000 &lt;= DATE(2024, 5, 31)))
+ SUMPRODUCT(('Form responses 1'!$G$2:$G1000 = A55) * ('Form responses 1'!$A$2:$A1000 &lt;= DATE(2024, 5, 31)))), 2), "-")
</f>
        <v>2.19</v>
      </c>
      <c r="H55" s="2">
        <f>IFERROR(ROUND(Data!B53/(SUMPRODUCT(('Form responses 1'!$B$2:$B1000 = A55) * ('Form responses 1'!$A$2:$A1000 &lt;= DATE(2024, 6, 30)))
+ SUMPRODUCT(('Form responses 1'!$C$2:$C1000 = A55) * ('Form responses 1'!$A$2:$A1000 &lt;= DATE(2024, 6, 30)))
+ SUMPRODUCT(('Form responses 1'!$D$2:$D1000 = A55) * ('Form responses 1'!$A$2:$A1000 &lt;= DATE(2024, 6, 30)))
+ SUMPRODUCT(('Form responses 1'!$E$2:$E1000 = A55) * ('Form responses 1'!$A$2:$A1000 &lt;= DATE(2024, 6, 30)))
+ SUMPRODUCT(('Form responses 1'!$F$2:$F1000 = A55) * ('Form responses 1'!$A$2:$A1000 &lt;= DATE(2024, 6, 30)))
+ SUMPRODUCT(('Form responses 1'!$G$2:$G1000 = A55) * ('Form responses 1'!$A$2:$A1000 &lt;= DATE(2024, 6, 30)))), 2), "-")
</f>
        <v>2.19</v>
      </c>
      <c r="I55" s="2">
        <f>IFERROR(ROUND(Data!B53/(SUMPRODUCT(('Form responses 1'!$B$2:$B1000 = A55) * ('Form responses 1'!$A$2:$A1000 &lt;= DATE(2024, 7, 31)))
+ SUMPRODUCT(('Form responses 1'!$C$2:$C1000 = A55) * ('Form responses 1'!$A$2:$A1000 &lt;= DATE(2024, 7, 31)))
+ SUMPRODUCT(('Form responses 1'!$D$2:$D1000 = A55) * ('Form responses 1'!$A$2:$A1000 &lt;= DATE(2024, 7, 31)))
+ SUMPRODUCT(('Form responses 1'!$E$2:$E1000 = A55) * ('Form responses 1'!$A$2:$A1000 &lt;= DATE(2024, 7, 31)))
+ SUMPRODUCT(('Form responses 1'!$F$2:$F1000 = A55) * ('Form responses 1'!$A$2:$A1000 &lt;= DATE(2024, 7, 31)))
+ SUMPRODUCT(('Form responses 1'!$G$2:$G1000 = A55) * ('Form responses 1'!$A$2:$A1000 &lt;= DATE(2024, 7, 31)))), 2), "-")
</f>
        <v>2.19</v>
      </c>
      <c r="J55" s="2">
        <f>IFERROR(ROUND(Data!B53/(SUMPRODUCT(('Form responses 1'!$B$2:$B1000 = A55) * ('Form responses 1'!$A$2:$A1000 &lt;= DATE(2024, 8, 31)))
+ SUMPRODUCT(('Form responses 1'!$C$2:$C1000 = A55) * ('Form responses 1'!$A$2:$A1000 &lt;= DATE(2024, 8, 31)))
+ SUMPRODUCT(('Form responses 1'!$D$2:$D1000 = A55) * ('Form responses 1'!$A$2:$A1000 &lt;= DATE(2024, 8, 31)))
+ SUMPRODUCT(('Form responses 1'!$E$2:$E1000 = A55) * ('Form responses 1'!$A$2:$A1000 &lt;= DATE(2024, 8, 31)))
+ SUMPRODUCT(('Form responses 1'!$F$2:$F1000 = A55) * ('Form responses 1'!$A$2:$A1000 &lt;= DATE(2024, 8, 31)))
+ SUMPRODUCT(('Form responses 1'!$G$2:$G1000 = A55) * ('Form responses 1'!$A$2:$A1000 &lt;= DATE(2024, 8, 31)))), 2), "-")
</f>
        <v>2.19</v>
      </c>
      <c r="K55" s="2">
        <f>IFERROR(ROUND(Data!B53/(SUMPRODUCT(('Form responses 1'!$B$2:$B1000 = A55) * ('Form responses 1'!$A$2:$A1000 &lt;= DATE(2024, 9, 30)))
+ SUMPRODUCT(('Form responses 1'!$C$2:$C1000 = A55) * ('Form responses 1'!$A$2:$A1000 &lt;= DATE(2024, 9, 30)))
+ SUMPRODUCT(('Form responses 1'!$D$2:$D1000 = A55) * ('Form responses 1'!$A$2:$A1000 &lt;= DATE(2024, 9, 30)))
+ SUMPRODUCT(('Form responses 1'!$E$2:$E1000 = A55) * ('Form responses 1'!$A$2:$A1000 &lt;= DATE(2024, 9, 30)))
+ SUMPRODUCT(('Form responses 1'!$F$2:$F1000 = A55) * ('Form responses 1'!$A$2:$A1000 &lt;= DATE(2024, 9, 30)))
+ SUMPRODUCT(('Form responses 1'!$G$2:$G1000 = A55) * ('Form responses 1'!$A$2:$A1000 &lt;= DATE(2024, 9, 30)))), 2), "-")
</f>
        <v>2.19</v>
      </c>
      <c r="L55" s="2">
        <f>IFERROR(ROUND(Data!B53/(SUMPRODUCT(('Form responses 1'!$B$2:$B1000 = A55) * ('Form responses 1'!$A$2:$A1000 &lt;= DATE(2024, 10, 31)))
+ SUMPRODUCT(('Form responses 1'!$C$2:$C1000 = A55) * ('Form responses 1'!$A$2:$A1000 &lt;= DATE(2024, 10, 31)))
+ SUMPRODUCT(('Form responses 1'!$D$2:$D1000 = A55) * ('Form responses 1'!$A$2:$A1000 &lt;= DATE(2024, 10, 31)))
+ SUMPRODUCT(('Form responses 1'!$E$2:$E1000 = A55) * ('Form responses 1'!$A$2:$A1000 &lt;= DATE(2024, 10, 31)))
+ SUMPRODUCT(('Form responses 1'!$F$2:$F1000 = A55) * ('Form responses 1'!$A$2:$A1000 &lt;= DATE(2024, 10, 31)))
+ SUMPRODUCT(('Form responses 1'!$G$2:$G1000 = A55) * ('Form responses 1'!$A$2:$A1000 &lt;= DATE(2024, 10, 31)))), 2), "-")
</f>
        <v>2.19</v>
      </c>
      <c r="M55" s="2">
        <f>IFERROR(ROUND(Data!B53/(SUMPRODUCT(('Form responses 1'!$B$2:$B1000 = A55) * ('Form responses 1'!$A$2:$A1000 &lt;= DATE(2024, 11, 30)))
+ SUMPRODUCT(('Form responses 1'!$C$2:$C1000 = A55) * ('Form responses 1'!$A$2:$A1000 &lt;= DATE(2024, 11, 30)))
+ SUMPRODUCT(('Form responses 1'!$D$2:$D1000 = A55) * ('Form responses 1'!$A$2:$A1000 &lt;= DATE(2024, 11, 30)))
+ SUMPRODUCT(('Form responses 1'!$E$2:$E1000 = A55) * ('Form responses 1'!$A$2:$A1000 &lt;= DATE(2024, 11, 30)))
+ SUMPRODUCT(('Form responses 1'!$F$2:$F1000 = A55) * ('Form responses 1'!$A$2:$A1000 &lt;= DATE(2024, 11, 30)))
+ SUMPRODUCT(('Form responses 1'!$G$2:$G1000 = A55) * ('Form responses 1'!$A$2:$A1000 &lt;= DATE(2024, 11, 30)))), 2), "-")
</f>
        <v>2.19</v>
      </c>
      <c r="N55" s="2">
        <f>IFERROR(ROUND(Data!B53/(SUMPRODUCT(('Form responses 1'!$B$2:$B1000 = A55) * ('Form responses 1'!$A$2:$A1000 &lt;= DATE(2024, 12, 31)))
+ SUMPRODUCT(('Form responses 1'!$C$2:$C1000 = A55) * ('Form responses 1'!$A$2:$A1000 &lt;= DATE(2024, 12, 31)))
+ SUMPRODUCT(('Form responses 1'!$D$2:$D1000 = A55) * ('Form responses 1'!$A$2:$A1000 &lt;= DATE(2024, 12, 31)))
+ SUMPRODUCT(('Form responses 1'!$E$2:$E1000 = A55) * ('Form responses 1'!$A$2:$A1000 &lt;= DATE(2024, 12, 31)))
+ SUMPRODUCT(('Form responses 1'!$F$2:$F1000 = A55) * ('Form responses 1'!$A$2:$A1000 &lt;= DATE(2024, 12, 31)))
+ SUMPRODUCT(('Form responses 1'!$G$2:$G1000 = A55) * ('Form responses 1'!$A$2:$A1000 &lt;= DATE(2024, 12, 31)))), 2), "-")
</f>
        <v>2.19</v>
      </c>
      <c r="O55" s="2">
        <f>IFERROR(ROUND(Data!B53/(SUMPRODUCT(('Form responses 1'!$B$2:$B1000 = A55) * ('Form responses 1'!$A$2:$A1000 &lt;= DATE(2025, 1, 31)))
+ SUMPRODUCT(('Form responses 1'!$C$2:$C1000 = A55) * ('Form responses 1'!$A$2:$A1000 &lt;= DATE(2025, 1, 31)))
+ SUMPRODUCT(('Form responses 1'!$D$2:$D1000 = A55) * ('Form responses 1'!$A$2:$A1000 &lt;= DATE(2025, 1, 31)))
+ SUMPRODUCT(('Form responses 1'!$E$2:$E1000 = A55) * ('Form responses 1'!$A$2:$A1000 &lt;= DATE(2025, 1, 31)))
+ SUMPRODUCT(('Form responses 1'!$F$2:$F1000 = A55) * ('Form responses 1'!$A$2:$A1000 &lt;= DATE(2025, 1, 31)))
+ SUMPRODUCT(('Form responses 1'!$G$2:$G1000 = A55) * ('Form responses 1'!$A$2:$A1000 &lt;= DATE(2025, 1, 31)))), 2), "-")
</f>
        <v>2.19</v>
      </c>
      <c r="P55" s="2">
        <f>IFERROR(ROUND(Data!B53/(SUMPRODUCT(('Form responses 1'!$B$2:$B1000 = A55) * ('Form responses 1'!$A$2:$A1000 &lt;= DATE(2025, 2, 28)))
+ SUMPRODUCT(('Form responses 1'!$C$2:$C1000 = A55) * ('Form responses 1'!$A$2:$A1000 &lt;= DATE(2025, 2, 28)))
+ SUMPRODUCT(('Form responses 1'!$D$2:$D1000 = A55) * ('Form responses 1'!$A$2:$A1000 &lt;= DATE(2025, 2, 28)))
+ SUMPRODUCT(('Form responses 1'!$E$2:$E1000 = A55) * ('Form responses 1'!$A$2:$A1000 &lt;= DATE(2025, 2, 28)))
+ SUMPRODUCT(('Form responses 1'!$F$2:$F1000 = A55) * ('Form responses 1'!$A$2:$A1000 &lt;= DATE(2025, 2, 28)))
+ SUMPRODUCT(('Form responses 1'!$G$2:$G1000 = A55) * ('Form responses 1'!$A$2:$A1000 &lt;= DATE(2025, 2, 28)))), 2), "-")
</f>
        <v>2.19</v>
      </c>
      <c r="Q55" s="2">
        <f>IFERROR(ROUND(Data!B53/(SUMPRODUCT(('Form responses 1'!$B$2:$B1000 = A55) * ('Form responses 1'!$A$2:$A1000 &lt;= DATE(2025, 3, 31)))
+ SUMPRODUCT(('Form responses 1'!$C$2:$C1000 = A55) * ('Form responses 1'!$A$2:$A1000 &lt;= DATE(2025, 3, 31)))
+ SUMPRODUCT(('Form responses 1'!$D$2:$D1000 = A55) * ('Form responses 1'!$A$2:$A1000 &lt;= DATE(2025, 3, 31)))
+ SUMPRODUCT(('Form responses 1'!$E$2:$E1000 = A55) * ('Form responses 1'!$A$2:$A1000 &lt;= DATE(2025, 3, 31)))
+ SUMPRODUCT(('Form responses 1'!$F$2:$F1000 = A55) * ('Form responses 1'!$A$2:$A1000 &lt;= DATE(2025, 3, 31)))
+ SUMPRODUCT(('Form responses 1'!$G$2:$G1000 = A55) * ('Form responses 1'!$A$2:$A1000 &lt;= DATE(2025, 3, 31)))),2),"-")</f>
        <v>2.19</v>
      </c>
      <c r="R55" s="2">
        <f>IFERROR(ROUND(Data!B53/(SUMPRODUCT(('Form responses 1'!$B$2:$B1000 = A55) * ('Form responses 1'!$A$2:$A1000 &lt;= DATE(2025, 4, 30)))
+ SUMPRODUCT(('Form responses 1'!$C$2:$C1000 = A55) * ('Form responses 1'!$A$2:$A1000 &lt;= DATE(2025, 4, 30)))
+ SUMPRODUCT(('Form responses 1'!$D$2:$D1000 = A55) * ('Form responses 1'!$A$2:$A1000 &lt;= DATE(2025, 4, 30)))
+ SUMPRODUCT(('Form responses 1'!$E$2:$E1000 = A55) * ('Form responses 1'!$A$2:$A1000 &lt;= DATE(2025, 4, 30)))
+ SUMPRODUCT(('Form responses 1'!$F$2:$F1000 = A55) * ('Form responses 1'!$A$2:$A1000 &lt;= DATE(2025, 4, 30)))
+ SUMPRODUCT(('Form responses 1'!$G$2:$G1000 = A55) * ('Form responses 1'!$A$2:$A1000 &lt;= DATE(2025, 4, 30)))), 2), "-")
</f>
        <v>2.19</v>
      </c>
      <c r="S55" s="2">
        <f>IFERROR(ROUND(Data!B53/(SUMPRODUCT(('Form responses 1'!$B$2:$B1000 = A55) * ('Form responses 1'!$A$2:$A1000 &lt;= DATE(2025, 5, 31)))
+ SUMPRODUCT(('Form responses 1'!$C$2:$C1000 = A55) * ('Form responses 1'!$A$2:$A1000 &lt;= DATE(2025, 5, 31)))
+ SUMPRODUCT(('Form responses 1'!$D$2:$D1000 = A55) * ('Form responses 1'!$A$2:$A1000 &lt;= DATE(2025, 5, 31)))
+ SUMPRODUCT(('Form responses 1'!$E$2:$E1000 = A55) * ('Form responses 1'!$A$2:$A1000 &lt;= DATE(2025, 5, 31)))
+ SUMPRODUCT(('Form responses 1'!$F$2:$F1000 = A55) * ('Form responses 1'!$A$2:$A1000 &lt;= DATE(2025, 5, 31)))
+ SUMPRODUCT(('Form responses 1'!$G$2:$G1000 = A55) * ('Form responses 1'!$A$2:$A1000 &lt;= DATE(2025, 5, 31)))), 2), "-")
</f>
        <v>2.19</v>
      </c>
      <c r="T55" s="2">
        <f>IFERROR(ROUND(Data!B53/(SUMPRODUCT(('Form responses 1'!$B$2:$B1000 = A55) * ('Form responses 1'!$A$2:$A1000 &lt;= DATE(2025, 6, 30)))
+ SUMPRODUCT(('Form responses 1'!$C$2:$C1000 = A55) * ('Form responses 1'!$A$2:$A1000 &lt;= DATE(2025, 6, 30)))
+ SUMPRODUCT(('Form responses 1'!$D$2:$D1000 = A55) * ('Form responses 1'!$A$2:$A1000 &lt;= DATE(2025, 6, 30)))
+ SUMPRODUCT(('Form responses 1'!$E$2:$E1000 = A55) * ('Form responses 1'!$A$2:$A1000 &lt;= DATE(2025, 6, 30)))
+ SUMPRODUCT(('Form responses 1'!$F$2:$F1000 = A55) * ('Form responses 1'!$A$2:$A1000 &lt;= DATE(2025, 6, 30)))
+ SUMPRODUCT(('Form responses 1'!$G$2:$G1000 = A55) * ('Form responses 1'!$A$2:$A1000 &lt;= DATE(2025, 6, 30)))), 2), "-")
</f>
        <v>2.19</v>
      </c>
      <c r="U55" s="2">
        <f>IFERROR(ROUND(Data!B53/(SUMPRODUCT(('Form responses 1'!$B$2:$B1000 = A55) * ('Form responses 1'!$A$2:$A1000 &lt;= DATE(2025, 7, 31)))
+ SUMPRODUCT(('Form responses 1'!$C$2:$C1000 = A55) * ('Form responses 1'!$A$2:$A1000 &lt;= DATE(2025, 7, 31)))
+ SUMPRODUCT(('Form responses 1'!$D$2:$D1000 = A55) * ('Form responses 1'!$A$2:$A1000 &lt;= DATE(2025, 7, 31)))
+ SUMPRODUCT(('Form responses 1'!$E$2:$E1000 = A55) * ('Form responses 1'!$A$2:$A1000 &lt;= DATE(2025, 7, 31)))
+ SUMPRODUCT(('Form responses 1'!$F$2:$F1000 = A55) * ('Form responses 1'!$A$2:$A1000 &lt;= DATE(2025, 7, 31)))
+ SUMPRODUCT(('Form responses 1'!$G$2:$G1000 = A55) * ('Form responses 1'!$A$2:$A1000 &lt;= DATE(2025, 7, 31)))), 2), "-")
</f>
        <v>2.19</v>
      </c>
      <c r="V55" s="2">
        <f>IFERROR(ROUND(Data!B53/(SUMPRODUCT(('Form responses 1'!$B$2:$B1000 = A55) * ('Form responses 1'!$A$2:$A1000 &lt;= DATE(2025, 8, 31)))
+ SUMPRODUCT(('Form responses 1'!$C$2:$C1000 = A55) * ('Form responses 1'!$A$2:$A1000 &lt;= DATE(2025, 8, 31)))
+ SUMPRODUCT(('Form responses 1'!$D$2:$D1000 = A55) * ('Form responses 1'!$A$2:$A1000 &lt;= DATE(2025, 8, 31)))
+ SUMPRODUCT(('Form responses 1'!$E$2:$E1000 = A55) * ('Form responses 1'!$A$2:$A1000 &lt;= DATE(2025, 8, 31)))
+ SUMPRODUCT(('Form responses 1'!$F$2:$F1000 = A55) * ('Form responses 1'!$A$2:$A1000 &lt;= DATE(2025, 8, 31)))
+ SUMPRODUCT(('Form responses 1'!$G$2:$G1000 = A55) * ('Form responses 1'!$A$2:$A1000 &lt;= DATE(2025, 8, 31)))), 2), "-")
</f>
        <v>2.19</v>
      </c>
      <c r="W55" s="2">
        <f>IFERROR(ROUND(Data!B53/(SUMPRODUCT(('Form responses 1'!$B$2:$B1000 = A55) * ('Form responses 1'!$A$2:$A1000 &lt;= DATE(2025, 9, 30)))
+ SUMPRODUCT(('Form responses 1'!$C$2:$C1000 = A55) * ('Form responses 1'!$A$2:$A1000 &lt;= DATE(2025, 9, 30)))
+ SUMPRODUCT(('Form responses 1'!$D$2:$D1000 = A55) * ('Form responses 1'!$A$2:$A1000 &lt;= DATE(2025, 9, 30)))
+ SUMPRODUCT(('Form responses 1'!$E$2:$E1000 = A55) * ('Form responses 1'!$A$2:$A1000 &lt;= DATE(2025, 9, 30)))
+ SUMPRODUCT(('Form responses 1'!$F$2:$F1000 = A55) * ('Form responses 1'!$A$2:$A1000 &lt;= DATE(2025, 9, 30)))
+ SUMPRODUCT(('Form responses 1'!$G$2:$G1000 = A55) * ('Form responses 1'!$A$2:$A1000 &lt;= DATE(2025, 9, 30)))), 2), "-")
</f>
        <v>2.19</v>
      </c>
      <c r="X55" s="2">
        <f>IFERROR(ROUND(Data!B53/(SUMPRODUCT(('Form responses 1'!$B$2:$B1000 = A55) * ('Form responses 1'!$A$2:$A1000 &lt;= DATE(2025, 10, 31)))
+ SUMPRODUCT(('Form responses 1'!$C$2:$C1000 = A55) * ('Form responses 1'!$A$2:$A1000 &lt;= DATE(2025, 10, 31)))
+ SUMPRODUCT(('Form responses 1'!$D$2:$D1000 = A55) * ('Form responses 1'!$A$2:$A1000 &lt;= DATE(2025, 10, 31)))
+ SUMPRODUCT(('Form responses 1'!$E$2:$E1000 = A55) * ('Form responses 1'!$A$2:$A1000 &lt;= DATE(2025, 10, 31)))
+ SUMPRODUCT(('Form responses 1'!$F$2:$F1000 = A55) * ('Form responses 1'!$A$2:$A1000 &lt;= DATE(2025, 10, 31)))
+ SUMPRODUCT(('Form responses 1'!$G$2:$G1000 = A55) * ('Form responses 1'!$A$2:$A1000 &lt;= DATE(2025, 10, 31)))), 2), "-")
</f>
        <v>2.19</v>
      </c>
      <c r="Y55" s="2">
        <f>IFERROR(ROUND(Data!B53/(SUMPRODUCT(('Form responses 1'!$B$2:$B1000 = A55) * ('Form responses 1'!$A$2:$A1000 &lt;= DATE(2025, 11, 30)))
+ SUMPRODUCT(('Form responses 1'!$C$2:$C1000 = A55) * ('Form responses 1'!$A$2:$A1000 &lt;= DATE(2025, 11, 30)))
+ SUMPRODUCT(('Form responses 1'!$D$2:$D1000 = A55) * ('Form responses 1'!$A$2:$A1000 &lt;= DATE(2025, 11, 30)))
+ SUMPRODUCT(('Form responses 1'!$E$2:$E1000 = A55) * ('Form responses 1'!$A$2:$A1000 &lt;= DATE(2025, 11, 30)))
+ SUMPRODUCT(('Form responses 1'!$F$2:$F1000 = A55) * ('Form responses 1'!$A$2:$A1000 &lt;= DATE(2025, 11, 30)))
+ SUMPRODUCT(('Form responses 1'!$G$2:$G1000 = A55) * ('Form responses 1'!$A$2:$A1000 &lt;= DATE(2025, 11, 30)))), 2), "-")
</f>
        <v>2.19</v>
      </c>
      <c r="Z55" s="2">
        <f>IFERROR(ROUND(Data!B53/(SUMPRODUCT(('Form responses 1'!$B$2:$B1000 = A55) * ('Form responses 1'!$A$2:$A1000 &lt;= DATE(2025, 12, 31)))
+ SUMPRODUCT(('Form responses 1'!$C$2:$C1000 = A55) * ('Form responses 1'!$A$2:$A1000 &lt;= DATE(2025, 12, 31)))
+ SUMPRODUCT(('Form responses 1'!$D$2:$D1000 = A55) * ('Form responses 1'!$A$2:$A1000 &lt;= DATE(2025, 12, 31)))
+ SUMPRODUCT(('Form responses 1'!$E$2:$E1000 = A55) * ('Form responses 1'!$A$2:$A1000 &lt;= DATE(2025, 12, 31)))
+ SUMPRODUCT(('Form responses 1'!$F$2:$F1000 = A55) * ('Form responses 1'!$A$2:$A1000 &lt;= DATE(2025, 12, 31)))
+ SUMPRODUCT(('Form responses 1'!$G$2:$G1000 = A55) * ('Form responses 1'!$A$2:$A1000 &lt;= DATE(2025, 12, 31)))), 2), "-")
</f>
        <v>2.19</v>
      </c>
      <c r="AA55" s="2">
        <f>IFERROR(ROUND(Data!$B55/(
  SUMPRODUCT(('Form responses 1'!$B$2:$B1000=$A55)*('Form responses 1'!$A$2:$A1000&lt;=EOMONTH(DATEVALUE("1 "&amp;AA$1),0)))+
  SUMPRODUCT(('Form responses 1'!$C$2:$C1000=$A55)*('Form responses 1'!$A$2:$A1000&lt;=EOMONTH(DATEVALUE("1 "&amp;AA$1),0)))+
  SUMPRODUCT(('Form responses 1'!$D$2:$D1000=$A55)*('Form responses 1'!$A$2:$A1000&lt;=EOMONTH(DATEVALUE("1 "&amp;AA$1),0)))+
  SUMPRODUCT(('Form responses 1'!$E$2:$E1000=$A55)*('Form responses 1'!$A$2:$A1000&lt;=EOMONTH(DATEVALUE("1 "&amp;AA$1),0)))+
  SUMPRODUCT(('Form responses 1'!$F$2:$F1000=$A55)*('Form responses 1'!$A$2:$A1000&lt;=EOMONTH(DATEVALUE("1 "&amp;AA$1),0)))+
  SUMPRODUCT(('Form responses 1'!$G$2:$G1000=$A55)*('Form responses 1'!$A$2:$A1000&lt;=EOMONTH(DATEVALUE("1 "&amp;AA$1),0)))
),2),"-")</f>
        <v>2.5</v>
      </c>
      <c r="AB55" s="2">
        <f>IFERROR(ROUND(Data!$B55/(
  SUMPRODUCT(('Form responses 1'!$B$2:$B1000=$A55)*('Form responses 1'!$A$2:$A1000&lt;=EOMONTH(DATEVALUE("1 "&amp;AB$1),0)))+
  SUMPRODUCT(('Form responses 1'!$C$2:$C1000=$A55)*('Form responses 1'!$A$2:$A1000&lt;=EOMONTH(DATEVALUE("1 "&amp;AB$1),0)))+
  SUMPRODUCT(('Form responses 1'!$D$2:$D1000=$A55)*('Form responses 1'!$A$2:$A1000&lt;=EOMONTH(DATEVALUE("1 "&amp;AB$1),0)))+
  SUMPRODUCT(('Form responses 1'!$E$2:$E1000=$A55)*('Form responses 1'!$A$2:$A1000&lt;=EOMONTH(DATEVALUE("1 "&amp;AB$1),0)))+
  SUMPRODUCT(('Form responses 1'!$F$2:$F1000=$A55)*('Form responses 1'!$A$2:$A1000&lt;=EOMONTH(DATEVALUE("1 "&amp;AB$1),0)))+
  SUMPRODUCT(('Form responses 1'!$G$2:$G1000=$A55)*('Form responses 1'!$A$2:$A1000&lt;=EOMONTH(DATEVALUE("1 "&amp;AB$1),0)))
),2),"-")</f>
        <v>2.5</v>
      </c>
      <c r="AC55" s="2">
        <f>IFERROR(ROUND(Data!$B55/(
  SUMPRODUCT(('Form responses 1'!$B$2:$B1000=$A55)*('Form responses 1'!$A$2:$A1000&lt;=EOMONTH(DATEVALUE("1 "&amp;AC$1),0)))+
  SUMPRODUCT(('Form responses 1'!$C$2:$C1000=$A55)*('Form responses 1'!$A$2:$A1000&lt;=EOMONTH(DATEVALUE("1 "&amp;AC$1),0)))+
  SUMPRODUCT(('Form responses 1'!$D$2:$D1000=$A55)*('Form responses 1'!$A$2:$A1000&lt;=EOMONTH(DATEVALUE("1 "&amp;AC$1),0)))+
  SUMPRODUCT(('Form responses 1'!$E$2:$E1000=$A55)*('Form responses 1'!$A$2:$A1000&lt;=EOMONTH(DATEVALUE("1 "&amp;AC$1),0)))+
  SUMPRODUCT(('Form responses 1'!$F$2:$F1000=$A55)*('Form responses 1'!$A$2:$A1000&lt;=EOMONTH(DATEVALUE("1 "&amp;AC$1),0)))+
  SUMPRODUCT(('Form responses 1'!$G$2:$G1000=$A55)*('Form responses 1'!$A$2:$A1000&lt;=EOMONTH(DATEVALUE("1 "&amp;AC$1),0)))
),2),"-")</f>
        <v>2.5</v>
      </c>
      <c r="AD55" s="2" t="str">
        <f>IFERROR(ROUND(Data!$B55/(
  SUMPRODUCT(('Form responses 1'!$B$2:$B1000=$A55)*('Form responses 1'!$A$2:$A1000&lt;=EOMONTH(DATEVALUE("1 "&amp;AD$1),0)))+
  SUMPRODUCT(('Form responses 1'!$C$2:$C1000=$A55)*('Form responses 1'!$A$2:$A1000&lt;=EOMONTH(DATEVALUE("1 "&amp;AD$1),0)))+
  SUMPRODUCT(('Form responses 1'!$D$2:$D1000=$A55)*('Form responses 1'!$A$2:$A1000&lt;=EOMONTH(DATEVALUE("1 "&amp;AD$1),0)))+
  SUMPRODUCT(('Form responses 1'!$E$2:$E1000=$A55)*('Form responses 1'!$A$2:$A1000&lt;=EOMONTH(DATEVALUE("1 "&amp;AD$1),0)))+
  SUMPRODUCT(('Form responses 1'!$F$2:$F1000=$A55)*('Form responses 1'!$A$2:$A1000&lt;=EOMONTH(DATEVALUE("1 "&amp;AD$1),0)))+
  SUMPRODUCT(('Form responses 1'!$G$2:$G1000=$A55)*('Form responses 1'!$A$2:$A1000&lt;=EOMONTH(DATEVALUE("1 "&amp;AD$1),0)))
),2),"-")</f>
        <v>-</v>
      </c>
      <c r="AE55" s="2" t="str">
        <f>IFERROR(ROUND(Data!$B55/(
  SUMPRODUCT(('Form responses 1'!$B$2:$B1000=$A55)*('Form responses 1'!$A$2:$A1000&lt;=EOMONTH(DATEVALUE("1 "&amp;AE$1),0)))+
  SUMPRODUCT(('Form responses 1'!$C$2:$C1000=$A55)*('Form responses 1'!$A$2:$A1000&lt;=EOMONTH(DATEVALUE("1 "&amp;AE$1),0)))+
  SUMPRODUCT(('Form responses 1'!$D$2:$D1000=$A55)*('Form responses 1'!$A$2:$A1000&lt;=EOMONTH(DATEVALUE("1 "&amp;AE$1),0)))+
  SUMPRODUCT(('Form responses 1'!$E$2:$E1000=$A55)*('Form responses 1'!$A$2:$A1000&lt;=EOMONTH(DATEVALUE("1 "&amp;AE$1),0)))+
  SUMPRODUCT(('Form responses 1'!$F$2:$F1000=$A55)*('Form responses 1'!$A$2:$A1000&lt;=EOMONTH(DATEVALUE("1 "&amp;AE$1),0)))+
  SUMPRODUCT(('Form responses 1'!$G$2:$G1000=$A55)*('Form responses 1'!$A$2:$A1000&lt;=EOMONTH(DATEVALUE("1 "&amp;AE$1),0)))
),2),"-")</f>
        <v>-</v>
      </c>
      <c r="AF55" s="2" t="str">
        <f>IFERROR(ROUND(Data!$B55/(
  SUMPRODUCT(('Form responses 1'!$B$2:$B1000=$A55)*('Form responses 1'!$A$2:$A1000&lt;=EOMONTH(DATEVALUE("1 "&amp;AF$1),0)))+
  SUMPRODUCT(('Form responses 1'!$C$2:$C1000=$A55)*('Form responses 1'!$A$2:$A1000&lt;=EOMONTH(DATEVALUE("1 "&amp;AF$1),0)))+
  SUMPRODUCT(('Form responses 1'!$D$2:$D1000=$A55)*('Form responses 1'!$A$2:$A1000&lt;=EOMONTH(DATEVALUE("1 "&amp;AF$1),0)))+
  SUMPRODUCT(('Form responses 1'!$E$2:$E1000=$A55)*('Form responses 1'!$A$2:$A1000&lt;=EOMONTH(DATEVALUE("1 "&amp;AF$1),0)))+
  SUMPRODUCT(('Form responses 1'!$F$2:$F1000=$A55)*('Form responses 1'!$A$2:$A1000&lt;=EOMONTH(DATEVALUE("1 "&amp;AF$1),0)))+
  SUMPRODUCT(('Form responses 1'!$G$2:$G1000=$A55)*('Form responses 1'!$A$2:$A1000&lt;=EOMONTH(DATEVALUE("1 "&amp;AF$1),0)))
),2),"-")</f>
        <v>-</v>
      </c>
      <c r="AG55" s="2" t="str">
        <f>IFERROR(ROUND(Data!$B55/(
  SUMPRODUCT(('Form responses 1'!$B$2:$B1000=$A55)*('Form responses 1'!$A$2:$A1000&lt;=EOMONTH(DATEVALUE("1 "&amp;AG$1),0)))+
  SUMPRODUCT(('Form responses 1'!$C$2:$C1000=$A55)*('Form responses 1'!$A$2:$A1000&lt;=EOMONTH(DATEVALUE("1 "&amp;AG$1),0)))+
  SUMPRODUCT(('Form responses 1'!$D$2:$D1000=$A55)*('Form responses 1'!$A$2:$A1000&lt;=EOMONTH(DATEVALUE("1 "&amp;AG$1),0)))+
  SUMPRODUCT(('Form responses 1'!$E$2:$E1000=$A55)*('Form responses 1'!$A$2:$A1000&lt;=EOMONTH(DATEVALUE("1 "&amp;AG$1),0)))+
  SUMPRODUCT(('Form responses 1'!$F$2:$F1000=$A55)*('Form responses 1'!$A$2:$A1000&lt;=EOMONTH(DATEVALUE("1 "&amp;AG$1),0)))+
  SUMPRODUCT(('Form responses 1'!$G$2:$G1000=$A55)*('Form responses 1'!$A$2:$A1000&lt;=EOMONTH(DATEVALUE("1 "&amp;AG$1),0)))
),2),"-")</f>
        <v>-</v>
      </c>
      <c r="AH55" s="2" t="str">
        <f>IFERROR(ROUND(Data!$B55/(
  SUMPRODUCT(('Form responses 1'!$B$2:$B1000=$A55)*('Form responses 1'!$A$2:$A1000&lt;=EOMONTH(DATEVALUE("1 "&amp;AH$1),0)))+
  SUMPRODUCT(('Form responses 1'!$C$2:$C1000=$A55)*('Form responses 1'!$A$2:$A1000&lt;=EOMONTH(DATEVALUE("1 "&amp;AH$1),0)))+
  SUMPRODUCT(('Form responses 1'!$D$2:$D1000=$A55)*('Form responses 1'!$A$2:$A1000&lt;=EOMONTH(DATEVALUE("1 "&amp;AH$1),0)))+
  SUMPRODUCT(('Form responses 1'!$E$2:$E1000=$A55)*('Form responses 1'!$A$2:$A1000&lt;=EOMONTH(DATEVALUE("1 "&amp;AH$1),0)))+
  SUMPRODUCT(('Form responses 1'!$F$2:$F1000=$A55)*('Form responses 1'!$A$2:$A1000&lt;=EOMONTH(DATEVALUE("1 "&amp;AH$1),0)))+
  SUMPRODUCT(('Form responses 1'!$G$2:$G1000=$A55)*('Form responses 1'!$A$2:$A1000&lt;=EOMONTH(DATEVALUE("1 "&amp;AH$1),0)))
),2),"-")</f>
        <v>-</v>
      </c>
      <c r="AI55" s="2" t="str">
        <f>IFERROR(ROUND(Data!$B55/(
  SUMPRODUCT(('Form responses 1'!$B$2:$B1000=$A55)*('Form responses 1'!$A$2:$A1000&lt;=EOMONTH(DATEVALUE("1 "&amp;AI$1),0)))+
  SUMPRODUCT(('Form responses 1'!$C$2:$C1000=$A55)*('Form responses 1'!$A$2:$A1000&lt;=EOMONTH(DATEVALUE("1 "&amp;AI$1),0)))+
  SUMPRODUCT(('Form responses 1'!$D$2:$D1000=$A55)*('Form responses 1'!$A$2:$A1000&lt;=EOMONTH(DATEVALUE("1 "&amp;AI$1),0)))+
  SUMPRODUCT(('Form responses 1'!$E$2:$E1000=$A55)*('Form responses 1'!$A$2:$A1000&lt;=EOMONTH(DATEVALUE("1 "&amp;AI$1),0)))+
  SUMPRODUCT(('Form responses 1'!$F$2:$F1000=$A55)*('Form responses 1'!$A$2:$A1000&lt;=EOMONTH(DATEVALUE("1 "&amp;AI$1),0)))+
  SUMPRODUCT(('Form responses 1'!$G$2:$G1000=$A55)*('Form responses 1'!$A$2:$A1000&lt;=EOMONTH(DATEVALUE("1 "&amp;AI$1),0)))
),2),"-")</f>
        <v>-</v>
      </c>
      <c r="AJ55" s="2" t="str">
        <f>IFERROR(ROUND(Data!$B55/(
  SUMPRODUCT(('Form responses 1'!$B$2:$B1000=$A55)*('Form responses 1'!$A$2:$A1000&lt;=EOMONTH(DATEVALUE("1 "&amp;AJ$1),0)))+
  SUMPRODUCT(('Form responses 1'!$C$2:$C1000=$A55)*('Form responses 1'!$A$2:$A1000&lt;=EOMONTH(DATEVALUE("1 "&amp;AJ$1),0)))+
  SUMPRODUCT(('Form responses 1'!$D$2:$D1000=$A55)*('Form responses 1'!$A$2:$A1000&lt;=EOMONTH(DATEVALUE("1 "&amp;AJ$1),0)))+
  SUMPRODUCT(('Form responses 1'!$E$2:$E1000=$A55)*('Form responses 1'!$A$2:$A1000&lt;=EOMONTH(DATEVALUE("1 "&amp;AJ$1),0)))+
  SUMPRODUCT(('Form responses 1'!$F$2:$F1000=$A55)*('Form responses 1'!$A$2:$A1000&lt;=EOMONTH(DATEVALUE("1 "&amp;AJ$1),0)))+
  SUMPRODUCT(('Form responses 1'!$G$2:$G1000=$A55)*('Form responses 1'!$A$2:$A1000&lt;=EOMONTH(DATEVALUE("1 "&amp;AJ$1),0)))
),2),"-")</f>
        <v>-</v>
      </c>
      <c r="AK55" s="2" t="str">
        <f>IFERROR(ROUND(Data!$B55/(
  SUMPRODUCT(('Form responses 1'!$B$2:$B1000=$A55)*('Form responses 1'!$A$2:$A1000&lt;=EOMONTH(DATEVALUE("1 "&amp;AK$1),0)))+
  SUMPRODUCT(('Form responses 1'!$C$2:$C1000=$A55)*('Form responses 1'!$A$2:$A1000&lt;=EOMONTH(DATEVALUE("1 "&amp;AK$1),0)))+
  SUMPRODUCT(('Form responses 1'!$D$2:$D1000=$A55)*('Form responses 1'!$A$2:$A1000&lt;=EOMONTH(DATEVALUE("1 "&amp;AK$1),0)))+
  SUMPRODUCT(('Form responses 1'!$E$2:$E1000=$A55)*('Form responses 1'!$A$2:$A1000&lt;=EOMONTH(DATEVALUE("1 "&amp;AK$1),0)))+
  SUMPRODUCT(('Form responses 1'!$F$2:$F1000=$A55)*('Form responses 1'!$A$2:$A1000&lt;=EOMONTH(DATEVALUE("1 "&amp;AK$1),0)))+
  SUMPRODUCT(('Form responses 1'!$G$2:$G1000=$A55)*('Form responses 1'!$A$2:$A1000&lt;=EOMONTH(DATEVALUE("1 "&amp;AK$1),0)))
),2),"-")</f>
        <v>-</v>
      </c>
      <c r="AL55" s="2" t="str">
        <f>IFERROR(ROUND(Data!$B55/(
  SUMPRODUCT(('Form responses 1'!$B$2:$B1000=$A55)*('Form responses 1'!$A$2:$A1000&lt;=EOMONTH(DATEVALUE("1 "&amp;AL$1),0)))+
  SUMPRODUCT(('Form responses 1'!$C$2:$C1000=$A55)*('Form responses 1'!$A$2:$A1000&lt;=EOMONTH(DATEVALUE("1 "&amp;AL$1),0)))+
  SUMPRODUCT(('Form responses 1'!$D$2:$D1000=$A55)*('Form responses 1'!$A$2:$A1000&lt;=EOMONTH(DATEVALUE("1 "&amp;AL$1),0)))+
  SUMPRODUCT(('Form responses 1'!$E$2:$E1000=$A55)*('Form responses 1'!$A$2:$A1000&lt;=EOMONTH(DATEVALUE("1 "&amp;AL$1),0)))+
  SUMPRODUCT(('Form responses 1'!$F$2:$F1000=$A55)*('Form responses 1'!$A$2:$A1000&lt;=EOMONTH(DATEVALUE("1 "&amp;AL$1),0)))+
  SUMPRODUCT(('Form responses 1'!$G$2:$G1000=$A55)*('Form responses 1'!$A$2:$A1000&lt;=EOMONTH(DATEVALUE("1 "&amp;AL$1),0)))
),2),"-")</f>
        <v>-</v>
      </c>
    </row>
    <row r="56">
      <c r="A56" s="3" t="str">
        <f>IFERROR(__xludf.DUMMYFUNCTION("""COMPUTED_VALUE"""),"Blauw/zwart/wit geblokt jasje")</f>
        <v>Blauw/zwart/wit geblokt jasje</v>
      </c>
      <c r="B56" s="2">
        <f>Data!F54:F1000</f>
        <v>0.24</v>
      </c>
      <c r="C56" s="2">
        <f>IFERROR(ROUND(Data!B54/(SUMPRODUCT(('Form responses 1'!$B$2:$B1000 = A56) * ('Form responses 1'!$A$2:$A1000 &lt;= DATE(2024, 1, 31)))
+ SUMPRODUCT(('Form responses 1'!$C$2:$C1000 = A56) * ('Form responses 1'!$A$2:$A1000 &lt;= DATE(2024, 1, 31)))
+ SUMPRODUCT(('Form responses 1'!$D$2:$D1000 = A56) * ('Form responses 1'!$A$2:$A1000 &lt;= DATE(2024, 1, 31)))
+ SUMPRODUCT(('Form responses 1'!$E$2:$E1000 = A56) * ('Form responses 1'!$A$2:$A1000 &lt;= DATE(2024, 1, 31)))
+ SUMPRODUCT(('Form responses 1'!$F$2:$F1000 = A56) * ('Form responses 1'!$A$2:$A1000 &lt;= DATE(2024, 1, 31)))
+ SUMPRODUCT(('Form responses 1'!$G$2:$G1000 = A56) * ('Form responses 1'!$A$2:$A1000 &lt;= DATE(2024, 1, 31)))), 2), "-")
</f>
        <v>0.58</v>
      </c>
      <c r="D56" s="2">
        <f>IFERROR(ROUND(Data!B54/(SUMPRODUCT(('Form responses 1'!$B$2:$B1000 = A56) * ('Form responses 1'!$A$2:$A1000 &lt;= DATE(2024, 2, 29)))
+ SUMPRODUCT(('Form responses 1'!$C$2:$C1000 = A56) * ('Form responses 1'!$A$2:$A1000 &lt;= DATE(2024, 2, 29)))
+ SUMPRODUCT(('Form responses 1'!$D$2:$D1000 = A56) * ('Form responses 1'!$A$2:$A1000 &lt;= DATE(2024, 2, 29)))
+ SUMPRODUCT(('Form responses 1'!$E$2:$E1000 = A56) * ('Form responses 1'!$A$2:$A1000 &lt;= DATE(2024, 2, 29)))
+ SUMPRODUCT(('Form responses 1'!$F$2:$F1000 = A56) * ('Form responses 1'!$A$2:$A1000 &lt;= DATE(2024, 2, 29)))
+ SUMPRODUCT(('Form responses 1'!$G$2:$G1000 = A56) * ('Form responses 1'!$A$2:$A1000 &lt;= DATE(2024, 2, 29)))), 2), "-")
</f>
        <v>0.56</v>
      </c>
      <c r="E56" s="2">
        <f>IFERROR(ROUND(Data!B54/(SUMPRODUCT(('Form responses 1'!$B$2:$B1000 = A56) * ('Form responses 1'!$A$2:$A1000 &lt;= DATE(2024, 3, 31)))
+ SUMPRODUCT(('Form responses 1'!$C$2:$C1000 = A56) * ('Form responses 1'!$A$2:$A1000 &lt;= DATE(2024, 3, 31)))
+ SUMPRODUCT(('Form responses 1'!$D$2:$D1000 = A56) * ('Form responses 1'!$A$2:$A1000 &lt;= DATE(2024, 3, 31)))
+ SUMPRODUCT(('Form responses 1'!$E$2:$E1000 = A56) * ('Form responses 1'!$A$2:$A1000 &lt;= DATE(2024, 3, 31)))
+ SUMPRODUCT(('Form responses 1'!$F$2:$F1000 = A56) * ('Form responses 1'!$A$2:$A1000 &lt;= DATE(2024, 3, 31)))
+ SUMPRODUCT(('Form responses 1'!$G$2:$G1000 = A56) * ('Form responses 1'!$A$2:$A1000 &lt;= DATE(2024, 3, 31)))), 2), "-")
</f>
        <v>0.54</v>
      </c>
      <c r="F56" s="2">
        <f>IFERROR(ROUND(Data!B54/(SUMPRODUCT(('Form responses 1'!$B$2:$B1000 = A56) * ('Form responses 1'!$A$2:$A1000 &lt;= DATE(2024, 4, 30)))
+ SUMPRODUCT(('Form responses 1'!$C$2:$C1000 = A56) * ('Form responses 1'!$A$2:$A1000 &lt;= DATE(2024, 4, 30)))
+ SUMPRODUCT(('Form responses 1'!$D$2:$D1000 = A56) * ('Form responses 1'!$A$2:$A1000 &lt;= DATE(2024, 4, 30)))
+ SUMPRODUCT(('Form responses 1'!$E$2:$E1000 = A56) * ('Form responses 1'!$A$2:$A1000 &lt;= DATE(2024, 4, 30)))
+ SUMPRODUCT(('Form responses 1'!$F$2:$F1000 = A56) * ('Form responses 1'!$A$2:$A1000 &lt;= DATE(2024, 4, 30)))
+ SUMPRODUCT(('Form responses 1'!$G$2:$G1000 = A56) * ('Form responses 1'!$A$2:$A1000 &lt;= DATE(2024, 4, 30)))), 2), "-")
</f>
        <v>0.51</v>
      </c>
      <c r="G56" s="2">
        <f>IFERROR(ROUND(Data!B54/(SUMPRODUCT(('Form responses 1'!$B$2:$B1000 = A56) * ('Form responses 1'!$A$2:$A1000 &lt;= DATE(2024, 5, 31)))
+ SUMPRODUCT(('Form responses 1'!$C$2:$C1000 = A56) * ('Form responses 1'!$A$2:$A1000 &lt;= DATE(2024, 5, 31)))
+ SUMPRODUCT(('Form responses 1'!$D$2:$D1000 = A56) * ('Form responses 1'!$A$2:$A1000 &lt;= DATE(2024, 5, 31)))
+ SUMPRODUCT(('Form responses 1'!$E$2:$E1000 = A56) * ('Form responses 1'!$A$2:$A1000 &lt;= DATE(2024, 5, 31)))
+ SUMPRODUCT(('Form responses 1'!$F$2:$F1000 = A56) * ('Form responses 1'!$A$2:$A1000 &lt;= DATE(2024, 5, 31)))
+ SUMPRODUCT(('Form responses 1'!$G$2:$G1000 = A56) * ('Form responses 1'!$A$2:$A1000 &lt;= DATE(2024, 5, 31)))), 2), "-")
</f>
        <v>0.51</v>
      </c>
      <c r="H56" s="2">
        <f>IFERROR(ROUND(Data!B54/(SUMPRODUCT(('Form responses 1'!$B$2:$B1000 = A56) * ('Form responses 1'!$A$2:$A1000 &lt;= DATE(2024, 6, 30)))
+ SUMPRODUCT(('Form responses 1'!$C$2:$C1000 = A56) * ('Form responses 1'!$A$2:$A1000 &lt;= DATE(2024, 6, 30)))
+ SUMPRODUCT(('Form responses 1'!$D$2:$D1000 = A56) * ('Form responses 1'!$A$2:$A1000 &lt;= DATE(2024, 6, 30)))
+ SUMPRODUCT(('Form responses 1'!$E$2:$E1000 = A56) * ('Form responses 1'!$A$2:$A1000 &lt;= DATE(2024, 6, 30)))
+ SUMPRODUCT(('Form responses 1'!$F$2:$F1000 = A56) * ('Form responses 1'!$A$2:$A1000 &lt;= DATE(2024, 6, 30)))
+ SUMPRODUCT(('Form responses 1'!$G$2:$G1000 = A56) * ('Form responses 1'!$A$2:$A1000 &lt;= DATE(2024, 6, 30)))), 2), "-")
</f>
        <v>0.51</v>
      </c>
      <c r="I56" s="2">
        <f>IFERROR(ROUND(Data!B54/(SUMPRODUCT(('Form responses 1'!$B$2:$B1000 = A56) * ('Form responses 1'!$A$2:$A1000 &lt;= DATE(2024, 7, 31)))
+ SUMPRODUCT(('Form responses 1'!$C$2:$C1000 = A56) * ('Form responses 1'!$A$2:$A1000 &lt;= DATE(2024, 7, 31)))
+ SUMPRODUCT(('Form responses 1'!$D$2:$D1000 = A56) * ('Form responses 1'!$A$2:$A1000 &lt;= DATE(2024, 7, 31)))
+ SUMPRODUCT(('Form responses 1'!$E$2:$E1000 = A56) * ('Form responses 1'!$A$2:$A1000 &lt;= DATE(2024, 7, 31)))
+ SUMPRODUCT(('Form responses 1'!$F$2:$F1000 = A56) * ('Form responses 1'!$A$2:$A1000 &lt;= DATE(2024, 7, 31)))
+ SUMPRODUCT(('Form responses 1'!$G$2:$G1000 = A56) * ('Form responses 1'!$A$2:$A1000 &lt;= DATE(2024, 7, 31)))), 2), "-")
</f>
        <v>0.49</v>
      </c>
      <c r="J56" s="2">
        <f>IFERROR(ROUND(Data!B54/(SUMPRODUCT(('Form responses 1'!$B$2:$B1000 = A56) * ('Form responses 1'!$A$2:$A1000 &lt;= DATE(2024, 8, 31)))
+ SUMPRODUCT(('Form responses 1'!$C$2:$C1000 = A56) * ('Form responses 1'!$A$2:$A1000 &lt;= DATE(2024, 8, 31)))
+ SUMPRODUCT(('Form responses 1'!$D$2:$D1000 = A56) * ('Form responses 1'!$A$2:$A1000 &lt;= DATE(2024, 8, 31)))
+ SUMPRODUCT(('Form responses 1'!$E$2:$E1000 = A56) * ('Form responses 1'!$A$2:$A1000 &lt;= DATE(2024, 8, 31)))
+ SUMPRODUCT(('Form responses 1'!$F$2:$F1000 = A56) * ('Form responses 1'!$A$2:$A1000 &lt;= DATE(2024, 8, 31)))
+ SUMPRODUCT(('Form responses 1'!$G$2:$G1000 = A56) * ('Form responses 1'!$A$2:$A1000 &lt;= DATE(2024, 8, 31)))), 2), "-")
</f>
        <v>0.49</v>
      </c>
      <c r="K56" s="2">
        <f>IFERROR(ROUND(Data!B54/(SUMPRODUCT(('Form responses 1'!$B$2:$B1000 = A56) * ('Form responses 1'!$A$2:$A1000 &lt;= DATE(2024, 9, 30)))
+ SUMPRODUCT(('Form responses 1'!$C$2:$C1000 = A56) * ('Form responses 1'!$A$2:$A1000 &lt;= DATE(2024, 9, 30)))
+ SUMPRODUCT(('Form responses 1'!$D$2:$D1000 = A56) * ('Form responses 1'!$A$2:$A1000 &lt;= DATE(2024, 9, 30)))
+ SUMPRODUCT(('Form responses 1'!$E$2:$E1000 = A56) * ('Form responses 1'!$A$2:$A1000 &lt;= DATE(2024, 9, 30)))
+ SUMPRODUCT(('Form responses 1'!$F$2:$F1000 = A56) * ('Form responses 1'!$A$2:$A1000 &lt;= DATE(2024, 9, 30)))
+ SUMPRODUCT(('Form responses 1'!$G$2:$G1000 = A56) * ('Form responses 1'!$A$2:$A1000 &lt;= DATE(2024, 9, 30)))), 2), "-")
</f>
        <v>0.47</v>
      </c>
      <c r="L56" s="2">
        <f>IFERROR(ROUND(Data!B54/(SUMPRODUCT(('Form responses 1'!$B$2:$B1000 = A56) * ('Form responses 1'!$A$2:$A1000 &lt;= DATE(2024, 10, 31)))
+ SUMPRODUCT(('Form responses 1'!$C$2:$C1000 = A56) * ('Form responses 1'!$A$2:$A1000 &lt;= DATE(2024, 10, 31)))
+ SUMPRODUCT(('Form responses 1'!$D$2:$D1000 = A56) * ('Form responses 1'!$A$2:$A1000 &lt;= DATE(2024, 10, 31)))
+ SUMPRODUCT(('Form responses 1'!$E$2:$E1000 = A56) * ('Form responses 1'!$A$2:$A1000 &lt;= DATE(2024, 10, 31)))
+ SUMPRODUCT(('Form responses 1'!$F$2:$F1000 = A56) * ('Form responses 1'!$A$2:$A1000 &lt;= DATE(2024, 10, 31)))
+ SUMPRODUCT(('Form responses 1'!$G$2:$G1000 = A56) * ('Form responses 1'!$A$2:$A1000 &lt;= DATE(2024, 10, 31)))), 2), "-")
</f>
        <v>0.47</v>
      </c>
      <c r="M56" s="2">
        <f>IFERROR(ROUND(Data!B54/(SUMPRODUCT(('Form responses 1'!$B$2:$B1000 = A56) * ('Form responses 1'!$A$2:$A1000 &lt;= DATE(2024, 11, 30)))
+ SUMPRODUCT(('Form responses 1'!$C$2:$C1000 = A56) * ('Form responses 1'!$A$2:$A1000 &lt;= DATE(2024, 11, 30)))
+ SUMPRODUCT(('Form responses 1'!$D$2:$D1000 = A56) * ('Form responses 1'!$A$2:$A1000 &lt;= DATE(2024, 11, 30)))
+ SUMPRODUCT(('Form responses 1'!$E$2:$E1000 = A56) * ('Form responses 1'!$A$2:$A1000 &lt;= DATE(2024, 11, 30)))
+ SUMPRODUCT(('Form responses 1'!$F$2:$F1000 = A56) * ('Form responses 1'!$A$2:$A1000 &lt;= DATE(2024, 11, 30)))
+ SUMPRODUCT(('Form responses 1'!$G$2:$G1000 = A56) * ('Form responses 1'!$A$2:$A1000 &lt;= DATE(2024, 11, 30)))), 2), "-")
</f>
        <v>0.47</v>
      </c>
      <c r="N56" s="2">
        <f>IFERROR(ROUND(Data!B54/(SUMPRODUCT(('Form responses 1'!$B$2:$B1000 = A56) * ('Form responses 1'!$A$2:$A1000 &lt;= DATE(2024, 12, 31)))
+ SUMPRODUCT(('Form responses 1'!$C$2:$C1000 = A56) * ('Form responses 1'!$A$2:$A1000 &lt;= DATE(2024, 12, 31)))
+ SUMPRODUCT(('Form responses 1'!$D$2:$D1000 = A56) * ('Form responses 1'!$A$2:$A1000 &lt;= DATE(2024, 12, 31)))
+ SUMPRODUCT(('Form responses 1'!$E$2:$E1000 = A56) * ('Form responses 1'!$A$2:$A1000 &lt;= DATE(2024, 12, 31)))
+ SUMPRODUCT(('Form responses 1'!$F$2:$F1000 = A56) * ('Form responses 1'!$A$2:$A1000 &lt;= DATE(2024, 12, 31)))
+ SUMPRODUCT(('Form responses 1'!$G$2:$G1000 = A56) * ('Form responses 1'!$A$2:$A1000 &lt;= DATE(2024, 12, 31)))), 2), "-")
</f>
        <v>0.45</v>
      </c>
      <c r="O56" s="2">
        <f>IFERROR(ROUND(Data!B54/(SUMPRODUCT(('Form responses 1'!$B$2:$B1000 = A56) * ('Form responses 1'!$A$2:$A1000 &lt;= DATE(2025, 1, 31)))
+ SUMPRODUCT(('Form responses 1'!$C$2:$C1000 = A56) * ('Form responses 1'!$A$2:$A1000 &lt;= DATE(2025, 1, 31)))
+ SUMPRODUCT(('Form responses 1'!$D$2:$D1000 = A56) * ('Form responses 1'!$A$2:$A1000 &lt;= DATE(2025, 1, 31)))
+ SUMPRODUCT(('Form responses 1'!$E$2:$E1000 = A56) * ('Form responses 1'!$A$2:$A1000 &lt;= DATE(2025, 1, 31)))
+ SUMPRODUCT(('Form responses 1'!$F$2:$F1000 = A56) * ('Form responses 1'!$A$2:$A1000 &lt;= DATE(2025, 1, 31)))
+ SUMPRODUCT(('Form responses 1'!$G$2:$G1000 = A56) * ('Form responses 1'!$A$2:$A1000 &lt;= DATE(2025, 1, 31)))), 2), "-")
</f>
        <v>0.45</v>
      </c>
      <c r="P56" s="2">
        <f>IFERROR(ROUND(Data!B54/(SUMPRODUCT(('Form responses 1'!$B$2:$B1000 = A56) * ('Form responses 1'!$A$2:$A1000 &lt;= DATE(2025, 2, 28)))
+ SUMPRODUCT(('Form responses 1'!$C$2:$C1000 = A56) * ('Form responses 1'!$A$2:$A1000 &lt;= DATE(2025, 2, 28)))
+ SUMPRODUCT(('Form responses 1'!$D$2:$D1000 = A56) * ('Form responses 1'!$A$2:$A1000 &lt;= DATE(2025, 2, 28)))
+ SUMPRODUCT(('Form responses 1'!$E$2:$E1000 = A56) * ('Form responses 1'!$A$2:$A1000 &lt;= DATE(2025, 2, 28)))
+ SUMPRODUCT(('Form responses 1'!$F$2:$F1000 = A56) * ('Form responses 1'!$A$2:$A1000 &lt;= DATE(2025, 2, 28)))
+ SUMPRODUCT(('Form responses 1'!$G$2:$G1000 = A56) * ('Form responses 1'!$A$2:$A1000 &lt;= DATE(2025, 2, 28)))), 2), "-")
</f>
        <v>0.45</v>
      </c>
      <c r="Q56" s="2">
        <f>IFERROR(ROUND(Data!B54/(SUMPRODUCT(('Form responses 1'!$B$2:$B1000 = A56) * ('Form responses 1'!$A$2:$A1000 &lt;= DATE(2025, 3, 31)))
+ SUMPRODUCT(('Form responses 1'!$C$2:$C1000 = A56) * ('Form responses 1'!$A$2:$A1000 &lt;= DATE(2025, 3, 31)))
+ SUMPRODUCT(('Form responses 1'!$D$2:$D1000 = A56) * ('Form responses 1'!$A$2:$A1000 &lt;= DATE(2025, 3, 31)))
+ SUMPRODUCT(('Form responses 1'!$E$2:$E1000 = A56) * ('Form responses 1'!$A$2:$A1000 &lt;= DATE(2025, 3, 31)))
+ SUMPRODUCT(('Form responses 1'!$F$2:$F1000 = A56) * ('Form responses 1'!$A$2:$A1000 &lt;= DATE(2025, 3, 31)))
+ SUMPRODUCT(('Form responses 1'!$G$2:$G1000 = A56) * ('Form responses 1'!$A$2:$A1000 &lt;= DATE(2025, 3, 31)))),2),"-")</f>
        <v>0.43</v>
      </c>
      <c r="R56" s="2">
        <f>IFERROR(ROUND(Data!B54/(SUMPRODUCT(('Form responses 1'!$B$2:$B1000 = A56) * ('Form responses 1'!$A$2:$A1000 &lt;= DATE(2025, 4, 30)))
+ SUMPRODUCT(('Form responses 1'!$C$2:$C1000 = A56) * ('Form responses 1'!$A$2:$A1000 &lt;= DATE(2025, 4, 30)))
+ SUMPRODUCT(('Form responses 1'!$D$2:$D1000 = A56) * ('Form responses 1'!$A$2:$A1000 &lt;= DATE(2025, 4, 30)))
+ SUMPRODUCT(('Form responses 1'!$E$2:$E1000 = A56) * ('Form responses 1'!$A$2:$A1000 &lt;= DATE(2025, 4, 30)))
+ SUMPRODUCT(('Form responses 1'!$F$2:$F1000 = A56) * ('Form responses 1'!$A$2:$A1000 &lt;= DATE(2025, 4, 30)))
+ SUMPRODUCT(('Form responses 1'!$G$2:$G1000 = A56) * ('Form responses 1'!$A$2:$A1000 &lt;= DATE(2025, 4, 30)))), 2), "-")
</f>
        <v>0.41</v>
      </c>
      <c r="S56" s="2">
        <f>IFERROR(ROUND(Data!B54/(SUMPRODUCT(('Form responses 1'!$B$2:$B1000 = A56) * ('Form responses 1'!$A$2:$A1000 &lt;= DATE(2025, 5, 31)))
+ SUMPRODUCT(('Form responses 1'!$C$2:$C1000 = A56) * ('Form responses 1'!$A$2:$A1000 &lt;= DATE(2025, 5, 31)))
+ SUMPRODUCT(('Form responses 1'!$D$2:$D1000 = A56) * ('Form responses 1'!$A$2:$A1000 &lt;= DATE(2025, 5, 31)))
+ SUMPRODUCT(('Form responses 1'!$E$2:$E1000 = A56) * ('Form responses 1'!$A$2:$A1000 &lt;= DATE(2025, 5, 31)))
+ SUMPRODUCT(('Form responses 1'!$F$2:$F1000 = A56) * ('Form responses 1'!$A$2:$A1000 &lt;= DATE(2025, 5, 31)))
+ SUMPRODUCT(('Form responses 1'!$G$2:$G1000 = A56) * ('Form responses 1'!$A$2:$A1000 &lt;= DATE(2025, 5, 31)))), 2), "-")
</f>
        <v>0.41</v>
      </c>
      <c r="T56" s="2">
        <f>IFERROR(ROUND(Data!B54/(SUMPRODUCT(('Form responses 1'!$B$2:$B1000 = A56) * ('Form responses 1'!$A$2:$A1000 &lt;= DATE(2025, 6, 30)))
+ SUMPRODUCT(('Form responses 1'!$C$2:$C1000 = A56) * ('Form responses 1'!$A$2:$A1000 &lt;= DATE(2025, 6, 30)))
+ SUMPRODUCT(('Form responses 1'!$D$2:$D1000 = A56) * ('Form responses 1'!$A$2:$A1000 &lt;= DATE(2025, 6, 30)))
+ SUMPRODUCT(('Form responses 1'!$E$2:$E1000 = A56) * ('Form responses 1'!$A$2:$A1000 &lt;= DATE(2025, 6, 30)))
+ SUMPRODUCT(('Form responses 1'!$F$2:$F1000 = A56) * ('Form responses 1'!$A$2:$A1000 &lt;= DATE(2025, 6, 30)))
+ SUMPRODUCT(('Form responses 1'!$G$2:$G1000 = A56) * ('Form responses 1'!$A$2:$A1000 &lt;= DATE(2025, 6, 30)))), 2), "-")
</f>
        <v>0.41</v>
      </c>
      <c r="U56" s="2">
        <f>IFERROR(ROUND(Data!B54/(SUMPRODUCT(('Form responses 1'!$B$2:$B1000 = A56) * ('Form responses 1'!$A$2:$A1000 &lt;= DATE(2025, 7, 31)))
+ SUMPRODUCT(('Form responses 1'!$C$2:$C1000 = A56) * ('Form responses 1'!$A$2:$A1000 &lt;= DATE(2025, 7, 31)))
+ SUMPRODUCT(('Form responses 1'!$D$2:$D1000 = A56) * ('Form responses 1'!$A$2:$A1000 &lt;= DATE(2025, 7, 31)))
+ SUMPRODUCT(('Form responses 1'!$E$2:$E1000 = A56) * ('Form responses 1'!$A$2:$A1000 &lt;= DATE(2025, 7, 31)))
+ SUMPRODUCT(('Form responses 1'!$F$2:$F1000 = A56) * ('Form responses 1'!$A$2:$A1000 &lt;= DATE(2025, 7, 31)))
+ SUMPRODUCT(('Form responses 1'!$G$2:$G1000 = A56) * ('Form responses 1'!$A$2:$A1000 &lt;= DATE(2025, 7, 31)))), 2), "-")
</f>
        <v>0.41</v>
      </c>
      <c r="V56" s="2">
        <f>IFERROR(ROUND(Data!B54/(SUMPRODUCT(('Form responses 1'!$B$2:$B1000 = A56) * ('Form responses 1'!$A$2:$A1000 &lt;= DATE(2025, 8, 31)))
+ SUMPRODUCT(('Form responses 1'!$C$2:$C1000 = A56) * ('Form responses 1'!$A$2:$A1000 &lt;= DATE(2025, 8, 31)))
+ SUMPRODUCT(('Form responses 1'!$D$2:$D1000 = A56) * ('Form responses 1'!$A$2:$A1000 &lt;= DATE(2025, 8, 31)))
+ SUMPRODUCT(('Form responses 1'!$E$2:$E1000 = A56) * ('Form responses 1'!$A$2:$A1000 &lt;= DATE(2025, 8, 31)))
+ SUMPRODUCT(('Form responses 1'!$F$2:$F1000 = A56) * ('Form responses 1'!$A$2:$A1000 &lt;= DATE(2025, 8, 31)))
+ SUMPRODUCT(('Form responses 1'!$G$2:$G1000 = A56) * ('Form responses 1'!$A$2:$A1000 &lt;= DATE(2025, 8, 31)))), 2), "-")
</f>
        <v>0.41</v>
      </c>
      <c r="W56" s="2">
        <f>IFERROR(ROUND(Data!B54/(SUMPRODUCT(('Form responses 1'!$B$2:$B1000 = A56) * ('Form responses 1'!$A$2:$A1000 &lt;= DATE(2025, 9, 30)))
+ SUMPRODUCT(('Form responses 1'!$C$2:$C1000 = A56) * ('Form responses 1'!$A$2:$A1000 &lt;= DATE(2025, 9, 30)))
+ SUMPRODUCT(('Form responses 1'!$D$2:$D1000 = A56) * ('Form responses 1'!$A$2:$A1000 &lt;= DATE(2025, 9, 30)))
+ SUMPRODUCT(('Form responses 1'!$E$2:$E1000 = A56) * ('Form responses 1'!$A$2:$A1000 &lt;= DATE(2025, 9, 30)))
+ SUMPRODUCT(('Form responses 1'!$F$2:$F1000 = A56) * ('Form responses 1'!$A$2:$A1000 &lt;= DATE(2025, 9, 30)))
+ SUMPRODUCT(('Form responses 1'!$G$2:$G1000 = A56) * ('Form responses 1'!$A$2:$A1000 &lt;= DATE(2025, 9, 30)))), 2), "-")
</f>
        <v>0.39</v>
      </c>
      <c r="X56" s="2">
        <f>IFERROR(ROUND(Data!B54/(SUMPRODUCT(('Form responses 1'!$B$2:$B1000 = A56) * ('Form responses 1'!$A$2:$A1000 &lt;= DATE(2025, 10, 31)))
+ SUMPRODUCT(('Form responses 1'!$C$2:$C1000 = A56) * ('Form responses 1'!$A$2:$A1000 &lt;= DATE(2025, 10, 31)))
+ SUMPRODUCT(('Form responses 1'!$D$2:$D1000 = A56) * ('Form responses 1'!$A$2:$A1000 &lt;= DATE(2025, 10, 31)))
+ SUMPRODUCT(('Form responses 1'!$E$2:$E1000 = A56) * ('Form responses 1'!$A$2:$A1000 &lt;= DATE(2025, 10, 31)))
+ SUMPRODUCT(('Form responses 1'!$F$2:$F1000 = A56) * ('Form responses 1'!$A$2:$A1000 &lt;= DATE(2025, 10, 31)))
+ SUMPRODUCT(('Form responses 1'!$G$2:$G1000 = A56) * ('Form responses 1'!$A$2:$A1000 &lt;= DATE(2025, 10, 31)))), 2), "-")
</f>
        <v>0.39</v>
      </c>
      <c r="Y56" s="2">
        <f>IFERROR(ROUND(Data!B54/(SUMPRODUCT(('Form responses 1'!$B$2:$B1000 = A56) * ('Form responses 1'!$A$2:$A1000 &lt;= DATE(2025, 11, 30)))
+ SUMPRODUCT(('Form responses 1'!$C$2:$C1000 = A56) * ('Form responses 1'!$A$2:$A1000 &lt;= DATE(2025, 11, 30)))
+ SUMPRODUCT(('Form responses 1'!$D$2:$D1000 = A56) * ('Form responses 1'!$A$2:$A1000 &lt;= DATE(2025, 11, 30)))
+ SUMPRODUCT(('Form responses 1'!$E$2:$E1000 = A56) * ('Form responses 1'!$A$2:$A1000 &lt;= DATE(2025, 11, 30)))
+ SUMPRODUCT(('Form responses 1'!$F$2:$F1000 = A56) * ('Form responses 1'!$A$2:$A1000 &lt;= DATE(2025, 11, 30)))
+ SUMPRODUCT(('Form responses 1'!$G$2:$G1000 = A56) * ('Form responses 1'!$A$2:$A1000 &lt;= DATE(2025, 11, 30)))), 2), "-")
</f>
        <v>0.38</v>
      </c>
      <c r="Z56" s="2">
        <f>IFERROR(ROUND(Data!B54/(SUMPRODUCT(('Form responses 1'!$B$2:$B1000 = A56) * ('Form responses 1'!$A$2:$A1000 &lt;= DATE(2025, 12, 31)))
+ SUMPRODUCT(('Form responses 1'!$C$2:$C1000 = A56) * ('Form responses 1'!$A$2:$A1000 &lt;= DATE(2025, 12, 31)))
+ SUMPRODUCT(('Form responses 1'!$D$2:$D1000 = A56) * ('Form responses 1'!$A$2:$A1000 &lt;= DATE(2025, 12, 31)))
+ SUMPRODUCT(('Form responses 1'!$E$2:$E1000 = A56) * ('Form responses 1'!$A$2:$A1000 &lt;= DATE(2025, 12, 31)))
+ SUMPRODUCT(('Form responses 1'!$F$2:$F1000 = A56) * ('Form responses 1'!$A$2:$A1000 &lt;= DATE(2025, 12, 31)))
+ SUMPRODUCT(('Form responses 1'!$G$2:$G1000 = A56) * ('Form responses 1'!$A$2:$A1000 &lt;= DATE(2025, 12, 31)))), 2), "-")
</f>
        <v>0.37</v>
      </c>
      <c r="AA56" s="2">
        <f>IFERROR(ROUND(Data!$B56/(
  SUMPRODUCT(('Form responses 1'!$B$2:$B1000=$A56)*('Form responses 1'!$A$2:$A1000&lt;=EOMONTH(DATEVALUE("1 "&amp;AA$1),0)))+
  SUMPRODUCT(('Form responses 1'!$C$2:$C1000=$A56)*('Form responses 1'!$A$2:$A1000&lt;=EOMONTH(DATEVALUE("1 "&amp;AA$1),0)))+
  SUMPRODUCT(('Form responses 1'!$D$2:$D1000=$A56)*('Form responses 1'!$A$2:$A1000&lt;=EOMONTH(DATEVALUE("1 "&amp;AA$1),0)))+
  SUMPRODUCT(('Form responses 1'!$E$2:$E1000=$A56)*('Form responses 1'!$A$2:$A1000&lt;=EOMONTH(DATEVALUE("1 "&amp;AA$1),0)))+
  SUMPRODUCT(('Form responses 1'!$F$2:$F1000=$A56)*('Form responses 1'!$A$2:$A1000&lt;=EOMONTH(DATEVALUE("1 "&amp;AA$1),0)))+
  SUMPRODUCT(('Form responses 1'!$G$2:$G1000=$A56)*('Form responses 1'!$A$2:$A1000&lt;=EOMONTH(DATEVALUE("1 "&amp;AA$1),0)))
),2),"-")</f>
        <v>0.26</v>
      </c>
      <c r="AB56" s="2">
        <f>IFERROR(ROUND(Data!$B56/(
  SUMPRODUCT(('Form responses 1'!$B$2:$B1000=$A56)*('Form responses 1'!$A$2:$A1000&lt;=EOMONTH(DATEVALUE("1 "&amp;AB$1),0)))+
  SUMPRODUCT(('Form responses 1'!$C$2:$C1000=$A56)*('Form responses 1'!$A$2:$A1000&lt;=EOMONTH(DATEVALUE("1 "&amp;AB$1),0)))+
  SUMPRODUCT(('Form responses 1'!$D$2:$D1000=$A56)*('Form responses 1'!$A$2:$A1000&lt;=EOMONTH(DATEVALUE("1 "&amp;AB$1),0)))+
  SUMPRODUCT(('Form responses 1'!$E$2:$E1000=$A56)*('Form responses 1'!$A$2:$A1000&lt;=EOMONTH(DATEVALUE("1 "&amp;AB$1),0)))+
  SUMPRODUCT(('Form responses 1'!$F$2:$F1000=$A56)*('Form responses 1'!$A$2:$A1000&lt;=EOMONTH(DATEVALUE("1 "&amp;AB$1),0)))+
  SUMPRODUCT(('Form responses 1'!$G$2:$G1000=$A56)*('Form responses 1'!$A$2:$A1000&lt;=EOMONTH(DATEVALUE("1 "&amp;AB$1),0)))
),2),"-")</f>
        <v>0.26</v>
      </c>
      <c r="AC56" s="2">
        <f>IFERROR(ROUND(Data!$B56/(
  SUMPRODUCT(('Form responses 1'!$B$2:$B1000=$A56)*('Form responses 1'!$A$2:$A1000&lt;=EOMONTH(DATEVALUE("1 "&amp;AC$1),0)))+
  SUMPRODUCT(('Form responses 1'!$C$2:$C1000=$A56)*('Form responses 1'!$A$2:$A1000&lt;=EOMONTH(DATEVALUE("1 "&amp;AC$1),0)))+
  SUMPRODUCT(('Form responses 1'!$D$2:$D1000=$A56)*('Form responses 1'!$A$2:$A1000&lt;=EOMONTH(DATEVALUE("1 "&amp;AC$1),0)))+
  SUMPRODUCT(('Form responses 1'!$E$2:$E1000=$A56)*('Form responses 1'!$A$2:$A1000&lt;=EOMONTH(DATEVALUE("1 "&amp;AC$1),0)))+
  SUMPRODUCT(('Form responses 1'!$F$2:$F1000=$A56)*('Form responses 1'!$A$2:$A1000&lt;=EOMONTH(DATEVALUE("1 "&amp;AC$1),0)))+
  SUMPRODUCT(('Form responses 1'!$G$2:$G1000=$A56)*('Form responses 1'!$A$2:$A1000&lt;=EOMONTH(DATEVALUE("1 "&amp;AC$1),0)))
),2),"-")</f>
        <v>0.26</v>
      </c>
      <c r="AD56" s="2" t="str">
        <f>IFERROR(ROUND(Data!$B56/(
  SUMPRODUCT(('Form responses 1'!$B$2:$B1000=$A56)*('Form responses 1'!$A$2:$A1000&lt;=EOMONTH(DATEVALUE("1 "&amp;AD$1),0)))+
  SUMPRODUCT(('Form responses 1'!$C$2:$C1000=$A56)*('Form responses 1'!$A$2:$A1000&lt;=EOMONTH(DATEVALUE("1 "&amp;AD$1),0)))+
  SUMPRODUCT(('Form responses 1'!$D$2:$D1000=$A56)*('Form responses 1'!$A$2:$A1000&lt;=EOMONTH(DATEVALUE("1 "&amp;AD$1),0)))+
  SUMPRODUCT(('Form responses 1'!$E$2:$E1000=$A56)*('Form responses 1'!$A$2:$A1000&lt;=EOMONTH(DATEVALUE("1 "&amp;AD$1),0)))+
  SUMPRODUCT(('Form responses 1'!$F$2:$F1000=$A56)*('Form responses 1'!$A$2:$A1000&lt;=EOMONTH(DATEVALUE("1 "&amp;AD$1),0)))+
  SUMPRODUCT(('Form responses 1'!$G$2:$G1000=$A56)*('Form responses 1'!$A$2:$A1000&lt;=EOMONTH(DATEVALUE("1 "&amp;AD$1),0)))
),2),"-")</f>
        <v>-</v>
      </c>
      <c r="AE56" s="2" t="str">
        <f>IFERROR(ROUND(Data!$B56/(
  SUMPRODUCT(('Form responses 1'!$B$2:$B1000=$A56)*('Form responses 1'!$A$2:$A1000&lt;=EOMONTH(DATEVALUE("1 "&amp;AE$1),0)))+
  SUMPRODUCT(('Form responses 1'!$C$2:$C1000=$A56)*('Form responses 1'!$A$2:$A1000&lt;=EOMONTH(DATEVALUE("1 "&amp;AE$1),0)))+
  SUMPRODUCT(('Form responses 1'!$D$2:$D1000=$A56)*('Form responses 1'!$A$2:$A1000&lt;=EOMONTH(DATEVALUE("1 "&amp;AE$1),0)))+
  SUMPRODUCT(('Form responses 1'!$E$2:$E1000=$A56)*('Form responses 1'!$A$2:$A1000&lt;=EOMONTH(DATEVALUE("1 "&amp;AE$1),0)))+
  SUMPRODUCT(('Form responses 1'!$F$2:$F1000=$A56)*('Form responses 1'!$A$2:$A1000&lt;=EOMONTH(DATEVALUE("1 "&amp;AE$1),0)))+
  SUMPRODUCT(('Form responses 1'!$G$2:$G1000=$A56)*('Form responses 1'!$A$2:$A1000&lt;=EOMONTH(DATEVALUE("1 "&amp;AE$1),0)))
),2),"-")</f>
        <v>-</v>
      </c>
      <c r="AF56" s="2" t="str">
        <f>IFERROR(ROUND(Data!$B56/(
  SUMPRODUCT(('Form responses 1'!$B$2:$B1000=$A56)*('Form responses 1'!$A$2:$A1000&lt;=EOMONTH(DATEVALUE("1 "&amp;AF$1),0)))+
  SUMPRODUCT(('Form responses 1'!$C$2:$C1000=$A56)*('Form responses 1'!$A$2:$A1000&lt;=EOMONTH(DATEVALUE("1 "&amp;AF$1),0)))+
  SUMPRODUCT(('Form responses 1'!$D$2:$D1000=$A56)*('Form responses 1'!$A$2:$A1000&lt;=EOMONTH(DATEVALUE("1 "&amp;AF$1),0)))+
  SUMPRODUCT(('Form responses 1'!$E$2:$E1000=$A56)*('Form responses 1'!$A$2:$A1000&lt;=EOMONTH(DATEVALUE("1 "&amp;AF$1),0)))+
  SUMPRODUCT(('Form responses 1'!$F$2:$F1000=$A56)*('Form responses 1'!$A$2:$A1000&lt;=EOMONTH(DATEVALUE("1 "&amp;AF$1),0)))+
  SUMPRODUCT(('Form responses 1'!$G$2:$G1000=$A56)*('Form responses 1'!$A$2:$A1000&lt;=EOMONTH(DATEVALUE("1 "&amp;AF$1),0)))
),2),"-")</f>
        <v>-</v>
      </c>
      <c r="AG56" s="2" t="str">
        <f>IFERROR(ROUND(Data!$B56/(
  SUMPRODUCT(('Form responses 1'!$B$2:$B1000=$A56)*('Form responses 1'!$A$2:$A1000&lt;=EOMONTH(DATEVALUE("1 "&amp;AG$1),0)))+
  SUMPRODUCT(('Form responses 1'!$C$2:$C1000=$A56)*('Form responses 1'!$A$2:$A1000&lt;=EOMONTH(DATEVALUE("1 "&amp;AG$1),0)))+
  SUMPRODUCT(('Form responses 1'!$D$2:$D1000=$A56)*('Form responses 1'!$A$2:$A1000&lt;=EOMONTH(DATEVALUE("1 "&amp;AG$1),0)))+
  SUMPRODUCT(('Form responses 1'!$E$2:$E1000=$A56)*('Form responses 1'!$A$2:$A1000&lt;=EOMONTH(DATEVALUE("1 "&amp;AG$1),0)))+
  SUMPRODUCT(('Form responses 1'!$F$2:$F1000=$A56)*('Form responses 1'!$A$2:$A1000&lt;=EOMONTH(DATEVALUE("1 "&amp;AG$1),0)))+
  SUMPRODUCT(('Form responses 1'!$G$2:$G1000=$A56)*('Form responses 1'!$A$2:$A1000&lt;=EOMONTH(DATEVALUE("1 "&amp;AG$1),0)))
),2),"-")</f>
        <v>-</v>
      </c>
      <c r="AH56" s="2" t="str">
        <f>IFERROR(ROUND(Data!$B56/(
  SUMPRODUCT(('Form responses 1'!$B$2:$B1000=$A56)*('Form responses 1'!$A$2:$A1000&lt;=EOMONTH(DATEVALUE("1 "&amp;AH$1),0)))+
  SUMPRODUCT(('Form responses 1'!$C$2:$C1000=$A56)*('Form responses 1'!$A$2:$A1000&lt;=EOMONTH(DATEVALUE("1 "&amp;AH$1),0)))+
  SUMPRODUCT(('Form responses 1'!$D$2:$D1000=$A56)*('Form responses 1'!$A$2:$A1000&lt;=EOMONTH(DATEVALUE("1 "&amp;AH$1),0)))+
  SUMPRODUCT(('Form responses 1'!$E$2:$E1000=$A56)*('Form responses 1'!$A$2:$A1000&lt;=EOMONTH(DATEVALUE("1 "&amp;AH$1),0)))+
  SUMPRODUCT(('Form responses 1'!$F$2:$F1000=$A56)*('Form responses 1'!$A$2:$A1000&lt;=EOMONTH(DATEVALUE("1 "&amp;AH$1),0)))+
  SUMPRODUCT(('Form responses 1'!$G$2:$G1000=$A56)*('Form responses 1'!$A$2:$A1000&lt;=EOMONTH(DATEVALUE("1 "&amp;AH$1),0)))
),2),"-")</f>
        <v>-</v>
      </c>
      <c r="AI56" s="2" t="str">
        <f>IFERROR(ROUND(Data!$B56/(
  SUMPRODUCT(('Form responses 1'!$B$2:$B1000=$A56)*('Form responses 1'!$A$2:$A1000&lt;=EOMONTH(DATEVALUE("1 "&amp;AI$1),0)))+
  SUMPRODUCT(('Form responses 1'!$C$2:$C1000=$A56)*('Form responses 1'!$A$2:$A1000&lt;=EOMONTH(DATEVALUE("1 "&amp;AI$1),0)))+
  SUMPRODUCT(('Form responses 1'!$D$2:$D1000=$A56)*('Form responses 1'!$A$2:$A1000&lt;=EOMONTH(DATEVALUE("1 "&amp;AI$1),0)))+
  SUMPRODUCT(('Form responses 1'!$E$2:$E1000=$A56)*('Form responses 1'!$A$2:$A1000&lt;=EOMONTH(DATEVALUE("1 "&amp;AI$1),0)))+
  SUMPRODUCT(('Form responses 1'!$F$2:$F1000=$A56)*('Form responses 1'!$A$2:$A1000&lt;=EOMONTH(DATEVALUE("1 "&amp;AI$1),0)))+
  SUMPRODUCT(('Form responses 1'!$G$2:$G1000=$A56)*('Form responses 1'!$A$2:$A1000&lt;=EOMONTH(DATEVALUE("1 "&amp;AI$1),0)))
),2),"-")</f>
        <v>-</v>
      </c>
      <c r="AJ56" s="2" t="str">
        <f>IFERROR(ROUND(Data!$B56/(
  SUMPRODUCT(('Form responses 1'!$B$2:$B1000=$A56)*('Form responses 1'!$A$2:$A1000&lt;=EOMONTH(DATEVALUE("1 "&amp;AJ$1),0)))+
  SUMPRODUCT(('Form responses 1'!$C$2:$C1000=$A56)*('Form responses 1'!$A$2:$A1000&lt;=EOMONTH(DATEVALUE("1 "&amp;AJ$1),0)))+
  SUMPRODUCT(('Form responses 1'!$D$2:$D1000=$A56)*('Form responses 1'!$A$2:$A1000&lt;=EOMONTH(DATEVALUE("1 "&amp;AJ$1),0)))+
  SUMPRODUCT(('Form responses 1'!$E$2:$E1000=$A56)*('Form responses 1'!$A$2:$A1000&lt;=EOMONTH(DATEVALUE("1 "&amp;AJ$1),0)))+
  SUMPRODUCT(('Form responses 1'!$F$2:$F1000=$A56)*('Form responses 1'!$A$2:$A1000&lt;=EOMONTH(DATEVALUE("1 "&amp;AJ$1),0)))+
  SUMPRODUCT(('Form responses 1'!$G$2:$G1000=$A56)*('Form responses 1'!$A$2:$A1000&lt;=EOMONTH(DATEVALUE("1 "&amp;AJ$1),0)))
),2),"-")</f>
        <v>-</v>
      </c>
      <c r="AK56" s="2" t="str">
        <f>IFERROR(ROUND(Data!$B56/(
  SUMPRODUCT(('Form responses 1'!$B$2:$B1000=$A56)*('Form responses 1'!$A$2:$A1000&lt;=EOMONTH(DATEVALUE("1 "&amp;AK$1),0)))+
  SUMPRODUCT(('Form responses 1'!$C$2:$C1000=$A56)*('Form responses 1'!$A$2:$A1000&lt;=EOMONTH(DATEVALUE("1 "&amp;AK$1),0)))+
  SUMPRODUCT(('Form responses 1'!$D$2:$D1000=$A56)*('Form responses 1'!$A$2:$A1000&lt;=EOMONTH(DATEVALUE("1 "&amp;AK$1),0)))+
  SUMPRODUCT(('Form responses 1'!$E$2:$E1000=$A56)*('Form responses 1'!$A$2:$A1000&lt;=EOMONTH(DATEVALUE("1 "&amp;AK$1),0)))+
  SUMPRODUCT(('Form responses 1'!$F$2:$F1000=$A56)*('Form responses 1'!$A$2:$A1000&lt;=EOMONTH(DATEVALUE("1 "&amp;AK$1),0)))+
  SUMPRODUCT(('Form responses 1'!$G$2:$G1000=$A56)*('Form responses 1'!$A$2:$A1000&lt;=EOMONTH(DATEVALUE("1 "&amp;AK$1),0)))
),2),"-")</f>
        <v>-</v>
      </c>
      <c r="AL56" s="2" t="str">
        <f>IFERROR(ROUND(Data!$B56/(
  SUMPRODUCT(('Form responses 1'!$B$2:$B1000=$A56)*('Form responses 1'!$A$2:$A1000&lt;=EOMONTH(DATEVALUE("1 "&amp;AL$1),0)))+
  SUMPRODUCT(('Form responses 1'!$C$2:$C1000=$A56)*('Form responses 1'!$A$2:$A1000&lt;=EOMONTH(DATEVALUE("1 "&amp;AL$1),0)))+
  SUMPRODUCT(('Form responses 1'!$D$2:$D1000=$A56)*('Form responses 1'!$A$2:$A1000&lt;=EOMONTH(DATEVALUE("1 "&amp;AL$1),0)))+
  SUMPRODUCT(('Form responses 1'!$E$2:$E1000=$A56)*('Form responses 1'!$A$2:$A1000&lt;=EOMONTH(DATEVALUE("1 "&amp;AL$1),0)))+
  SUMPRODUCT(('Form responses 1'!$F$2:$F1000=$A56)*('Form responses 1'!$A$2:$A1000&lt;=EOMONTH(DATEVALUE("1 "&amp;AL$1),0)))+
  SUMPRODUCT(('Form responses 1'!$G$2:$G1000=$A56)*('Form responses 1'!$A$2:$A1000&lt;=EOMONTH(DATEVALUE("1 "&amp;AL$1),0)))
),2),"-")</f>
        <v>-</v>
      </c>
    </row>
    <row r="57">
      <c r="A57" s="3" t="str">
        <f>IFERROR(__xludf.DUMMYFUNCTION("""COMPUTED_VALUE"""),"Blauwe jas pak")</f>
        <v>Blauwe jas pak</v>
      </c>
      <c r="B57" s="2">
        <f>Data!F55:F1000</f>
        <v>7.14</v>
      </c>
      <c r="C57" s="2" t="str">
        <f>IFERROR(ROUND(Data!B55/(SUMPRODUCT(('Form responses 1'!$B$2:$B1000 = A57) * ('Form responses 1'!$A$2:$A1000 &lt;= DATE(2024, 1, 31)))
+ SUMPRODUCT(('Form responses 1'!$C$2:$C1000 = A57) * ('Form responses 1'!$A$2:$A1000 &lt;= DATE(2024, 1, 31)))
+ SUMPRODUCT(('Form responses 1'!$D$2:$D1000 = A57) * ('Form responses 1'!$A$2:$A1000 &lt;= DATE(2024, 1, 31)))
+ SUMPRODUCT(('Form responses 1'!$E$2:$E1000 = A57) * ('Form responses 1'!$A$2:$A1000 &lt;= DATE(2024, 1, 31)))
+ SUMPRODUCT(('Form responses 1'!$F$2:$F1000 = A57) * ('Form responses 1'!$A$2:$A1000 &lt;= DATE(2024, 1, 31)))
+ SUMPRODUCT(('Form responses 1'!$G$2:$G1000 = A57) * ('Form responses 1'!$A$2:$A1000 &lt;= DATE(2024, 1, 31)))), 2), "-")
</f>
        <v>-</v>
      </c>
      <c r="D57" s="2" t="str">
        <f>IFERROR(ROUND(Data!B55/(SUMPRODUCT(('Form responses 1'!$B$2:$B1000 = A57) * ('Form responses 1'!$A$2:$A1000 &lt;= DATE(2024, 2, 29)))
+ SUMPRODUCT(('Form responses 1'!$C$2:$C1000 = A57) * ('Form responses 1'!$A$2:$A1000 &lt;= DATE(2024, 2, 29)))
+ SUMPRODUCT(('Form responses 1'!$D$2:$D1000 = A57) * ('Form responses 1'!$A$2:$A1000 &lt;= DATE(2024, 2, 29)))
+ SUMPRODUCT(('Form responses 1'!$E$2:$E1000 = A57) * ('Form responses 1'!$A$2:$A1000 &lt;= DATE(2024, 2, 29)))
+ SUMPRODUCT(('Form responses 1'!$F$2:$F1000 = A57) * ('Form responses 1'!$A$2:$A1000 &lt;= DATE(2024, 2, 29)))
+ SUMPRODUCT(('Form responses 1'!$G$2:$G1000 = A57) * ('Form responses 1'!$A$2:$A1000 &lt;= DATE(2024, 2, 29)))), 2), "-")
</f>
        <v>-</v>
      </c>
      <c r="E57" s="2" t="str">
        <f>IFERROR(ROUND(Data!B55/(SUMPRODUCT(('Form responses 1'!$B$2:$B1000 = A57) * ('Form responses 1'!$A$2:$A1000 &lt;= DATE(2024, 3, 31)))
+ SUMPRODUCT(('Form responses 1'!$C$2:$C1000 = A57) * ('Form responses 1'!$A$2:$A1000 &lt;= DATE(2024, 3, 31)))
+ SUMPRODUCT(('Form responses 1'!$D$2:$D1000 = A57) * ('Form responses 1'!$A$2:$A1000 &lt;= DATE(2024, 3, 31)))
+ SUMPRODUCT(('Form responses 1'!$E$2:$E1000 = A57) * ('Form responses 1'!$A$2:$A1000 &lt;= DATE(2024, 3, 31)))
+ SUMPRODUCT(('Form responses 1'!$F$2:$F1000 = A57) * ('Form responses 1'!$A$2:$A1000 &lt;= DATE(2024, 3, 31)))
+ SUMPRODUCT(('Form responses 1'!$G$2:$G1000 = A57) * ('Form responses 1'!$A$2:$A1000 &lt;= DATE(2024, 3, 31)))), 2), "-")
</f>
        <v>-</v>
      </c>
      <c r="F57" s="2" t="str">
        <f>IFERROR(ROUND(Data!B55/(SUMPRODUCT(('Form responses 1'!$B$2:$B1000 = A57) * ('Form responses 1'!$A$2:$A1000 &lt;= DATE(2024, 4, 30)))
+ SUMPRODUCT(('Form responses 1'!$C$2:$C1000 = A57) * ('Form responses 1'!$A$2:$A1000 &lt;= DATE(2024, 4, 30)))
+ SUMPRODUCT(('Form responses 1'!$D$2:$D1000 = A57) * ('Form responses 1'!$A$2:$A1000 &lt;= DATE(2024, 4, 30)))
+ SUMPRODUCT(('Form responses 1'!$E$2:$E1000 = A57) * ('Form responses 1'!$A$2:$A1000 &lt;= DATE(2024, 4, 30)))
+ SUMPRODUCT(('Form responses 1'!$F$2:$F1000 = A57) * ('Form responses 1'!$A$2:$A1000 &lt;= DATE(2024, 4, 30)))
+ SUMPRODUCT(('Form responses 1'!$G$2:$G1000 = A57) * ('Form responses 1'!$A$2:$A1000 &lt;= DATE(2024, 4, 30)))), 2), "-")
</f>
        <v>-</v>
      </c>
      <c r="G57" s="2" t="str">
        <f>IFERROR(ROUND(Data!B55/(SUMPRODUCT(('Form responses 1'!$B$2:$B1000 = A57) * ('Form responses 1'!$A$2:$A1000 &lt;= DATE(2024, 5, 31)))
+ SUMPRODUCT(('Form responses 1'!$C$2:$C1000 = A57) * ('Form responses 1'!$A$2:$A1000 &lt;= DATE(2024, 5, 31)))
+ SUMPRODUCT(('Form responses 1'!$D$2:$D1000 = A57) * ('Form responses 1'!$A$2:$A1000 &lt;= DATE(2024, 5, 31)))
+ SUMPRODUCT(('Form responses 1'!$E$2:$E1000 = A57) * ('Form responses 1'!$A$2:$A1000 &lt;= DATE(2024, 5, 31)))
+ SUMPRODUCT(('Form responses 1'!$F$2:$F1000 = A57) * ('Form responses 1'!$A$2:$A1000 &lt;= DATE(2024, 5, 31)))
+ SUMPRODUCT(('Form responses 1'!$G$2:$G1000 = A57) * ('Form responses 1'!$A$2:$A1000 &lt;= DATE(2024, 5, 31)))), 2), "-")
</f>
        <v>-</v>
      </c>
      <c r="H57" s="2" t="str">
        <f>IFERROR(ROUND(Data!B55/(SUMPRODUCT(('Form responses 1'!$B$2:$B1000 = A57) * ('Form responses 1'!$A$2:$A1000 &lt;= DATE(2024, 6, 30)))
+ SUMPRODUCT(('Form responses 1'!$C$2:$C1000 = A57) * ('Form responses 1'!$A$2:$A1000 &lt;= DATE(2024, 6, 30)))
+ SUMPRODUCT(('Form responses 1'!$D$2:$D1000 = A57) * ('Form responses 1'!$A$2:$A1000 &lt;= DATE(2024, 6, 30)))
+ SUMPRODUCT(('Form responses 1'!$E$2:$E1000 = A57) * ('Form responses 1'!$A$2:$A1000 &lt;= DATE(2024, 6, 30)))
+ SUMPRODUCT(('Form responses 1'!$F$2:$F1000 = A57) * ('Form responses 1'!$A$2:$A1000 &lt;= DATE(2024, 6, 30)))
+ SUMPRODUCT(('Form responses 1'!$G$2:$G1000 = A57) * ('Form responses 1'!$A$2:$A1000 &lt;= DATE(2024, 6, 30)))), 2), "-")
</f>
        <v>-</v>
      </c>
      <c r="I57" s="2">
        <f>IFERROR(ROUND(Data!B55/(SUMPRODUCT(('Form responses 1'!$B$2:$B1000 = A57) * ('Form responses 1'!$A$2:$A1000 &lt;= DATE(2024, 7, 31)))
+ SUMPRODUCT(('Form responses 1'!$C$2:$C1000 = A57) * ('Form responses 1'!$A$2:$A1000 &lt;= DATE(2024, 7, 31)))
+ SUMPRODUCT(('Form responses 1'!$D$2:$D1000 = A57) * ('Form responses 1'!$A$2:$A1000 &lt;= DATE(2024, 7, 31)))
+ SUMPRODUCT(('Form responses 1'!$E$2:$E1000 = A57) * ('Form responses 1'!$A$2:$A1000 &lt;= DATE(2024, 7, 31)))
+ SUMPRODUCT(('Form responses 1'!$F$2:$F1000 = A57) * ('Form responses 1'!$A$2:$A1000 &lt;= DATE(2024, 7, 31)))
+ SUMPRODUCT(('Form responses 1'!$G$2:$G1000 = A57) * ('Form responses 1'!$A$2:$A1000 &lt;= DATE(2024, 7, 31)))), 2), "-")
</f>
        <v>20</v>
      </c>
      <c r="J57" s="2">
        <f>IFERROR(ROUND(Data!B55/(SUMPRODUCT(('Form responses 1'!$B$2:$B1000 = A57) * ('Form responses 1'!$A$2:$A1000 &lt;= DATE(2024, 8, 31)))
+ SUMPRODUCT(('Form responses 1'!$C$2:$C1000 = A57) * ('Form responses 1'!$A$2:$A1000 &lt;= DATE(2024, 8, 31)))
+ SUMPRODUCT(('Form responses 1'!$D$2:$D1000 = A57) * ('Form responses 1'!$A$2:$A1000 &lt;= DATE(2024, 8, 31)))
+ SUMPRODUCT(('Form responses 1'!$E$2:$E1000 = A57) * ('Form responses 1'!$A$2:$A1000 &lt;= DATE(2024, 8, 31)))
+ SUMPRODUCT(('Form responses 1'!$F$2:$F1000 = A57) * ('Form responses 1'!$A$2:$A1000 &lt;= DATE(2024, 8, 31)))
+ SUMPRODUCT(('Form responses 1'!$G$2:$G1000 = A57) * ('Form responses 1'!$A$2:$A1000 &lt;= DATE(2024, 8, 31)))), 2), "-")
</f>
        <v>20</v>
      </c>
      <c r="K57" s="2">
        <f>IFERROR(ROUND(Data!B55/(SUMPRODUCT(('Form responses 1'!$B$2:$B1000 = A57) * ('Form responses 1'!$A$2:$A1000 &lt;= DATE(2024, 9, 30)))
+ SUMPRODUCT(('Form responses 1'!$C$2:$C1000 = A57) * ('Form responses 1'!$A$2:$A1000 &lt;= DATE(2024, 9, 30)))
+ SUMPRODUCT(('Form responses 1'!$D$2:$D1000 = A57) * ('Form responses 1'!$A$2:$A1000 &lt;= DATE(2024, 9, 30)))
+ SUMPRODUCT(('Form responses 1'!$E$2:$E1000 = A57) * ('Form responses 1'!$A$2:$A1000 &lt;= DATE(2024, 9, 30)))
+ SUMPRODUCT(('Form responses 1'!$F$2:$F1000 = A57) * ('Form responses 1'!$A$2:$A1000 &lt;= DATE(2024, 9, 30)))
+ SUMPRODUCT(('Form responses 1'!$G$2:$G1000 = A57) * ('Form responses 1'!$A$2:$A1000 &lt;= DATE(2024, 9, 30)))), 2), "-")
</f>
        <v>20</v>
      </c>
      <c r="L57" s="2">
        <f>IFERROR(ROUND(Data!B55/(SUMPRODUCT(('Form responses 1'!$B$2:$B1000 = A57) * ('Form responses 1'!$A$2:$A1000 &lt;= DATE(2024, 10, 31)))
+ SUMPRODUCT(('Form responses 1'!$C$2:$C1000 = A57) * ('Form responses 1'!$A$2:$A1000 &lt;= DATE(2024, 10, 31)))
+ SUMPRODUCT(('Form responses 1'!$D$2:$D1000 = A57) * ('Form responses 1'!$A$2:$A1000 &lt;= DATE(2024, 10, 31)))
+ SUMPRODUCT(('Form responses 1'!$E$2:$E1000 = A57) * ('Form responses 1'!$A$2:$A1000 &lt;= DATE(2024, 10, 31)))
+ SUMPRODUCT(('Form responses 1'!$F$2:$F1000 = A57) * ('Form responses 1'!$A$2:$A1000 &lt;= DATE(2024, 10, 31)))
+ SUMPRODUCT(('Form responses 1'!$G$2:$G1000 = A57) * ('Form responses 1'!$A$2:$A1000 &lt;= DATE(2024, 10, 31)))), 2), "-")
</f>
        <v>10</v>
      </c>
      <c r="M57" s="2">
        <f>IFERROR(ROUND(Data!B55/(SUMPRODUCT(('Form responses 1'!$B$2:$B1000 = A57) * ('Form responses 1'!$A$2:$A1000 &lt;= DATE(2024, 11, 30)))
+ SUMPRODUCT(('Form responses 1'!$C$2:$C1000 = A57) * ('Form responses 1'!$A$2:$A1000 &lt;= DATE(2024, 11, 30)))
+ SUMPRODUCT(('Form responses 1'!$D$2:$D1000 = A57) * ('Form responses 1'!$A$2:$A1000 &lt;= DATE(2024, 11, 30)))
+ SUMPRODUCT(('Form responses 1'!$E$2:$E1000 = A57) * ('Form responses 1'!$A$2:$A1000 &lt;= DATE(2024, 11, 30)))
+ SUMPRODUCT(('Form responses 1'!$F$2:$F1000 = A57) * ('Form responses 1'!$A$2:$A1000 &lt;= DATE(2024, 11, 30)))
+ SUMPRODUCT(('Form responses 1'!$G$2:$G1000 = A57) * ('Form responses 1'!$A$2:$A1000 &lt;= DATE(2024, 11, 30)))), 2), "-")
</f>
        <v>4.44</v>
      </c>
      <c r="N57" s="2">
        <f>IFERROR(ROUND(Data!B55/(SUMPRODUCT(('Form responses 1'!$B$2:$B1000 = A57) * ('Form responses 1'!$A$2:$A1000 &lt;= DATE(2024, 12, 31)))
+ SUMPRODUCT(('Form responses 1'!$C$2:$C1000 = A57) * ('Form responses 1'!$A$2:$A1000 &lt;= DATE(2024, 12, 31)))
+ SUMPRODUCT(('Form responses 1'!$D$2:$D1000 = A57) * ('Form responses 1'!$A$2:$A1000 &lt;= DATE(2024, 12, 31)))
+ SUMPRODUCT(('Form responses 1'!$E$2:$E1000 = A57) * ('Form responses 1'!$A$2:$A1000 &lt;= DATE(2024, 12, 31)))
+ SUMPRODUCT(('Form responses 1'!$F$2:$F1000 = A57) * ('Form responses 1'!$A$2:$A1000 &lt;= DATE(2024, 12, 31)))
+ SUMPRODUCT(('Form responses 1'!$G$2:$G1000 = A57) * ('Form responses 1'!$A$2:$A1000 &lt;= DATE(2024, 12, 31)))), 2), "-")
</f>
        <v>4</v>
      </c>
      <c r="O57" s="2">
        <f>IFERROR(ROUND(Data!B55/(SUMPRODUCT(('Form responses 1'!$B$2:$B1000 = A57) * ('Form responses 1'!$A$2:$A1000 &lt;= DATE(2025, 1, 31)))
+ SUMPRODUCT(('Form responses 1'!$C$2:$C1000 = A57) * ('Form responses 1'!$A$2:$A1000 &lt;= DATE(2025, 1, 31)))
+ SUMPRODUCT(('Form responses 1'!$D$2:$D1000 = A57) * ('Form responses 1'!$A$2:$A1000 &lt;= DATE(2025, 1, 31)))
+ SUMPRODUCT(('Form responses 1'!$E$2:$E1000 = A57) * ('Form responses 1'!$A$2:$A1000 &lt;= DATE(2025, 1, 31)))
+ SUMPRODUCT(('Form responses 1'!$F$2:$F1000 = A57) * ('Form responses 1'!$A$2:$A1000 &lt;= DATE(2025, 1, 31)))
+ SUMPRODUCT(('Form responses 1'!$G$2:$G1000 = A57) * ('Form responses 1'!$A$2:$A1000 &lt;= DATE(2025, 1, 31)))), 2), "-")
</f>
        <v>3.64</v>
      </c>
      <c r="P57" s="2">
        <f>IFERROR(ROUND(Data!B55/(SUMPRODUCT(('Form responses 1'!$B$2:$B1000 = A57) * ('Form responses 1'!$A$2:$A1000 &lt;= DATE(2025, 2, 28)))
+ SUMPRODUCT(('Form responses 1'!$C$2:$C1000 = A57) * ('Form responses 1'!$A$2:$A1000 &lt;= DATE(2025, 2, 28)))
+ SUMPRODUCT(('Form responses 1'!$D$2:$D1000 = A57) * ('Form responses 1'!$A$2:$A1000 &lt;= DATE(2025, 2, 28)))
+ SUMPRODUCT(('Form responses 1'!$E$2:$E1000 = A57) * ('Form responses 1'!$A$2:$A1000 &lt;= DATE(2025, 2, 28)))
+ SUMPRODUCT(('Form responses 1'!$F$2:$F1000 = A57) * ('Form responses 1'!$A$2:$A1000 &lt;= DATE(2025, 2, 28)))
+ SUMPRODUCT(('Form responses 1'!$G$2:$G1000 = A57) * ('Form responses 1'!$A$2:$A1000 &lt;= DATE(2025, 2, 28)))), 2), "-")
</f>
        <v>3.64</v>
      </c>
      <c r="Q57" s="2">
        <f>IFERROR(ROUND(Data!B55/(SUMPRODUCT(('Form responses 1'!$B$2:$B1000 = A57) * ('Form responses 1'!$A$2:$A1000 &lt;= DATE(2025, 3, 31)))
+ SUMPRODUCT(('Form responses 1'!$C$2:$C1000 = A57) * ('Form responses 1'!$A$2:$A1000 &lt;= DATE(2025, 3, 31)))
+ SUMPRODUCT(('Form responses 1'!$D$2:$D1000 = A57) * ('Form responses 1'!$A$2:$A1000 &lt;= DATE(2025, 3, 31)))
+ SUMPRODUCT(('Form responses 1'!$E$2:$E1000 = A57) * ('Form responses 1'!$A$2:$A1000 &lt;= DATE(2025, 3, 31)))
+ SUMPRODUCT(('Form responses 1'!$F$2:$F1000 = A57) * ('Form responses 1'!$A$2:$A1000 &lt;= DATE(2025, 3, 31)))
+ SUMPRODUCT(('Form responses 1'!$G$2:$G1000 = A57) * ('Form responses 1'!$A$2:$A1000 &lt;= DATE(2025, 3, 31)))),2),"-")</f>
        <v>3.64</v>
      </c>
      <c r="R57" s="2">
        <f>IFERROR(ROUND(Data!B55/(SUMPRODUCT(('Form responses 1'!$B$2:$B1000 = A57) * ('Form responses 1'!$A$2:$A1000 &lt;= DATE(2025, 4, 30)))
+ SUMPRODUCT(('Form responses 1'!$C$2:$C1000 = A57) * ('Form responses 1'!$A$2:$A1000 &lt;= DATE(2025, 4, 30)))
+ SUMPRODUCT(('Form responses 1'!$D$2:$D1000 = A57) * ('Form responses 1'!$A$2:$A1000 &lt;= DATE(2025, 4, 30)))
+ SUMPRODUCT(('Form responses 1'!$E$2:$E1000 = A57) * ('Form responses 1'!$A$2:$A1000 &lt;= DATE(2025, 4, 30)))
+ SUMPRODUCT(('Form responses 1'!$F$2:$F1000 = A57) * ('Form responses 1'!$A$2:$A1000 &lt;= DATE(2025, 4, 30)))
+ SUMPRODUCT(('Form responses 1'!$G$2:$G1000 = A57) * ('Form responses 1'!$A$2:$A1000 &lt;= DATE(2025, 4, 30)))), 2), "-")
</f>
        <v>3.33</v>
      </c>
      <c r="S57" s="2">
        <f>IFERROR(ROUND(Data!B55/(SUMPRODUCT(('Form responses 1'!$B$2:$B1000 = A57) * ('Form responses 1'!$A$2:$A1000 &lt;= DATE(2025, 5, 31)))
+ SUMPRODUCT(('Form responses 1'!$C$2:$C1000 = A57) * ('Form responses 1'!$A$2:$A1000 &lt;= DATE(2025, 5, 31)))
+ SUMPRODUCT(('Form responses 1'!$D$2:$D1000 = A57) * ('Form responses 1'!$A$2:$A1000 &lt;= DATE(2025, 5, 31)))
+ SUMPRODUCT(('Form responses 1'!$E$2:$E1000 = A57) * ('Form responses 1'!$A$2:$A1000 &lt;= DATE(2025, 5, 31)))
+ SUMPRODUCT(('Form responses 1'!$F$2:$F1000 = A57) * ('Form responses 1'!$A$2:$A1000 &lt;= DATE(2025, 5, 31)))
+ SUMPRODUCT(('Form responses 1'!$G$2:$G1000 = A57) * ('Form responses 1'!$A$2:$A1000 &lt;= DATE(2025, 5, 31)))), 2), "-")
</f>
        <v>2.67</v>
      </c>
      <c r="T57" s="2">
        <f>IFERROR(ROUND(Data!B55/(SUMPRODUCT(('Form responses 1'!$B$2:$B1000 = A57) * ('Form responses 1'!$A$2:$A1000 &lt;= DATE(2025, 6, 30)))
+ SUMPRODUCT(('Form responses 1'!$C$2:$C1000 = A57) * ('Form responses 1'!$A$2:$A1000 &lt;= DATE(2025, 6, 30)))
+ SUMPRODUCT(('Form responses 1'!$D$2:$D1000 = A57) * ('Form responses 1'!$A$2:$A1000 &lt;= DATE(2025, 6, 30)))
+ SUMPRODUCT(('Form responses 1'!$E$2:$E1000 = A57) * ('Form responses 1'!$A$2:$A1000 &lt;= DATE(2025, 6, 30)))
+ SUMPRODUCT(('Form responses 1'!$F$2:$F1000 = A57) * ('Form responses 1'!$A$2:$A1000 &lt;= DATE(2025, 6, 30)))
+ SUMPRODUCT(('Form responses 1'!$G$2:$G1000 = A57) * ('Form responses 1'!$A$2:$A1000 &lt;= DATE(2025, 6, 30)))), 2), "-")
</f>
        <v>2.5</v>
      </c>
      <c r="U57" s="2">
        <f>IFERROR(ROUND(Data!B55/(SUMPRODUCT(('Form responses 1'!$B$2:$B1000 = A57) * ('Form responses 1'!$A$2:$A1000 &lt;= DATE(2025, 7, 31)))
+ SUMPRODUCT(('Form responses 1'!$C$2:$C1000 = A57) * ('Form responses 1'!$A$2:$A1000 &lt;= DATE(2025, 7, 31)))
+ SUMPRODUCT(('Form responses 1'!$D$2:$D1000 = A57) * ('Form responses 1'!$A$2:$A1000 &lt;= DATE(2025, 7, 31)))
+ SUMPRODUCT(('Form responses 1'!$E$2:$E1000 = A57) * ('Form responses 1'!$A$2:$A1000 &lt;= DATE(2025, 7, 31)))
+ SUMPRODUCT(('Form responses 1'!$F$2:$F1000 = A57) * ('Form responses 1'!$A$2:$A1000 &lt;= DATE(2025, 7, 31)))
+ SUMPRODUCT(('Form responses 1'!$G$2:$G1000 = A57) * ('Form responses 1'!$A$2:$A1000 &lt;= DATE(2025, 7, 31)))), 2), "-")
</f>
        <v>2.5</v>
      </c>
      <c r="V57" s="2">
        <f>IFERROR(ROUND(Data!B55/(SUMPRODUCT(('Form responses 1'!$B$2:$B1000 = A57) * ('Form responses 1'!$A$2:$A1000 &lt;= DATE(2025, 8, 31)))
+ SUMPRODUCT(('Form responses 1'!$C$2:$C1000 = A57) * ('Form responses 1'!$A$2:$A1000 &lt;= DATE(2025, 8, 31)))
+ SUMPRODUCT(('Form responses 1'!$D$2:$D1000 = A57) * ('Form responses 1'!$A$2:$A1000 &lt;= DATE(2025, 8, 31)))
+ SUMPRODUCT(('Form responses 1'!$E$2:$E1000 = A57) * ('Form responses 1'!$A$2:$A1000 &lt;= DATE(2025, 8, 31)))
+ SUMPRODUCT(('Form responses 1'!$F$2:$F1000 = A57) * ('Form responses 1'!$A$2:$A1000 &lt;= DATE(2025, 8, 31)))
+ SUMPRODUCT(('Form responses 1'!$G$2:$G1000 = A57) * ('Form responses 1'!$A$2:$A1000 &lt;= DATE(2025, 8, 31)))), 2), "-")
</f>
        <v>2.5</v>
      </c>
      <c r="W57" s="2">
        <f>IFERROR(ROUND(Data!B55/(SUMPRODUCT(('Form responses 1'!$B$2:$B1000 = A57) * ('Form responses 1'!$A$2:$A1000 &lt;= DATE(2025, 9, 30)))
+ SUMPRODUCT(('Form responses 1'!$C$2:$C1000 = A57) * ('Form responses 1'!$A$2:$A1000 &lt;= DATE(2025, 9, 30)))
+ SUMPRODUCT(('Form responses 1'!$D$2:$D1000 = A57) * ('Form responses 1'!$A$2:$A1000 &lt;= DATE(2025, 9, 30)))
+ SUMPRODUCT(('Form responses 1'!$E$2:$E1000 = A57) * ('Form responses 1'!$A$2:$A1000 &lt;= DATE(2025, 9, 30)))
+ SUMPRODUCT(('Form responses 1'!$F$2:$F1000 = A57) * ('Form responses 1'!$A$2:$A1000 &lt;= DATE(2025, 9, 30)))
+ SUMPRODUCT(('Form responses 1'!$G$2:$G1000 = A57) * ('Form responses 1'!$A$2:$A1000 &lt;= DATE(2025, 9, 30)))), 2), "-")
</f>
        <v>2.5</v>
      </c>
      <c r="X57" s="2">
        <f>IFERROR(ROUND(Data!B55/(SUMPRODUCT(('Form responses 1'!$B$2:$B1000 = A57) * ('Form responses 1'!$A$2:$A1000 &lt;= DATE(2025, 10, 31)))
+ SUMPRODUCT(('Form responses 1'!$C$2:$C1000 = A57) * ('Form responses 1'!$A$2:$A1000 &lt;= DATE(2025, 10, 31)))
+ SUMPRODUCT(('Form responses 1'!$D$2:$D1000 = A57) * ('Form responses 1'!$A$2:$A1000 &lt;= DATE(2025, 10, 31)))
+ SUMPRODUCT(('Form responses 1'!$E$2:$E1000 = A57) * ('Form responses 1'!$A$2:$A1000 &lt;= DATE(2025, 10, 31)))
+ SUMPRODUCT(('Form responses 1'!$F$2:$F1000 = A57) * ('Form responses 1'!$A$2:$A1000 &lt;= DATE(2025, 10, 31)))
+ SUMPRODUCT(('Form responses 1'!$G$2:$G1000 = A57) * ('Form responses 1'!$A$2:$A1000 &lt;= DATE(2025, 10, 31)))), 2), "-")
</f>
        <v>2.11</v>
      </c>
      <c r="Y57" s="2">
        <f>IFERROR(ROUND(Data!B55/(SUMPRODUCT(('Form responses 1'!$B$2:$B1000 = A57) * ('Form responses 1'!$A$2:$A1000 &lt;= DATE(2025, 11, 30)))
+ SUMPRODUCT(('Form responses 1'!$C$2:$C1000 = A57) * ('Form responses 1'!$A$2:$A1000 &lt;= DATE(2025, 11, 30)))
+ SUMPRODUCT(('Form responses 1'!$D$2:$D1000 = A57) * ('Form responses 1'!$A$2:$A1000 &lt;= DATE(2025, 11, 30)))
+ SUMPRODUCT(('Form responses 1'!$E$2:$E1000 = A57) * ('Form responses 1'!$A$2:$A1000 &lt;= DATE(2025, 11, 30)))
+ SUMPRODUCT(('Form responses 1'!$F$2:$F1000 = A57) * ('Form responses 1'!$A$2:$A1000 &lt;= DATE(2025, 11, 30)))
+ SUMPRODUCT(('Form responses 1'!$G$2:$G1000 = A57) * ('Form responses 1'!$A$2:$A1000 &lt;= DATE(2025, 11, 30)))), 2), "-")
</f>
        <v>1.74</v>
      </c>
      <c r="Z57" s="2">
        <f>IFERROR(ROUND(Data!B55/(SUMPRODUCT(('Form responses 1'!$B$2:$B1000 = A57) * ('Form responses 1'!$A$2:$A1000 &lt;= DATE(2025, 12, 31)))
+ SUMPRODUCT(('Form responses 1'!$C$2:$C1000 = A57) * ('Form responses 1'!$A$2:$A1000 &lt;= DATE(2025, 12, 31)))
+ SUMPRODUCT(('Form responses 1'!$D$2:$D1000 = A57) * ('Form responses 1'!$A$2:$A1000 &lt;= DATE(2025, 12, 31)))
+ SUMPRODUCT(('Form responses 1'!$E$2:$E1000 = A57) * ('Form responses 1'!$A$2:$A1000 &lt;= DATE(2025, 12, 31)))
+ SUMPRODUCT(('Form responses 1'!$F$2:$F1000 = A57) * ('Form responses 1'!$A$2:$A1000 &lt;= DATE(2025, 12, 31)))
+ SUMPRODUCT(('Form responses 1'!$G$2:$G1000 = A57) * ('Form responses 1'!$A$2:$A1000 &lt;= DATE(2025, 12, 31)))), 2), "-")
</f>
        <v>1.6</v>
      </c>
      <c r="AA57" s="2">
        <f>IFERROR(ROUND(Data!$B57/(
  SUMPRODUCT(('Form responses 1'!$B$2:$B1000=$A57)*('Form responses 1'!$A$2:$A1000&lt;=EOMONTH(DATEVALUE("1 "&amp;AA$1),0)))+
  SUMPRODUCT(('Form responses 1'!$C$2:$C1000=$A57)*('Form responses 1'!$A$2:$A1000&lt;=EOMONTH(DATEVALUE("1 "&amp;AA$1),0)))+
  SUMPRODUCT(('Form responses 1'!$D$2:$D1000=$A57)*('Form responses 1'!$A$2:$A1000&lt;=EOMONTH(DATEVALUE("1 "&amp;AA$1),0)))+
  SUMPRODUCT(('Form responses 1'!$E$2:$E1000=$A57)*('Form responses 1'!$A$2:$A1000&lt;=EOMONTH(DATEVALUE("1 "&amp;AA$1),0)))+
  SUMPRODUCT(('Form responses 1'!$F$2:$F1000=$A57)*('Form responses 1'!$A$2:$A1000&lt;=EOMONTH(DATEVALUE("1 "&amp;AA$1),0)))+
  SUMPRODUCT(('Form responses 1'!$G$2:$G1000=$A57)*('Form responses 1'!$A$2:$A1000&lt;=EOMONTH(DATEVALUE("1 "&amp;AA$1),0)))
),2),"-")</f>
        <v>15.34</v>
      </c>
      <c r="AB57" s="2">
        <f>IFERROR(ROUND(Data!$B57/(
  SUMPRODUCT(('Form responses 1'!$B$2:$B1000=$A57)*('Form responses 1'!$A$2:$A1000&lt;=EOMONTH(DATEVALUE("1 "&amp;AB$1),0)))+
  SUMPRODUCT(('Form responses 1'!$C$2:$C1000=$A57)*('Form responses 1'!$A$2:$A1000&lt;=EOMONTH(DATEVALUE("1 "&amp;AB$1),0)))+
  SUMPRODUCT(('Form responses 1'!$D$2:$D1000=$A57)*('Form responses 1'!$A$2:$A1000&lt;=EOMONTH(DATEVALUE("1 "&amp;AB$1),0)))+
  SUMPRODUCT(('Form responses 1'!$E$2:$E1000=$A57)*('Form responses 1'!$A$2:$A1000&lt;=EOMONTH(DATEVALUE("1 "&amp;AB$1),0)))+
  SUMPRODUCT(('Form responses 1'!$F$2:$F1000=$A57)*('Form responses 1'!$A$2:$A1000&lt;=EOMONTH(DATEVALUE("1 "&amp;AB$1),0)))+
  SUMPRODUCT(('Form responses 1'!$G$2:$G1000=$A57)*('Form responses 1'!$A$2:$A1000&lt;=EOMONTH(DATEVALUE("1 "&amp;AB$1),0)))
),2),"-")</f>
        <v>12.95</v>
      </c>
      <c r="AC57" s="2">
        <f>IFERROR(ROUND(Data!$B57/(
  SUMPRODUCT(('Form responses 1'!$B$2:$B1000=$A57)*('Form responses 1'!$A$2:$A1000&lt;=EOMONTH(DATEVALUE("1 "&amp;AC$1),0)))+
  SUMPRODUCT(('Form responses 1'!$C$2:$C1000=$A57)*('Form responses 1'!$A$2:$A1000&lt;=EOMONTH(DATEVALUE("1 "&amp;AC$1),0)))+
  SUMPRODUCT(('Form responses 1'!$D$2:$D1000=$A57)*('Form responses 1'!$A$2:$A1000&lt;=EOMONTH(DATEVALUE("1 "&amp;AC$1),0)))+
  SUMPRODUCT(('Form responses 1'!$E$2:$E1000=$A57)*('Form responses 1'!$A$2:$A1000&lt;=EOMONTH(DATEVALUE("1 "&amp;AC$1),0)))+
  SUMPRODUCT(('Form responses 1'!$F$2:$F1000=$A57)*('Form responses 1'!$A$2:$A1000&lt;=EOMONTH(DATEVALUE("1 "&amp;AC$1),0)))+
  SUMPRODUCT(('Form responses 1'!$G$2:$G1000=$A57)*('Form responses 1'!$A$2:$A1000&lt;=EOMONTH(DATEVALUE("1 "&amp;AC$1),0)))
),2),"-")</f>
        <v>10.9</v>
      </c>
      <c r="AD57" s="2" t="str">
        <f>IFERROR(ROUND(Data!$B57/(
  SUMPRODUCT(('Form responses 1'!$B$2:$B1000=$A57)*('Form responses 1'!$A$2:$A1000&lt;=EOMONTH(DATEVALUE("1 "&amp;AD$1),0)))+
  SUMPRODUCT(('Form responses 1'!$C$2:$C1000=$A57)*('Form responses 1'!$A$2:$A1000&lt;=EOMONTH(DATEVALUE("1 "&amp;AD$1),0)))+
  SUMPRODUCT(('Form responses 1'!$D$2:$D1000=$A57)*('Form responses 1'!$A$2:$A1000&lt;=EOMONTH(DATEVALUE("1 "&amp;AD$1),0)))+
  SUMPRODUCT(('Form responses 1'!$E$2:$E1000=$A57)*('Form responses 1'!$A$2:$A1000&lt;=EOMONTH(DATEVALUE("1 "&amp;AD$1),0)))+
  SUMPRODUCT(('Form responses 1'!$F$2:$F1000=$A57)*('Form responses 1'!$A$2:$A1000&lt;=EOMONTH(DATEVALUE("1 "&amp;AD$1),0)))+
  SUMPRODUCT(('Form responses 1'!$G$2:$G1000=$A57)*('Form responses 1'!$A$2:$A1000&lt;=EOMONTH(DATEVALUE("1 "&amp;AD$1),0)))
),2),"-")</f>
        <v>-</v>
      </c>
      <c r="AE57" s="2" t="str">
        <f>IFERROR(ROUND(Data!$B57/(
  SUMPRODUCT(('Form responses 1'!$B$2:$B1000=$A57)*('Form responses 1'!$A$2:$A1000&lt;=EOMONTH(DATEVALUE("1 "&amp;AE$1),0)))+
  SUMPRODUCT(('Form responses 1'!$C$2:$C1000=$A57)*('Form responses 1'!$A$2:$A1000&lt;=EOMONTH(DATEVALUE("1 "&amp;AE$1),0)))+
  SUMPRODUCT(('Form responses 1'!$D$2:$D1000=$A57)*('Form responses 1'!$A$2:$A1000&lt;=EOMONTH(DATEVALUE("1 "&amp;AE$1),0)))+
  SUMPRODUCT(('Form responses 1'!$E$2:$E1000=$A57)*('Form responses 1'!$A$2:$A1000&lt;=EOMONTH(DATEVALUE("1 "&amp;AE$1),0)))+
  SUMPRODUCT(('Form responses 1'!$F$2:$F1000=$A57)*('Form responses 1'!$A$2:$A1000&lt;=EOMONTH(DATEVALUE("1 "&amp;AE$1),0)))+
  SUMPRODUCT(('Form responses 1'!$G$2:$G1000=$A57)*('Form responses 1'!$A$2:$A1000&lt;=EOMONTH(DATEVALUE("1 "&amp;AE$1),0)))
),2),"-")</f>
        <v>-</v>
      </c>
      <c r="AF57" s="2" t="str">
        <f>IFERROR(ROUND(Data!$B57/(
  SUMPRODUCT(('Form responses 1'!$B$2:$B1000=$A57)*('Form responses 1'!$A$2:$A1000&lt;=EOMONTH(DATEVALUE("1 "&amp;AF$1),0)))+
  SUMPRODUCT(('Form responses 1'!$C$2:$C1000=$A57)*('Form responses 1'!$A$2:$A1000&lt;=EOMONTH(DATEVALUE("1 "&amp;AF$1),0)))+
  SUMPRODUCT(('Form responses 1'!$D$2:$D1000=$A57)*('Form responses 1'!$A$2:$A1000&lt;=EOMONTH(DATEVALUE("1 "&amp;AF$1),0)))+
  SUMPRODUCT(('Form responses 1'!$E$2:$E1000=$A57)*('Form responses 1'!$A$2:$A1000&lt;=EOMONTH(DATEVALUE("1 "&amp;AF$1),0)))+
  SUMPRODUCT(('Form responses 1'!$F$2:$F1000=$A57)*('Form responses 1'!$A$2:$A1000&lt;=EOMONTH(DATEVALUE("1 "&amp;AF$1),0)))+
  SUMPRODUCT(('Form responses 1'!$G$2:$G1000=$A57)*('Form responses 1'!$A$2:$A1000&lt;=EOMONTH(DATEVALUE("1 "&amp;AF$1),0)))
),2),"-")</f>
        <v>-</v>
      </c>
      <c r="AG57" s="2" t="str">
        <f>IFERROR(ROUND(Data!$B57/(
  SUMPRODUCT(('Form responses 1'!$B$2:$B1000=$A57)*('Form responses 1'!$A$2:$A1000&lt;=EOMONTH(DATEVALUE("1 "&amp;AG$1),0)))+
  SUMPRODUCT(('Form responses 1'!$C$2:$C1000=$A57)*('Form responses 1'!$A$2:$A1000&lt;=EOMONTH(DATEVALUE("1 "&amp;AG$1),0)))+
  SUMPRODUCT(('Form responses 1'!$D$2:$D1000=$A57)*('Form responses 1'!$A$2:$A1000&lt;=EOMONTH(DATEVALUE("1 "&amp;AG$1),0)))+
  SUMPRODUCT(('Form responses 1'!$E$2:$E1000=$A57)*('Form responses 1'!$A$2:$A1000&lt;=EOMONTH(DATEVALUE("1 "&amp;AG$1),0)))+
  SUMPRODUCT(('Form responses 1'!$F$2:$F1000=$A57)*('Form responses 1'!$A$2:$A1000&lt;=EOMONTH(DATEVALUE("1 "&amp;AG$1),0)))+
  SUMPRODUCT(('Form responses 1'!$G$2:$G1000=$A57)*('Form responses 1'!$A$2:$A1000&lt;=EOMONTH(DATEVALUE("1 "&amp;AG$1),0)))
),2),"-")</f>
        <v>-</v>
      </c>
      <c r="AH57" s="2" t="str">
        <f>IFERROR(ROUND(Data!$B57/(
  SUMPRODUCT(('Form responses 1'!$B$2:$B1000=$A57)*('Form responses 1'!$A$2:$A1000&lt;=EOMONTH(DATEVALUE("1 "&amp;AH$1),0)))+
  SUMPRODUCT(('Form responses 1'!$C$2:$C1000=$A57)*('Form responses 1'!$A$2:$A1000&lt;=EOMONTH(DATEVALUE("1 "&amp;AH$1),0)))+
  SUMPRODUCT(('Form responses 1'!$D$2:$D1000=$A57)*('Form responses 1'!$A$2:$A1000&lt;=EOMONTH(DATEVALUE("1 "&amp;AH$1),0)))+
  SUMPRODUCT(('Form responses 1'!$E$2:$E1000=$A57)*('Form responses 1'!$A$2:$A1000&lt;=EOMONTH(DATEVALUE("1 "&amp;AH$1),0)))+
  SUMPRODUCT(('Form responses 1'!$F$2:$F1000=$A57)*('Form responses 1'!$A$2:$A1000&lt;=EOMONTH(DATEVALUE("1 "&amp;AH$1),0)))+
  SUMPRODUCT(('Form responses 1'!$G$2:$G1000=$A57)*('Form responses 1'!$A$2:$A1000&lt;=EOMONTH(DATEVALUE("1 "&amp;AH$1),0)))
),2),"-")</f>
        <v>-</v>
      </c>
      <c r="AI57" s="2" t="str">
        <f>IFERROR(ROUND(Data!$B57/(
  SUMPRODUCT(('Form responses 1'!$B$2:$B1000=$A57)*('Form responses 1'!$A$2:$A1000&lt;=EOMONTH(DATEVALUE("1 "&amp;AI$1),0)))+
  SUMPRODUCT(('Form responses 1'!$C$2:$C1000=$A57)*('Form responses 1'!$A$2:$A1000&lt;=EOMONTH(DATEVALUE("1 "&amp;AI$1),0)))+
  SUMPRODUCT(('Form responses 1'!$D$2:$D1000=$A57)*('Form responses 1'!$A$2:$A1000&lt;=EOMONTH(DATEVALUE("1 "&amp;AI$1),0)))+
  SUMPRODUCT(('Form responses 1'!$E$2:$E1000=$A57)*('Form responses 1'!$A$2:$A1000&lt;=EOMONTH(DATEVALUE("1 "&amp;AI$1),0)))+
  SUMPRODUCT(('Form responses 1'!$F$2:$F1000=$A57)*('Form responses 1'!$A$2:$A1000&lt;=EOMONTH(DATEVALUE("1 "&amp;AI$1),0)))+
  SUMPRODUCT(('Form responses 1'!$G$2:$G1000=$A57)*('Form responses 1'!$A$2:$A1000&lt;=EOMONTH(DATEVALUE("1 "&amp;AI$1),0)))
),2),"-")</f>
        <v>-</v>
      </c>
      <c r="AJ57" s="2" t="str">
        <f>IFERROR(ROUND(Data!$B57/(
  SUMPRODUCT(('Form responses 1'!$B$2:$B1000=$A57)*('Form responses 1'!$A$2:$A1000&lt;=EOMONTH(DATEVALUE("1 "&amp;AJ$1),0)))+
  SUMPRODUCT(('Form responses 1'!$C$2:$C1000=$A57)*('Form responses 1'!$A$2:$A1000&lt;=EOMONTH(DATEVALUE("1 "&amp;AJ$1),0)))+
  SUMPRODUCT(('Form responses 1'!$D$2:$D1000=$A57)*('Form responses 1'!$A$2:$A1000&lt;=EOMONTH(DATEVALUE("1 "&amp;AJ$1),0)))+
  SUMPRODUCT(('Form responses 1'!$E$2:$E1000=$A57)*('Form responses 1'!$A$2:$A1000&lt;=EOMONTH(DATEVALUE("1 "&amp;AJ$1),0)))+
  SUMPRODUCT(('Form responses 1'!$F$2:$F1000=$A57)*('Form responses 1'!$A$2:$A1000&lt;=EOMONTH(DATEVALUE("1 "&amp;AJ$1),0)))+
  SUMPRODUCT(('Form responses 1'!$G$2:$G1000=$A57)*('Form responses 1'!$A$2:$A1000&lt;=EOMONTH(DATEVALUE("1 "&amp;AJ$1),0)))
),2),"-")</f>
        <v>-</v>
      </c>
      <c r="AK57" s="2" t="str">
        <f>IFERROR(ROUND(Data!$B57/(
  SUMPRODUCT(('Form responses 1'!$B$2:$B1000=$A57)*('Form responses 1'!$A$2:$A1000&lt;=EOMONTH(DATEVALUE("1 "&amp;AK$1),0)))+
  SUMPRODUCT(('Form responses 1'!$C$2:$C1000=$A57)*('Form responses 1'!$A$2:$A1000&lt;=EOMONTH(DATEVALUE("1 "&amp;AK$1),0)))+
  SUMPRODUCT(('Form responses 1'!$D$2:$D1000=$A57)*('Form responses 1'!$A$2:$A1000&lt;=EOMONTH(DATEVALUE("1 "&amp;AK$1),0)))+
  SUMPRODUCT(('Form responses 1'!$E$2:$E1000=$A57)*('Form responses 1'!$A$2:$A1000&lt;=EOMONTH(DATEVALUE("1 "&amp;AK$1),0)))+
  SUMPRODUCT(('Form responses 1'!$F$2:$F1000=$A57)*('Form responses 1'!$A$2:$A1000&lt;=EOMONTH(DATEVALUE("1 "&amp;AK$1),0)))+
  SUMPRODUCT(('Form responses 1'!$G$2:$G1000=$A57)*('Form responses 1'!$A$2:$A1000&lt;=EOMONTH(DATEVALUE("1 "&amp;AK$1),0)))
),2),"-")</f>
        <v>-</v>
      </c>
      <c r="AL57" s="2" t="str">
        <f>IFERROR(ROUND(Data!$B57/(
  SUMPRODUCT(('Form responses 1'!$B$2:$B1000=$A57)*('Form responses 1'!$A$2:$A1000&lt;=EOMONTH(DATEVALUE("1 "&amp;AL$1),0)))+
  SUMPRODUCT(('Form responses 1'!$C$2:$C1000=$A57)*('Form responses 1'!$A$2:$A1000&lt;=EOMONTH(DATEVALUE("1 "&amp;AL$1),0)))+
  SUMPRODUCT(('Form responses 1'!$D$2:$D1000=$A57)*('Form responses 1'!$A$2:$A1000&lt;=EOMONTH(DATEVALUE("1 "&amp;AL$1),0)))+
  SUMPRODUCT(('Form responses 1'!$E$2:$E1000=$A57)*('Form responses 1'!$A$2:$A1000&lt;=EOMONTH(DATEVALUE("1 "&amp;AL$1),0)))+
  SUMPRODUCT(('Form responses 1'!$F$2:$F1000=$A57)*('Form responses 1'!$A$2:$A1000&lt;=EOMONTH(DATEVALUE("1 "&amp;AL$1),0)))+
  SUMPRODUCT(('Form responses 1'!$G$2:$G1000=$A57)*('Form responses 1'!$A$2:$A1000&lt;=EOMONTH(DATEVALUE("1 "&amp;AL$1),0)))
),2),"-")</f>
        <v>-</v>
      </c>
    </row>
    <row r="58">
      <c r="A58" s="3" t="str">
        <f>IFERROR(__xludf.DUMMYFUNCTION("""COMPUTED_VALUE"""),"Oude blouse papa")</f>
        <v>Oude blouse papa</v>
      </c>
      <c r="B58" s="2">
        <f>Data!F56:F1000</f>
        <v>0</v>
      </c>
      <c r="C58" s="2">
        <f>IFERROR(ROUND(Data!B56/(SUMPRODUCT(('Form responses 1'!$B$2:$B1000 = A58) * ('Form responses 1'!$A$2:$A1000 &lt;= DATE(2024, 1, 31)))
+ SUMPRODUCT(('Form responses 1'!$C$2:$C1000 = A58) * ('Form responses 1'!$A$2:$A1000 &lt;= DATE(2024, 1, 31)))
+ SUMPRODUCT(('Form responses 1'!$D$2:$D1000 = A58) * ('Form responses 1'!$A$2:$A1000 &lt;= DATE(2024, 1, 31)))
+ SUMPRODUCT(('Form responses 1'!$E$2:$E1000 = A58) * ('Form responses 1'!$A$2:$A1000 &lt;= DATE(2024, 1, 31)))
+ SUMPRODUCT(('Form responses 1'!$F$2:$F1000 = A58) * ('Form responses 1'!$A$2:$A1000 &lt;= DATE(2024, 1, 31)))
+ SUMPRODUCT(('Form responses 1'!$G$2:$G1000 = A58) * ('Form responses 1'!$A$2:$A1000 &lt;= DATE(2024, 1, 31)))), 2), "-")
</f>
        <v>0.86</v>
      </c>
      <c r="D58" s="2">
        <f>IFERROR(ROUND(Data!B56/(SUMPRODUCT(('Form responses 1'!$B$2:$B1000 = A58) * ('Form responses 1'!$A$2:$A1000 &lt;= DATE(2024, 2, 29)))
+ SUMPRODUCT(('Form responses 1'!$C$2:$C1000 = A58) * ('Form responses 1'!$A$2:$A1000 &lt;= DATE(2024, 2, 29)))
+ SUMPRODUCT(('Form responses 1'!$D$2:$D1000 = A58) * ('Form responses 1'!$A$2:$A1000 &lt;= DATE(2024, 2, 29)))
+ SUMPRODUCT(('Form responses 1'!$E$2:$E1000 = A58) * ('Form responses 1'!$A$2:$A1000 &lt;= DATE(2024, 2, 29)))
+ SUMPRODUCT(('Form responses 1'!$F$2:$F1000 = A58) * ('Form responses 1'!$A$2:$A1000 &lt;= DATE(2024, 2, 29)))
+ SUMPRODUCT(('Form responses 1'!$G$2:$G1000 = A58) * ('Form responses 1'!$A$2:$A1000 &lt;= DATE(2024, 2, 29)))), 2), "-")
</f>
        <v>0.86</v>
      </c>
      <c r="E58" s="2">
        <f>IFERROR(ROUND(Data!B56/(SUMPRODUCT(('Form responses 1'!$B$2:$B1000 = A58) * ('Form responses 1'!$A$2:$A1000 &lt;= DATE(2024, 3, 31)))
+ SUMPRODUCT(('Form responses 1'!$C$2:$C1000 = A58) * ('Form responses 1'!$A$2:$A1000 &lt;= DATE(2024, 3, 31)))
+ SUMPRODUCT(('Form responses 1'!$D$2:$D1000 = A58) * ('Form responses 1'!$A$2:$A1000 &lt;= DATE(2024, 3, 31)))
+ SUMPRODUCT(('Form responses 1'!$E$2:$E1000 = A58) * ('Form responses 1'!$A$2:$A1000 &lt;= DATE(2024, 3, 31)))
+ SUMPRODUCT(('Form responses 1'!$F$2:$F1000 = A58) * ('Form responses 1'!$A$2:$A1000 &lt;= DATE(2024, 3, 31)))
+ SUMPRODUCT(('Form responses 1'!$G$2:$G1000 = A58) * ('Form responses 1'!$A$2:$A1000 &lt;= DATE(2024, 3, 31)))), 2), "-")
</f>
        <v>0.86</v>
      </c>
      <c r="F58" s="2">
        <f>IFERROR(ROUND(Data!B56/(SUMPRODUCT(('Form responses 1'!$B$2:$B1000 = A58) * ('Form responses 1'!$A$2:$A1000 &lt;= DATE(2024, 4, 30)))
+ SUMPRODUCT(('Form responses 1'!$C$2:$C1000 = A58) * ('Form responses 1'!$A$2:$A1000 &lt;= DATE(2024, 4, 30)))
+ SUMPRODUCT(('Form responses 1'!$D$2:$D1000 = A58) * ('Form responses 1'!$A$2:$A1000 &lt;= DATE(2024, 4, 30)))
+ SUMPRODUCT(('Form responses 1'!$E$2:$E1000 = A58) * ('Form responses 1'!$A$2:$A1000 &lt;= DATE(2024, 4, 30)))
+ SUMPRODUCT(('Form responses 1'!$F$2:$F1000 = A58) * ('Form responses 1'!$A$2:$A1000 &lt;= DATE(2024, 4, 30)))
+ SUMPRODUCT(('Form responses 1'!$G$2:$G1000 = A58) * ('Form responses 1'!$A$2:$A1000 &lt;= DATE(2024, 4, 30)))), 2), "-")
</f>
        <v>0.78</v>
      </c>
      <c r="G58" s="2">
        <f>IFERROR(ROUND(Data!B56/(SUMPRODUCT(('Form responses 1'!$B$2:$B1000 = A58) * ('Form responses 1'!$A$2:$A1000 &lt;= DATE(2024, 5, 31)))
+ SUMPRODUCT(('Form responses 1'!$C$2:$C1000 = A58) * ('Form responses 1'!$A$2:$A1000 &lt;= DATE(2024, 5, 31)))
+ SUMPRODUCT(('Form responses 1'!$D$2:$D1000 = A58) * ('Form responses 1'!$A$2:$A1000 &lt;= DATE(2024, 5, 31)))
+ SUMPRODUCT(('Form responses 1'!$E$2:$E1000 = A58) * ('Form responses 1'!$A$2:$A1000 &lt;= DATE(2024, 5, 31)))
+ SUMPRODUCT(('Form responses 1'!$F$2:$F1000 = A58) * ('Form responses 1'!$A$2:$A1000 &lt;= DATE(2024, 5, 31)))
+ SUMPRODUCT(('Form responses 1'!$G$2:$G1000 = A58) * ('Form responses 1'!$A$2:$A1000 &lt;= DATE(2024, 5, 31)))), 2), "-")
</f>
        <v>0.78</v>
      </c>
      <c r="H58" s="2">
        <f>IFERROR(ROUND(Data!B56/(SUMPRODUCT(('Form responses 1'!$B$2:$B1000 = A58) * ('Form responses 1'!$A$2:$A1000 &lt;= DATE(2024, 6, 30)))
+ SUMPRODUCT(('Form responses 1'!$C$2:$C1000 = A58) * ('Form responses 1'!$A$2:$A1000 &lt;= DATE(2024, 6, 30)))
+ SUMPRODUCT(('Form responses 1'!$D$2:$D1000 = A58) * ('Form responses 1'!$A$2:$A1000 &lt;= DATE(2024, 6, 30)))
+ SUMPRODUCT(('Form responses 1'!$E$2:$E1000 = A58) * ('Form responses 1'!$A$2:$A1000 &lt;= DATE(2024, 6, 30)))
+ SUMPRODUCT(('Form responses 1'!$F$2:$F1000 = A58) * ('Form responses 1'!$A$2:$A1000 &lt;= DATE(2024, 6, 30)))
+ SUMPRODUCT(('Form responses 1'!$G$2:$G1000 = A58) * ('Form responses 1'!$A$2:$A1000 &lt;= DATE(2024, 6, 30)))), 2), "-")
</f>
        <v>0.78</v>
      </c>
      <c r="I58" s="2">
        <f>IFERROR(ROUND(Data!B56/(SUMPRODUCT(('Form responses 1'!$B$2:$B1000 = A58) * ('Form responses 1'!$A$2:$A1000 &lt;= DATE(2024, 7, 31)))
+ SUMPRODUCT(('Form responses 1'!$C$2:$C1000 = A58) * ('Form responses 1'!$A$2:$A1000 &lt;= DATE(2024, 7, 31)))
+ SUMPRODUCT(('Form responses 1'!$D$2:$D1000 = A58) * ('Form responses 1'!$A$2:$A1000 &lt;= DATE(2024, 7, 31)))
+ SUMPRODUCT(('Form responses 1'!$E$2:$E1000 = A58) * ('Form responses 1'!$A$2:$A1000 &lt;= DATE(2024, 7, 31)))
+ SUMPRODUCT(('Form responses 1'!$F$2:$F1000 = A58) * ('Form responses 1'!$A$2:$A1000 &lt;= DATE(2024, 7, 31)))
+ SUMPRODUCT(('Form responses 1'!$G$2:$G1000 = A58) * ('Form responses 1'!$A$2:$A1000 &lt;= DATE(2024, 7, 31)))), 2), "-")
</f>
        <v>0.78</v>
      </c>
      <c r="J58" s="2">
        <f>IFERROR(ROUND(Data!B56/(SUMPRODUCT(('Form responses 1'!$B$2:$B1000 = A58) * ('Form responses 1'!$A$2:$A1000 &lt;= DATE(2024, 8, 31)))
+ SUMPRODUCT(('Form responses 1'!$C$2:$C1000 = A58) * ('Form responses 1'!$A$2:$A1000 &lt;= DATE(2024, 8, 31)))
+ SUMPRODUCT(('Form responses 1'!$D$2:$D1000 = A58) * ('Form responses 1'!$A$2:$A1000 &lt;= DATE(2024, 8, 31)))
+ SUMPRODUCT(('Form responses 1'!$E$2:$E1000 = A58) * ('Form responses 1'!$A$2:$A1000 &lt;= DATE(2024, 8, 31)))
+ SUMPRODUCT(('Form responses 1'!$F$2:$F1000 = A58) * ('Form responses 1'!$A$2:$A1000 &lt;= DATE(2024, 8, 31)))
+ SUMPRODUCT(('Form responses 1'!$G$2:$G1000 = A58) * ('Form responses 1'!$A$2:$A1000 &lt;= DATE(2024, 8, 31)))), 2), "-")
</f>
        <v>0.76</v>
      </c>
      <c r="K58" s="2">
        <f>IFERROR(ROUND(Data!B56/(SUMPRODUCT(('Form responses 1'!$B$2:$B1000 = A58) * ('Form responses 1'!$A$2:$A1000 &lt;= DATE(2024, 9, 30)))
+ SUMPRODUCT(('Form responses 1'!$C$2:$C1000 = A58) * ('Form responses 1'!$A$2:$A1000 &lt;= DATE(2024, 9, 30)))
+ SUMPRODUCT(('Form responses 1'!$D$2:$D1000 = A58) * ('Form responses 1'!$A$2:$A1000 &lt;= DATE(2024, 9, 30)))
+ SUMPRODUCT(('Form responses 1'!$E$2:$E1000 = A58) * ('Form responses 1'!$A$2:$A1000 &lt;= DATE(2024, 9, 30)))
+ SUMPRODUCT(('Form responses 1'!$F$2:$F1000 = A58) * ('Form responses 1'!$A$2:$A1000 &lt;= DATE(2024, 9, 30)))
+ SUMPRODUCT(('Form responses 1'!$G$2:$G1000 = A58) * ('Form responses 1'!$A$2:$A1000 &lt;= DATE(2024, 9, 30)))), 2), "-")
</f>
        <v>0.76</v>
      </c>
      <c r="L58" s="2">
        <f>IFERROR(ROUND(Data!B56/(SUMPRODUCT(('Form responses 1'!$B$2:$B1000 = A58) * ('Form responses 1'!$A$2:$A1000 &lt;= DATE(2024, 10, 31)))
+ SUMPRODUCT(('Form responses 1'!$C$2:$C1000 = A58) * ('Form responses 1'!$A$2:$A1000 &lt;= DATE(2024, 10, 31)))
+ SUMPRODUCT(('Form responses 1'!$D$2:$D1000 = A58) * ('Form responses 1'!$A$2:$A1000 &lt;= DATE(2024, 10, 31)))
+ SUMPRODUCT(('Form responses 1'!$E$2:$E1000 = A58) * ('Form responses 1'!$A$2:$A1000 &lt;= DATE(2024, 10, 31)))
+ SUMPRODUCT(('Form responses 1'!$F$2:$F1000 = A58) * ('Form responses 1'!$A$2:$A1000 &lt;= DATE(2024, 10, 31)))
+ SUMPRODUCT(('Form responses 1'!$G$2:$G1000 = A58) * ('Form responses 1'!$A$2:$A1000 &lt;= DATE(2024, 10, 31)))), 2), "-")
</f>
        <v>0.76</v>
      </c>
      <c r="M58" s="2">
        <f>IFERROR(ROUND(Data!B56/(SUMPRODUCT(('Form responses 1'!$B$2:$B1000 = A58) * ('Form responses 1'!$A$2:$A1000 &lt;= DATE(2024, 11, 30)))
+ SUMPRODUCT(('Form responses 1'!$C$2:$C1000 = A58) * ('Form responses 1'!$A$2:$A1000 &lt;= DATE(2024, 11, 30)))
+ SUMPRODUCT(('Form responses 1'!$D$2:$D1000 = A58) * ('Form responses 1'!$A$2:$A1000 &lt;= DATE(2024, 11, 30)))
+ SUMPRODUCT(('Form responses 1'!$E$2:$E1000 = A58) * ('Form responses 1'!$A$2:$A1000 &lt;= DATE(2024, 11, 30)))
+ SUMPRODUCT(('Form responses 1'!$F$2:$F1000 = A58) * ('Form responses 1'!$A$2:$A1000 &lt;= DATE(2024, 11, 30)))
+ SUMPRODUCT(('Form responses 1'!$G$2:$G1000 = A58) * ('Form responses 1'!$A$2:$A1000 &lt;= DATE(2024, 11, 30)))), 2), "-")
</f>
        <v>0.76</v>
      </c>
      <c r="N58" s="2">
        <f>IFERROR(ROUND(Data!B56/(SUMPRODUCT(('Form responses 1'!$B$2:$B1000 = A58) * ('Form responses 1'!$A$2:$A1000 &lt;= DATE(2024, 12, 31)))
+ SUMPRODUCT(('Form responses 1'!$C$2:$C1000 = A58) * ('Form responses 1'!$A$2:$A1000 &lt;= DATE(2024, 12, 31)))
+ SUMPRODUCT(('Form responses 1'!$D$2:$D1000 = A58) * ('Form responses 1'!$A$2:$A1000 &lt;= DATE(2024, 12, 31)))
+ SUMPRODUCT(('Form responses 1'!$E$2:$E1000 = A58) * ('Form responses 1'!$A$2:$A1000 &lt;= DATE(2024, 12, 31)))
+ SUMPRODUCT(('Form responses 1'!$F$2:$F1000 = A58) * ('Form responses 1'!$A$2:$A1000 &lt;= DATE(2024, 12, 31)))
+ SUMPRODUCT(('Form responses 1'!$G$2:$G1000 = A58) * ('Form responses 1'!$A$2:$A1000 &lt;= DATE(2024, 12, 31)))), 2), "-")
</f>
        <v>0.76</v>
      </c>
      <c r="O58" s="2">
        <f>IFERROR(ROUND(Data!B56/(SUMPRODUCT(('Form responses 1'!$B$2:$B1000 = A58) * ('Form responses 1'!$A$2:$A1000 &lt;= DATE(2025, 1, 31)))
+ SUMPRODUCT(('Form responses 1'!$C$2:$C1000 = A58) * ('Form responses 1'!$A$2:$A1000 &lt;= DATE(2025, 1, 31)))
+ SUMPRODUCT(('Form responses 1'!$D$2:$D1000 = A58) * ('Form responses 1'!$A$2:$A1000 &lt;= DATE(2025, 1, 31)))
+ SUMPRODUCT(('Form responses 1'!$E$2:$E1000 = A58) * ('Form responses 1'!$A$2:$A1000 &lt;= DATE(2025, 1, 31)))
+ SUMPRODUCT(('Form responses 1'!$F$2:$F1000 = A58) * ('Form responses 1'!$A$2:$A1000 &lt;= DATE(2025, 1, 31)))
+ SUMPRODUCT(('Form responses 1'!$G$2:$G1000 = A58) * ('Form responses 1'!$A$2:$A1000 &lt;= DATE(2025, 1, 31)))), 2), "-")
</f>
        <v>0.76</v>
      </c>
      <c r="P58" s="2">
        <f>IFERROR(ROUND(Data!B56/(SUMPRODUCT(('Form responses 1'!$B$2:$B1000 = A58) * ('Form responses 1'!$A$2:$A1000 &lt;= DATE(2025, 2, 28)))
+ SUMPRODUCT(('Form responses 1'!$C$2:$C1000 = A58) * ('Form responses 1'!$A$2:$A1000 &lt;= DATE(2025, 2, 28)))
+ SUMPRODUCT(('Form responses 1'!$D$2:$D1000 = A58) * ('Form responses 1'!$A$2:$A1000 &lt;= DATE(2025, 2, 28)))
+ SUMPRODUCT(('Form responses 1'!$E$2:$E1000 = A58) * ('Form responses 1'!$A$2:$A1000 &lt;= DATE(2025, 2, 28)))
+ SUMPRODUCT(('Form responses 1'!$F$2:$F1000 = A58) * ('Form responses 1'!$A$2:$A1000 &lt;= DATE(2025, 2, 28)))
+ SUMPRODUCT(('Form responses 1'!$G$2:$G1000 = A58) * ('Form responses 1'!$A$2:$A1000 &lt;= DATE(2025, 2, 28)))), 2), "-")
</f>
        <v>0.76</v>
      </c>
      <c r="Q58" s="2">
        <f>IFERROR(ROUND(Data!B56/(SUMPRODUCT(('Form responses 1'!$B$2:$B1000 = A58) * ('Form responses 1'!$A$2:$A1000 &lt;= DATE(2025, 3, 31)))
+ SUMPRODUCT(('Form responses 1'!$C$2:$C1000 = A58) * ('Form responses 1'!$A$2:$A1000 &lt;= DATE(2025, 3, 31)))
+ SUMPRODUCT(('Form responses 1'!$D$2:$D1000 = A58) * ('Form responses 1'!$A$2:$A1000 &lt;= DATE(2025, 3, 31)))
+ SUMPRODUCT(('Form responses 1'!$E$2:$E1000 = A58) * ('Form responses 1'!$A$2:$A1000 &lt;= DATE(2025, 3, 31)))
+ SUMPRODUCT(('Form responses 1'!$F$2:$F1000 = A58) * ('Form responses 1'!$A$2:$A1000 &lt;= DATE(2025, 3, 31)))
+ SUMPRODUCT(('Form responses 1'!$G$2:$G1000 = A58) * ('Form responses 1'!$A$2:$A1000 &lt;= DATE(2025, 3, 31)))),2),"-")</f>
        <v>0.76</v>
      </c>
      <c r="R58" s="2">
        <f>IFERROR(ROUND(Data!B56/(SUMPRODUCT(('Form responses 1'!$B$2:$B1000 = A58) * ('Form responses 1'!$A$2:$A1000 &lt;= DATE(2025, 4, 30)))
+ SUMPRODUCT(('Form responses 1'!$C$2:$C1000 = A58) * ('Form responses 1'!$A$2:$A1000 &lt;= DATE(2025, 4, 30)))
+ SUMPRODUCT(('Form responses 1'!$D$2:$D1000 = A58) * ('Form responses 1'!$A$2:$A1000 &lt;= DATE(2025, 4, 30)))
+ SUMPRODUCT(('Form responses 1'!$E$2:$E1000 = A58) * ('Form responses 1'!$A$2:$A1000 &lt;= DATE(2025, 4, 30)))
+ SUMPRODUCT(('Form responses 1'!$F$2:$F1000 = A58) * ('Form responses 1'!$A$2:$A1000 &lt;= DATE(2025, 4, 30)))
+ SUMPRODUCT(('Form responses 1'!$G$2:$G1000 = A58) * ('Form responses 1'!$A$2:$A1000 &lt;= DATE(2025, 4, 30)))), 2), "-")
</f>
        <v>0.76</v>
      </c>
      <c r="S58" s="2">
        <f>IFERROR(ROUND(Data!B56/(SUMPRODUCT(('Form responses 1'!$B$2:$B1000 = A58) * ('Form responses 1'!$A$2:$A1000 &lt;= DATE(2025, 5, 31)))
+ SUMPRODUCT(('Form responses 1'!$C$2:$C1000 = A58) * ('Form responses 1'!$A$2:$A1000 &lt;= DATE(2025, 5, 31)))
+ SUMPRODUCT(('Form responses 1'!$D$2:$D1000 = A58) * ('Form responses 1'!$A$2:$A1000 &lt;= DATE(2025, 5, 31)))
+ SUMPRODUCT(('Form responses 1'!$E$2:$E1000 = A58) * ('Form responses 1'!$A$2:$A1000 &lt;= DATE(2025, 5, 31)))
+ SUMPRODUCT(('Form responses 1'!$F$2:$F1000 = A58) * ('Form responses 1'!$A$2:$A1000 &lt;= DATE(2025, 5, 31)))
+ SUMPRODUCT(('Form responses 1'!$G$2:$G1000 = A58) * ('Form responses 1'!$A$2:$A1000 &lt;= DATE(2025, 5, 31)))), 2), "-")
</f>
        <v>0.76</v>
      </c>
      <c r="T58" s="2">
        <f>IFERROR(ROUND(Data!B56/(SUMPRODUCT(('Form responses 1'!$B$2:$B1000 = A58) * ('Form responses 1'!$A$2:$A1000 &lt;= DATE(2025, 6, 30)))
+ SUMPRODUCT(('Form responses 1'!$C$2:$C1000 = A58) * ('Form responses 1'!$A$2:$A1000 &lt;= DATE(2025, 6, 30)))
+ SUMPRODUCT(('Form responses 1'!$D$2:$D1000 = A58) * ('Form responses 1'!$A$2:$A1000 &lt;= DATE(2025, 6, 30)))
+ SUMPRODUCT(('Form responses 1'!$E$2:$E1000 = A58) * ('Form responses 1'!$A$2:$A1000 &lt;= DATE(2025, 6, 30)))
+ SUMPRODUCT(('Form responses 1'!$F$2:$F1000 = A58) * ('Form responses 1'!$A$2:$A1000 &lt;= DATE(2025, 6, 30)))
+ SUMPRODUCT(('Form responses 1'!$G$2:$G1000 = A58) * ('Form responses 1'!$A$2:$A1000 &lt;= DATE(2025, 6, 30)))), 2), "-")
</f>
        <v>0.76</v>
      </c>
      <c r="U58" s="2">
        <f>IFERROR(ROUND(Data!B56/(SUMPRODUCT(('Form responses 1'!$B$2:$B1000 = A58) * ('Form responses 1'!$A$2:$A1000 &lt;= DATE(2025, 7, 31)))
+ SUMPRODUCT(('Form responses 1'!$C$2:$C1000 = A58) * ('Form responses 1'!$A$2:$A1000 &lt;= DATE(2025, 7, 31)))
+ SUMPRODUCT(('Form responses 1'!$D$2:$D1000 = A58) * ('Form responses 1'!$A$2:$A1000 &lt;= DATE(2025, 7, 31)))
+ SUMPRODUCT(('Form responses 1'!$E$2:$E1000 = A58) * ('Form responses 1'!$A$2:$A1000 &lt;= DATE(2025, 7, 31)))
+ SUMPRODUCT(('Form responses 1'!$F$2:$F1000 = A58) * ('Form responses 1'!$A$2:$A1000 &lt;= DATE(2025, 7, 31)))
+ SUMPRODUCT(('Form responses 1'!$G$2:$G1000 = A58) * ('Form responses 1'!$A$2:$A1000 &lt;= DATE(2025, 7, 31)))), 2), "-")
</f>
        <v>0.76</v>
      </c>
      <c r="V58" s="2">
        <f>IFERROR(ROUND(Data!B56/(SUMPRODUCT(('Form responses 1'!$B$2:$B1000 = A58) * ('Form responses 1'!$A$2:$A1000 &lt;= DATE(2025, 8, 31)))
+ SUMPRODUCT(('Form responses 1'!$C$2:$C1000 = A58) * ('Form responses 1'!$A$2:$A1000 &lt;= DATE(2025, 8, 31)))
+ SUMPRODUCT(('Form responses 1'!$D$2:$D1000 = A58) * ('Form responses 1'!$A$2:$A1000 &lt;= DATE(2025, 8, 31)))
+ SUMPRODUCT(('Form responses 1'!$E$2:$E1000 = A58) * ('Form responses 1'!$A$2:$A1000 &lt;= DATE(2025, 8, 31)))
+ SUMPRODUCT(('Form responses 1'!$F$2:$F1000 = A58) * ('Form responses 1'!$A$2:$A1000 &lt;= DATE(2025, 8, 31)))
+ SUMPRODUCT(('Form responses 1'!$G$2:$G1000 = A58) * ('Form responses 1'!$A$2:$A1000 &lt;= DATE(2025, 8, 31)))), 2), "-")
</f>
        <v>0.76</v>
      </c>
      <c r="W58" s="2">
        <f>IFERROR(ROUND(Data!B56/(SUMPRODUCT(('Form responses 1'!$B$2:$B1000 = A58) * ('Form responses 1'!$A$2:$A1000 &lt;= DATE(2025, 9, 30)))
+ SUMPRODUCT(('Form responses 1'!$C$2:$C1000 = A58) * ('Form responses 1'!$A$2:$A1000 &lt;= DATE(2025, 9, 30)))
+ SUMPRODUCT(('Form responses 1'!$D$2:$D1000 = A58) * ('Form responses 1'!$A$2:$A1000 &lt;= DATE(2025, 9, 30)))
+ SUMPRODUCT(('Form responses 1'!$E$2:$E1000 = A58) * ('Form responses 1'!$A$2:$A1000 &lt;= DATE(2025, 9, 30)))
+ SUMPRODUCT(('Form responses 1'!$F$2:$F1000 = A58) * ('Form responses 1'!$A$2:$A1000 &lt;= DATE(2025, 9, 30)))
+ SUMPRODUCT(('Form responses 1'!$G$2:$G1000 = A58) * ('Form responses 1'!$A$2:$A1000 &lt;= DATE(2025, 9, 30)))), 2), "-")
</f>
        <v>0.76</v>
      </c>
      <c r="X58" s="2">
        <f>IFERROR(ROUND(Data!B56/(SUMPRODUCT(('Form responses 1'!$B$2:$B1000 = A58) * ('Form responses 1'!$A$2:$A1000 &lt;= DATE(2025, 10, 31)))
+ SUMPRODUCT(('Form responses 1'!$C$2:$C1000 = A58) * ('Form responses 1'!$A$2:$A1000 &lt;= DATE(2025, 10, 31)))
+ SUMPRODUCT(('Form responses 1'!$D$2:$D1000 = A58) * ('Form responses 1'!$A$2:$A1000 &lt;= DATE(2025, 10, 31)))
+ SUMPRODUCT(('Form responses 1'!$E$2:$E1000 = A58) * ('Form responses 1'!$A$2:$A1000 &lt;= DATE(2025, 10, 31)))
+ SUMPRODUCT(('Form responses 1'!$F$2:$F1000 = A58) * ('Form responses 1'!$A$2:$A1000 &lt;= DATE(2025, 10, 31)))
+ SUMPRODUCT(('Form responses 1'!$G$2:$G1000 = A58) * ('Form responses 1'!$A$2:$A1000 &lt;= DATE(2025, 10, 31)))), 2), "-")
</f>
        <v>0.76</v>
      </c>
      <c r="Y58" s="2">
        <f>IFERROR(ROUND(Data!B56/(SUMPRODUCT(('Form responses 1'!$B$2:$B1000 = A58) * ('Form responses 1'!$A$2:$A1000 &lt;= DATE(2025, 11, 30)))
+ SUMPRODUCT(('Form responses 1'!$C$2:$C1000 = A58) * ('Form responses 1'!$A$2:$A1000 &lt;= DATE(2025, 11, 30)))
+ SUMPRODUCT(('Form responses 1'!$D$2:$D1000 = A58) * ('Form responses 1'!$A$2:$A1000 &lt;= DATE(2025, 11, 30)))
+ SUMPRODUCT(('Form responses 1'!$E$2:$E1000 = A58) * ('Form responses 1'!$A$2:$A1000 &lt;= DATE(2025, 11, 30)))
+ SUMPRODUCT(('Form responses 1'!$F$2:$F1000 = A58) * ('Form responses 1'!$A$2:$A1000 &lt;= DATE(2025, 11, 30)))
+ SUMPRODUCT(('Form responses 1'!$G$2:$G1000 = A58) * ('Form responses 1'!$A$2:$A1000 &lt;= DATE(2025, 11, 30)))), 2), "-")
</f>
        <v>0.76</v>
      </c>
      <c r="Z58" s="2">
        <f>IFERROR(ROUND(Data!B56/(SUMPRODUCT(('Form responses 1'!$B$2:$B1000 = A58) * ('Form responses 1'!$A$2:$A1000 &lt;= DATE(2025, 12, 31)))
+ SUMPRODUCT(('Form responses 1'!$C$2:$C1000 = A58) * ('Form responses 1'!$A$2:$A1000 &lt;= DATE(2025, 12, 31)))
+ SUMPRODUCT(('Form responses 1'!$D$2:$D1000 = A58) * ('Form responses 1'!$A$2:$A1000 &lt;= DATE(2025, 12, 31)))
+ SUMPRODUCT(('Form responses 1'!$E$2:$E1000 = A58) * ('Form responses 1'!$A$2:$A1000 &lt;= DATE(2025, 12, 31)))
+ SUMPRODUCT(('Form responses 1'!$F$2:$F1000 = A58) * ('Form responses 1'!$A$2:$A1000 &lt;= DATE(2025, 12, 31)))
+ SUMPRODUCT(('Form responses 1'!$G$2:$G1000 = A58) * ('Form responses 1'!$A$2:$A1000 &lt;= DATE(2025, 12, 31)))), 2), "-")
</f>
        <v>0.76</v>
      </c>
      <c r="AA58" s="2">
        <f>IFERROR(ROUND(Data!$B58/(
  SUMPRODUCT(('Form responses 1'!$B$2:$B1000=$A58)*('Form responses 1'!$A$2:$A1000&lt;=EOMONTH(DATEVALUE("1 "&amp;AA$1),0)))+
  SUMPRODUCT(('Form responses 1'!$C$2:$C1000=$A58)*('Form responses 1'!$A$2:$A1000&lt;=EOMONTH(DATEVALUE("1 "&amp;AA$1),0)))+
  SUMPRODUCT(('Form responses 1'!$D$2:$D1000=$A58)*('Form responses 1'!$A$2:$A1000&lt;=EOMONTH(DATEVALUE("1 "&amp;AA$1),0)))+
  SUMPRODUCT(('Form responses 1'!$E$2:$E1000=$A58)*('Form responses 1'!$A$2:$A1000&lt;=EOMONTH(DATEVALUE("1 "&amp;AA$1),0)))+
  SUMPRODUCT(('Form responses 1'!$F$2:$F1000=$A58)*('Form responses 1'!$A$2:$A1000&lt;=EOMONTH(DATEVALUE("1 "&amp;AA$1),0)))+
  SUMPRODUCT(('Form responses 1'!$G$2:$G1000=$A58)*('Form responses 1'!$A$2:$A1000&lt;=EOMONTH(DATEVALUE("1 "&amp;AA$1),0)))
),2),"-")</f>
        <v>0</v>
      </c>
      <c r="AB58" s="2">
        <f>IFERROR(ROUND(Data!$B58/(
  SUMPRODUCT(('Form responses 1'!$B$2:$B1000=$A58)*('Form responses 1'!$A$2:$A1000&lt;=EOMONTH(DATEVALUE("1 "&amp;AB$1),0)))+
  SUMPRODUCT(('Form responses 1'!$C$2:$C1000=$A58)*('Form responses 1'!$A$2:$A1000&lt;=EOMONTH(DATEVALUE("1 "&amp;AB$1),0)))+
  SUMPRODUCT(('Form responses 1'!$D$2:$D1000=$A58)*('Form responses 1'!$A$2:$A1000&lt;=EOMONTH(DATEVALUE("1 "&amp;AB$1),0)))+
  SUMPRODUCT(('Form responses 1'!$E$2:$E1000=$A58)*('Form responses 1'!$A$2:$A1000&lt;=EOMONTH(DATEVALUE("1 "&amp;AB$1),0)))+
  SUMPRODUCT(('Form responses 1'!$F$2:$F1000=$A58)*('Form responses 1'!$A$2:$A1000&lt;=EOMONTH(DATEVALUE("1 "&amp;AB$1),0)))+
  SUMPRODUCT(('Form responses 1'!$G$2:$G1000=$A58)*('Form responses 1'!$A$2:$A1000&lt;=EOMONTH(DATEVALUE("1 "&amp;AB$1),0)))
),2),"-")</f>
        <v>0</v>
      </c>
      <c r="AC58" s="2">
        <f>IFERROR(ROUND(Data!$B58/(
  SUMPRODUCT(('Form responses 1'!$B$2:$B1000=$A58)*('Form responses 1'!$A$2:$A1000&lt;=EOMONTH(DATEVALUE("1 "&amp;AC$1),0)))+
  SUMPRODUCT(('Form responses 1'!$C$2:$C1000=$A58)*('Form responses 1'!$A$2:$A1000&lt;=EOMONTH(DATEVALUE("1 "&amp;AC$1),0)))+
  SUMPRODUCT(('Form responses 1'!$D$2:$D1000=$A58)*('Form responses 1'!$A$2:$A1000&lt;=EOMONTH(DATEVALUE("1 "&amp;AC$1),0)))+
  SUMPRODUCT(('Form responses 1'!$E$2:$E1000=$A58)*('Form responses 1'!$A$2:$A1000&lt;=EOMONTH(DATEVALUE("1 "&amp;AC$1),0)))+
  SUMPRODUCT(('Form responses 1'!$F$2:$F1000=$A58)*('Form responses 1'!$A$2:$A1000&lt;=EOMONTH(DATEVALUE("1 "&amp;AC$1),0)))+
  SUMPRODUCT(('Form responses 1'!$G$2:$G1000=$A58)*('Form responses 1'!$A$2:$A1000&lt;=EOMONTH(DATEVALUE("1 "&amp;AC$1),0)))
),2),"-")</f>
        <v>0</v>
      </c>
      <c r="AD58" s="2" t="str">
        <f>IFERROR(ROUND(Data!$B58/(
  SUMPRODUCT(('Form responses 1'!$B$2:$B1000=$A58)*('Form responses 1'!$A$2:$A1000&lt;=EOMONTH(DATEVALUE("1 "&amp;AD$1),0)))+
  SUMPRODUCT(('Form responses 1'!$C$2:$C1000=$A58)*('Form responses 1'!$A$2:$A1000&lt;=EOMONTH(DATEVALUE("1 "&amp;AD$1),0)))+
  SUMPRODUCT(('Form responses 1'!$D$2:$D1000=$A58)*('Form responses 1'!$A$2:$A1000&lt;=EOMONTH(DATEVALUE("1 "&amp;AD$1),0)))+
  SUMPRODUCT(('Form responses 1'!$E$2:$E1000=$A58)*('Form responses 1'!$A$2:$A1000&lt;=EOMONTH(DATEVALUE("1 "&amp;AD$1),0)))+
  SUMPRODUCT(('Form responses 1'!$F$2:$F1000=$A58)*('Form responses 1'!$A$2:$A1000&lt;=EOMONTH(DATEVALUE("1 "&amp;AD$1),0)))+
  SUMPRODUCT(('Form responses 1'!$G$2:$G1000=$A58)*('Form responses 1'!$A$2:$A1000&lt;=EOMONTH(DATEVALUE("1 "&amp;AD$1),0)))
),2),"-")</f>
        <v>-</v>
      </c>
      <c r="AE58" s="2" t="str">
        <f>IFERROR(ROUND(Data!$B58/(
  SUMPRODUCT(('Form responses 1'!$B$2:$B1000=$A58)*('Form responses 1'!$A$2:$A1000&lt;=EOMONTH(DATEVALUE("1 "&amp;AE$1),0)))+
  SUMPRODUCT(('Form responses 1'!$C$2:$C1000=$A58)*('Form responses 1'!$A$2:$A1000&lt;=EOMONTH(DATEVALUE("1 "&amp;AE$1),0)))+
  SUMPRODUCT(('Form responses 1'!$D$2:$D1000=$A58)*('Form responses 1'!$A$2:$A1000&lt;=EOMONTH(DATEVALUE("1 "&amp;AE$1),0)))+
  SUMPRODUCT(('Form responses 1'!$E$2:$E1000=$A58)*('Form responses 1'!$A$2:$A1000&lt;=EOMONTH(DATEVALUE("1 "&amp;AE$1),0)))+
  SUMPRODUCT(('Form responses 1'!$F$2:$F1000=$A58)*('Form responses 1'!$A$2:$A1000&lt;=EOMONTH(DATEVALUE("1 "&amp;AE$1),0)))+
  SUMPRODUCT(('Form responses 1'!$G$2:$G1000=$A58)*('Form responses 1'!$A$2:$A1000&lt;=EOMONTH(DATEVALUE("1 "&amp;AE$1),0)))
),2),"-")</f>
        <v>-</v>
      </c>
      <c r="AF58" s="2" t="str">
        <f>IFERROR(ROUND(Data!$B58/(
  SUMPRODUCT(('Form responses 1'!$B$2:$B1000=$A58)*('Form responses 1'!$A$2:$A1000&lt;=EOMONTH(DATEVALUE("1 "&amp;AF$1),0)))+
  SUMPRODUCT(('Form responses 1'!$C$2:$C1000=$A58)*('Form responses 1'!$A$2:$A1000&lt;=EOMONTH(DATEVALUE("1 "&amp;AF$1),0)))+
  SUMPRODUCT(('Form responses 1'!$D$2:$D1000=$A58)*('Form responses 1'!$A$2:$A1000&lt;=EOMONTH(DATEVALUE("1 "&amp;AF$1),0)))+
  SUMPRODUCT(('Form responses 1'!$E$2:$E1000=$A58)*('Form responses 1'!$A$2:$A1000&lt;=EOMONTH(DATEVALUE("1 "&amp;AF$1),0)))+
  SUMPRODUCT(('Form responses 1'!$F$2:$F1000=$A58)*('Form responses 1'!$A$2:$A1000&lt;=EOMONTH(DATEVALUE("1 "&amp;AF$1),0)))+
  SUMPRODUCT(('Form responses 1'!$G$2:$G1000=$A58)*('Form responses 1'!$A$2:$A1000&lt;=EOMONTH(DATEVALUE("1 "&amp;AF$1),0)))
),2),"-")</f>
        <v>-</v>
      </c>
      <c r="AG58" s="2" t="str">
        <f>IFERROR(ROUND(Data!$B58/(
  SUMPRODUCT(('Form responses 1'!$B$2:$B1000=$A58)*('Form responses 1'!$A$2:$A1000&lt;=EOMONTH(DATEVALUE("1 "&amp;AG$1),0)))+
  SUMPRODUCT(('Form responses 1'!$C$2:$C1000=$A58)*('Form responses 1'!$A$2:$A1000&lt;=EOMONTH(DATEVALUE("1 "&amp;AG$1),0)))+
  SUMPRODUCT(('Form responses 1'!$D$2:$D1000=$A58)*('Form responses 1'!$A$2:$A1000&lt;=EOMONTH(DATEVALUE("1 "&amp;AG$1),0)))+
  SUMPRODUCT(('Form responses 1'!$E$2:$E1000=$A58)*('Form responses 1'!$A$2:$A1000&lt;=EOMONTH(DATEVALUE("1 "&amp;AG$1),0)))+
  SUMPRODUCT(('Form responses 1'!$F$2:$F1000=$A58)*('Form responses 1'!$A$2:$A1000&lt;=EOMONTH(DATEVALUE("1 "&amp;AG$1),0)))+
  SUMPRODUCT(('Form responses 1'!$G$2:$G1000=$A58)*('Form responses 1'!$A$2:$A1000&lt;=EOMONTH(DATEVALUE("1 "&amp;AG$1),0)))
),2),"-")</f>
        <v>-</v>
      </c>
      <c r="AH58" s="2" t="str">
        <f>IFERROR(ROUND(Data!$B58/(
  SUMPRODUCT(('Form responses 1'!$B$2:$B1000=$A58)*('Form responses 1'!$A$2:$A1000&lt;=EOMONTH(DATEVALUE("1 "&amp;AH$1),0)))+
  SUMPRODUCT(('Form responses 1'!$C$2:$C1000=$A58)*('Form responses 1'!$A$2:$A1000&lt;=EOMONTH(DATEVALUE("1 "&amp;AH$1),0)))+
  SUMPRODUCT(('Form responses 1'!$D$2:$D1000=$A58)*('Form responses 1'!$A$2:$A1000&lt;=EOMONTH(DATEVALUE("1 "&amp;AH$1),0)))+
  SUMPRODUCT(('Form responses 1'!$E$2:$E1000=$A58)*('Form responses 1'!$A$2:$A1000&lt;=EOMONTH(DATEVALUE("1 "&amp;AH$1),0)))+
  SUMPRODUCT(('Form responses 1'!$F$2:$F1000=$A58)*('Form responses 1'!$A$2:$A1000&lt;=EOMONTH(DATEVALUE("1 "&amp;AH$1),0)))+
  SUMPRODUCT(('Form responses 1'!$G$2:$G1000=$A58)*('Form responses 1'!$A$2:$A1000&lt;=EOMONTH(DATEVALUE("1 "&amp;AH$1),0)))
),2),"-")</f>
        <v>-</v>
      </c>
      <c r="AI58" s="2" t="str">
        <f>IFERROR(ROUND(Data!$B58/(
  SUMPRODUCT(('Form responses 1'!$B$2:$B1000=$A58)*('Form responses 1'!$A$2:$A1000&lt;=EOMONTH(DATEVALUE("1 "&amp;AI$1),0)))+
  SUMPRODUCT(('Form responses 1'!$C$2:$C1000=$A58)*('Form responses 1'!$A$2:$A1000&lt;=EOMONTH(DATEVALUE("1 "&amp;AI$1),0)))+
  SUMPRODUCT(('Form responses 1'!$D$2:$D1000=$A58)*('Form responses 1'!$A$2:$A1000&lt;=EOMONTH(DATEVALUE("1 "&amp;AI$1),0)))+
  SUMPRODUCT(('Form responses 1'!$E$2:$E1000=$A58)*('Form responses 1'!$A$2:$A1000&lt;=EOMONTH(DATEVALUE("1 "&amp;AI$1),0)))+
  SUMPRODUCT(('Form responses 1'!$F$2:$F1000=$A58)*('Form responses 1'!$A$2:$A1000&lt;=EOMONTH(DATEVALUE("1 "&amp;AI$1),0)))+
  SUMPRODUCT(('Form responses 1'!$G$2:$G1000=$A58)*('Form responses 1'!$A$2:$A1000&lt;=EOMONTH(DATEVALUE("1 "&amp;AI$1),0)))
),2),"-")</f>
        <v>-</v>
      </c>
      <c r="AJ58" s="2" t="str">
        <f>IFERROR(ROUND(Data!$B58/(
  SUMPRODUCT(('Form responses 1'!$B$2:$B1000=$A58)*('Form responses 1'!$A$2:$A1000&lt;=EOMONTH(DATEVALUE("1 "&amp;AJ$1),0)))+
  SUMPRODUCT(('Form responses 1'!$C$2:$C1000=$A58)*('Form responses 1'!$A$2:$A1000&lt;=EOMONTH(DATEVALUE("1 "&amp;AJ$1),0)))+
  SUMPRODUCT(('Form responses 1'!$D$2:$D1000=$A58)*('Form responses 1'!$A$2:$A1000&lt;=EOMONTH(DATEVALUE("1 "&amp;AJ$1),0)))+
  SUMPRODUCT(('Form responses 1'!$E$2:$E1000=$A58)*('Form responses 1'!$A$2:$A1000&lt;=EOMONTH(DATEVALUE("1 "&amp;AJ$1),0)))+
  SUMPRODUCT(('Form responses 1'!$F$2:$F1000=$A58)*('Form responses 1'!$A$2:$A1000&lt;=EOMONTH(DATEVALUE("1 "&amp;AJ$1),0)))+
  SUMPRODUCT(('Form responses 1'!$G$2:$G1000=$A58)*('Form responses 1'!$A$2:$A1000&lt;=EOMONTH(DATEVALUE("1 "&amp;AJ$1),0)))
),2),"-")</f>
        <v>-</v>
      </c>
      <c r="AK58" s="2" t="str">
        <f>IFERROR(ROUND(Data!$B58/(
  SUMPRODUCT(('Form responses 1'!$B$2:$B1000=$A58)*('Form responses 1'!$A$2:$A1000&lt;=EOMONTH(DATEVALUE("1 "&amp;AK$1),0)))+
  SUMPRODUCT(('Form responses 1'!$C$2:$C1000=$A58)*('Form responses 1'!$A$2:$A1000&lt;=EOMONTH(DATEVALUE("1 "&amp;AK$1),0)))+
  SUMPRODUCT(('Form responses 1'!$D$2:$D1000=$A58)*('Form responses 1'!$A$2:$A1000&lt;=EOMONTH(DATEVALUE("1 "&amp;AK$1),0)))+
  SUMPRODUCT(('Form responses 1'!$E$2:$E1000=$A58)*('Form responses 1'!$A$2:$A1000&lt;=EOMONTH(DATEVALUE("1 "&amp;AK$1),0)))+
  SUMPRODUCT(('Form responses 1'!$F$2:$F1000=$A58)*('Form responses 1'!$A$2:$A1000&lt;=EOMONTH(DATEVALUE("1 "&amp;AK$1),0)))+
  SUMPRODUCT(('Form responses 1'!$G$2:$G1000=$A58)*('Form responses 1'!$A$2:$A1000&lt;=EOMONTH(DATEVALUE("1 "&amp;AK$1),0)))
),2),"-")</f>
        <v>-</v>
      </c>
      <c r="AL58" s="2" t="str">
        <f>IFERROR(ROUND(Data!$B58/(
  SUMPRODUCT(('Form responses 1'!$B$2:$B1000=$A58)*('Form responses 1'!$A$2:$A1000&lt;=EOMONTH(DATEVALUE("1 "&amp;AL$1),0)))+
  SUMPRODUCT(('Form responses 1'!$C$2:$C1000=$A58)*('Form responses 1'!$A$2:$A1000&lt;=EOMONTH(DATEVALUE("1 "&amp;AL$1),0)))+
  SUMPRODUCT(('Form responses 1'!$D$2:$D1000=$A58)*('Form responses 1'!$A$2:$A1000&lt;=EOMONTH(DATEVALUE("1 "&amp;AL$1),0)))+
  SUMPRODUCT(('Form responses 1'!$E$2:$E1000=$A58)*('Form responses 1'!$A$2:$A1000&lt;=EOMONTH(DATEVALUE("1 "&amp;AL$1),0)))+
  SUMPRODUCT(('Form responses 1'!$F$2:$F1000=$A58)*('Form responses 1'!$A$2:$A1000&lt;=EOMONTH(DATEVALUE("1 "&amp;AL$1),0)))+
  SUMPRODUCT(('Form responses 1'!$G$2:$G1000=$A58)*('Form responses 1'!$A$2:$A1000&lt;=EOMONTH(DATEVALUE("1 "&amp;AL$1),0)))
),2),"-")</f>
        <v>-</v>
      </c>
    </row>
    <row r="59">
      <c r="A59" s="3" t="str">
        <f>IFERROR(__xludf.DUMMYFUNCTION("""COMPUTED_VALUE"""),"Groene blouse")</f>
        <v>Groene blouse</v>
      </c>
      <c r="B59" s="2">
        <f>Data!F57:F1000</f>
        <v>0.32</v>
      </c>
      <c r="C59" s="2">
        <f>IFERROR(ROUND(Data!B57/(SUMPRODUCT(('Form responses 1'!$B$2:$B1000 = A59) * ('Form responses 1'!$A$2:$A1000 &lt;= DATE(2024, 1, 31)))
+ SUMPRODUCT(('Form responses 1'!$C$2:$C1000 = A59) * ('Form responses 1'!$A$2:$A1000 &lt;= DATE(2024, 1, 31)))
+ SUMPRODUCT(('Form responses 1'!$D$2:$D1000 = A59) * ('Form responses 1'!$A$2:$A1000 &lt;= DATE(2024, 1, 31)))
+ SUMPRODUCT(('Form responses 1'!$E$2:$E1000 = A59) * ('Form responses 1'!$A$2:$A1000 &lt;= DATE(2024, 1, 31)))
+ SUMPRODUCT(('Form responses 1'!$F$2:$F1000 = A59) * ('Form responses 1'!$A$2:$A1000 &lt;= DATE(2024, 1, 31)))
+ SUMPRODUCT(('Form responses 1'!$G$2:$G1000 = A59) * ('Form responses 1'!$A$2:$A1000 &lt;= DATE(2024, 1, 31)))), 2), "-")
</f>
        <v>14.28</v>
      </c>
      <c r="D59" s="2">
        <f>IFERROR(ROUND(Data!B57/(SUMPRODUCT(('Form responses 1'!$B$2:$B1000 = A59) * ('Form responses 1'!$A$2:$A1000 &lt;= DATE(2024, 2, 29)))
+ SUMPRODUCT(('Form responses 1'!$C$2:$C1000 = A59) * ('Form responses 1'!$A$2:$A1000 &lt;= DATE(2024, 2, 29)))
+ SUMPRODUCT(('Form responses 1'!$D$2:$D1000 = A59) * ('Form responses 1'!$A$2:$A1000 &lt;= DATE(2024, 2, 29)))
+ SUMPRODUCT(('Form responses 1'!$E$2:$E1000 = A59) * ('Form responses 1'!$A$2:$A1000 &lt;= DATE(2024, 2, 29)))
+ SUMPRODUCT(('Form responses 1'!$F$2:$F1000 = A59) * ('Form responses 1'!$A$2:$A1000 &lt;= DATE(2024, 2, 29)))
+ SUMPRODUCT(('Form responses 1'!$G$2:$G1000 = A59) * ('Form responses 1'!$A$2:$A1000 &lt;= DATE(2024, 2, 29)))), 2), "-")
</f>
        <v>14.28</v>
      </c>
      <c r="E59" s="2">
        <f>IFERROR(ROUND(Data!B57/(SUMPRODUCT(('Form responses 1'!$B$2:$B1000 = A59) * ('Form responses 1'!$A$2:$A1000 &lt;= DATE(2024, 3, 31)))
+ SUMPRODUCT(('Form responses 1'!$C$2:$C1000 = A59) * ('Form responses 1'!$A$2:$A1000 &lt;= DATE(2024, 3, 31)))
+ SUMPRODUCT(('Form responses 1'!$D$2:$D1000 = A59) * ('Form responses 1'!$A$2:$A1000 &lt;= DATE(2024, 3, 31)))
+ SUMPRODUCT(('Form responses 1'!$E$2:$E1000 = A59) * ('Form responses 1'!$A$2:$A1000 &lt;= DATE(2024, 3, 31)))
+ SUMPRODUCT(('Form responses 1'!$F$2:$F1000 = A59) * ('Form responses 1'!$A$2:$A1000 &lt;= DATE(2024, 3, 31)))
+ SUMPRODUCT(('Form responses 1'!$G$2:$G1000 = A59) * ('Form responses 1'!$A$2:$A1000 &lt;= DATE(2024, 3, 31)))), 2), "-")
</f>
        <v>14.28</v>
      </c>
      <c r="F59" s="2">
        <f>IFERROR(ROUND(Data!B57/(SUMPRODUCT(('Form responses 1'!$B$2:$B1000 = A59) * ('Form responses 1'!$A$2:$A1000 &lt;= DATE(2024, 4, 30)))
+ SUMPRODUCT(('Form responses 1'!$C$2:$C1000 = A59) * ('Form responses 1'!$A$2:$A1000 &lt;= DATE(2024, 4, 30)))
+ SUMPRODUCT(('Form responses 1'!$D$2:$D1000 = A59) * ('Form responses 1'!$A$2:$A1000 &lt;= DATE(2024, 4, 30)))
+ SUMPRODUCT(('Form responses 1'!$E$2:$E1000 = A59) * ('Form responses 1'!$A$2:$A1000 &lt;= DATE(2024, 4, 30)))
+ SUMPRODUCT(('Form responses 1'!$F$2:$F1000 = A59) * ('Form responses 1'!$A$2:$A1000 &lt;= DATE(2024, 4, 30)))
+ SUMPRODUCT(('Form responses 1'!$G$2:$G1000 = A59) * ('Form responses 1'!$A$2:$A1000 &lt;= DATE(2024, 4, 30)))), 2), "-")
</f>
        <v>14.28</v>
      </c>
      <c r="G59" s="2">
        <f>IFERROR(ROUND(Data!B57/(SUMPRODUCT(('Form responses 1'!$B$2:$B1000 = A59) * ('Form responses 1'!$A$2:$A1000 &lt;= DATE(2024, 5, 31)))
+ SUMPRODUCT(('Form responses 1'!$C$2:$C1000 = A59) * ('Form responses 1'!$A$2:$A1000 &lt;= DATE(2024, 5, 31)))
+ SUMPRODUCT(('Form responses 1'!$D$2:$D1000 = A59) * ('Form responses 1'!$A$2:$A1000 &lt;= DATE(2024, 5, 31)))
+ SUMPRODUCT(('Form responses 1'!$E$2:$E1000 = A59) * ('Form responses 1'!$A$2:$A1000 &lt;= DATE(2024, 5, 31)))
+ SUMPRODUCT(('Form responses 1'!$F$2:$F1000 = A59) * ('Form responses 1'!$A$2:$A1000 &lt;= DATE(2024, 5, 31)))
+ SUMPRODUCT(('Form responses 1'!$G$2:$G1000 = A59) * ('Form responses 1'!$A$2:$A1000 &lt;= DATE(2024, 5, 31)))), 2), "-")
</f>
        <v>13.36</v>
      </c>
      <c r="H59" s="2">
        <f>IFERROR(ROUND(Data!B57/(SUMPRODUCT(('Form responses 1'!$B$2:$B1000 = A59) * ('Form responses 1'!$A$2:$A1000 &lt;= DATE(2024, 6, 30)))
+ SUMPRODUCT(('Form responses 1'!$C$2:$C1000 = A59) * ('Form responses 1'!$A$2:$A1000 &lt;= DATE(2024, 6, 30)))
+ SUMPRODUCT(('Form responses 1'!$D$2:$D1000 = A59) * ('Form responses 1'!$A$2:$A1000 &lt;= DATE(2024, 6, 30)))
+ SUMPRODUCT(('Form responses 1'!$E$2:$E1000 = A59) * ('Form responses 1'!$A$2:$A1000 &lt;= DATE(2024, 6, 30)))
+ SUMPRODUCT(('Form responses 1'!$F$2:$F1000 = A59) * ('Form responses 1'!$A$2:$A1000 &lt;= DATE(2024, 6, 30)))
+ SUMPRODUCT(('Form responses 1'!$G$2:$G1000 = A59) * ('Form responses 1'!$A$2:$A1000 &lt;= DATE(2024, 6, 30)))), 2), "-")
</f>
        <v>12.95</v>
      </c>
      <c r="I59" s="2">
        <f>IFERROR(ROUND(Data!B57/(SUMPRODUCT(('Form responses 1'!$B$2:$B1000 = A59) * ('Form responses 1'!$A$2:$A1000 &lt;= DATE(2024, 7, 31)))
+ SUMPRODUCT(('Form responses 1'!$C$2:$C1000 = A59) * ('Form responses 1'!$A$2:$A1000 &lt;= DATE(2024, 7, 31)))
+ SUMPRODUCT(('Form responses 1'!$D$2:$D1000 = A59) * ('Form responses 1'!$A$2:$A1000 &lt;= DATE(2024, 7, 31)))
+ SUMPRODUCT(('Form responses 1'!$E$2:$E1000 = A59) * ('Form responses 1'!$A$2:$A1000 &lt;= DATE(2024, 7, 31)))
+ SUMPRODUCT(('Form responses 1'!$F$2:$F1000 = A59) * ('Form responses 1'!$A$2:$A1000 &lt;= DATE(2024, 7, 31)))
+ SUMPRODUCT(('Form responses 1'!$G$2:$G1000 = A59) * ('Form responses 1'!$A$2:$A1000 &lt;= DATE(2024, 7, 31)))), 2), "-")
</f>
        <v>12.18</v>
      </c>
      <c r="J59" s="2">
        <f>IFERROR(ROUND(Data!B57/(SUMPRODUCT(('Form responses 1'!$B$2:$B1000 = A59) * ('Form responses 1'!$A$2:$A1000 &lt;= DATE(2024, 8, 31)))
+ SUMPRODUCT(('Form responses 1'!$C$2:$C1000 = A59) * ('Form responses 1'!$A$2:$A1000 &lt;= DATE(2024, 8, 31)))
+ SUMPRODUCT(('Form responses 1'!$D$2:$D1000 = A59) * ('Form responses 1'!$A$2:$A1000 &lt;= DATE(2024, 8, 31)))
+ SUMPRODUCT(('Form responses 1'!$E$2:$E1000 = A59) * ('Form responses 1'!$A$2:$A1000 &lt;= DATE(2024, 8, 31)))
+ SUMPRODUCT(('Form responses 1'!$F$2:$F1000 = A59) * ('Form responses 1'!$A$2:$A1000 &lt;= DATE(2024, 8, 31)))
+ SUMPRODUCT(('Form responses 1'!$G$2:$G1000 = A59) * ('Form responses 1'!$A$2:$A1000 &lt;= DATE(2024, 8, 31)))), 2), "-")
</f>
        <v>11.2</v>
      </c>
      <c r="K59" s="2">
        <f>IFERROR(ROUND(Data!B57/(SUMPRODUCT(('Form responses 1'!$B$2:$B1000 = A59) * ('Form responses 1'!$A$2:$A1000 &lt;= DATE(2024, 9, 30)))
+ SUMPRODUCT(('Form responses 1'!$C$2:$C1000 = A59) * ('Form responses 1'!$A$2:$A1000 &lt;= DATE(2024, 9, 30)))
+ SUMPRODUCT(('Form responses 1'!$D$2:$D1000 = A59) * ('Form responses 1'!$A$2:$A1000 &lt;= DATE(2024, 9, 30)))
+ SUMPRODUCT(('Form responses 1'!$E$2:$E1000 = A59) * ('Form responses 1'!$A$2:$A1000 &lt;= DATE(2024, 9, 30)))
+ SUMPRODUCT(('Form responses 1'!$F$2:$F1000 = A59) * ('Form responses 1'!$A$2:$A1000 &lt;= DATE(2024, 9, 30)))
+ SUMPRODUCT(('Form responses 1'!$G$2:$G1000 = A59) * ('Form responses 1'!$A$2:$A1000 &lt;= DATE(2024, 9, 30)))), 2), "-")
</f>
        <v>10.9</v>
      </c>
      <c r="L59" s="2">
        <f>IFERROR(ROUND(Data!B57/(SUMPRODUCT(('Form responses 1'!$B$2:$B1000 = A59) * ('Form responses 1'!$A$2:$A1000 &lt;= DATE(2024, 10, 31)))
+ SUMPRODUCT(('Form responses 1'!$C$2:$C1000 = A59) * ('Form responses 1'!$A$2:$A1000 &lt;= DATE(2024, 10, 31)))
+ SUMPRODUCT(('Form responses 1'!$D$2:$D1000 = A59) * ('Form responses 1'!$A$2:$A1000 &lt;= DATE(2024, 10, 31)))
+ SUMPRODUCT(('Form responses 1'!$E$2:$E1000 = A59) * ('Form responses 1'!$A$2:$A1000 &lt;= DATE(2024, 10, 31)))
+ SUMPRODUCT(('Form responses 1'!$F$2:$F1000 = A59) * ('Form responses 1'!$A$2:$A1000 &lt;= DATE(2024, 10, 31)))
+ SUMPRODUCT(('Form responses 1'!$G$2:$G1000 = A59) * ('Form responses 1'!$A$2:$A1000 &lt;= DATE(2024, 10, 31)))), 2), "-")
</f>
        <v>10.9</v>
      </c>
      <c r="M59" s="2">
        <f>IFERROR(ROUND(Data!B57/(SUMPRODUCT(('Form responses 1'!$B$2:$B1000 = A59) * ('Form responses 1'!$A$2:$A1000 &lt;= DATE(2024, 11, 30)))
+ SUMPRODUCT(('Form responses 1'!$C$2:$C1000 = A59) * ('Form responses 1'!$A$2:$A1000 &lt;= DATE(2024, 11, 30)))
+ SUMPRODUCT(('Form responses 1'!$D$2:$D1000 = A59) * ('Form responses 1'!$A$2:$A1000 &lt;= DATE(2024, 11, 30)))
+ SUMPRODUCT(('Form responses 1'!$E$2:$E1000 = A59) * ('Form responses 1'!$A$2:$A1000 &lt;= DATE(2024, 11, 30)))
+ SUMPRODUCT(('Form responses 1'!$F$2:$F1000 = A59) * ('Form responses 1'!$A$2:$A1000 &lt;= DATE(2024, 11, 30)))
+ SUMPRODUCT(('Form responses 1'!$G$2:$G1000 = A59) * ('Form responses 1'!$A$2:$A1000 &lt;= DATE(2024, 11, 30)))), 2), "-")
</f>
        <v>10.9</v>
      </c>
      <c r="N59" s="2">
        <f>IFERROR(ROUND(Data!B57/(SUMPRODUCT(('Form responses 1'!$B$2:$B1000 = A59) * ('Form responses 1'!$A$2:$A1000 &lt;= DATE(2024, 12, 31)))
+ SUMPRODUCT(('Form responses 1'!$C$2:$C1000 = A59) * ('Form responses 1'!$A$2:$A1000 &lt;= DATE(2024, 12, 31)))
+ SUMPRODUCT(('Form responses 1'!$D$2:$D1000 = A59) * ('Form responses 1'!$A$2:$A1000 &lt;= DATE(2024, 12, 31)))
+ SUMPRODUCT(('Form responses 1'!$E$2:$E1000 = A59) * ('Form responses 1'!$A$2:$A1000 &lt;= DATE(2024, 12, 31)))
+ SUMPRODUCT(('Form responses 1'!$F$2:$F1000 = A59) * ('Form responses 1'!$A$2:$A1000 &lt;= DATE(2024, 12, 31)))
+ SUMPRODUCT(('Form responses 1'!$G$2:$G1000 = A59) * ('Form responses 1'!$A$2:$A1000 &lt;= DATE(2024, 12, 31)))), 2), "-")
</f>
        <v>10.9</v>
      </c>
      <c r="O59" s="2">
        <f>IFERROR(ROUND(Data!B57/(SUMPRODUCT(('Form responses 1'!$B$2:$B1000 = A59) * ('Form responses 1'!$A$2:$A1000 &lt;= DATE(2025, 1, 31)))
+ SUMPRODUCT(('Form responses 1'!$C$2:$C1000 = A59) * ('Form responses 1'!$A$2:$A1000 &lt;= DATE(2025, 1, 31)))
+ SUMPRODUCT(('Form responses 1'!$D$2:$D1000 = A59) * ('Form responses 1'!$A$2:$A1000 &lt;= DATE(2025, 1, 31)))
+ SUMPRODUCT(('Form responses 1'!$E$2:$E1000 = A59) * ('Form responses 1'!$A$2:$A1000 &lt;= DATE(2025, 1, 31)))
+ SUMPRODUCT(('Form responses 1'!$F$2:$F1000 = A59) * ('Form responses 1'!$A$2:$A1000 &lt;= DATE(2025, 1, 31)))
+ SUMPRODUCT(('Form responses 1'!$G$2:$G1000 = A59) * ('Form responses 1'!$A$2:$A1000 &lt;= DATE(2025, 1, 31)))), 2), "-")
</f>
        <v>10.9</v>
      </c>
      <c r="P59" s="2">
        <f>IFERROR(ROUND(Data!B57/(SUMPRODUCT(('Form responses 1'!$B$2:$B1000 = A59) * ('Form responses 1'!$A$2:$A1000 &lt;= DATE(2025, 2, 28)))
+ SUMPRODUCT(('Form responses 1'!$C$2:$C1000 = A59) * ('Form responses 1'!$A$2:$A1000 &lt;= DATE(2025, 2, 28)))
+ SUMPRODUCT(('Form responses 1'!$D$2:$D1000 = A59) * ('Form responses 1'!$A$2:$A1000 &lt;= DATE(2025, 2, 28)))
+ SUMPRODUCT(('Form responses 1'!$E$2:$E1000 = A59) * ('Form responses 1'!$A$2:$A1000 &lt;= DATE(2025, 2, 28)))
+ SUMPRODUCT(('Form responses 1'!$F$2:$F1000 = A59) * ('Form responses 1'!$A$2:$A1000 &lt;= DATE(2025, 2, 28)))
+ SUMPRODUCT(('Form responses 1'!$G$2:$G1000 = A59) * ('Form responses 1'!$A$2:$A1000 &lt;= DATE(2025, 2, 28)))), 2), "-")
</f>
        <v>10.9</v>
      </c>
      <c r="Q59" s="2">
        <f>IFERROR(ROUND(Data!B57/(SUMPRODUCT(('Form responses 1'!$B$2:$B1000 = A59) * ('Form responses 1'!$A$2:$A1000 &lt;= DATE(2025, 3, 31)))
+ SUMPRODUCT(('Form responses 1'!$C$2:$C1000 = A59) * ('Form responses 1'!$A$2:$A1000 &lt;= DATE(2025, 3, 31)))
+ SUMPRODUCT(('Form responses 1'!$D$2:$D1000 = A59) * ('Form responses 1'!$A$2:$A1000 &lt;= DATE(2025, 3, 31)))
+ SUMPRODUCT(('Form responses 1'!$E$2:$E1000 = A59) * ('Form responses 1'!$A$2:$A1000 &lt;= DATE(2025, 3, 31)))
+ SUMPRODUCT(('Form responses 1'!$F$2:$F1000 = A59) * ('Form responses 1'!$A$2:$A1000 &lt;= DATE(2025, 3, 31)))
+ SUMPRODUCT(('Form responses 1'!$G$2:$G1000 = A59) * ('Form responses 1'!$A$2:$A1000 &lt;= DATE(2025, 3, 31)))),2),"-")</f>
        <v>10.9</v>
      </c>
      <c r="R59" s="2">
        <f>IFERROR(ROUND(Data!B57/(SUMPRODUCT(('Form responses 1'!$B$2:$B1000 = A59) * ('Form responses 1'!$A$2:$A1000 &lt;= DATE(2025, 4, 30)))
+ SUMPRODUCT(('Form responses 1'!$C$2:$C1000 = A59) * ('Form responses 1'!$A$2:$A1000 &lt;= DATE(2025, 4, 30)))
+ SUMPRODUCT(('Form responses 1'!$D$2:$D1000 = A59) * ('Form responses 1'!$A$2:$A1000 &lt;= DATE(2025, 4, 30)))
+ SUMPRODUCT(('Form responses 1'!$E$2:$E1000 = A59) * ('Form responses 1'!$A$2:$A1000 &lt;= DATE(2025, 4, 30)))
+ SUMPRODUCT(('Form responses 1'!$F$2:$F1000 = A59) * ('Form responses 1'!$A$2:$A1000 &lt;= DATE(2025, 4, 30)))
+ SUMPRODUCT(('Form responses 1'!$G$2:$G1000 = A59) * ('Form responses 1'!$A$2:$A1000 &lt;= DATE(2025, 4, 30)))), 2), "-")
</f>
        <v>10.9</v>
      </c>
      <c r="S59" s="2">
        <f>IFERROR(ROUND(Data!B57/(SUMPRODUCT(('Form responses 1'!$B$2:$B1000 = A59) * ('Form responses 1'!$A$2:$A1000 &lt;= DATE(2025, 5, 31)))
+ SUMPRODUCT(('Form responses 1'!$C$2:$C1000 = A59) * ('Form responses 1'!$A$2:$A1000 &lt;= DATE(2025, 5, 31)))
+ SUMPRODUCT(('Form responses 1'!$D$2:$D1000 = A59) * ('Form responses 1'!$A$2:$A1000 &lt;= DATE(2025, 5, 31)))
+ SUMPRODUCT(('Form responses 1'!$E$2:$E1000 = A59) * ('Form responses 1'!$A$2:$A1000 &lt;= DATE(2025, 5, 31)))
+ SUMPRODUCT(('Form responses 1'!$F$2:$F1000 = A59) * ('Form responses 1'!$A$2:$A1000 &lt;= DATE(2025, 5, 31)))
+ SUMPRODUCT(('Form responses 1'!$G$2:$G1000 = A59) * ('Form responses 1'!$A$2:$A1000 &lt;= DATE(2025, 5, 31)))), 2), "-")
</f>
        <v>10.9</v>
      </c>
      <c r="T59" s="2">
        <f>IFERROR(ROUND(Data!B57/(SUMPRODUCT(('Form responses 1'!$B$2:$B1000 = A59) * ('Form responses 1'!$A$2:$A1000 &lt;= DATE(2025, 6, 30)))
+ SUMPRODUCT(('Form responses 1'!$C$2:$C1000 = A59) * ('Form responses 1'!$A$2:$A1000 &lt;= DATE(2025, 6, 30)))
+ SUMPRODUCT(('Form responses 1'!$D$2:$D1000 = A59) * ('Form responses 1'!$A$2:$A1000 &lt;= DATE(2025, 6, 30)))
+ SUMPRODUCT(('Form responses 1'!$E$2:$E1000 = A59) * ('Form responses 1'!$A$2:$A1000 &lt;= DATE(2025, 6, 30)))
+ SUMPRODUCT(('Form responses 1'!$F$2:$F1000 = A59) * ('Form responses 1'!$A$2:$A1000 &lt;= DATE(2025, 6, 30)))
+ SUMPRODUCT(('Form responses 1'!$G$2:$G1000 = A59) * ('Form responses 1'!$A$2:$A1000 &lt;= DATE(2025, 6, 30)))), 2), "-")
</f>
        <v>10.62</v>
      </c>
      <c r="U59" s="2">
        <f>IFERROR(ROUND(Data!B57/(SUMPRODUCT(('Form responses 1'!$B$2:$B1000 = A59) * ('Form responses 1'!$A$2:$A1000 &lt;= DATE(2025, 7, 31)))
+ SUMPRODUCT(('Form responses 1'!$C$2:$C1000 = A59) * ('Form responses 1'!$A$2:$A1000 &lt;= DATE(2025, 7, 31)))
+ SUMPRODUCT(('Form responses 1'!$D$2:$D1000 = A59) * ('Form responses 1'!$A$2:$A1000 &lt;= DATE(2025, 7, 31)))
+ SUMPRODUCT(('Form responses 1'!$E$2:$E1000 = A59) * ('Form responses 1'!$A$2:$A1000 &lt;= DATE(2025, 7, 31)))
+ SUMPRODUCT(('Form responses 1'!$F$2:$F1000 = A59) * ('Form responses 1'!$A$2:$A1000 &lt;= DATE(2025, 7, 31)))
+ SUMPRODUCT(('Form responses 1'!$G$2:$G1000 = A59) * ('Form responses 1'!$A$2:$A1000 &lt;= DATE(2025, 7, 31)))), 2), "-")
</f>
        <v>10.62</v>
      </c>
      <c r="V59" s="2">
        <f>IFERROR(ROUND(Data!B57/(SUMPRODUCT(('Form responses 1'!$B$2:$B1000 = A59) * ('Form responses 1'!$A$2:$A1000 &lt;= DATE(2025, 8, 31)))
+ SUMPRODUCT(('Form responses 1'!$C$2:$C1000 = A59) * ('Form responses 1'!$A$2:$A1000 &lt;= DATE(2025, 8, 31)))
+ SUMPRODUCT(('Form responses 1'!$D$2:$D1000 = A59) * ('Form responses 1'!$A$2:$A1000 &lt;= DATE(2025, 8, 31)))
+ SUMPRODUCT(('Form responses 1'!$E$2:$E1000 = A59) * ('Form responses 1'!$A$2:$A1000 &lt;= DATE(2025, 8, 31)))
+ SUMPRODUCT(('Form responses 1'!$F$2:$F1000 = A59) * ('Form responses 1'!$A$2:$A1000 &lt;= DATE(2025, 8, 31)))
+ SUMPRODUCT(('Form responses 1'!$G$2:$G1000 = A59) * ('Form responses 1'!$A$2:$A1000 &lt;= DATE(2025, 8, 31)))), 2), "-")
</f>
        <v>10.1</v>
      </c>
      <c r="W59" s="2">
        <f>IFERROR(ROUND(Data!B57/(SUMPRODUCT(('Form responses 1'!$B$2:$B1000 = A59) * ('Form responses 1'!$A$2:$A1000 &lt;= DATE(2025, 9, 30)))
+ SUMPRODUCT(('Form responses 1'!$C$2:$C1000 = A59) * ('Form responses 1'!$A$2:$A1000 &lt;= DATE(2025, 9, 30)))
+ SUMPRODUCT(('Form responses 1'!$D$2:$D1000 = A59) * ('Form responses 1'!$A$2:$A1000 &lt;= DATE(2025, 9, 30)))
+ SUMPRODUCT(('Form responses 1'!$E$2:$E1000 = A59) * ('Form responses 1'!$A$2:$A1000 &lt;= DATE(2025, 9, 30)))
+ SUMPRODUCT(('Form responses 1'!$F$2:$F1000 = A59) * ('Form responses 1'!$A$2:$A1000 &lt;= DATE(2025, 9, 30)))
+ SUMPRODUCT(('Form responses 1'!$G$2:$G1000 = A59) * ('Form responses 1'!$A$2:$A1000 &lt;= DATE(2025, 9, 30)))), 2), "-")
</f>
        <v>10.1</v>
      </c>
      <c r="X59" s="2">
        <f>IFERROR(ROUND(Data!B57/(SUMPRODUCT(('Form responses 1'!$B$2:$B1000 = A59) * ('Form responses 1'!$A$2:$A1000 &lt;= DATE(2025, 10, 31)))
+ SUMPRODUCT(('Form responses 1'!$C$2:$C1000 = A59) * ('Form responses 1'!$A$2:$A1000 &lt;= DATE(2025, 10, 31)))
+ SUMPRODUCT(('Form responses 1'!$D$2:$D1000 = A59) * ('Form responses 1'!$A$2:$A1000 &lt;= DATE(2025, 10, 31)))
+ SUMPRODUCT(('Form responses 1'!$E$2:$E1000 = A59) * ('Form responses 1'!$A$2:$A1000 &lt;= DATE(2025, 10, 31)))
+ SUMPRODUCT(('Form responses 1'!$F$2:$F1000 = A59) * ('Form responses 1'!$A$2:$A1000 &lt;= DATE(2025, 10, 31)))
+ SUMPRODUCT(('Form responses 1'!$G$2:$G1000 = A59) * ('Form responses 1'!$A$2:$A1000 &lt;= DATE(2025, 10, 31)))), 2), "-")
</f>
        <v>10.1</v>
      </c>
      <c r="Y59" s="2">
        <f>IFERROR(ROUND(Data!B57/(SUMPRODUCT(('Form responses 1'!$B$2:$B1000 = A59) * ('Form responses 1'!$A$2:$A1000 &lt;= DATE(2025, 11, 30)))
+ SUMPRODUCT(('Form responses 1'!$C$2:$C1000 = A59) * ('Form responses 1'!$A$2:$A1000 &lt;= DATE(2025, 11, 30)))
+ SUMPRODUCT(('Form responses 1'!$D$2:$D1000 = A59) * ('Form responses 1'!$A$2:$A1000 &lt;= DATE(2025, 11, 30)))
+ SUMPRODUCT(('Form responses 1'!$E$2:$E1000 = A59) * ('Form responses 1'!$A$2:$A1000 &lt;= DATE(2025, 11, 30)))
+ SUMPRODUCT(('Form responses 1'!$F$2:$F1000 = A59) * ('Form responses 1'!$A$2:$A1000 &lt;= DATE(2025, 11, 30)))
+ SUMPRODUCT(('Form responses 1'!$G$2:$G1000 = A59) * ('Form responses 1'!$A$2:$A1000 &lt;= DATE(2025, 11, 30)))), 2), "-")
</f>
        <v>10.1</v>
      </c>
      <c r="Z59" s="2">
        <f>IFERROR(ROUND(Data!B57/(SUMPRODUCT(('Form responses 1'!$B$2:$B1000 = A59) * ('Form responses 1'!$A$2:$A1000 &lt;= DATE(2025, 12, 31)))
+ SUMPRODUCT(('Form responses 1'!$C$2:$C1000 = A59) * ('Form responses 1'!$A$2:$A1000 &lt;= DATE(2025, 12, 31)))
+ SUMPRODUCT(('Form responses 1'!$D$2:$D1000 = A59) * ('Form responses 1'!$A$2:$A1000 &lt;= DATE(2025, 12, 31)))
+ SUMPRODUCT(('Form responses 1'!$E$2:$E1000 = A59) * ('Form responses 1'!$A$2:$A1000 &lt;= DATE(2025, 12, 31)))
+ SUMPRODUCT(('Form responses 1'!$F$2:$F1000 = A59) * ('Form responses 1'!$A$2:$A1000 &lt;= DATE(2025, 12, 31)))
+ SUMPRODUCT(('Form responses 1'!$G$2:$G1000 = A59) * ('Form responses 1'!$A$2:$A1000 &lt;= DATE(2025, 12, 31)))), 2), "-")
</f>
        <v>10.1</v>
      </c>
      <c r="AA59" s="2">
        <f>IFERROR(ROUND(Data!$B59/(
  SUMPRODUCT(('Form responses 1'!$B$2:$B1000=$A59)*('Form responses 1'!$A$2:$A1000&lt;=EOMONTH(DATEVALUE("1 "&amp;AA$1),0)))+
  SUMPRODUCT(('Form responses 1'!$C$2:$C1000=$A59)*('Form responses 1'!$A$2:$A1000&lt;=EOMONTH(DATEVALUE("1 "&amp;AA$1),0)))+
  SUMPRODUCT(('Form responses 1'!$D$2:$D1000=$A59)*('Form responses 1'!$A$2:$A1000&lt;=EOMONTH(DATEVALUE("1 "&amp;AA$1),0)))+
  SUMPRODUCT(('Form responses 1'!$E$2:$E1000=$A59)*('Form responses 1'!$A$2:$A1000&lt;=EOMONTH(DATEVALUE("1 "&amp;AA$1),0)))+
  SUMPRODUCT(('Form responses 1'!$F$2:$F1000=$A59)*('Form responses 1'!$A$2:$A1000&lt;=EOMONTH(DATEVALUE("1 "&amp;AA$1),0)))+
  SUMPRODUCT(('Form responses 1'!$G$2:$G1000=$A59)*('Form responses 1'!$A$2:$A1000&lt;=EOMONTH(DATEVALUE("1 "&amp;AA$1),0)))
),2),"-")</f>
        <v>0.38</v>
      </c>
      <c r="AB59" s="2">
        <f>IFERROR(ROUND(Data!$B59/(
  SUMPRODUCT(('Form responses 1'!$B$2:$B1000=$A59)*('Form responses 1'!$A$2:$A1000&lt;=EOMONTH(DATEVALUE("1 "&amp;AB$1),0)))+
  SUMPRODUCT(('Form responses 1'!$C$2:$C1000=$A59)*('Form responses 1'!$A$2:$A1000&lt;=EOMONTH(DATEVALUE("1 "&amp;AB$1),0)))+
  SUMPRODUCT(('Form responses 1'!$D$2:$D1000=$A59)*('Form responses 1'!$A$2:$A1000&lt;=EOMONTH(DATEVALUE("1 "&amp;AB$1),0)))+
  SUMPRODUCT(('Form responses 1'!$E$2:$E1000=$A59)*('Form responses 1'!$A$2:$A1000&lt;=EOMONTH(DATEVALUE("1 "&amp;AB$1),0)))+
  SUMPRODUCT(('Form responses 1'!$F$2:$F1000=$A59)*('Form responses 1'!$A$2:$A1000&lt;=EOMONTH(DATEVALUE("1 "&amp;AB$1),0)))+
  SUMPRODUCT(('Form responses 1'!$G$2:$G1000=$A59)*('Form responses 1'!$A$2:$A1000&lt;=EOMONTH(DATEVALUE("1 "&amp;AB$1),0)))
),2),"-")</f>
        <v>0.38</v>
      </c>
      <c r="AC59" s="2">
        <f>IFERROR(ROUND(Data!$B59/(
  SUMPRODUCT(('Form responses 1'!$B$2:$B1000=$A59)*('Form responses 1'!$A$2:$A1000&lt;=EOMONTH(DATEVALUE("1 "&amp;AC$1),0)))+
  SUMPRODUCT(('Form responses 1'!$C$2:$C1000=$A59)*('Form responses 1'!$A$2:$A1000&lt;=EOMONTH(DATEVALUE("1 "&amp;AC$1),0)))+
  SUMPRODUCT(('Form responses 1'!$D$2:$D1000=$A59)*('Form responses 1'!$A$2:$A1000&lt;=EOMONTH(DATEVALUE("1 "&amp;AC$1),0)))+
  SUMPRODUCT(('Form responses 1'!$E$2:$E1000=$A59)*('Form responses 1'!$A$2:$A1000&lt;=EOMONTH(DATEVALUE("1 "&amp;AC$1),0)))+
  SUMPRODUCT(('Form responses 1'!$F$2:$F1000=$A59)*('Form responses 1'!$A$2:$A1000&lt;=EOMONTH(DATEVALUE("1 "&amp;AC$1),0)))+
  SUMPRODUCT(('Form responses 1'!$G$2:$G1000=$A59)*('Form responses 1'!$A$2:$A1000&lt;=EOMONTH(DATEVALUE("1 "&amp;AC$1),0)))
),2),"-")</f>
        <v>0.38</v>
      </c>
      <c r="AD59" s="2" t="str">
        <f>IFERROR(ROUND(Data!$B59/(
  SUMPRODUCT(('Form responses 1'!$B$2:$B1000=$A59)*('Form responses 1'!$A$2:$A1000&lt;=EOMONTH(DATEVALUE("1 "&amp;AD$1),0)))+
  SUMPRODUCT(('Form responses 1'!$C$2:$C1000=$A59)*('Form responses 1'!$A$2:$A1000&lt;=EOMONTH(DATEVALUE("1 "&amp;AD$1),0)))+
  SUMPRODUCT(('Form responses 1'!$D$2:$D1000=$A59)*('Form responses 1'!$A$2:$A1000&lt;=EOMONTH(DATEVALUE("1 "&amp;AD$1),0)))+
  SUMPRODUCT(('Form responses 1'!$E$2:$E1000=$A59)*('Form responses 1'!$A$2:$A1000&lt;=EOMONTH(DATEVALUE("1 "&amp;AD$1),0)))+
  SUMPRODUCT(('Form responses 1'!$F$2:$F1000=$A59)*('Form responses 1'!$A$2:$A1000&lt;=EOMONTH(DATEVALUE("1 "&amp;AD$1),0)))+
  SUMPRODUCT(('Form responses 1'!$G$2:$G1000=$A59)*('Form responses 1'!$A$2:$A1000&lt;=EOMONTH(DATEVALUE("1 "&amp;AD$1),0)))
),2),"-")</f>
        <v>-</v>
      </c>
      <c r="AE59" s="2" t="str">
        <f>IFERROR(ROUND(Data!$B59/(
  SUMPRODUCT(('Form responses 1'!$B$2:$B1000=$A59)*('Form responses 1'!$A$2:$A1000&lt;=EOMONTH(DATEVALUE("1 "&amp;AE$1),0)))+
  SUMPRODUCT(('Form responses 1'!$C$2:$C1000=$A59)*('Form responses 1'!$A$2:$A1000&lt;=EOMONTH(DATEVALUE("1 "&amp;AE$1),0)))+
  SUMPRODUCT(('Form responses 1'!$D$2:$D1000=$A59)*('Form responses 1'!$A$2:$A1000&lt;=EOMONTH(DATEVALUE("1 "&amp;AE$1),0)))+
  SUMPRODUCT(('Form responses 1'!$E$2:$E1000=$A59)*('Form responses 1'!$A$2:$A1000&lt;=EOMONTH(DATEVALUE("1 "&amp;AE$1),0)))+
  SUMPRODUCT(('Form responses 1'!$F$2:$F1000=$A59)*('Form responses 1'!$A$2:$A1000&lt;=EOMONTH(DATEVALUE("1 "&amp;AE$1),0)))+
  SUMPRODUCT(('Form responses 1'!$G$2:$G1000=$A59)*('Form responses 1'!$A$2:$A1000&lt;=EOMONTH(DATEVALUE("1 "&amp;AE$1),0)))
),2),"-")</f>
        <v>-</v>
      </c>
      <c r="AF59" s="2" t="str">
        <f>IFERROR(ROUND(Data!$B59/(
  SUMPRODUCT(('Form responses 1'!$B$2:$B1000=$A59)*('Form responses 1'!$A$2:$A1000&lt;=EOMONTH(DATEVALUE("1 "&amp;AF$1),0)))+
  SUMPRODUCT(('Form responses 1'!$C$2:$C1000=$A59)*('Form responses 1'!$A$2:$A1000&lt;=EOMONTH(DATEVALUE("1 "&amp;AF$1),0)))+
  SUMPRODUCT(('Form responses 1'!$D$2:$D1000=$A59)*('Form responses 1'!$A$2:$A1000&lt;=EOMONTH(DATEVALUE("1 "&amp;AF$1),0)))+
  SUMPRODUCT(('Form responses 1'!$E$2:$E1000=$A59)*('Form responses 1'!$A$2:$A1000&lt;=EOMONTH(DATEVALUE("1 "&amp;AF$1),0)))+
  SUMPRODUCT(('Form responses 1'!$F$2:$F1000=$A59)*('Form responses 1'!$A$2:$A1000&lt;=EOMONTH(DATEVALUE("1 "&amp;AF$1),0)))+
  SUMPRODUCT(('Form responses 1'!$G$2:$G1000=$A59)*('Form responses 1'!$A$2:$A1000&lt;=EOMONTH(DATEVALUE("1 "&amp;AF$1),0)))
),2),"-")</f>
        <v>-</v>
      </c>
      <c r="AG59" s="2" t="str">
        <f>IFERROR(ROUND(Data!$B59/(
  SUMPRODUCT(('Form responses 1'!$B$2:$B1000=$A59)*('Form responses 1'!$A$2:$A1000&lt;=EOMONTH(DATEVALUE("1 "&amp;AG$1),0)))+
  SUMPRODUCT(('Form responses 1'!$C$2:$C1000=$A59)*('Form responses 1'!$A$2:$A1000&lt;=EOMONTH(DATEVALUE("1 "&amp;AG$1),0)))+
  SUMPRODUCT(('Form responses 1'!$D$2:$D1000=$A59)*('Form responses 1'!$A$2:$A1000&lt;=EOMONTH(DATEVALUE("1 "&amp;AG$1),0)))+
  SUMPRODUCT(('Form responses 1'!$E$2:$E1000=$A59)*('Form responses 1'!$A$2:$A1000&lt;=EOMONTH(DATEVALUE("1 "&amp;AG$1),0)))+
  SUMPRODUCT(('Form responses 1'!$F$2:$F1000=$A59)*('Form responses 1'!$A$2:$A1000&lt;=EOMONTH(DATEVALUE("1 "&amp;AG$1),0)))+
  SUMPRODUCT(('Form responses 1'!$G$2:$G1000=$A59)*('Form responses 1'!$A$2:$A1000&lt;=EOMONTH(DATEVALUE("1 "&amp;AG$1),0)))
),2),"-")</f>
        <v>-</v>
      </c>
      <c r="AH59" s="2" t="str">
        <f>IFERROR(ROUND(Data!$B59/(
  SUMPRODUCT(('Form responses 1'!$B$2:$B1000=$A59)*('Form responses 1'!$A$2:$A1000&lt;=EOMONTH(DATEVALUE("1 "&amp;AH$1),0)))+
  SUMPRODUCT(('Form responses 1'!$C$2:$C1000=$A59)*('Form responses 1'!$A$2:$A1000&lt;=EOMONTH(DATEVALUE("1 "&amp;AH$1),0)))+
  SUMPRODUCT(('Form responses 1'!$D$2:$D1000=$A59)*('Form responses 1'!$A$2:$A1000&lt;=EOMONTH(DATEVALUE("1 "&amp;AH$1),0)))+
  SUMPRODUCT(('Form responses 1'!$E$2:$E1000=$A59)*('Form responses 1'!$A$2:$A1000&lt;=EOMONTH(DATEVALUE("1 "&amp;AH$1),0)))+
  SUMPRODUCT(('Form responses 1'!$F$2:$F1000=$A59)*('Form responses 1'!$A$2:$A1000&lt;=EOMONTH(DATEVALUE("1 "&amp;AH$1),0)))+
  SUMPRODUCT(('Form responses 1'!$G$2:$G1000=$A59)*('Form responses 1'!$A$2:$A1000&lt;=EOMONTH(DATEVALUE("1 "&amp;AH$1),0)))
),2),"-")</f>
        <v>-</v>
      </c>
      <c r="AI59" s="2" t="str">
        <f>IFERROR(ROUND(Data!$B59/(
  SUMPRODUCT(('Form responses 1'!$B$2:$B1000=$A59)*('Form responses 1'!$A$2:$A1000&lt;=EOMONTH(DATEVALUE("1 "&amp;AI$1),0)))+
  SUMPRODUCT(('Form responses 1'!$C$2:$C1000=$A59)*('Form responses 1'!$A$2:$A1000&lt;=EOMONTH(DATEVALUE("1 "&amp;AI$1),0)))+
  SUMPRODUCT(('Form responses 1'!$D$2:$D1000=$A59)*('Form responses 1'!$A$2:$A1000&lt;=EOMONTH(DATEVALUE("1 "&amp;AI$1),0)))+
  SUMPRODUCT(('Form responses 1'!$E$2:$E1000=$A59)*('Form responses 1'!$A$2:$A1000&lt;=EOMONTH(DATEVALUE("1 "&amp;AI$1),0)))+
  SUMPRODUCT(('Form responses 1'!$F$2:$F1000=$A59)*('Form responses 1'!$A$2:$A1000&lt;=EOMONTH(DATEVALUE("1 "&amp;AI$1),0)))+
  SUMPRODUCT(('Form responses 1'!$G$2:$G1000=$A59)*('Form responses 1'!$A$2:$A1000&lt;=EOMONTH(DATEVALUE("1 "&amp;AI$1),0)))
),2),"-")</f>
        <v>-</v>
      </c>
      <c r="AJ59" s="2" t="str">
        <f>IFERROR(ROUND(Data!$B59/(
  SUMPRODUCT(('Form responses 1'!$B$2:$B1000=$A59)*('Form responses 1'!$A$2:$A1000&lt;=EOMONTH(DATEVALUE("1 "&amp;AJ$1),0)))+
  SUMPRODUCT(('Form responses 1'!$C$2:$C1000=$A59)*('Form responses 1'!$A$2:$A1000&lt;=EOMONTH(DATEVALUE("1 "&amp;AJ$1),0)))+
  SUMPRODUCT(('Form responses 1'!$D$2:$D1000=$A59)*('Form responses 1'!$A$2:$A1000&lt;=EOMONTH(DATEVALUE("1 "&amp;AJ$1),0)))+
  SUMPRODUCT(('Form responses 1'!$E$2:$E1000=$A59)*('Form responses 1'!$A$2:$A1000&lt;=EOMONTH(DATEVALUE("1 "&amp;AJ$1),0)))+
  SUMPRODUCT(('Form responses 1'!$F$2:$F1000=$A59)*('Form responses 1'!$A$2:$A1000&lt;=EOMONTH(DATEVALUE("1 "&amp;AJ$1),0)))+
  SUMPRODUCT(('Form responses 1'!$G$2:$G1000=$A59)*('Form responses 1'!$A$2:$A1000&lt;=EOMONTH(DATEVALUE("1 "&amp;AJ$1),0)))
),2),"-")</f>
        <v>-</v>
      </c>
      <c r="AK59" s="2" t="str">
        <f>IFERROR(ROUND(Data!$B59/(
  SUMPRODUCT(('Form responses 1'!$B$2:$B1000=$A59)*('Form responses 1'!$A$2:$A1000&lt;=EOMONTH(DATEVALUE("1 "&amp;AK$1),0)))+
  SUMPRODUCT(('Form responses 1'!$C$2:$C1000=$A59)*('Form responses 1'!$A$2:$A1000&lt;=EOMONTH(DATEVALUE("1 "&amp;AK$1),0)))+
  SUMPRODUCT(('Form responses 1'!$D$2:$D1000=$A59)*('Form responses 1'!$A$2:$A1000&lt;=EOMONTH(DATEVALUE("1 "&amp;AK$1),0)))+
  SUMPRODUCT(('Form responses 1'!$E$2:$E1000=$A59)*('Form responses 1'!$A$2:$A1000&lt;=EOMONTH(DATEVALUE("1 "&amp;AK$1),0)))+
  SUMPRODUCT(('Form responses 1'!$F$2:$F1000=$A59)*('Form responses 1'!$A$2:$A1000&lt;=EOMONTH(DATEVALUE("1 "&amp;AK$1),0)))+
  SUMPRODUCT(('Form responses 1'!$G$2:$G1000=$A59)*('Form responses 1'!$A$2:$A1000&lt;=EOMONTH(DATEVALUE("1 "&amp;AK$1),0)))
),2),"-")</f>
        <v>-</v>
      </c>
      <c r="AL59" s="2" t="str">
        <f>IFERROR(ROUND(Data!$B59/(
  SUMPRODUCT(('Form responses 1'!$B$2:$B1000=$A59)*('Form responses 1'!$A$2:$A1000&lt;=EOMONTH(DATEVALUE("1 "&amp;AL$1),0)))+
  SUMPRODUCT(('Form responses 1'!$C$2:$C1000=$A59)*('Form responses 1'!$A$2:$A1000&lt;=EOMONTH(DATEVALUE("1 "&amp;AL$1),0)))+
  SUMPRODUCT(('Form responses 1'!$D$2:$D1000=$A59)*('Form responses 1'!$A$2:$A1000&lt;=EOMONTH(DATEVALUE("1 "&amp;AL$1),0)))+
  SUMPRODUCT(('Form responses 1'!$E$2:$E1000=$A59)*('Form responses 1'!$A$2:$A1000&lt;=EOMONTH(DATEVALUE("1 "&amp;AL$1),0)))+
  SUMPRODUCT(('Form responses 1'!$F$2:$F1000=$A59)*('Form responses 1'!$A$2:$A1000&lt;=EOMONTH(DATEVALUE("1 "&amp;AL$1),0)))+
  SUMPRODUCT(('Form responses 1'!$G$2:$G1000=$A59)*('Form responses 1'!$A$2:$A1000&lt;=EOMONTH(DATEVALUE("1 "&amp;AL$1),0)))
),2),"-")</f>
        <v>-</v>
      </c>
    </row>
    <row r="60">
      <c r="A60" s="3" t="str">
        <f>IFERROR(__xludf.DUMMYFUNCTION("""COMPUTED_VALUE"""),"Blauwe blouse")</f>
        <v>Blauwe blouse</v>
      </c>
      <c r="B60" s="2">
        <f>Data!F58:F1000</f>
        <v>6</v>
      </c>
      <c r="C60" s="2" t="str">
        <f>IFERROR(ROUND(#REF!/(SUMPRODUCT(('Form responses 1'!$B$2:$B1000 = A60) * ('Form responses 1'!$A$2:$A1000 &lt;= DATE(2024, 1, 31)))
+ SUMPRODUCT(('Form responses 1'!$C$2:$C1000 = A60) * ('Form responses 1'!$A$2:$A1000 &lt;= DATE(2024, 1, 31)))
+ SUMPRODUCT(('Form responses 1'!$D$2:$D1000 = A60) * ('Form responses 1'!$A$2:$A1000 &lt;= DATE(2024, 1, 31)))
+ SUMPRODUCT(('Form responses 1'!$E$2:$E1000 = A60) * ('Form responses 1'!$A$2:$A1000 &lt;= DATE(2024, 1, 31)))
+ SUMPRODUCT(('Form responses 1'!$F$2:$F1000 = A60) * ('Form responses 1'!$A$2:$A1000 &lt;= DATE(2024, 1, 31)))
+ SUMPRODUCT(('Form responses 1'!$G$2:$G1000 = A60) * ('Form responses 1'!$A$2:$A1000 &lt;= DATE(2024, 1, 31)))), 2), "-")
</f>
        <v>-</v>
      </c>
      <c r="D60" s="2" t="str">
        <f>IFERROR(ROUND(#REF!/(SUMPRODUCT(('Form responses 1'!$B$2:$B1000 = A60) * ('Form responses 1'!$A$2:$A1000 &lt;= DATE(2024, 2, 29)))
+ SUMPRODUCT(('Form responses 1'!$C$2:$C1000 = A60) * ('Form responses 1'!$A$2:$A1000 &lt;= DATE(2024, 2, 29)))
+ SUMPRODUCT(('Form responses 1'!$D$2:$D1000 = A60) * ('Form responses 1'!$A$2:$A1000 &lt;= DATE(2024, 2, 29)))
+ SUMPRODUCT(('Form responses 1'!$E$2:$E1000 = A60) * ('Form responses 1'!$A$2:$A1000 &lt;= DATE(2024, 2, 29)))
+ SUMPRODUCT(('Form responses 1'!$F$2:$F1000 = A60) * ('Form responses 1'!$A$2:$A1000 &lt;= DATE(2024, 2, 29)))
+ SUMPRODUCT(('Form responses 1'!$G$2:$G1000 = A60) * ('Form responses 1'!$A$2:$A1000 &lt;= DATE(2024, 2, 29)))), 2), "-")
</f>
        <v>-</v>
      </c>
      <c r="E60" s="2" t="str">
        <f>IFERROR(ROUND(#REF!/(SUMPRODUCT(('Form responses 1'!$B$2:$B1000 = A60) * ('Form responses 1'!$A$2:$A1000 &lt;= DATE(2024, 3, 31)))
+ SUMPRODUCT(('Form responses 1'!$C$2:$C1000 = A60) * ('Form responses 1'!$A$2:$A1000 &lt;= DATE(2024, 3, 31)))
+ SUMPRODUCT(('Form responses 1'!$D$2:$D1000 = A60) * ('Form responses 1'!$A$2:$A1000 &lt;= DATE(2024, 3, 31)))
+ SUMPRODUCT(('Form responses 1'!$E$2:$E1000 = A60) * ('Form responses 1'!$A$2:$A1000 &lt;= DATE(2024, 3, 31)))
+ SUMPRODUCT(('Form responses 1'!$F$2:$F1000 = A60) * ('Form responses 1'!$A$2:$A1000 &lt;= DATE(2024, 3, 31)))
+ SUMPRODUCT(('Form responses 1'!$G$2:$G1000 = A60) * ('Form responses 1'!$A$2:$A1000 &lt;= DATE(2024, 3, 31)))), 2), "-")
</f>
        <v>-</v>
      </c>
      <c r="F60" s="2" t="str">
        <f>IFERROR(ROUND(#REF!/(SUMPRODUCT(('Form responses 1'!$B$2:$B1000 = A60) * ('Form responses 1'!$A$2:$A1000 &lt;= DATE(2024, 4, 30)))
+ SUMPRODUCT(('Form responses 1'!$C$2:$C1000 = A60) * ('Form responses 1'!$A$2:$A1000 &lt;= DATE(2024, 4, 30)))
+ SUMPRODUCT(('Form responses 1'!$D$2:$D1000 = A60) * ('Form responses 1'!$A$2:$A1000 &lt;= DATE(2024, 4, 30)))
+ SUMPRODUCT(('Form responses 1'!$E$2:$E1000 = A60) * ('Form responses 1'!$A$2:$A1000 &lt;= DATE(2024, 4, 30)))
+ SUMPRODUCT(('Form responses 1'!$F$2:$F1000 = A60) * ('Form responses 1'!$A$2:$A1000 &lt;= DATE(2024, 4, 30)))
+ SUMPRODUCT(('Form responses 1'!$G$2:$G1000 = A60) * ('Form responses 1'!$A$2:$A1000 &lt;= DATE(2024, 4, 30)))), 2), "-")
</f>
        <v>-</v>
      </c>
      <c r="G60" s="2" t="str">
        <f>IFERROR(ROUND(#REF!/(SUMPRODUCT(('Form responses 1'!$B$2:$B1000 = A60) * ('Form responses 1'!$A$2:$A1000 &lt;= DATE(2024, 5, 31)))
+ SUMPRODUCT(('Form responses 1'!$C$2:$C1000 = A60) * ('Form responses 1'!$A$2:$A1000 &lt;= DATE(2024, 5, 31)))
+ SUMPRODUCT(('Form responses 1'!$D$2:$D1000 = A60) * ('Form responses 1'!$A$2:$A1000 &lt;= DATE(2024, 5, 31)))
+ SUMPRODUCT(('Form responses 1'!$E$2:$E1000 = A60) * ('Form responses 1'!$A$2:$A1000 &lt;= DATE(2024, 5, 31)))
+ SUMPRODUCT(('Form responses 1'!$F$2:$F1000 = A60) * ('Form responses 1'!$A$2:$A1000 &lt;= DATE(2024, 5, 31)))
+ SUMPRODUCT(('Form responses 1'!$G$2:$G1000 = A60) * ('Form responses 1'!$A$2:$A1000 &lt;= DATE(2024, 5, 31)))), 2), "-")
</f>
        <v>-</v>
      </c>
      <c r="H60" s="2" t="str">
        <f>IFERROR(ROUND(#REF!/(SUMPRODUCT(('Form responses 1'!$B$2:$B1000 = A60) * ('Form responses 1'!$A$2:$A1000 &lt;= DATE(2024, 6, 30)))
+ SUMPRODUCT(('Form responses 1'!$C$2:$C1000 = A60) * ('Form responses 1'!$A$2:$A1000 &lt;= DATE(2024, 6, 30)))
+ SUMPRODUCT(('Form responses 1'!$D$2:$D1000 = A60) * ('Form responses 1'!$A$2:$A1000 &lt;= DATE(2024, 6, 30)))
+ SUMPRODUCT(('Form responses 1'!$E$2:$E1000 = A60) * ('Form responses 1'!$A$2:$A1000 &lt;= DATE(2024, 6, 30)))
+ SUMPRODUCT(('Form responses 1'!$F$2:$F1000 = A60) * ('Form responses 1'!$A$2:$A1000 &lt;= DATE(2024, 6, 30)))
+ SUMPRODUCT(('Form responses 1'!$G$2:$G1000 = A60) * ('Form responses 1'!$A$2:$A1000 &lt;= DATE(2024, 6, 30)))), 2), "-")
</f>
        <v>-</v>
      </c>
      <c r="I60" s="2" t="str">
        <f>IFERROR(ROUND(#REF!/(SUMPRODUCT(('Form responses 1'!$B$2:$B1000 = A60) * ('Form responses 1'!$A$2:$A1000 &lt;= DATE(2024, 7, 31)))
+ SUMPRODUCT(('Form responses 1'!$C$2:$C1000 = A60) * ('Form responses 1'!$A$2:$A1000 &lt;= DATE(2024, 7, 31)))
+ SUMPRODUCT(('Form responses 1'!$D$2:$D1000 = A60) * ('Form responses 1'!$A$2:$A1000 &lt;= DATE(2024, 7, 31)))
+ SUMPRODUCT(('Form responses 1'!$E$2:$E1000 = A60) * ('Form responses 1'!$A$2:$A1000 &lt;= DATE(2024, 7, 31)))
+ SUMPRODUCT(('Form responses 1'!$F$2:$F1000 = A60) * ('Form responses 1'!$A$2:$A1000 &lt;= DATE(2024, 7, 31)))
+ SUMPRODUCT(('Form responses 1'!$G$2:$G1000 = A60) * ('Form responses 1'!$A$2:$A1000 &lt;= DATE(2024, 7, 31)))), 2), "-")
</f>
        <v>-</v>
      </c>
      <c r="J60" s="2" t="str">
        <f>IFERROR(ROUND(#REF!/(SUMPRODUCT(('Form responses 1'!$B$2:$B1000 = A60) * ('Form responses 1'!$A$2:$A1000 &lt;= DATE(2024, 8, 31)))
+ SUMPRODUCT(('Form responses 1'!$C$2:$C1000 = A60) * ('Form responses 1'!$A$2:$A1000 &lt;= DATE(2024, 8, 31)))
+ SUMPRODUCT(('Form responses 1'!$D$2:$D1000 = A60) * ('Form responses 1'!$A$2:$A1000 &lt;= DATE(2024, 8, 31)))
+ SUMPRODUCT(('Form responses 1'!$E$2:$E1000 = A60) * ('Form responses 1'!$A$2:$A1000 &lt;= DATE(2024, 8, 31)))
+ SUMPRODUCT(('Form responses 1'!$F$2:$F1000 = A60) * ('Form responses 1'!$A$2:$A1000 &lt;= DATE(2024, 8, 31)))
+ SUMPRODUCT(('Form responses 1'!$G$2:$G1000 = A60) * ('Form responses 1'!$A$2:$A1000 &lt;= DATE(2024, 8, 31)))), 2), "-")
</f>
        <v>-</v>
      </c>
      <c r="K60" s="2" t="str">
        <f>IFERROR(ROUND(#REF!/(SUMPRODUCT(('Form responses 1'!$B$2:$B1000 = A60) * ('Form responses 1'!$A$2:$A1000 &lt;= DATE(2024, 9, 30)))
+ SUMPRODUCT(('Form responses 1'!$C$2:$C1000 = A60) * ('Form responses 1'!$A$2:$A1000 &lt;= DATE(2024, 9, 30)))
+ SUMPRODUCT(('Form responses 1'!$D$2:$D1000 = A60) * ('Form responses 1'!$A$2:$A1000 &lt;= DATE(2024, 9, 30)))
+ SUMPRODUCT(('Form responses 1'!$E$2:$E1000 = A60) * ('Form responses 1'!$A$2:$A1000 &lt;= DATE(2024, 9, 30)))
+ SUMPRODUCT(('Form responses 1'!$F$2:$F1000 = A60) * ('Form responses 1'!$A$2:$A1000 &lt;= DATE(2024, 9, 30)))
+ SUMPRODUCT(('Form responses 1'!$G$2:$G1000 = A60) * ('Form responses 1'!$A$2:$A1000 &lt;= DATE(2024, 9, 30)))), 2), "-")
</f>
        <v>-</v>
      </c>
      <c r="L60" s="2" t="str">
        <f>IFERROR(ROUND(#REF!/(SUMPRODUCT(('Form responses 1'!$B$2:$B1000 = A60) * ('Form responses 1'!$A$2:$A1000 &lt;= DATE(2024, 10, 31)))
+ SUMPRODUCT(('Form responses 1'!$C$2:$C1000 = A60) * ('Form responses 1'!$A$2:$A1000 &lt;= DATE(2024, 10, 31)))
+ SUMPRODUCT(('Form responses 1'!$D$2:$D1000 = A60) * ('Form responses 1'!$A$2:$A1000 &lt;= DATE(2024, 10, 31)))
+ SUMPRODUCT(('Form responses 1'!$E$2:$E1000 = A60) * ('Form responses 1'!$A$2:$A1000 &lt;= DATE(2024, 10, 31)))
+ SUMPRODUCT(('Form responses 1'!$F$2:$F1000 = A60) * ('Form responses 1'!$A$2:$A1000 &lt;= DATE(2024, 10, 31)))
+ SUMPRODUCT(('Form responses 1'!$G$2:$G1000 = A60) * ('Form responses 1'!$A$2:$A1000 &lt;= DATE(2024, 10, 31)))), 2), "-")
</f>
        <v>-</v>
      </c>
      <c r="M60" s="2" t="str">
        <f>IFERROR(ROUND(#REF!/(SUMPRODUCT(('Form responses 1'!$B$2:$B1000 = A60) * ('Form responses 1'!$A$2:$A1000 &lt;= DATE(2024, 11, 30)))
+ SUMPRODUCT(('Form responses 1'!$C$2:$C1000 = A60) * ('Form responses 1'!$A$2:$A1000 &lt;= DATE(2024, 11, 30)))
+ SUMPRODUCT(('Form responses 1'!$D$2:$D1000 = A60) * ('Form responses 1'!$A$2:$A1000 &lt;= DATE(2024, 11, 30)))
+ SUMPRODUCT(('Form responses 1'!$E$2:$E1000 = A60) * ('Form responses 1'!$A$2:$A1000 &lt;= DATE(2024, 11, 30)))
+ SUMPRODUCT(('Form responses 1'!$F$2:$F1000 = A60) * ('Form responses 1'!$A$2:$A1000 &lt;= DATE(2024, 11, 30)))
+ SUMPRODUCT(('Form responses 1'!$G$2:$G1000 = A60) * ('Form responses 1'!$A$2:$A1000 &lt;= DATE(2024, 11, 30)))), 2), "-")
</f>
        <v>-</v>
      </c>
      <c r="N60" s="2" t="str">
        <f>IFERROR(ROUND(#REF!/(SUMPRODUCT(('Form responses 1'!$B$2:$B1000 = A60) * ('Form responses 1'!$A$2:$A1000 &lt;= DATE(2024, 12, 31)))
+ SUMPRODUCT(('Form responses 1'!$C$2:$C1000 = A60) * ('Form responses 1'!$A$2:$A1000 &lt;= DATE(2024, 12, 31)))
+ SUMPRODUCT(('Form responses 1'!$D$2:$D1000 = A60) * ('Form responses 1'!$A$2:$A1000 &lt;= DATE(2024, 12, 31)))
+ SUMPRODUCT(('Form responses 1'!$E$2:$E1000 = A60) * ('Form responses 1'!$A$2:$A1000 &lt;= DATE(2024, 12, 31)))
+ SUMPRODUCT(('Form responses 1'!$F$2:$F1000 = A60) * ('Form responses 1'!$A$2:$A1000 &lt;= DATE(2024, 12, 31)))
+ SUMPRODUCT(('Form responses 1'!$G$2:$G1000 = A60) * ('Form responses 1'!$A$2:$A1000 &lt;= DATE(2024, 12, 31)))), 2), "-")
</f>
        <v>-</v>
      </c>
      <c r="O60" s="2" t="str">
        <f>IFERROR(ROUND(#REF!/(SUMPRODUCT(('Form responses 1'!$B$2:$B1000 = A60) * ('Form responses 1'!$A$2:$A1000 &lt;= DATE(2025, 1, 31)))
+ SUMPRODUCT(('Form responses 1'!$C$2:$C1000 = A60) * ('Form responses 1'!$A$2:$A1000 &lt;= DATE(2025, 1, 31)))
+ SUMPRODUCT(('Form responses 1'!$D$2:$D1000 = A60) * ('Form responses 1'!$A$2:$A1000 &lt;= DATE(2025, 1, 31)))
+ SUMPRODUCT(('Form responses 1'!$E$2:$E1000 = A60) * ('Form responses 1'!$A$2:$A1000 &lt;= DATE(2025, 1, 31)))
+ SUMPRODUCT(('Form responses 1'!$F$2:$F1000 = A60) * ('Form responses 1'!$A$2:$A1000 &lt;= DATE(2025, 1, 31)))
+ SUMPRODUCT(('Form responses 1'!$G$2:$G1000 = A60) * ('Form responses 1'!$A$2:$A1000 &lt;= DATE(2025, 1, 31)))), 2), "-")
</f>
        <v>-</v>
      </c>
      <c r="P60" s="2" t="str">
        <f>IFERROR(ROUND(#REF!/(SUMPRODUCT(('Form responses 1'!$B$2:$B1000 = A60) * ('Form responses 1'!$A$2:$A1000 &lt;= DATE(2025, 2, 28)))
+ SUMPRODUCT(('Form responses 1'!$C$2:$C1000 = A60) * ('Form responses 1'!$A$2:$A1000 &lt;= DATE(2025, 2, 28)))
+ SUMPRODUCT(('Form responses 1'!$D$2:$D1000 = A60) * ('Form responses 1'!$A$2:$A1000 &lt;= DATE(2025, 2, 28)))
+ SUMPRODUCT(('Form responses 1'!$E$2:$E1000 = A60) * ('Form responses 1'!$A$2:$A1000 &lt;= DATE(2025, 2, 28)))
+ SUMPRODUCT(('Form responses 1'!$F$2:$F1000 = A60) * ('Form responses 1'!$A$2:$A1000 &lt;= DATE(2025, 2, 28)))
+ SUMPRODUCT(('Form responses 1'!$G$2:$G1000 = A60) * ('Form responses 1'!$A$2:$A1000 &lt;= DATE(2025, 2, 28)))), 2), "-")
</f>
        <v>-</v>
      </c>
      <c r="Q60" s="2" t="str">
        <f>IFERROR(ROUND(#REF!/(SUMPRODUCT(('Form responses 1'!$B$2:$B1000 = A60) * ('Form responses 1'!$A$2:$A1000 &lt;= DATE(2025, 3, 31)))
+ SUMPRODUCT(('Form responses 1'!$C$2:$C1000 = A60) * ('Form responses 1'!$A$2:$A1000 &lt;= DATE(2025, 3, 31)))
+ SUMPRODUCT(('Form responses 1'!$D$2:$D1000 = A60) * ('Form responses 1'!$A$2:$A1000 &lt;= DATE(2025, 3, 31)))
+ SUMPRODUCT(('Form responses 1'!$E$2:$E1000 = A60) * ('Form responses 1'!$A$2:$A1000 &lt;= DATE(2025, 3, 31)))
+ SUMPRODUCT(('Form responses 1'!$F$2:$F1000 = A60) * ('Form responses 1'!$A$2:$A1000 &lt;= DATE(2025, 3, 31)))
+ SUMPRODUCT(('Form responses 1'!$G$2:$G1000 = A60) * ('Form responses 1'!$A$2:$A1000 &lt;= DATE(2025, 3, 31)))),2),"-")</f>
        <v>-</v>
      </c>
      <c r="R60" s="2" t="str">
        <f>IFERROR(ROUND(#REF!/(SUMPRODUCT(('Form responses 1'!$B$2:$B1000 = A60) * ('Form responses 1'!$A$2:$A1000 &lt;= DATE(2025, 4, 30)))
+ SUMPRODUCT(('Form responses 1'!$C$2:$C1000 = A60) * ('Form responses 1'!$A$2:$A1000 &lt;= DATE(2025, 4, 30)))
+ SUMPRODUCT(('Form responses 1'!$D$2:$D1000 = A60) * ('Form responses 1'!$A$2:$A1000 &lt;= DATE(2025, 4, 30)))
+ SUMPRODUCT(('Form responses 1'!$E$2:$E1000 = A60) * ('Form responses 1'!$A$2:$A1000 &lt;= DATE(2025, 4, 30)))
+ SUMPRODUCT(('Form responses 1'!$F$2:$F1000 = A60) * ('Form responses 1'!$A$2:$A1000 &lt;= DATE(2025, 4, 30)))
+ SUMPRODUCT(('Form responses 1'!$G$2:$G1000 = A60) * ('Form responses 1'!$A$2:$A1000 &lt;= DATE(2025, 4, 30)))), 2), "-")
</f>
        <v>-</v>
      </c>
      <c r="S60" s="2" t="str">
        <f>IFERROR(ROUND(#REF!/(SUMPRODUCT(('Form responses 1'!$B$2:$B1000 = A60) * ('Form responses 1'!$A$2:$A1000 &lt;= DATE(2025, 5, 31)))
+ SUMPRODUCT(('Form responses 1'!$C$2:$C1000 = A60) * ('Form responses 1'!$A$2:$A1000 &lt;= DATE(2025, 5, 31)))
+ SUMPRODUCT(('Form responses 1'!$D$2:$D1000 = A60) * ('Form responses 1'!$A$2:$A1000 &lt;= DATE(2025, 5, 31)))
+ SUMPRODUCT(('Form responses 1'!$E$2:$E1000 = A60) * ('Form responses 1'!$A$2:$A1000 &lt;= DATE(2025, 5, 31)))
+ SUMPRODUCT(('Form responses 1'!$F$2:$F1000 = A60) * ('Form responses 1'!$A$2:$A1000 &lt;= DATE(2025, 5, 31)))
+ SUMPRODUCT(('Form responses 1'!$G$2:$G1000 = A60) * ('Form responses 1'!$A$2:$A1000 &lt;= DATE(2025, 5, 31)))), 2), "-")
</f>
        <v>-</v>
      </c>
      <c r="T60" s="2" t="str">
        <f>IFERROR(ROUND(#REF!/(SUMPRODUCT(('Form responses 1'!$B$2:$B1000 = A60) * ('Form responses 1'!$A$2:$A1000 &lt;= DATE(2025, 6, 30)))
+ SUMPRODUCT(('Form responses 1'!$C$2:$C1000 = A60) * ('Form responses 1'!$A$2:$A1000 &lt;= DATE(2025, 6, 30)))
+ SUMPRODUCT(('Form responses 1'!$D$2:$D1000 = A60) * ('Form responses 1'!$A$2:$A1000 &lt;= DATE(2025, 6, 30)))
+ SUMPRODUCT(('Form responses 1'!$E$2:$E1000 = A60) * ('Form responses 1'!$A$2:$A1000 &lt;= DATE(2025, 6, 30)))
+ SUMPRODUCT(('Form responses 1'!$F$2:$F1000 = A60) * ('Form responses 1'!$A$2:$A1000 &lt;= DATE(2025, 6, 30)))
+ SUMPRODUCT(('Form responses 1'!$G$2:$G1000 = A60) * ('Form responses 1'!$A$2:$A1000 &lt;= DATE(2025, 6, 30)))), 2), "-")
</f>
        <v>-</v>
      </c>
      <c r="U60" s="2" t="str">
        <f>IFERROR(ROUND(#REF!/(SUMPRODUCT(('Form responses 1'!$B$2:$B1000 = A60) * ('Form responses 1'!$A$2:$A1000 &lt;= DATE(2025, 7, 31)))
+ SUMPRODUCT(('Form responses 1'!$C$2:$C1000 = A60) * ('Form responses 1'!$A$2:$A1000 &lt;= DATE(2025, 7, 31)))
+ SUMPRODUCT(('Form responses 1'!$D$2:$D1000 = A60) * ('Form responses 1'!$A$2:$A1000 &lt;= DATE(2025, 7, 31)))
+ SUMPRODUCT(('Form responses 1'!$E$2:$E1000 = A60) * ('Form responses 1'!$A$2:$A1000 &lt;= DATE(2025, 7, 31)))
+ SUMPRODUCT(('Form responses 1'!$F$2:$F1000 = A60) * ('Form responses 1'!$A$2:$A1000 &lt;= DATE(2025, 7, 31)))
+ SUMPRODUCT(('Form responses 1'!$G$2:$G1000 = A60) * ('Form responses 1'!$A$2:$A1000 &lt;= DATE(2025, 7, 31)))), 2), "-")
</f>
        <v>-</v>
      </c>
      <c r="V60" s="2" t="str">
        <f>IFERROR(ROUND(#REF!/(SUMPRODUCT(('Form responses 1'!$B$2:$B1000 = A60) * ('Form responses 1'!$A$2:$A1000 &lt;= DATE(2025, 8, 31)))
+ SUMPRODUCT(('Form responses 1'!$C$2:$C1000 = A60) * ('Form responses 1'!$A$2:$A1000 &lt;= DATE(2025, 8, 31)))
+ SUMPRODUCT(('Form responses 1'!$D$2:$D1000 = A60) * ('Form responses 1'!$A$2:$A1000 &lt;= DATE(2025, 8, 31)))
+ SUMPRODUCT(('Form responses 1'!$E$2:$E1000 = A60) * ('Form responses 1'!$A$2:$A1000 &lt;= DATE(2025, 8, 31)))
+ SUMPRODUCT(('Form responses 1'!$F$2:$F1000 = A60) * ('Form responses 1'!$A$2:$A1000 &lt;= DATE(2025, 8, 31)))
+ SUMPRODUCT(('Form responses 1'!$G$2:$G1000 = A60) * ('Form responses 1'!$A$2:$A1000 &lt;= DATE(2025, 8, 31)))), 2), "-")
</f>
        <v>-</v>
      </c>
      <c r="W60" s="2" t="str">
        <f>IFERROR(ROUND(#REF!/(SUMPRODUCT(('Form responses 1'!$B$2:$B1000 = A60) * ('Form responses 1'!$A$2:$A1000 &lt;= DATE(2025, 9, 30)))
+ SUMPRODUCT(('Form responses 1'!$C$2:$C1000 = A60) * ('Form responses 1'!$A$2:$A1000 &lt;= DATE(2025, 9, 30)))
+ SUMPRODUCT(('Form responses 1'!$D$2:$D1000 = A60) * ('Form responses 1'!$A$2:$A1000 &lt;= DATE(2025, 9, 30)))
+ SUMPRODUCT(('Form responses 1'!$E$2:$E1000 = A60) * ('Form responses 1'!$A$2:$A1000 &lt;= DATE(2025, 9, 30)))
+ SUMPRODUCT(('Form responses 1'!$F$2:$F1000 = A60) * ('Form responses 1'!$A$2:$A1000 &lt;= DATE(2025, 9, 30)))
+ SUMPRODUCT(('Form responses 1'!$G$2:$G1000 = A60) * ('Form responses 1'!$A$2:$A1000 &lt;= DATE(2025, 9, 30)))), 2), "-")
</f>
        <v>-</v>
      </c>
      <c r="X60" s="2" t="str">
        <f>IFERROR(ROUND(#REF!/(SUMPRODUCT(('Form responses 1'!$B$2:$B1000 = A60) * ('Form responses 1'!$A$2:$A1000 &lt;= DATE(2025, 10, 31)))
+ SUMPRODUCT(('Form responses 1'!$C$2:$C1000 = A60) * ('Form responses 1'!$A$2:$A1000 &lt;= DATE(2025, 10, 31)))
+ SUMPRODUCT(('Form responses 1'!$D$2:$D1000 = A60) * ('Form responses 1'!$A$2:$A1000 &lt;= DATE(2025, 10, 31)))
+ SUMPRODUCT(('Form responses 1'!$E$2:$E1000 = A60) * ('Form responses 1'!$A$2:$A1000 &lt;= DATE(2025, 10, 31)))
+ SUMPRODUCT(('Form responses 1'!$F$2:$F1000 = A60) * ('Form responses 1'!$A$2:$A1000 &lt;= DATE(2025, 10, 31)))
+ SUMPRODUCT(('Form responses 1'!$G$2:$G1000 = A60) * ('Form responses 1'!$A$2:$A1000 &lt;= DATE(2025, 10, 31)))), 2), "-")
</f>
        <v>-</v>
      </c>
      <c r="Y60" s="2" t="str">
        <f>IFERROR(ROUND(#REF!/(SUMPRODUCT(('Form responses 1'!$B$2:$B1000 = A60) * ('Form responses 1'!$A$2:$A1000 &lt;= DATE(2025, 11, 30)))
+ SUMPRODUCT(('Form responses 1'!$C$2:$C1000 = A60) * ('Form responses 1'!$A$2:$A1000 &lt;= DATE(2025, 11, 30)))
+ SUMPRODUCT(('Form responses 1'!$D$2:$D1000 = A60) * ('Form responses 1'!$A$2:$A1000 &lt;= DATE(2025, 11, 30)))
+ SUMPRODUCT(('Form responses 1'!$E$2:$E1000 = A60) * ('Form responses 1'!$A$2:$A1000 &lt;= DATE(2025, 11, 30)))
+ SUMPRODUCT(('Form responses 1'!$F$2:$F1000 = A60) * ('Form responses 1'!$A$2:$A1000 &lt;= DATE(2025, 11, 30)))
+ SUMPRODUCT(('Form responses 1'!$G$2:$G1000 = A60) * ('Form responses 1'!$A$2:$A1000 &lt;= DATE(2025, 11, 30)))), 2), "-")
</f>
        <v>-</v>
      </c>
      <c r="Z60" s="2" t="str">
        <f>IFERROR(ROUND(#REF!/(SUMPRODUCT(('Form responses 1'!$B$2:$B1000 = A60) * ('Form responses 1'!$A$2:$A1000 &lt;= DATE(2025, 12, 31)))
+ SUMPRODUCT(('Form responses 1'!$C$2:$C1000 = A60) * ('Form responses 1'!$A$2:$A1000 &lt;= DATE(2025, 12, 31)))
+ SUMPRODUCT(('Form responses 1'!$D$2:$D1000 = A60) * ('Form responses 1'!$A$2:$A1000 &lt;= DATE(2025, 12, 31)))
+ SUMPRODUCT(('Form responses 1'!$E$2:$E1000 = A60) * ('Form responses 1'!$A$2:$A1000 &lt;= DATE(2025, 12, 31)))
+ SUMPRODUCT(('Form responses 1'!$F$2:$F1000 = A60) * ('Form responses 1'!$A$2:$A1000 &lt;= DATE(2025, 12, 31)))
+ SUMPRODUCT(('Form responses 1'!$G$2:$G1000 = A60) * ('Form responses 1'!$A$2:$A1000 &lt;= DATE(2025, 12, 31)))), 2), "-")
</f>
        <v>-</v>
      </c>
      <c r="AA60" s="2">
        <f>IFERROR(ROUND(Data!$B60/(
  SUMPRODUCT(('Form responses 1'!$B$2:$B1000=$A60)*('Form responses 1'!$A$2:$A1000&lt;=EOMONTH(DATEVALUE("1 "&amp;AA$1),0)))+
  SUMPRODUCT(('Form responses 1'!$C$2:$C1000=$A60)*('Form responses 1'!$A$2:$A1000&lt;=EOMONTH(DATEVALUE("1 "&amp;AA$1),0)))+
  SUMPRODUCT(('Form responses 1'!$D$2:$D1000=$A60)*('Form responses 1'!$A$2:$A1000&lt;=EOMONTH(DATEVALUE("1 "&amp;AA$1),0)))+
  SUMPRODUCT(('Form responses 1'!$E$2:$E1000=$A60)*('Form responses 1'!$A$2:$A1000&lt;=EOMONTH(DATEVALUE("1 "&amp;AA$1),0)))+
  SUMPRODUCT(('Form responses 1'!$F$2:$F1000=$A60)*('Form responses 1'!$A$2:$A1000&lt;=EOMONTH(DATEVALUE("1 "&amp;AA$1),0)))+
  SUMPRODUCT(('Form responses 1'!$G$2:$G1000=$A60)*('Form responses 1'!$A$2:$A1000&lt;=EOMONTH(DATEVALUE("1 "&amp;AA$1),0)))
),2),"-")</f>
        <v>6</v>
      </c>
      <c r="AB60" s="2">
        <f>IFERROR(ROUND(Data!$B60/(
  SUMPRODUCT(('Form responses 1'!$B$2:$B1000=$A60)*('Form responses 1'!$A$2:$A1000&lt;=EOMONTH(DATEVALUE("1 "&amp;AB$1),0)))+
  SUMPRODUCT(('Form responses 1'!$C$2:$C1000=$A60)*('Form responses 1'!$A$2:$A1000&lt;=EOMONTH(DATEVALUE("1 "&amp;AB$1),0)))+
  SUMPRODUCT(('Form responses 1'!$D$2:$D1000=$A60)*('Form responses 1'!$A$2:$A1000&lt;=EOMONTH(DATEVALUE("1 "&amp;AB$1),0)))+
  SUMPRODUCT(('Form responses 1'!$E$2:$E1000=$A60)*('Form responses 1'!$A$2:$A1000&lt;=EOMONTH(DATEVALUE("1 "&amp;AB$1),0)))+
  SUMPRODUCT(('Form responses 1'!$F$2:$F1000=$A60)*('Form responses 1'!$A$2:$A1000&lt;=EOMONTH(DATEVALUE("1 "&amp;AB$1),0)))+
  SUMPRODUCT(('Form responses 1'!$G$2:$G1000=$A60)*('Form responses 1'!$A$2:$A1000&lt;=EOMONTH(DATEVALUE("1 "&amp;AB$1),0)))
),2),"-")</f>
        <v>6</v>
      </c>
      <c r="AC60" s="2">
        <f>IFERROR(ROUND(Data!$B60/(
  SUMPRODUCT(('Form responses 1'!$B$2:$B1000=$A60)*('Form responses 1'!$A$2:$A1000&lt;=EOMONTH(DATEVALUE("1 "&amp;AC$1),0)))+
  SUMPRODUCT(('Form responses 1'!$C$2:$C1000=$A60)*('Form responses 1'!$A$2:$A1000&lt;=EOMONTH(DATEVALUE("1 "&amp;AC$1),0)))+
  SUMPRODUCT(('Form responses 1'!$D$2:$D1000=$A60)*('Form responses 1'!$A$2:$A1000&lt;=EOMONTH(DATEVALUE("1 "&amp;AC$1),0)))+
  SUMPRODUCT(('Form responses 1'!$E$2:$E1000=$A60)*('Form responses 1'!$A$2:$A1000&lt;=EOMONTH(DATEVALUE("1 "&amp;AC$1),0)))+
  SUMPRODUCT(('Form responses 1'!$F$2:$F1000=$A60)*('Form responses 1'!$A$2:$A1000&lt;=EOMONTH(DATEVALUE("1 "&amp;AC$1),0)))+
  SUMPRODUCT(('Form responses 1'!$G$2:$G1000=$A60)*('Form responses 1'!$A$2:$A1000&lt;=EOMONTH(DATEVALUE("1 "&amp;AC$1),0)))
),2),"-")</f>
        <v>6</v>
      </c>
      <c r="AD60" s="2" t="str">
        <f>IFERROR(ROUND(Data!$B60/(
  SUMPRODUCT(('Form responses 1'!$B$2:$B1000=$A60)*('Form responses 1'!$A$2:$A1000&lt;=EOMONTH(DATEVALUE("1 "&amp;AD$1),0)))+
  SUMPRODUCT(('Form responses 1'!$C$2:$C1000=$A60)*('Form responses 1'!$A$2:$A1000&lt;=EOMONTH(DATEVALUE("1 "&amp;AD$1),0)))+
  SUMPRODUCT(('Form responses 1'!$D$2:$D1000=$A60)*('Form responses 1'!$A$2:$A1000&lt;=EOMONTH(DATEVALUE("1 "&amp;AD$1),0)))+
  SUMPRODUCT(('Form responses 1'!$E$2:$E1000=$A60)*('Form responses 1'!$A$2:$A1000&lt;=EOMONTH(DATEVALUE("1 "&amp;AD$1),0)))+
  SUMPRODUCT(('Form responses 1'!$F$2:$F1000=$A60)*('Form responses 1'!$A$2:$A1000&lt;=EOMONTH(DATEVALUE("1 "&amp;AD$1),0)))+
  SUMPRODUCT(('Form responses 1'!$G$2:$G1000=$A60)*('Form responses 1'!$A$2:$A1000&lt;=EOMONTH(DATEVALUE("1 "&amp;AD$1),0)))
),2),"-")</f>
        <v>-</v>
      </c>
      <c r="AE60" s="2" t="str">
        <f>IFERROR(ROUND(Data!$B60/(
  SUMPRODUCT(('Form responses 1'!$B$2:$B1000=$A60)*('Form responses 1'!$A$2:$A1000&lt;=EOMONTH(DATEVALUE("1 "&amp;AE$1),0)))+
  SUMPRODUCT(('Form responses 1'!$C$2:$C1000=$A60)*('Form responses 1'!$A$2:$A1000&lt;=EOMONTH(DATEVALUE("1 "&amp;AE$1),0)))+
  SUMPRODUCT(('Form responses 1'!$D$2:$D1000=$A60)*('Form responses 1'!$A$2:$A1000&lt;=EOMONTH(DATEVALUE("1 "&amp;AE$1),0)))+
  SUMPRODUCT(('Form responses 1'!$E$2:$E1000=$A60)*('Form responses 1'!$A$2:$A1000&lt;=EOMONTH(DATEVALUE("1 "&amp;AE$1),0)))+
  SUMPRODUCT(('Form responses 1'!$F$2:$F1000=$A60)*('Form responses 1'!$A$2:$A1000&lt;=EOMONTH(DATEVALUE("1 "&amp;AE$1),0)))+
  SUMPRODUCT(('Form responses 1'!$G$2:$G1000=$A60)*('Form responses 1'!$A$2:$A1000&lt;=EOMONTH(DATEVALUE("1 "&amp;AE$1),0)))
),2),"-")</f>
        <v>-</v>
      </c>
      <c r="AF60" s="2" t="str">
        <f>IFERROR(ROUND(Data!$B60/(
  SUMPRODUCT(('Form responses 1'!$B$2:$B1000=$A60)*('Form responses 1'!$A$2:$A1000&lt;=EOMONTH(DATEVALUE("1 "&amp;AF$1),0)))+
  SUMPRODUCT(('Form responses 1'!$C$2:$C1000=$A60)*('Form responses 1'!$A$2:$A1000&lt;=EOMONTH(DATEVALUE("1 "&amp;AF$1),0)))+
  SUMPRODUCT(('Form responses 1'!$D$2:$D1000=$A60)*('Form responses 1'!$A$2:$A1000&lt;=EOMONTH(DATEVALUE("1 "&amp;AF$1),0)))+
  SUMPRODUCT(('Form responses 1'!$E$2:$E1000=$A60)*('Form responses 1'!$A$2:$A1000&lt;=EOMONTH(DATEVALUE("1 "&amp;AF$1),0)))+
  SUMPRODUCT(('Form responses 1'!$F$2:$F1000=$A60)*('Form responses 1'!$A$2:$A1000&lt;=EOMONTH(DATEVALUE("1 "&amp;AF$1),0)))+
  SUMPRODUCT(('Form responses 1'!$G$2:$G1000=$A60)*('Form responses 1'!$A$2:$A1000&lt;=EOMONTH(DATEVALUE("1 "&amp;AF$1),0)))
),2),"-")</f>
        <v>-</v>
      </c>
      <c r="AG60" s="2" t="str">
        <f>IFERROR(ROUND(Data!$B60/(
  SUMPRODUCT(('Form responses 1'!$B$2:$B1000=$A60)*('Form responses 1'!$A$2:$A1000&lt;=EOMONTH(DATEVALUE("1 "&amp;AG$1),0)))+
  SUMPRODUCT(('Form responses 1'!$C$2:$C1000=$A60)*('Form responses 1'!$A$2:$A1000&lt;=EOMONTH(DATEVALUE("1 "&amp;AG$1),0)))+
  SUMPRODUCT(('Form responses 1'!$D$2:$D1000=$A60)*('Form responses 1'!$A$2:$A1000&lt;=EOMONTH(DATEVALUE("1 "&amp;AG$1),0)))+
  SUMPRODUCT(('Form responses 1'!$E$2:$E1000=$A60)*('Form responses 1'!$A$2:$A1000&lt;=EOMONTH(DATEVALUE("1 "&amp;AG$1),0)))+
  SUMPRODUCT(('Form responses 1'!$F$2:$F1000=$A60)*('Form responses 1'!$A$2:$A1000&lt;=EOMONTH(DATEVALUE("1 "&amp;AG$1),0)))+
  SUMPRODUCT(('Form responses 1'!$G$2:$G1000=$A60)*('Form responses 1'!$A$2:$A1000&lt;=EOMONTH(DATEVALUE("1 "&amp;AG$1),0)))
),2),"-")</f>
        <v>-</v>
      </c>
      <c r="AH60" s="2" t="str">
        <f>IFERROR(ROUND(Data!$B60/(
  SUMPRODUCT(('Form responses 1'!$B$2:$B1000=$A60)*('Form responses 1'!$A$2:$A1000&lt;=EOMONTH(DATEVALUE("1 "&amp;AH$1),0)))+
  SUMPRODUCT(('Form responses 1'!$C$2:$C1000=$A60)*('Form responses 1'!$A$2:$A1000&lt;=EOMONTH(DATEVALUE("1 "&amp;AH$1),0)))+
  SUMPRODUCT(('Form responses 1'!$D$2:$D1000=$A60)*('Form responses 1'!$A$2:$A1000&lt;=EOMONTH(DATEVALUE("1 "&amp;AH$1),0)))+
  SUMPRODUCT(('Form responses 1'!$E$2:$E1000=$A60)*('Form responses 1'!$A$2:$A1000&lt;=EOMONTH(DATEVALUE("1 "&amp;AH$1),0)))+
  SUMPRODUCT(('Form responses 1'!$F$2:$F1000=$A60)*('Form responses 1'!$A$2:$A1000&lt;=EOMONTH(DATEVALUE("1 "&amp;AH$1),0)))+
  SUMPRODUCT(('Form responses 1'!$G$2:$G1000=$A60)*('Form responses 1'!$A$2:$A1000&lt;=EOMONTH(DATEVALUE("1 "&amp;AH$1),0)))
),2),"-")</f>
        <v>-</v>
      </c>
      <c r="AI60" s="2" t="str">
        <f>IFERROR(ROUND(Data!$B60/(
  SUMPRODUCT(('Form responses 1'!$B$2:$B1000=$A60)*('Form responses 1'!$A$2:$A1000&lt;=EOMONTH(DATEVALUE("1 "&amp;AI$1),0)))+
  SUMPRODUCT(('Form responses 1'!$C$2:$C1000=$A60)*('Form responses 1'!$A$2:$A1000&lt;=EOMONTH(DATEVALUE("1 "&amp;AI$1),0)))+
  SUMPRODUCT(('Form responses 1'!$D$2:$D1000=$A60)*('Form responses 1'!$A$2:$A1000&lt;=EOMONTH(DATEVALUE("1 "&amp;AI$1),0)))+
  SUMPRODUCT(('Form responses 1'!$E$2:$E1000=$A60)*('Form responses 1'!$A$2:$A1000&lt;=EOMONTH(DATEVALUE("1 "&amp;AI$1),0)))+
  SUMPRODUCT(('Form responses 1'!$F$2:$F1000=$A60)*('Form responses 1'!$A$2:$A1000&lt;=EOMONTH(DATEVALUE("1 "&amp;AI$1),0)))+
  SUMPRODUCT(('Form responses 1'!$G$2:$G1000=$A60)*('Form responses 1'!$A$2:$A1000&lt;=EOMONTH(DATEVALUE("1 "&amp;AI$1),0)))
),2),"-")</f>
        <v>-</v>
      </c>
      <c r="AJ60" s="2" t="str">
        <f>IFERROR(ROUND(Data!$B60/(
  SUMPRODUCT(('Form responses 1'!$B$2:$B1000=$A60)*('Form responses 1'!$A$2:$A1000&lt;=EOMONTH(DATEVALUE("1 "&amp;AJ$1),0)))+
  SUMPRODUCT(('Form responses 1'!$C$2:$C1000=$A60)*('Form responses 1'!$A$2:$A1000&lt;=EOMONTH(DATEVALUE("1 "&amp;AJ$1),0)))+
  SUMPRODUCT(('Form responses 1'!$D$2:$D1000=$A60)*('Form responses 1'!$A$2:$A1000&lt;=EOMONTH(DATEVALUE("1 "&amp;AJ$1),0)))+
  SUMPRODUCT(('Form responses 1'!$E$2:$E1000=$A60)*('Form responses 1'!$A$2:$A1000&lt;=EOMONTH(DATEVALUE("1 "&amp;AJ$1),0)))+
  SUMPRODUCT(('Form responses 1'!$F$2:$F1000=$A60)*('Form responses 1'!$A$2:$A1000&lt;=EOMONTH(DATEVALUE("1 "&amp;AJ$1),0)))+
  SUMPRODUCT(('Form responses 1'!$G$2:$G1000=$A60)*('Form responses 1'!$A$2:$A1000&lt;=EOMONTH(DATEVALUE("1 "&amp;AJ$1),0)))
),2),"-")</f>
        <v>-</v>
      </c>
      <c r="AK60" s="2" t="str">
        <f>IFERROR(ROUND(Data!$B60/(
  SUMPRODUCT(('Form responses 1'!$B$2:$B1000=$A60)*('Form responses 1'!$A$2:$A1000&lt;=EOMONTH(DATEVALUE("1 "&amp;AK$1),0)))+
  SUMPRODUCT(('Form responses 1'!$C$2:$C1000=$A60)*('Form responses 1'!$A$2:$A1000&lt;=EOMONTH(DATEVALUE("1 "&amp;AK$1),0)))+
  SUMPRODUCT(('Form responses 1'!$D$2:$D1000=$A60)*('Form responses 1'!$A$2:$A1000&lt;=EOMONTH(DATEVALUE("1 "&amp;AK$1),0)))+
  SUMPRODUCT(('Form responses 1'!$E$2:$E1000=$A60)*('Form responses 1'!$A$2:$A1000&lt;=EOMONTH(DATEVALUE("1 "&amp;AK$1),0)))+
  SUMPRODUCT(('Form responses 1'!$F$2:$F1000=$A60)*('Form responses 1'!$A$2:$A1000&lt;=EOMONTH(DATEVALUE("1 "&amp;AK$1),0)))+
  SUMPRODUCT(('Form responses 1'!$G$2:$G1000=$A60)*('Form responses 1'!$A$2:$A1000&lt;=EOMONTH(DATEVALUE("1 "&amp;AK$1),0)))
),2),"-")</f>
        <v>-</v>
      </c>
      <c r="AL60" s="2" t="str">
        <f>IFERROR(ROUND(Data!$B60/(
  SUMPRODUCT(('Form responses 1'!$B$2:$B1000=$A60)*('Form responses 1'!$A$2:$A1000&lt;=EOMONTH(DATEVALUE("1 "&amp;AL$1),0)))+
  SUMPRODUCT(('Form responses 1'!$C$2:$C1000=$A60)*('Form responses 1'!$A$2:$A1000&lt;=EOMONTH(DATEVALUE("1 "&amp;AL$1),0)))+
  SUMPRODUCT(('Form responses 1'!$D$2:$D1000=$A60)*('Form responses 1'!$A$2:$A1000&lt;=EOMONTH(DATEVALUE("1 "&amp;AL$1),0)))+
  SUMPRODUCT(('Form responses 1'!$E$2:$E1000=$A60)*('Form responses 1'!$A$2:$A1000&lt;=EOMONTH(DATEVALUE("1 "&amp;AL$1),0)))+
  SUMPRODUCT(('Form responses 1'!$F$2:$F1000=$A60)*('Form responses 1'!$A$2:$A1000&lt;=EOMONTH(DATEVALUE("1 "&amp;AL$1),0)))+
  SUMPRODUCT(('Form responses 1'!$G$2:$G1000=$A60)*('Form responses 1'!$A$2:$A1000&lt;=EOMONTH(DATEVALUE("1 "&amp;AL$1),0)))
),2),"-")</f>
        <v>-</v>
      </c>
    </row>
    <row r="61">
      <c r="A61" s="3" t="str">
        <f>IFERROR(__xludf.DUMMYFUNCTION("""COMPUTED_VALUE"""),"Blauwe Ralph Lauren blouse")</f>
        <v>Blauwe Ralph Lauren blouse</v>
      </c>
      <c r="B61" s="2">
        <f>Data!F58:F1000</f>
        <v>5</v>
      </c>
      <c r="C61" s="2" t="str">
        <f>IFERROR(ROUND(Data!B58/(SUMPRODUCT(('Form responses 1'!$B$2:$B1000 = A61) * ('Form responses 1'!$A$2:$A1000 &lt;= DATE(2024, 1, 31)))
+ SUMPRODUCT(('Form responses 1'!$C$2:$C1000 = A61) * ('Form responses 1'!$A$2:$A1000 &lt;= DATE(2024, 1, 31)))
+ SUMPRODUCT(('Form responses 1'!$D$2:$D1000 = A61) * ('Form responses 1'!$A$2:$A1000 &lt;= DATE(2024, 1, 31)))
+ SUMPRODUCT(('Form responses 1'!$E$2:$E1000 = A61) * ('Form responses 1'!$A$2:$A1000 &lt;= DATE(2024, 1, 31)))
+ SUMPRODUCT(('Form responses 1'!$F$2:$F1000 = A61) * ('Form responses 1'!$A$2:$A1000 &lt;= DATE(2024, 1, 31)))
+ SUMPRODUCT(('Form responses 1'!$G$2:$G1000 = A61) * ('Form responses 1'!$A$2:$A1000 &lt;= DATE(2024, 1, 31)))), 2), "-")
</f>
        <v>-</v>
      </c>
      <c r="D61" s="2" t="str">
        <f>IFERROR(ROUND(Data!B58/(SUMPRODUCT(('Form responses 1'!$B$2:$B1000 = A61) * ('Form responses 1'!$A$2:$A1000 &lt;= DATE(2024, 2, 29)))
+ SUMPRODUCT(('Form responses 1'!$C$2:$C1000 = A61) * ('Form responses 1'!$A$2:$A1000 &lt;= DATE(2024, 2, 29)))
+ SUMPRODUCT(('Form responses 1'!$D$2:$D1000 = A61) * ('Form responses 1'!$A$2:$A1000 &lt;= DATE(2024, 2, 29)))
+ SUMPRODUCT(('Form responses 1'!$E$2:$E1000 = A61) * ('Form responses 1'!$A$2:$A1000 &lt;= DATE(2024, 2, 29)))
+ SUMPRODUCT(('Form responses 1'!$F$2:$F1000 = A61) * ('Form responses 1'!$A$2:$A1000 &lt;= DATE(2024, 2, 29)))
+ SUMPRODUCT(('Form responses 1'!$G$2:$G1000 = A61) * ('Form responses 1'!$A$2:$A1000 &lt;= DATE(2024, 2, 29)))), 2), "-")
</f>
        <v>-</v>
      </c>
      <c r="E61" s="2" t="str">
        <f>IFERROR(ROUND(Data!B58/(SUMPRODUCT(('Form responses 1'!$B$2:$B1000 = A61) * ('Form responses 1'!$A$2:$A1000 &lt;= DATE(2024, 3, 31)))
+ SUMPRODUCT(('Form responses 1'!$C$2:$C1000 = A61) * ('Form responses 1'!$A$2:$A1000 &lt;= DATE(2024, 3, 31)))
+ SUMPRODUCT(('Form responses 1'!$D$2:$D1000 = A61) * ('Form responses 1'!$A$2:$A1000 &lt;= DATE(2024, 3, 31)))
+ SUMPRODUCT(('Form responses 1'!$E$2:$E1000 = A61) * ('Form responses 1'!$A$2:$A1000 &lt;= DATE(2024, 3, 31)))
+ SUMPRODUCT(('Form responses 1'!$F$2:$F1000 = A61) * ('Form responses 1'!$A$2:$A1000 &lt;= DATE(2024, 3, 31)))
+ SUMPRODUCT(('Form responses 1'!$G$2:$G1000 = A61) * ('Form responses 1'!$A$2:$A1000 &lt;= DATE(2024, 3, 31)))), 2), "-")
</f>
        <v>-</v>
      </c>
      <c r="F61" s="2" t="str">
        <f>IFERROR(ROUND(Data!B58/(SUMPRODUCT(('Form responses 1'!$B$2:$B1000 = A61) * ('Form responses 1'!$A$2:$A1000 &lt;= DATE(2024, 4, 30)))
+ SUMPRODUCT(('Form responses 1'!$C$2:$C1000 = A61) * ('Form responses 1'!$A$2:$A1000 &lt;= DATE(2024, 4, 30)))
+ SUMPRODUCT(('Form responses 1'!$D$2:$D1000 = A61) * ('Form responses 1'!$A$2:$A1000 &lt;= DATE(2024, 4, 30)))
+ SUMPRODUCT(('Form responses 1'!$E$2:$E1000 = A61) * ('Form responses 1'!$A$2:$A1000 &lt;= DATE(2024, 4, 30)))
+ SUMPRODUCT(('Form responses 1'!$F$2:$F1000 = A61) * ('Form responses 1'!$A$2:$A1000 &lt;= DATE(2024, 4, 30)))
+ SUMPRODUCT(('Form responses 1'!$G$2:$G1000 = A61) * ('Form responses 1'!$A$2:$A1000 &lt;= DATE(2024, 4, 30)))), 2), "-")
</f>
        <v>-</v>
      </c>
      <c r="G61" s="2" t="str">
        <f>IFERROR(ROUND(Data!B58/(SUMPRODUCT(('Form responses 1'!$B$2:$B1000 = A61) * ('Form responses 1'!$A$2:$A1000 &lt;= DATE(2024, 5, 31)))
+ SUMPRODUCT(('Form responses 1'!$C$2:$C1000 = A61) * ('Form responses 1'!$A$2:$A1000 &lt;= DATE(2024, 5, 31)))
+ SUMPRODUCT(('Form responses 1'!$D$2:$D1000 = A61) * ('Form responses 1'!$A$2:$A1000 &lt;= DATE(2024, 5, 31)))
+ SUMPRODUCT(('Form responses 1'!$E$2:$E1000 = A61) * ('Form responses 1'!$A$2:$A1000 &lt;= DATE(2024, 5, 31)))
+ SUMPRODUCT(('Form responses 1'!$F$2:$F1000 = A61) * ('Form responses 1'!$A$2:$A1000 &lt;= DATE(2024, 5, 31)))
+ SUMPRODUCT(('Form responses 1'!$G$2:$G1000 = A61) * ('Form responses 1'!$A$2:$A1000 &lt;= DATE(2024, 5, 31)))), 2), "-")
</f>
        <v>-</v>
      </c>
      <c r="H61" s="2" t="str">
        <f>IFERROR(ROUND(Data!B58/(SUMPRODUCT(('Form responses 1'!$B$2:$B1000 = A61) * ('Form responses 1'!$A$2:$A1000 &lt;= DATE(2024, 6, 30)))
+ SUMPRODUCT(('Form responses 1'!$C$2:$C1000 = A61) * ('Form responses 1'!$A$2:$A1000 &lt;= DATE(2024, 6, 30)))
+ SUMPRODUCT(('Form responses 1'!$D$2:$D1000 = A61) * ('Form responses 1'!$A$2:$A1000 &lt;= DATE(2024, 6, 30)))
+ SUMPRODUCT(('Form responses 1'!$E$2:$E1000 = A61) * ('Form responses 1'!$A$2:$A1000 &lt;= DATE(2024, 6, 30)))
+ SUMPRODUCT(('Form responses 1'!$F$2:$F1000 = A61) * ('Form responses 1'!$A$2:$A1000 &lt;= DATE(2024, 6, 30)))
+ SUMPRODUCT(('Form responses 1'!$G$2:$G1000 = A61) * ('Form responses 1'!$A$2:$A1000 &lt;= DATE(2024, 6, 30)))), 2), "-")
</f>
        <v>-</v>
      </c>
      <c r="I61" s="2">
        <f>IFERROR(ROUND(Data!B58/(SUMPRODUCT(('Form responses 1'!$B$2:$B1000 = A61) * ('Form responses 1'!$A$2:$A1000 &lt;= DATE(2024, 7, 31)))
+ SUMPRODUCT(('Form responses 1'!$C$2:$C1000 = A61) * ('Form responses 1'!$A$2:$A1000 &lt;= DATE(2024, 7, 31)))
+ SUMPRODUCT(('Form responses 1'!$D$2:$D1000 = A61) * ('Form responses 1'!$A$2:$A1000 &lt;= DATE(2024, 7, 31)))
+ SUMPRODUCT(('Form responses 1'!$E$2:$E1000 = A61) * ('Form responses 1'!$A$2:$A1000 &lt;= DATE(2024, 7, 31)))
+ SUMPRODUCT(('Form responses 1'!$F$2:$F1000 = A61) * ('Form responses 1'!$A$2:$A1000 &lt;= DATE(2024, 7, 31)))
+ SUMPRODUCT(('Form responses 1'!$G$2:$G1000 = A61) * ('Form responses 1'!$A$2:$A1000 &lt;= DATE(2024, 7, 31)))), 2), "-")
</f>
        <v>0</v>
      </c>
      <c r="J61" s="2">
        <f>IFERROR(ROUND(Data!B58/(SUMPRODUCT(('Form responses 1'!$B$2:$B1000 = A61) * ('Form responses 1'!$A$2:$A1000 &lt;= DATE(2024, 8, 31)))
+ SUMPRODUCT(('Form responses 1'!$C$2:$C1000 = A61) * ('Form responses 1'!$A$2:$A1000 &lt;= DATE(2024, 8, 31)))
+ SUMPRODUCT(('Form responses 1'!$D$2:$D1000 = A61) * ('Form responses 1'!$A$2:$A1000 &lt;= DATE(2024, 8, 31)))
+ SUMPRODUCT(('Form responses 1'!$E$2:$E1000 = A61) * ('Form responses 1'!$A$2:$A1000 &lt;= DATE(2024, 8, 31)))
+ SUMPRODUCT(('Form responses 1'!$F$2:$F1000 = A61) * ('Form responses 1'!$A$2:$A1000 &lt;= DATE(2024, 8, 31)))
+ SUMPRODUCT(('Form responses 1'!$G$2:$G1000 = A61) * ('Form responses 1'!$A$2:$A1000 &lt;= DATE(2024, 8, 31)))), 2), "-")
</f>
        <v>0</v>
      </c>
      <c r="K61" s="2">
        <f>IFERROR(ROUND(Data!B58/(SUMPRODUCT(('Form responses 1'!$B$2:$B1000 = A61) * ('Form responses 1'!$A$2:$A1000 &lt;= DATE(2024, 9, 30)))
+ SUMPRODUCT(('Form responses 1'!$C$2:$C1000 = A61) * ('Form responses 1'!$A$2:$A1000 &lt;= DATE(2024, 9, 30)))
+ SUMPRODUCT(('Form responses 1'!$D$2:$D1000 = A61) * ('Form responses 1'!$A$2:$A1000 &lt;= DATE(2024, 9, 30)))
+ SUMPRODUCT(('Form responses 1'!$E$2:$E1000 = A61) * ('Form responses 1'!$A$2:$A1000 &lt;= DATE(2024, 9, 30)))
+ SUMPRODUCT(('Form responses 1'!$F$2:$F1000 = A61) * ('Form responses 1'!$A$2:$A1000 &lt;= DATE(2024, 9, 30)))
+ SUMPRODUCT(('Form responses 1'!$G$2:$G1000 = A61) * ('Form responses 1'!$A$2:$A1000 &lt;= DATE(2024, 9, 30)))), 2), "-")
</f>
        <v>0</v>
      </c>
      <c r="L61" s="2">
        <f>IFERROR(ROUND(Data!B58/(SUMPRODUCT(('Form responses 1'!$B$2:$B1000 = A61) * ('Form responses 1'!$A$2:$A1000 &lt;= DATE(2024, 10, 31)))
+ SUMPRODUCT(('Form responses 1'!$C$2:$C1000 = A61) * ('Form responses 1'!$A$2:$A1000 &lt;= DATE(2024, 10, 31)))
+ SUMPRODUCT(('Form responses 1'!$D$2:$D1000 = A61) * ('Form responses 1'!$A$2:$A1000 &lt;= DATE(2024, 10, 31)))
+ SUMPRODUCT(('Form responses 1'!$E$2:$E1000 = A61) * ('Form responses 1'!$A$2:$A1000 &lt;= DATE(2024, 10, 31)))
+ SUMPRODUCT(('Form responses 1'!$F$2:$F1000 = A61) * ('Form responses 1'!$A$2:$A1000 &lt;= DATE(2024, 10, 31)))
+ SUMPRODUCT(('Form responses 1'!$G$2:$G1000 = A61) * ('Form responses 1'!$A$2:$A1000 &lt;= DATE(2024, 10, 31)))), 2), "-")
</f>
        <v>0</v>
      </c>
      <c r="M61" s="2">
        <f>IFERROR(ROUND(Data!B58/(SUMPRODUCT(('Form responses 1'!$B$2:$B1000 = A61) * ('Form responses 1'!$A$2:$A1000 &lt;= DATE(2024, 11, 30)))
+ SUMPRODUCT(('Form responses 1'!$C$2:$C1000 = A61) * ('Form responses 1'!$A$2:$A1000 &lt;= DATE(2024, 11, 30)))
+ SUMPRODUCT(('Form responses 1'!$D$2:$D1000 = A61) * ('Form responses 1'!$A$2:$A1000 &lt;= DATE(2024, 11, 30)))
+ SUMPRODUCT(('Form responses 1'!$E$2:$E1000 = A61) * ('Form responses 1'!$A$2:$A1000 &lt;= DATE(2024, 11, 30)))
+ SUMPRODUCT(('Form responses 1'!$F$2:$F1000 = A61) * ('Form responses 1'!$A$2:$A1000 &lt;= DATE(2024, 11, 30)))
+ SUMPRODUCT(('Form responses 1'!$G$2:$G1000 = A61) * ('Form responses 1'!$A$2:$A1000 &lt;= DATE(2024, 11, 30)))), 2), "-")
</f>
        <v>0</v>
      </c>
      <c r="N61" s="2">
        <f>IFERROR(ROUND(Data!B58/(SUMPRODUCT(('Form responses 1'!$B$2:$B1000 = A61) * ('Form responses 1'!$A$2:$A1000 &lt;= DATE(2024, 12, 31)))
+ SUMPRODUCT(('Form responses 1'!$C$2:$C1000 = A61) * ('Form responses 1'!$A$2:$A1000 &lt;= DATE(2024, 12, 31)))
+ SUMPRODUCT(('Form responses 1'!$D$2:$D1000 = A61) * ('Form responses 1'!$A$2:$A1000 &lt;= DATE(2024, 12, 31)))
+ SUMPRODUCT(('Form responses 1'!$E$2:$E1000 = A61) * ('Form responses 1'!$A$2:$A1000 &lt;= DATE(2024, 12, 31)))
+ SUMPRODUCT(('Form responses 1'!$F$2:$F1000 = A61) * ('Form responses 1'!$A$2:$A1000 &lt;= DATE(2024, 12, 31)))
+ SUMPRODUCT(('Form responses 1'!$G$2:$G1000 = A61) * ('Form responses 1'!$A$2:$A1000 &lt;= DATE(2024, 12, 31)))), 2), "-")
</f>
        <v>0</v>
      </c>
      <c r="O61" s="2">
        <f>IFERROR(ROUND(Data!B58/(SUMPRODUCT(('Form responses 1'!$B$2:$B1000 = A61) * ('Form responses 1'!$A$2:$A1000 &lt;= DATE(2025, 1, 31)))
+ SUMPRODUCT(('Form responses 1'!$C$2:$C1000 = A61) * ('Form responses 1'!$A$2:$A1000 &lt;= DATE(2025, 1, 31)))
+ SUMPRODUCT(('Form responses 1'!$D$2:$D1000 = A61) * ('Form responses 1'!$A$2:$A1000 &lt;= DATE(2025, 1, 31)))
+ SUMPRODUCT(('Form responses 1'!$E$2:$E1000 = A61) * ('Form responses 1'!$A$2:$A1000 &lt;= DATE(2025, 1, 31)))
+ SUMPRODUCT(('Form responses 1'!$F$2:$F1000 = A61) * ('Form responses 1'!$A$2:$A1000 &lt;= DATE(2025, 1, 31)))
+ SUMPRODUCT(('Form responses 1'!$G$2:$G1000 = A61) * ('Form responses 1'!$A$2:$A1000 &lt;= DATE(2025, 1, 31)))), 2), "-")
</f>
        <v>0</v>
      </c>
      <c r="P61" s="2">
        <f>IFERROR(ROUND(Data!B58/(SUMPRODUCT(('Form responses 1'!$B$2:$B1000 = A61) * ('Form responses 1'!$A$2:$A1000 &lt;= DATE(2025, 2, 28)))
+ SUMPRODUCT(('Form responses 1'!$C$2:$C1000 = A61) * ('Form responses 1'!$A$2:$A1000 &lt;= DATE(2025, 2, 28)))
+ SUMPRODUCT(('Form responses 1'!$D$2:$D1000 = A61) * ('Form responses 1'!$A$2:$A1000 &lt;= DATE(2025, 2, 28)))
+ SUMPRODUCT(('Form responses 1'!$E$2:$E1000 = A61) * ('Form responses 1'!$A$2:$A1000 &lt;= DATE(2025, 2, 28)))
+ SUMPRODUCT(('Form responses 1'!$F$2:$F1000 = A61) * ('Form responses 1'!$A$2:$A1000 &lt;= DATE(2025, 2, 28)))
+ SUMPRODUCT(('Form responses 1'!$G$2:$G1000 = A61) * ('Form responses 1'!$A$2:$A1000 &lt;= DATE(2025, 2, 28)))), 2), "-")
</f>
        <v>0</v>
      </c>
      <c r="Q61" s="2">
        <f>IFERROR(ROUND(Data!B58/(SUMPRODUCT(('Form responses 1'!$B$2:$B1000 = A61) * ('Form responses 1'!$A$2:$A1000 &lt;= DATE(2025, 3, 31)))
+ SUMPRODUCT(('Form responses 1'!$C$2:$C1000 = A61) * ('Form responses 1'!$A$2:$A1000 &lt;= DATE(2025, 3, 31)))
+ SUMPRODUCT(('Form responses 1'!$D$2:$D1000 = A61) * ('Form responses 1'!$A$2:$A1000 &lt;= DATE(2025, 3, 31)))
+ SUMPRODUCT(('Form responses 1'!$E$2:$E1000 = A61) * ('Form responses 1'!$A$2:$A1000 &lt;= DATE(2025, 3, 31)))
+ SUMPRODUCT(('Form responses 1'!$F$2:$F1000 = A61) * ('Form responses 1'!$A$2:$A1000 &lt;= DATE(2025, 3, 31)))
+ SUMPRODUCT(('Form responses 1'!$G$2:$G1000 = A61) * ('Form responses 1'!$A$2:$A1000 &lt;= DATE(2025, 3, 31)))),2),"-")</f>
        <v>0</v>
      </c>
      <c r="R61" s="2">
        <f>IFERROR(ROUND(Data!B58/(SUMPRODUCT(('Form responses 1'!$B$2:$B1000 = A61) * ('Form responses 1'!$A$2:$A1000 &lt;= DATE(2025, 4, 30)))
+ SUMPRODUCT(('Form responses 1'!$C$2:$C1000 = A61) * ('Form responses 1'!$A$2:$A1000 &lt;= DATE(2025, 4, 30)))
+ SUMPRODUCT(('Form responses 1'!$D$2:$D1000 = A61) * ('Form responses 1'!$A$2:$A1000 &lt;= DATE(2025, 4, 30)))
+ SUMPRODUCT(('Form responses 1'!$E$2:$E1000 = A61) * ('Form responses 1'!$A$2:$A1000 &lt;= DATE(2025, 4, 30)))
+ SUMPRODUCT(('Form responses 1'!$F$2:$F1000 = A61) * ('Form responses 1'!$A$2:$A1000 &lt;= DATE(2025, 4, 30)))
+ SUMPRODUCT(('Form responses 1'!$G$2:$G1000 = A61) * ('Form responses 1'!$A$2:$A1000 &lt;= DATE(2025, 4, 30)))), 2), "-")
</f>
        <v>0</v>
      </c>
      <c r="S61" s="2">
        <f>IFERROR(ROUND(Data!B58/(SUMPRODUCT(('Form responses 1'!$B$2:$B1000 = A61) * ('Form responses 1'!$A$2:$A1000 &lt;= DATE(2025, 5, 31)))
+ SUMPRODUCT(('Form responses 1'!$C$2:$C1000 = A61) * ('Form responses 1'!$A$2:$A1000 &lt;= DATE(2025, 5, 31)))
+ SUMPRODUCT(('Form responses 1'!$D$2:$D1000 = A61) * ('Form responses 1'!$A$2:$A1000 &lt;= DATE(2025, 5, 31)))
+ SUMPRODUCT(('Form responses 1'!$E$2:$E1000 = A61) * ('Form responses 1'!$A$2:$A1000 &lt;= DATE(2025, 5, 31)))
+ SUMPRODUCT(('Form responses 1'!$F$2:$F1000 = A61) * ('Form responses 1'!$A$2:$A1000 &lt;= DATE(2025, 5, 31)))
+ SUMPRODUCT(('Form responses 1'!$G$2:$G1000 = A61) * ('Form responses 1'!$A$2:$A1000 &lt;= DATE(2025, 5, 31)))), 2), "-")
</f>
        <v>0</v>
      </c>
      <c r="T61" s="2">
        <f>IFERROR(ROUND(Data!B58/(SUMPRODUCT(('Form responses 1'!$B$2:$B1000 = A61) * ('Form responses 1'!$A$2:$A1000 &lt;= DATE(2025, 6, 30)))
+ SUMPRODUCT(('Form responses 1'!$C$2:$C1000 = A61) * ('Form responses 1'!$A$2:$A1000 &lt;= DATE(2025, 6, 30)))
+ SUMPRODUCT(('Form responses 1'!$D$2:$D1000 = A61) * ('Form responses 1'!$A$2:$A1000 &lt;= DATE(2025, 6, 30)))
+ SUMPRODUCT(('Form responses 1'!$E$2:$E1000 = A61) * ('Form responses 1'!$A$2:$A1000 &lt;= DATE(2025, 6, 30)))
+ SUMPRODUCT(('Form responses 1'!$F$2:$F1000 = A61) * ('Form responses 1'!$A$2:$A1000 &lt;= DATE(2025, 6, 30)))
+ SUMPRODUCT(('Form responses 1'!$G$2:$G1000 = A61) * ('Form responses 1'!$A$2:$A1000 &lt;= DATE(2025, 6, 30)))), 2), "-")
</f>
        <v>0</v>
      </c>
      <c r="U61" s="2">
        <f>IFERROR(ROUND(Data!B58/(SUMPRODUCT(('Form responses 1'!$B$2:$B1000 = A61) * ('Form responses 1'!$A$2:$A1000 &lt;= DATE(2025, 7, 31)))
+ SUMPRODUCT(('Form responses 1'!$C$2:$C1000 = A61) * ('Form responses 1'!$A$2:$A1000 &lt;= DATE(2025, 7, 31)))
+ SUMPRODUCT(('Form responses 1'!$D$2:$D1000 = A61) * ('Form responses 1'!$A$2:$A1000 &lt;= DATE(2025, 7, 31)))
+ SUMPRODUCT(('Form responses 1'!$E$2:$E1000 = A61) * ('Form responses 1'!$A$2:$A1000 &lt;= DATE(2025, 7, 31)))
+ SUMPRODUCT(('Form responses 1'!$F$2:$F1000 = A61) * ('Form responses 1'!$A$2:$A1000 &lt;= DATE(2025, 7, 31)))
+ SUMPRODUCT(('Form responses 1'!$G$2:$G1000 = A61) * ('Form responses 1'!$A$2:$A1000 &lt;= DATE(2025, 7, 31)))), 2), "-")
</f>
        <v>0</v>
      </c>
      <c r="V61" s="2">
        <f>IFERROR(ROUND(Data!B58/(SUMPRODUCT(('Form responses 1'!$B$2:$B1000 = A61) * ('Form responses 1'!$A$2:$A1000 &lt;= DATE(2025, 8, 31)))
+ SUMPRODUCT(('Form responses 1'!$C$2:$C1000 = A61) * ('Form responses 1'!$A$2:$A1000 &lt;= DATE(2025, 8, 31)))
+ SUMPRODUCT(('Form responses 1'!$D$2:$D1000 = A61) * ('Form responses 1'!$A$2:$A1000 &lt;= DATE(2025, 8, 31)))
+ SUMPRODUCT(('Form responses 1'!$E$2:$E1000 = A61) * ('Form responses 1'!$A$2:$A1000 &lt;= DATE(2025, 8, 31)))
+ SUMPRODUCT(('Form responses 1'!$F$2:$F1000 = A61) * ('Form responses 1'!$A$2:$A1000 &lt;= DATE(2025, 8, 31)))
+ SUMPRODUCT(('Form responses 1'!$G$2:$G1000 = A61) * ('Form responses 1'!$A$2:$A1000 &lt;= DATE(2025, 8, 31)))), 2), "-")
</f>
        <v>0</v>
      </c>
      <c r="W61" s="2">
        <f>IFERROR(ROUND(Data!B58/(SUMPRODUCT(('Form responses 1'!$B$2:$B1000 = A61) * ('Form responses 1'!$A$2:$A1000 &lt;= DATE(2025, 9, 30)))
+ SUMPRODUCT(('Form responses 1'!$C$2:$C1000 = A61) * ('Form responses 1'!$A$2:$A1000 &lt;= DATE(2025, 9, 30)))
+ SUMPRODUCT(('Form responses 1'!$D$2:$D1000 = A61) * ('Form responses 1'!$A$2:$A1000 &lt;= DATE(2025, 9, 30)))
+ SUMPRODUCT(('Form responses 1'!$E$2:$E1000 = A61) * ('Form responses 1'!$A$2:$A1000 &lt;= DATE(2025, 9, 30)))
+ SUMPRODUCT(('Form responses 1'!$F$2:$F1000 = A61) * ('Form responses 1'!$A$2:$A1000 &lt;= DATE(2025, 9, 30)))
+ SUMPRODUCT(('Form responses 1'!$G$2:$G1000 = A61) * ('Form responses 1'!$A$2:$A1000 &lt;= DATE(2025, 9, 30)))), 2), "-")
</f>
        <v>0</v>
      </c>
      <c r="X61" s="2">
        <f>IFERROR(ROUND(Data!B58/(SUMPRODUCT(('Form responses 1'!$B$2:$B1000 = A61) * ('Form responses 1'!$A$2:$A1000 &lt;= DATE(2025, 10, 31)))
+ SUMPRODUCT(('Form responses 1'!$C$2:$C1000 = A61) * ('Form responses 1'!$A$2:$A1000 &lt;= DATE(2025, 10, 31)))
+ SUMPRODUCT(('Form responses 1'!$D$2:$D1000 = A61) * ('Form responses 1'!$A$2:$A1000 &lt;= DATE(2025, 10, 31)))
+ SUMPRODUCT(('Form responses 1'!$E$2:$E1000 = A61) * ('Form responses 1'!$A$2:$A1000 &lt;= DATE(2025, 10, 31)))
+ SUMPRODUCT(('Form responses 1'!$F$2:$F1000 = A61) * ('Form responses 1'!$A$2:$A1000 &lt;= DATE(2025, 10, 31)))
+ SUMPRODUCT(('Form responses 1'!$G$2:$G1000 = A61) * ('Form responses 1'!$A$2:$A1000 &lt;= DATE(2025, 10, 31)))), 2), "-")
</f>
        <v>0</v>
      </c>
      <c r="Y61" s="2">
        <f>IFERROR(ROUND(Data!B58/(SUMPRODUCT(('Form responses 1'!$B$2:$B1000 = A61) * ('Form responses 1'!$A$2:$A1000 &lt;= DATE(2025, 11, 30)))
+ SUMPRODUCT(('Form responses 1'!$C$2:$C1000 = A61) * ('Form responses 1'!$A$2:$A1000 &lt;= DATE(2025, 11, 30)))
+ SUMPRODUCT(('Form responses 1'!$D$2:$D1000 = A61) * ('Form responses 1'!$A$2:$A1000 &lt;= DATE(2025, 11, 30)))
+ SUMPRODUCT(('Form responses 1'!$E$2:$E1000 = A61) * ('Form responses 1'!$A$2:$A1000 &lt;= DATE(2025, 11, 30)))
+ SUMPRODUCT(('Form responses 1'!$F$2:$F1000 = A61) * ('Form responses 1'!$A$2:$A1000 &lt;= DATE(2025, 11, 30)))
+ SUMPRODUCT(('Form responses 1'!$G$2:$G1000 = A61) * ('Form responses 1'!$A$2:$A1000 &lt;= DATE(2025, 11, 30)))), 2), "-")
</f>
        <v>0</v>
      </c>
      <c r="Z61" s="2">
        <f>IFERROR(ROUND(Data!B58/(SUMPRODUCT(('Form responses 1'!$B$2:$B1000 = A61) * ('Form responses 1'!$A$2:$A1000 &lt;= DATE(2025, 12, 31)))
+ SUMPRODUCT(('Form responses 1'!$C$2:$C1000 = A61) * ('Form responses 1'!$A$2:$A1000 &lt;= DATE(2025, 12, 31)))
+ SUMPRODUCT(('Form responses 1'!$D$2:$D1000 = A61) * ('Form responses 1'!$A$2:$A1000 &lt;= DATE(2025, 12, 31)))
+ SUMPRODUCT(('Form responses 1'!$E$2:$E1000 = A61) * ('Form responses 1'!$A$2:$A1000 &lt;= DATE(2025, 12, 31)))
+ SUMPRODUCT(('Form responses 1'!$F$2:$F1000 = A61) * ('Form responses 1'!$A$2:$A1000 &lt;= DATE(2025, 12, 31)))
+ SUMPRODUCT(('Form responses 1'!$G$2:$G1000 = A61) * ('Form responses 1'!$A$2:$A1000 &lt;= DATE(2025, 12, 31)))), 2), "-")
</f>
        <v>0</v>
      </c>
      <c r="AA61" s="2">
        <f>IFERROR(ROUND(Data!$B61/(
  SUMPRODUCT(('Form responses 1'!$B$2:$B1000=$A61)*('Form responses 1'!$A$2:$A1000&lt;=EOMONTH(DATEVALUE("1 "&amp;AA$1),0)))+
  SUMPRODUCT(('Form responses 1'!$C$2:$C1000=$A61)*('Form responses 1'!$A$2:$A1000&lt;=EOMONTH(DATEVALUE("1 "&amp;AA$1),0)))+
  SUMPRODUCT(('Form responses 1'!$D$2:$D1000=$A61)*('Form responses 1'!$A$2:$A1000&lt;=EOMONTH(DATEVALUE("1 "&amp;AA$1),0)))+
  SUMPRODUCT(('Form responses 1'!$E$2:$E1000=$A61)*('Form responses 1'!$A$2:$A1000&lt;=EOMONTH(DATEVALUE("1 "&amp;AA$1),0)))+
  SUMPRODUCT(('Form responses 1'!$F$2:$F1000=$A61)*('Form responses 1'!$A$2:$A1000&lt;=EOMONTH(DATEVALUE("1 "&amp;AA$1),0)))+
  SUMPRODUCT(('Form responses 1'!$G$2:$G1000=$A61)*('Form responses 1'!$A$2:$A1000&lt;=EOMONTH(DATEVALUE("1 "&amp;AA$1),0)))
),2),"-")</f>
        <v>6.07</v>
      </c>
      <c r="AB61" s="2">
        <f>IFERROR(ROUND(Data!$B61/(
  SUMPRODUCT(('Form responses 1'!$B$2:$B1000=$A61)*('Form responses 1'!$A$2:$A1000&lt;=EOMONTH(DATEVALUE("1 "&amp;AB$1),0)))+
  SUMPRODUCT(('Form responses 1'!$C$2:$C1000=$A61)*('Form responses 1'!$A$2:$A1000&lt;=EOMONTH(DATEVALUE("1 "&amp;AB$1),0)))+
  SUMPRODUCT(('Form responses 1'!$D$2:$D1000=$A61)*('Form responses 1'!$A$2:$A1000&lt;=EOMONTH(DATEVALUE("1 "&amp;AB$1),0)))+
  SUMPRODUCT(('Form responses 1'!$E$2:$E1000=$A61)*('Form responses 1'!$A$2:$A1000&lt;=EOMONTH(DATEVALUE("1 "&amp;AB$1),0)))+
  SUMPRODUCT(('Form responses 1'!$F$2:$F1000=$A61)*('Form responses 1'!$A$2:$A1000&lt;=EOMONTH(DATEVALUE("1 "&amp;AB$1),0)))+
  SUMPRODUCT(('Form responses 1'!$G$2:$G1000=$A61)*('Form responses 1'!$A$2:$A1000&lt;=EOMONTH(DATEVALUE("1 "&amp;AB$1),0)))
),2),"-")</f>
        <v>6.07</v>
      </c>
      <c r="AC61" s="2">
        <f>IFERROR(ROUND(Data!$B61/(
  SUMPRODUCT(('Form responses 1'!$B$2:$B1000=$A61)*('Form responses 1'!$A$2:$A1000&lt;=EOMONTH(DATEVALUE("1 "&amp;AC$1),0)))+
  SUMPRODUCT(('Form responses 1'!$C$2:$C1000=$A61)*('Form responses 1'!$A$2:$A1000&lt;=EOMONTH(DATEVALUE("1 "&amp;AC$1),0)))+
  SUMPRODUCT(('Form responses 1'!$D$2:$D1000=$A61)*('Form responses 1'!$A$2:$A1000&lt;=EOMONTH(DATEVALUE("1 "&amp;AC$1),0)))+
  SUMPRODUCT(('Form responses 1'!$E$2:$E1000=$A61)*('Form responses 1'!$A$2:$A1000&lt;=EOMONTH(DATEVALUE("1 "&amp;AC$1),0)))+
  SUMPRODUCT(('Form responses 1'!$F$2:$F1000=$A61)*('Form responses 1'!$A$2:$A1000&lt;=EOMONTH(DATEVALUE("1 "&amp;AC$1),0)))+
  SUMPRODUCT(('Form responses 1'!$G$2:$G1000=$A61)*('Form responses 1'!$A$2:$A1000&lt;=EOMONTH(DATEVALUE("1 "&amp;AC$1),0)))
),2),"-")</f>
        <v>6.07</v>
      </c>
      <c r="AD61" s="2" t="str">
        <f>IFERROR(ROUND(Data!$B61/(
  SUMPRODUCT(('Form responses 1'!$B$2:$B1000=$A61)*('Form responses 1'!$A$2:$A1000&lt;=EOMONTH(DATEVALUE("1 "&amp;AD$1),0)))+
  SUMPRODUCT(('Form responses 1'!$C$2:$C1000=$A61)*('Form responses 1'!$A$2:$A1000&lt;=EOMONTH(DATEVALUE("1 "&amp;AD$1),0)))+
  SUMPRODUCT(('Form responses 1'!$D$2:$D1000=$A61)*('Form responses 1'!$A$2:$A1000&lt;=EOMONTH(DATEVALUE("1 "&amp;AD$1),0)))+
  SUMPRODUCT(('Form responses 1'!$E$2:$E1000=$A61)*('Form responses 1'!$A$2:$A1000&lt;=EOMONTH(DATEVALUE("1 "&amp;AD$1),0)))+
  SUMPRODUCT(('Form responses 1'!$F$2:$F1000=$A61)*('Form responses 1'!$A$2:$A1000&lt;=EOMONTH(DATEVALUE("1 "&amp;AD$1),0)))+
  SUMPRODUCT(('Form responses 1'!$G$2:$G1000=$A61)*('Form responses 1'!$A$2:$A1000&lt;=EOMONTH(DATEVALUE("1 "&amp;AD$1),0)))
),2),"-")</f>
        <v>-</v>
      </c>
      <c r="AE61" s="2" t="str">
        <f>IFERROR(ROUND(Data!$B61/(
  SUMPRODUCT(('Form responses 1'!$B$2:$B1000=$A61)*('Form responses 1'!$A$2:$A1000&lt;=EOMONTH(DATEVALUE("1 "&amp;AE$1),0)))+
  SUMPRODUCT(('Form responses 1'!$C$2:$C1000=$A61)*('Form responses 1'!$A$2:$A1000&lt;=EOMONTH(DATEVALUE("1 "&amp;AE$1),0)))+
  SUMPRODUCT(('Form responses 1'!$D$2:$D1000=$A61)*('Form responses 1'!$A$2:$A1000&lt;=EOMONTH(DATEVALUE("1 "&amp;AE$1),0)))+
  SUMPRODUCT(('Form responses 1'!$E$2:$E1000=$A61)*('Form responses 1'!$A$2:$A1000&lt;=EOMONTH(DATEVALUE("1 "&amp;AE$1),0)))+
  SUMPRODUCT(('Form responses 1'!$F$2:$F1000=$A61)*('Form responses 1'!$A$2:$A1000&lt;=EOMONTH(DATEVALUE("1 "&amp;AE$1),0)))+
  SUMPRODUCT(('Form responses 1'!$G$2:$G1000=$A61)*('Form responses 1'!$A$2:$A1000&lt;=EOMONTH(DATEVALUE("1 "&amp;AE$1),0)))
),2),"-")</f>
        <v>-</v>
      </c>
      <c r="AF61" s="2" t="str">
        <f>IFERROR(ROUND(Data!$B61/(
  SUMPRODUCT(('Form responses 1'!$B$2:$B1000=$A61)*('Form responses 1'!$A$2:$A1000&lt;=EOMONTH(DATEVALUE("1 "&amp;AF$1),0)))+
  SUMPRODUCT(('Form responses 1'!$C$2:$C1000=$A61)*('Form responses 1'!$A$2:$A1000&lt;=EOMONTH(DATEVALUE("1 "&amp;AF$1),0)))+
  SUMPRODUCT(('Form responses 1'!$D$2:$D1000=$A61)*('Form responses 1'!$A$2:$A1000&lt;=EOMONTH(DATEVALUE("1 "&amp;AF$1),0)))+
  SUMPRODUCT(('Form responses 1'!$E$2:$E1000=$A61)*('Form responses 1'!$A$2:$A1000&lt;=EOMONTH(DATEVALUE("1 "&amp;AF$1),0)))+
  SUMPRODUCT(('Form responses 1'!$F$2:$F1000=$A61)*('Form responses 1'!$A$2:$A1000&lt;=EOMONTH(DATEVALUE("1 "&amp;AF$1),0)))+
  SUMPRODUCT(('Form responses 1'!$G$2:$G1000=$A61)*('Form responses 1'!$A$2:$A1000&lt;=EOMONTH(DATEVALUE("1 "&amp;AF$1),0)))
),2),"-")</f>
        <v>-</v>
      </c>
      <c r="AG61" s="2" t="str">
        <f>IFERROR(ROUND(Data!$B61/(
  SUMPRODUCT(('Form responses 1'!$B$2:$B1000=$A61)*('Form responses 1'!$A$2:$A1000&lt;=EOMONTH(DATEVALUE("1 "&amp;AG$1),0)))+
  SUMPRODUCT(('Form responses 1'!$C$2:$C1000=$A61)*('Form responses 1'!$A$2:$A1000&lt;=EOMONTH(DATEVALUE("1 "&amp;AG$1),0)))+
  SUMPRODUCT(('Form responses 1'!$D$2:$D1000=$A61)*('Form responses 1'!$A$2:$A1000&lt;=EOMONTH(DATEVALUE("1 "&amp;AG$1),0)))+
  SUMPRODUCT(('Form responses 1'!$E$2:$E1000=$A61)*('Form responses 1'!$A$2:$A1000&lt;=EOMONTH(DATEVALUE("1 "&amp;AG$1),0)))+
  SUMPRODUCT(('Form responses 1'!$F$2:$F1000=$A61)*('Form responses 1'!$A$2:$A1000&lt;=EOMONTH(DATEVALUE("1 "&amp;AG$1),0)))+
  SUMPRODUCT(('Form responses 1'!$G$2:$G1000=$A61)*('Form responses 1'!$A$2:$A1000&lt;=EOMONTH(DATEVALUE("1 "&amp;AG$1),0)))
),2),"-")</f>
        <v>-</v>
      </c>
      <c r="AH61" s="2" t="str">
        <f>IFERROR(ROUND(Data!$B61/(
  SUMPRODUCT(('Form responses 1'!$B$2:$B1000=$A61)*('Form responses 1'!$A$2:$A1000&lt;=EOMONTH(DATEVALUE("1 "&amp;AH$1),0)))+
  SUMPRODUCT(('Form responses 1'!$C$2:$C1000=$A61)*('Form responses 1'!$A$2:$A1000&lt;=EOMONTH(DATEVALUE("1 "&amp;AH$1),0)))+
  SUMPRODUCT(('Form responses 1'!$D$2:$D1000=$A61)*('Form responses 1'!$A$2:$A1000&lt;=EOMONTH(DATEVALUE("1 "&amp;AH$1),0)))+
  SUMPRODUCT(('Form responses 1'!$E$2:$E1000=$A61)*('Form responses 1'!$A$2:$A1000&lt;=EOMONTH(DATEVALUE("1 "&amp;AH$1),0)))+
  SUMPRODUCT(('Form responses 1'!$F$2:$F1000=$A61)*('Form responses 1'!$A$2:$A1000&lt;=EOMONTH(DATEVALUE("1 "&amp;AH$1),0)))+
  SUMPRODUCT(('Form responses 1'!$G$2:$G1000=$A61)*('Form responses 1'!$A$2:$A1000&lt;=EOMONTH(DATEVALUE("1 "&amp;AH$1),0)))
),2),"-")</f>
        <v>-</v>
      </c>
      <c r="AI61" s="2" t="str">
        <f>IFERROR(ROUND(Data!$B61/(
  SUMPRODUCT(('Form responses 1'!$B$2:$B1000=$A61)*('Form responses 1'!$A$2:$A1000&lt;=EOMONTH(DATEVALUE("1 "&amp;AI$1),0)))+
  SUMPRODUCT(('Form responses 1'!$C$2:$C1000=$A61)*('Form responses 1'!$A$2:$A1000&lt;=EOMONTH(DATEVALUE("1 "&amp;AI$1),0)))+
  SUMPRODUCT(('Form responses 1'!$D$2:$D1000=$A61)*('Form responses 1'!$A$2:$A1000&lt;=EOMONTH(DATEVALUE("1 "&amp;AI$1),0)))+
  SUMPRODUCT(('Form responses 1'!$E$2:$E1000=$A61)*('Form responses 1'!$A$2:$A1000&lt;=EOMONTH(DATEVALUE("1 "&amp;AI$1),0)))+
  SUMPRODUCT(('Form responses 1'!$F$2:$F1000=$A61)*('Form responses 1'!$A$2:$A1000&lt;=EOMONTH(DATEVALUE("1 "&amp;AI$1),0)))+
  SUMPRODUCT(('Form responses 1'!$G$2:$G1000=$A61)*('Form responses 1'!$A$2:$A1000&lt;=EOMONTH(DATEVALUE("1 "&amp;AI$1),0)))
),2),"-")</f>
        <v>-</v>
      </c>
      <c r="AJ61" s="2" t="str">
        <f>IFERROR(ROUND(Data!$B61/(
  SUMPRODUCT(('Form responses 1'!$B$2:$B1000=$A61)*('Form responses 1'!$A$2:$A1000&lt;=EOMONTH(DATEVALUE("1 "&amp;AJ$1),0)))+
  SUMPRODUCT(('Form responses 1'!$C$2:$C1000=$A61)*('Form responses 1'!$A$2:$A1000&lt;=EOMONTH(DATEVALUE("1 "&amp;AJ$1),0)))+
  SUMPRODUCT(('Form responses 1'!$D$2:$D1000=$A61)*('Form responses 1'!$A$2:$A1000&lt;=EOMONTH(DATEVALUE("1 "&amp;AJ$1),0)))+
  SUMPRODUCT(('Form responses 1'!$E$2:$E1000=$A61)*('Form responses 1'!$A$2:$A1000&lt;=EOMONTH(DATEVALUE("1 "&amp;AJ$1),0)))+
  SUMPRODUCT(('Form responses 1'!$F$2:$F1000=$A61)*('Form responses 1'!$A$2:$A1000&lt;=EOMONTH(DATEVALUE("1 "&amp;AJ$1),0)))+
  SUMPRODUCT(('Form responses 1'!$G$2:$G1000=$A61)*('Form responses 1'!$A$2:$A1000&lt;=EOMONTH(DATEVALUE("1 "&amp;AJ$1),0)))
),2),"-")</f>
        <v>-</v>
      </c>
      <c r="AK61" s="2" t="str">
        <f>IFERROR(ROUND(Data!$B61/(
  SUMPRODUCT(('Form responses 1'!$B$2:$B1000=$A61)*('Form responses 1'!$A$2:$A1000&lt;=EOMONTH(DATEVALUE("1 "&amp;AK$1),0)))+
  SUMPRODUCT(('Form responses 1'!$C$2:$C1000=$A61)*('Form responses 1'!$A$2:$A1000&lt;=EOMONTH(DATEVALUE("1 "&amp;AK$1),0)))+
  SUMPRODUCT(('Form responses 1'!$D$2:$D1000=$A61)*('Form responses 1'!$A$2:$A1000&lt;=EOMONTH(DATEVALUE("1 "&amp;AK$1),0)))+
  SUMPRODUCT(('Form responses 1'!$E$2:$E1000=$A61)*('Form responses 1'!$A$2:$A1000&lt;=EOMONTH(DATEVALUE("1 "&amp;AK$1),0)))+
  SUMPRODUCT(('Form responses 1'!$F$2:$F1000=$A61)*('Form responses 1'!$A$2:$A1000&lt;=EOMONTH(DATEVALUE("1 "&amp;AK$1),0)))+
  SUMPRODUCT(('Form responses 1'!$G$2:$G1000=$A61)*('Form responses 1'!$A$2:$A1000&lt;=EOMONTH(DATEVALUE("1 "&amp;AK$1),0)))
),2),"-")</f>
        <v>-</v>
      </c>
      <c r="AL61" s="2" t="str">
        <f>IFERROR(ROUND(Data!$B61/(
  SUMPRODUCT(('Form responses 1'!$B$2:$B1000=$A61)*('Form responses 1'!$A$2:$A1000&lt;=EOMONTH(DATEVALUE("1 "&amp;AL$1),0)))+
  SUMPRODUCT(('Form responses 1'!$C$2:$C1000=$A61)*('Form responses 1'!$A$2:$A1000&lt;=EOMONTH(DATEVALUE("1 "&amp;AL$1),0)))+
  SUMPRODUCT(('Form responses 1'!$D$2:$D1000=$A61)*('Form responses 1'!$A$2:$A1000&lt;=EOMONTH(DATEVALUE("1 "&amp;AL$1),0)))+
  SUMPRODUCT(('Form responses 1'!$E$2:$E1000=$A61)*('Form responses 1'!$A$2:$A1000&lt;=EOMONTH(DATEVALUE("1 "&amp;AL$1),0)))+
  SUMPRODUCT(('Form responses 1'!$F$2:$F1000=$A61)*('Form responses 1'!$A$2:$A1000&lt;=EOMONTH(DATEVALUE("1 "&amp;AL$1),0)))+
  SUMPRODUCT(('Form responses 1'!$G$2:$G1000=$A61)*('Form responses 1'!$A$2:$A1000&lt;=EOMONTH(DATEVALUE("1 "&amp;AL$1),0)))
),2),"-")</f>
        <v>-</v>
      </c>
    </row>
    <row r="62">
      <c r="A62" s="3" t="str">
        <f>IFERROR(__xludf.DUMMYFUNCTION("""COMPUTED_VALUE"""),"Bruine blouse")</f>
        <v>Bruine blouse</v>
      </c>
      <c r="B62" s="2">
        <f>Data!F59:F1000</f>
        <v>3.27</v>
      </c>
      <c r="C62" s="2" t="str">
        <f>IFERROR(ROUND(#REF!/(SUMPRODUCT(('Form responses 1'!$B$2:$B1000 = A62) * ('Form responses 1'!$A$2:$A1000 &lt;= DATE(2024, 1, 31)))
+ SUMPRODUCT(('Form responses 1'!$C$2:$C1000 = A62) * ('Form responses 1'!$A$2:$A1000 &lt;= DATE(2024, 1, 31)))
+ SUMPRODUCT(('Form responses 1'!$D$2:$D1000 = A62) * ('Form responses 1'!$A$2:$A1000 &lt;= DATE(2024, 1, 31)))
+ SUMPRODUCT(('Form responses 1'!$E$2:$E1000 = A62) * ('Form responses 1'!$A$2:$A1000 &lt;= DATE(2024, 1, 31)))
+ SUMPRODUCT(('Form responses 1'!$F$2:$F1000 = A62) * ('Form responses 1'!$A$2:$A1000 &lt;= DATE(2024, 1, 31)))
+ SUMPRODUCT(('Form responses 1'!$G$2:$G1000 = A62) * ('Form responses 1'!$A$2:$A1000 &lt;= DATE(2024, 1, 31)))), 2), "-")
</f>
        <v>-</v>
      </c>
      <c r="D62" s="2" t="str">
        <f>IFERROR(ROUND(#REF!/(SUMPRODUCT(('Form responses 1'!$B$2:$B1000 = A62) * ('Form responses 1'!$A$2:$A1000 &lt;= DATE(2024, 2, 29)))
+ SUMPRODUCT(('Form responses 1'!$C$2:$C1000 = A62) * ('Form responses 1'!$A$2:$A1000 &lt;= DATE(2024, 2, 29)))
+ SUMPRODUCT(('Form responses 1'!$D$2:$D1000 = A62) * ('Form responses 1'!$A$2:$A1000 &lt;= DATE(2024, 2, 29)))
+ SUMPRODUCT(('Form responses 1'!$E$2:$E1000 = A62) * ('Form responses 1'!$A$2:$A1000 &lt;= DATE(2024, 2, 29)))
+ SUMPRODUCT(('Form responses 1'!$F$2:$F1000 = A62) * ('Form responses 1'!$A$2:$A1000 &lt;= DATE(2024, 2, 29)))
+ SUMPRODUCT(('Form responses 1'!$G$2:$G1000 = A62) * ('Form responses 1'!$A$2:$A1000 &lt;= DATE(2024, 2, 29)))), 2), "-")
</f>
        <v>-</v>
      </c>
      <c r="E62" s="2" t="str">
        <f>IFERROR(ROUND(#REF!/(SUMPRODUCT(('Form responses 1'!$B$2:$B1000 = A62) * ('Form responses 1'!$A$2:$A1000 &lt;= DATE(2024, 3, 31)))
+ SUMPRODUCT(('Form responses 1'!$C$2:$C1000 = A62) * ('Form responses 1'!$A$2:$A1000 &lt;= DATE(2024, 3, 31)))
+ SUMPRODUCT(('Form responses 1'!$D$2:$D1000 = A62) * ('Form responses 1'!$A$2:$A1000 &lt;= DATE(2024, 3, 31)))
+ SUMPRODUCT(('Form responses 1'!$E$2:$E1000 = A62) * ('Form responses 1'!$A$2:$A1000 &lt;= DATE(2024, 3, 31)))
+ SUMPRODUCT(('Form responses 1'!$F$2:$F1000 = A62) * ('Form responses 1'!$A$2:$A1000 &lt;= DATE(2024, 3, 31)))
+ SUMPRODUCT(('Form responses 1'!$G$2:$G1000 = A62) * ('Form responses 1'!$A$2:$A1000 &lt;= DATE(2024, 3, 31)))), 2), "-")
</f>
        <v>-</v>
      </c>
      <c r="F62" s="2" t="str">
        <f>IFERROR(ROUND(#REF!/(SUMPRODUCT(('Form responses 1'!$B$2:$B1000 = A62) * ('Form responses 1'!$A$2:$A1000 &lt;= DATE(2024, 4, 30)))
+ SUMPRODUCT(('Form responses 1'!$C$2:$C1000 = A62) * ('Form responses 1'!$A$2:$A1000 &lt;= DATE(2024, 4, 30)))
+ SUMPRODUCT(('Form responses 1'!$D$2:$D1000 = A62) * ('Form responses 1'!$A$2:$A1000 &lt;= DATE(2024, 4, 30)))
+ SUMPRODUCT(('Form responses 1'!$E$2:$E1000 = A62) * ('Form responses 1'!$A$2:$A1000 &lt;= DATE(2024, 4, 30)))
+ SUMPRODUCT(('Form responses 1'!$F$2:$F1000 = A62) * ('Form responses 1'!$A$2:$A1000 &lt;= DATE(2024, 4, 30)))
+ SUMPRODUCT(('Form responses 1'!$G$2:$G1000 = A62) * ('Form responses 1'!$A$2:$A1000 &lt;= DATE(2024, 4, 30)))), 2), "-")
</f>
        <v>-</v>
      </c>
      <c r="G62" s="2" t="str">
        <f>IFERROR(ROUND(#REF!/(SUMPRODUCT(('Form responses 1'!$B$2:$B1000 = A62) * ('Form responses 1'!$A$2:$A1000 &lt;= DATE(2024, 5, 31)))
+ SUMPRODUCT(('Form responses 1'!$C$2:$C1000 = A62) * ('Form responses 1'!$A$2:$A1000 &lt;= DATE(2024, 5, 31)))
+ SUMPRODUCT(('Form responses 1'!$D$2:$D1000 = A62) * ('Form responses 1'!$A$2:$A1000 &lt;= DATE(2024, 5, 31)))
+ SUMPRODUCT(('Form responses 1'!$E$2:$E1000 = A62) * ('Form responses 1'!$A$2:$A1000 &lt;= DATE(2024, 5, 31)))
+ SUMPRODUCT(('Form responses 1'!$F$2:$F1000 = A62) * ('Form responses 1'!$A$2:$A1000 &lt;= DATE(2024, 5, 31)))
+ SUMPRODUCT(('Form responses 1'!$G$2:$G1000 = A62) * ('Form responses 1'!$A$2:$A1000 &lt;= DATE(2024, 5, 31)))), 2), "-")
</f>
        <v>-</v>
      </c>
      <c r="H62" s="2" t="str">
        <f>IFERROR(ROUND(#REF!/(SUMPRODUCT(('Form responses 1'!$B$2:$B1000 = A62) * ('Form responses 1'!$A$2:$A1000 &lt;= DATE(2024, 6, 30)))
+ SUMPRODUCT(('Form responses 1'!$C$2:$C1000 = A62) * ('Form responses 1'!$A$2:$A1000 &lt;= DATE(2024, 6, 30)))
+ SUMPRODUCT(('Form responses 1'!$D$2:$D1000 = A62) * ('Form responses 1'!$A$2:$A1000 &lt;= DATE(2024, 6, 30)))
+ SUMPRODUCT(('Form responses 1'!$E$2:$E1000 = A62) * ('Form responses 1'!$A$2:$A1000 &lt;= DATE(2024, 6, 30)))
+ SUMPRODUCT(('Form responses 1'!$F$2:$F1000 = A62) * ('Form responses 1'!$A$2:$A1000 &lt;= DATE(2024, 6, 30)))
+ SUMPRODUCT(('Form responses 1'!$G$2:$G1000 = A62) * ('Form responses 1'!$A$2:$A1000 &lt;= DATE(2024, 6, 30)))), 2), "-")
</f>
        <v>-</v>
      </c>
      <c r="I62" s="2" t="str">
        <f>IFERROR(ROUND(#REF!/(SUMPRODUCT(('Form responses 1'!$B$2:$B1000 = A62) * ('Form responses 1'!$A$2:$A1000 &lt;= DATE(2024, 7, 31)))
+ SUMPRODUCT(('Form responses 1'!$C$2:$C1000 = A62) * ('Form responses 1'!$A$2:$A1000 &lt;= DATE(2024, 7, 31)))
+ SUMPRODUCT(('Form responses 1'!$D$2:$D1000 = A62) * ('Form responses 1'!$A$2:$A1000 &lt;= DATE(2024, 7, 31)))
+ SUMPRODUCT(('Form responses 1'!$E$2:$E1000 = A62) * ('Form responses 1'!$A$2:$A1000 &lt;= DATE(2024, 7, 31)))
+ SUMPRODUCT(('Form responses 1'!$F$2:$F1000 = A62) * ('Form responses 1'!$A$2:$A1000 &lt;= DATE(2024, 7, 31)))
+ SUMPRODUCT(('Form responses 1'!$G$2:$G1000 = A62) * ('Form responses 1'!$A$2:$A1000 &lt;= DATE(2024, 7, 31)))), 2), "-")
</f>
        <v>-</v>
      </c>
      <c r="J62" s="2" t="str">
        <f>IFERROR(ROUND(#REF!/(SUMPRODUCT(('Form responses 1'!$B$2:$B1000 = A62) * ('Form responses 1'!$A$2:$A1000 &lt;= DATE(2024, 8, 31)))
+ SUMPRODUCT(('Form responses 1'!$C$2:$C1000 = A62) * ('Form responses 1'!$A$2:$A1000 &lt;= DATE(2024, 8, 31)))
+ SUMPRODUCT(('Form responses 1'!$D$2:$D1000 = A62) * ('Form responses 1'!$A$2:$A1000 &lt;= DATE(2024, 8, 31)))
+ SUMPRODUCT(('Form responses 1'!$E$2:$E1000 = A62) * ('Form responses 1'!$A$2:$A1000 &lt;= DATE(2024, 8, 31)))
+ SUMPRODUCT(('Form responses 1'!$F$2:$F1000 = A62) * ('Form responses 1'!$A$2:$A1000 &lt;= DATE(2024, 8, 31)))
+ SUMPRODUCT(('Form responses 1'!$G$2:$G1000 = A62) * ('Form responses 1'!$A$2:$A1000 &lt;= DATE(2024, 8, 31)))), 2), "-")
</f>
        <v>-</v>
      </c>
      <c r="K62" s="2" t="str">
        <f>IFERROR(ROUND(#REF!/(SUMPRODUCT(('Form responses 1'!$B$2:$B1000 = A62) * ('Form responses 1'!$A$2:$A1000 &lt;= DATE(2024, 9, 30)))
+ SUMPRODUCT(('Form responses 1'!$C$2:$C1000 = A62) * ('Form responses 1'!$A$2:$A1000 &lt;= DATE(2024, 9, 30)))
+ SUMPRODUCT(('Form responses 1'!$D$2:$D1000 = A62) * ('Form responses 1'!$A$2:$A1000 &lt;= DATE(2024, 9, 30)))
+ SUMPRODUCT(('Form responses 1'!$E$2:$E1000 = A62) * ('Form responses 1'!$A$2:$A1000 &lt;= DATE(2024, 9, 30)))
+ SUMPRODUCT(('Form responses 1'!$F$2:$F1000 = A62) * ('Form responses 1'!$A$2:$A1000 &lt;= DATE(2024, 9, 30)))
+ SUMPRODUCT(('Form responses 1'!$G$2:$G1000 = A62) * ('Form responses 1'!$A$2:$A1000 &lt;= DATE(2024, 9, 30)))), 2), "-")
</f>
        <v>-</v>
      </c>
      <c r="L62" s="2" t="str">
        <f>IFERROR(ROUND(#REF!/(SUMPRODUCT(('Form responses 1'!$B$2:$B1000 = A62) * ('Form responses 1'!$A$2:$A1000 &lt;= DATE(2024, 10, 31)))
+ SUMPRODUCT(('Form responses 1'!$C$2:$C1000 = A62) * ('Form responses 1'!$A$2:$A1000 &lt;= DATE(2024, 10, 31)))
+ SUMPRODUCT(('Form responses 1'!$D$2:$D1000 = A62) * ('Form responses 1'!$A$2:$A1000 &lt;= DATE(2024, 10, 31)))
+ SUMPRODUCT(('Form responses 1'!$E$2:$E1000 = A62) * ('Form responses 1'!$A$2:$A1000 &lt;= DATE(2024, 10, 31)))
+ SUMPRODUCT(('Form responses 1'!$F$2:$F1000 = A62) * ('Form responses 1'!$A$2:$A1000 &lt;= DATE(2024, 10, 31)))
+ SUMPRODUCT(('Form responses 1'!$G$2:$G1000 = A62) * ('Form responses 1'!$A$2:$A1000 &lt;= DATE(2024, 10, 31)))), 2), "-")
</f>
        <v>-</v>
      </c>
      <c r="M62" s="2" t="str">
        <f>IFERROR(ROUND(#REF!/(SUMPRODUCT(('Form responses 1'!$B$2:$B1000 = A62) * ('Form responses 1'!$A$2:$A1000 &lt;= DATE(2024, 11, 30)))
+ SUMPRODUCT(('Form responses 1'!$C$2:$C1000 = A62) * ('Form responses 1'!$A$2:$A1000 &lt;= DATE(2024, 11, 30)))
+ SUMPRODUCT(('Form responses 1'!$D$2:$D1000 = A62) * ('Form responses 1'!$A$2:$A1000 &lt;= DATE(2024, 11, 30)))
+ SUMPRODUCT(('Form responses 1'!$E$2:$E1000 = A62) * ('Form responses 1'!$A$2:$A1000 &lt;= DATE(2024, 11, 30)))
+ SUMPRODUCT(('Form responses 1'!$F$2:$F1000 = A62) * ('Form responses 1'!$A$2:$A1000 &lt;= DATE(2024, 11, 30)))
+ SUMPRODUCT(('Form responses 1'!$G$2:$G1000 = A62) * ('Form responses 1'!$A$2:$A1000 &lt;= DATE(2024, 11, 30)))), 2), "-")
</f>
        <v>-</v>
      </c>
      <c r="N62" s="2" t="str">
        <f>IFERROR(ROUND(#REF!/(SUMPRODUCT(('Form responses 1'!$B$2:$B1000 = A62) * ('Form responses 1'!$A$2:$A1000 &lt;= DATE(2024, 12, 31)))
+ SUMPRODUCT(('Form responses 1'!$C$2:$C1000 = A62) * ('Form responses 1'!$A$2:$A1000 &lt;= DATE(2024, 12, 31)))
+ SUMPRODUCT(('Form responses 1'!$D$2:$D1000 = A62) * ('Form responses 1'!$A$2:$A1000 &lt;= DATE(2024, 12, 31)))
+ SUMPRODUCT(('Form responses 1'!$E$2:$E1000 = A62) * ('Form responses 1'!$A$2:$A1000 &lt;= DATE(2024, 12, 31)))
+ SUMPRODUCT(('Form responses 1'!$F$2:$F1000 = A62) * ('Form responses 1'!$A$2:$A1000 &lt;= DATE(2024, 12, 31)))
+ SUMPRODUCT(('Form responses 1'!$G$2:$G1000 = A62) * ('Form responses 1'!$A$2:$A1000 &lt;= DATE(2024, 12, 31)))), 2), "-")
</f>
        <v>-</v>
      </c>
      <c r="O62" s="2" t="str">
        <f>IFERROR(ROUND(#REF!/(SUMPRODUCT(('Form responses 1'!$B$2:$B1000 = A62) * ('Form responses 1'!$A$2:$A1000 &lt;= DATE(2025, 1, 31)))
+ SUMPRODUCT(('Form responses 1'!$C$2:$C1000 = A62) * ('Form responses 1'!$A$2:$A1000 &lt;= DATE(2025, 1, 31)))
+ SUMPRODUCT(('Form responses 1'!$D$2:$D1000 = A62) * ('Form responses 1'!$A$2:$A1000 &lt;= DATE(2025, 1, 31)))
+ SUMPRODUCT(('Form responses 1'!$E$2:$E1000 = A62) * ('Form responses 1'!$A$2:$A1000 &lt;= DATE(2025, 1, 31)))
+ SUMPRODUCT(('Form responses 1'!$F$2:$F1000 = A62) * ('Form responses 1'!$A$2:$A1000 &lt;= DATE(2025, 1, 31)))
+ SUMPRODUCT(('Form responses 1'!$G$2:$G1000 = A62) * ('Form responses 1'!$A$2:$A1000 &lt;= DATE(2025, 1, 31)))), 2), "-")
</f>
        <v>-</v>
      </c>
      <c r="P62" s="2" t="str">
        <f>IFERROR(ROUND(#REF!/(SUMPRODUCT(('Form responses 1'!$B$2:$B1000 = A62) * ('Form responses 1'!$A$2:$A1000 &lt;= DATE(2025, 2, 28)))
+ SUMPRODUCT(('Form responses 1'!$C$2:$C1000 = A62) * ('Form responses 1'!$A$2:$A1000 &lt;= DATE(2025, 2, 28)))
+ SUMPRODUCT(('Form responses 1'!$D$2:$D1000 = A62) * ('Form responses 1'!$A$2:$A1000 &lt;= DATE(2025, 2, 28)))
+ SUMPRODUCT(('Form responses 1'!$E$2:$E1000 = A62) * ('Form responses 1'!$A$2:$A1000 &lt;= DATE(2025, 2, 28)))
+ SUMPRODUCT(('Form responses 1'!$F$2:$F1000 = A62) * ('Form responses 1'!$A$2:$A1000 &lt;= DATE(2025, 2, 28)))
+ SUMPRODUCT(('Form responses 1'!$G$2:$G1000 = A62) * ('Form responses 1'!$A$2:$A1000 &lt;= DATE(2025, 2, 28)))), 2), "-")
</f>
        <v>-</v>
      </c>
      <c r="Q62" s="2" t="str">
        <f>IFERROR(ROUND(#REF!/(SUMPRODUCT(('Form responses 1'!$B$2:$B1000 = A62) * ('Form responses 1'!$A$2:$A1000 &lt;= DATE(2025, 3, 31)))
+ SUMPRODUCT(('Form responses 1'!$C$2:$C1000 = A62) * ('Form responses 1'!$A$2:$A1000 &lt;= DATE(2025, 3, 31)))
+ SUMPRODUCT(('Form responses 1'!$D$2:$D1000 = A62) * ('Form responses 1'!$A$2:$A1000 &lt;= DATE(2025, 3, 31)))
+ SUMPRODUCT(('Form responses 1'!$E$2:$E1000 = A62) * ('Form responses 1'!$A$2:$A1000 &lt;= DATE(2025, 3, 31)))
+ SUMPRODUCT(('Form responses 1'!$F$2:$F1000 = A62) * ('Form responses 1'!$A$2:$A1000 &lt;= DATE(2025, 3, 31)))
+ SUMPRODUCT(('Form responses 1'!$G$2:$G1000 = A62) * ('Form responses 1'!$A$2:$A1000 &lt;= DATE(2025, 3, 31)))),2),"-")</f>
        <v>-</v>
      </c>
      <c r="R62" s="2" t="str">
        <f>IFERROR(ROUND(#REF!/(SUMPRODUCT(('Form responses 1'!$B$2:$B1000 = A62) * ('Form responses 1'!$A$2:$A1000 &lt;= DATE(2025, 4, 30)))
+ SUMPRODUCT(('Form responses 1'!$C$2:$C1000 = A62) * ('Form responses 1'!$A$2:$A1000 &lt;= DATE(2025, 4, 30)))
+ SUMPRODUCT(('Form responses 1'!$D$2:$D1000 = A62) * ('Form responses 1'!$A$2:$A1000 &lt;= DATE(2025, 4, 30)))
+ SUMPRODUCT(('Form responses 1'!$E$2:$E1000 = A62) * ('Form responses 1'!$A$2:$A1000 &lt;= DATE(2025, 4, 30)))
+ SUMPRODUCT(('Form responses 1'!$F$2:$F1000 = A62) * ('Form responses 1'!$A$2:$A1000 &lt;= DATE(2025, 4, 30)))
+ SUMPRODUCT(('Form responses 1'!$G$2:$G1000 = A62) * ('Form responses 1'!$A$2:$A1000 &lt;= DATE(2025, 4, 30)))), 2), "-")
</f>
        <v>-</v>
      </c>
      <c r="S62" s="2" t="str">
        <f>IFERROR(ROUND(#REF!/(SUMPRODUCT(('Form responses 1'!$B$2:$B1000 = A62) * ('Form responses 1'!$A$2:$A1000 &lt;= DATE(2025, 5, 31)))
+ SUMPRODUCT(('Form responses 1'!$C$2:$C1000 = A62) * ('Form responses 1'!$A$2:$A1000 &lt;= DATE(2025, 5, 31)))
+ SUMPRODUCT(('Form responses 1'!$D$2:$D1000 = A62) * ('Form responses 1'!$A$2:$A1000 &lt;= DATE(2025, 5, 31)))
+ SUMPRODUCT(('Form responses 1'!$E$2:$E1000 = A62) * ('Form responses 1'!$A$2:$A1000 &lt;= DATE(2025, 5, 31)))
+ SUMPRODUCT(('Form responses 1'!$F$2:$F1000 = A62) * ('Form responses 1'!$A$2:$A1000 &lt;= DATE(2025, 5, 31)))
+ SUMPRODUCT(('Form responses 1'!$G$2:$G1000 = A62) * ('Form responses 1'!$A$2:$A1000 &lt;= DATE(2025, 5, 31)))), 2), "-")
</f>
        <v>-</v>
      </c>
      <c r="T62" s="2" t="str">
        <f>IFERROR(ROUND(#REF!/(SUMPRODUCT(('Form responses 1'!$B$2:$B1000 = A62) * ('Form responses 1'!$A$2:$A1000 &lt;= DATE(2025, 6, 30)))
+ SUMPRODUCT(('Form responses 1'!$C$2:$C1000 = A62) * ('Form responses 1'!$A$2:$A1000 &lt;= DATE(2025, 6, 30)))
+ SUMPRODUCT(('Form responses 1'!$D$2:$D1000 = A62) * ('Form responses 1'!$A$2:$A1000 &lt;= DATE(2025, 6, 30)))
+ SUMPRODUCT(('Form responses 1'!$E$2:$E1000 = A62) * ('Form responses 1'!$A$2:$A1000 &lt;= DATE(2025, 6, 30)))
+ SUMPRODUCT(('Form responses 1'!$F$2:$F1000 = A62) * ('Form responses 1'!$A$2:$A1000 &lt;= DATE(2025, 6, 30)))
+ SUMPRODUCT(('Form responses 1'!$G$2:$G1000 = A62) * ('Form responses 1'!$A$2:$A1000 &lt;= DATE(2025, 6, 30)))), 2), "-")
</f>
        <v>-</v>
      </c>
      <c r="U62" s="2" t="str">
        <f>IFERROR(ROUND(#REF!/(SUMPRODUCT(('Form responses 1'!$B$2:$B1000 = A62) * ('Form responses 1'!$A$2:$A1000 &lt;= DATE(2025, 7, 31)))
+ SUMPRODUCT(('Form responses 1'!$C$2:$C1000 = A62) * ('Form responses 1'!$A$2:$A1000 &lt;= DATE(2025, 7, 31)))
+ SUMPRODUCT(('Form responses 1'!$D$2:$D1000 = A62) * ('Form responses 1'!$A$2:$A1000 &lt;= DATE(2025, 7, 31)))
+ SUMPRODUCT(('Form responses 1'!$E$2:$E1000 = A62) * ('Form responses 1'!$A$2:$A1000 &lt;= DATE(2025, 7, 31)))
+ SUMPRODUCT(('Form responses 1'!$F$2:$F1000 = A62) * ('Form responses 1'!$A$2:$A1000 &lt;= DATE(2025, 7, 31)))
+ SUMPRODUCT(('Form responses 1'!$G$2:$G1000 = A62) * ('Form responses 1'!$A$2:$A1000 &lt;= DATE(2025, 7, 31)))), 2), "-")
</f>
        <v>-</v>
      </c>
      <c r="V62" s="2" t="str">
        <f>IFERROR(ROUND(#REF!/(SUMPRODUCT(('Form responses 1'!$B$2:$B1000 = A62) * ('Form responses 1'!$A$2:$A1000 &lt;= DATE(2025, 8, 31)))
+ SUMPRODUCT(('Form responses 1'!$C$2:$C1000 = A62) * ('Form responses 1'!$A$2:$A1000 &lt;= DATE(2025, 8, 31)))
+ SUMPRODUCT(('Form responses 1'!$D$2:$D1000 = A62) * ('Form responses 1'!$A$2:$A1000 &lt;= DATE(2025, 8, 31)))
+ SUMPRODUCT(('Form responses 1'!$E$2:$E1000 = A62) * ('Form responses 1'!$A$2:$A1000 &lt;= DATE(2025, 8, 31)))
+ SUMPRODUCT(('Form responses 1'!$F$2:$F1000 = A62) * ('Form responses 1'!$A$2:$A1000 &lt;= DATE(2025, 8, 31)))
+ SUMPRODUCT(('Form responses 1'!$G$2:$G1000 = A62) * ('Form responses 1'!$A$2:$A1000 &lt;= DATE(2025, 8, 31)))), 2), "-")
</f>
        <v>-</v>
      </c>
      <c r="W62" s="2" t="str">
        <f>IFERROR(ROUND(#REF!/(SUMPRODUCT(('Form responses 1'!$B$2:$B1000 = A62) * ('Form responses 1'!$A$2:$A1000 &lt;= DATE(2025, 9, 30)))
+ SUMPRODUCT(('Form responses 1'!$C$2:$C1000 = A62) * ('Form responses 1'!$A$2:$A1000 &lt;= DATE(2025, 9, 30)))
+ SUMPRODUCT(('Form responses 1'!$D$2:$D1000 = A62) * ('Form responses 1'!$A$2:$A1000 &lt;= DATE(2025, 9, 30)))
+ SUMPRODUCT(('Form responses 1'!$E$2:$E1000 = A62) * ('Form responses 1'!$A$2:$A1000 &lt;= DATE(2025, 9, 30)))
+ SUMPRODUCT(('Form responses 1'!$F$2:$F1000 = A62) * ('Form responses 1'!$A$2:$A1000 &lt;= DATE(2025, 9, 30)))
+ SUMPRODUCT(('Form responses 1'!$G$2:$G1000 = A62) * ('Form responses 1'!$A$2:$A1000 &lt;= DATE(2025, 9, 30)))), 2), "-")
</f>
        <v>-</v>
      </c>
      <c r="X62" s="2" t="str">
        <f>IFERROR(ROUND(#REF!/(SUMPRODUCT(('Form responses 1'!$B$2:$B1000 = A62) * ('Form responses 1'!$A$2:$A1000 &lt;= DATE(2025, 10, 31)))
+ SUMPRODUCT(('Form responses 1'!$C$2:$C1000 = A62) * ('Form responses 1'!$A$2:$A1000 &lt;= DATE(2025, 10, 31)))
+ SUMPRODUCT(('Form responses 1'!$D$2:$D1000 = A62) * ('Form responses 1'!$A$2:$A1000 &lt;= DATE(2025, 10, 31)))
+ SUMPRODUCT(('Form responses 1'!$E$2:$E1000 = A62) * ('Form responses 1'!$A$2:$A1000 &lt;= DATE(2025, 10, 31)))
+ SUMPRODUCT(('Form responses 1'!$F$2:$F1000 = A62) * ('Form responses 1'!$A$2:$A1000 &lt;= DATE(2025, 10, 31)))
+ SUMPRODUCT(('Form responses 1'!$G$2:$G1000 = A62) * ('Form responses 1'!$A$2:$A1000 &lt;= DATE(2025, 10, 31)))), 2), "-")
</f>
        <v>-</v>
      </c>
      <c r="Y62" s="2" t="str">
        <f>IFERROR(ROUND(#REF!/(SUMPRODUCT(('Form responses 1'!$B$2:$B1000 = A62) * ('Form responses 1'!$A$2:$A1000 &lt;= DATE(2025, 11, 30)))
+ SUMPRODUCT(('Form responses 1'!$C$2:$C1000 = A62) * ('Form responses 1'!$A$2:$A1000 &lt;= DATE(2025, 11, 30)))
+ SUMPRODUCT(('Form responses 1'!$D$2:$D1000 = A62) * ('Form responses 1'!$A$2:$A1000 &lt;= DATE(2025, 11, 30)))
+ SUMPRODUCT(('Form responses 1'!$E$2:$E1000 = A62) * ('Form responses 1'!$A$2:$A1000 &lt;= DATE(2025, 11, 30)))
+ SUMPRODUCT(('Form responses 1'!$F$2:$F1000 = A62) * ('Form responses 1'!$A$2:$A1000 &lt;= DATE(2025, 11, 30)))
+ SUMPRODUCT(('Form responses 1'!$G$2:$G1000 = A62) * ('Form responses 1'!$A$2:$A1000 &lt;= DATE(2025, 11, 30)))), 2), "-")
</f>
        <v>-</v>
      </c>
      <c r="Z62" s="2" t="str">
        <f>IFERROR(ROUND(#REF!/(SUMPRODUCT(('Form responses 1'!$B$2:$B1000 = A62) * ('Form responses 1'!$A$2:$A1000 &lt;= DATE(2025, 12, 31)))
+ SUMPRODUCT(('Form responses 1'!$C$2:$C1000 = A62) * ('Form responses 1'!$A$2:$A1000 &lt;= DATE(2025, 12, 31)))
+ SUMPRODUCT(('Form responses 1'!$D$2:$D1000 = A62) * ('Form responses 1'!$A$2:$A1000 &lt;= DATE(2025, 12, 31)))
+ SUMPRODUCT(('Form responses 1'!$E$2:$E1000 = A62) * ('Form responses 1'!$A$2:$A1000 &lt;= DATE(2025, 12, 31)))
+ SUMPRODUCT(('Form responses 1'!$F$2:$F1000 = A62) * ('Form responses 1'!$A$2:$A1000 &lt;= DATE(2025, 12, 31)))
+ SUMPRODUCT(('Form responses 1'!$G$2:$G1000 = A62) * ('Form responses 1'!$A$2:$A1000 &lt;= DATE(2025, 12, 31)))), 2), "-")
</f>
        <v>-</v>
      </c>
      <c r="AA62" s="2">
        <f>IFERROR(ROUND(Data!$B62/(
  SUMPRODUCT(('Form responses 1'!$B$2:$B1000=$A62)*('Form responses 1'!$A$2:$A1000&lt;=EOMONTH(DATEVALUE("1 "&amp;AA$1),0)))+
  SUMPRODUCT(('Form responses 1'!$C$2:$C1000=$A62)*('Form responses 1'!$A$2:$A1000&lt;=EOMONTH(DATEVALUE("1 "&amp;AA$1),0)))+
  SUMPRODUCT(('Form responses 1'!$D$2:$D1000=$A62)*('Form responses 1'!$A$2:$A1000&lt;=EOMONTH(DATEVALUE("1 "&amp;AA$1),0)))+
  SUMPRODUCT(('Form responses 1'!$E$2:$E1000=$A62)*('Form responses 1'!$A$2:$A1000&lt;=EOMONTH(DATEVALUE("1 "&amp;AA$1),0)))+
  SUMPRODUCT(('Form responses 1'!$F$2:$F1000=$A62)*('Form responses 1'!$A$2:$A1000&lt;=EOMONTH(DATEVALUE("1 "&amp;AA$1),0)))+
  SUMPRODUCT(('Form responses 1'!$G$2:$G1000=$A62)*('Form responses 1'!$A$2:$A1000&lt;=EOMONTH(DATEVALUE("1 "&amp;AA$1),0)))
),2),"-")</f>
        <v>3.27</v>
      </c>
      <c r="AB62" s="2">
        <f>IFERROR(ROUND(Data!$B62/(
  SUMPRODUCT(('Form responses 1'!$B$2:$B1000=$A62)*('Form responses 1'!$A$2:$A1000&lt;=EOMONTH(DATEVALUE("1 "&amp;AB$1),0)))+
  SUMPRODUCT(('Form responses 1'!$C$2:$C1000=$A62)*('Form responses 1'!$A$2:$A1000&lt;=EOMONTH(DATEVALUE("1 "&amp;AB$1),0)))+
  SUMPRODUCT(('Form responses 1'!$D$2:$D1000=$A62)*('Form responses 1'!$A$2:$A1000&lt;=EOMONTH(DATEVALUE("1 "&amp;AB$1),0)))+
  SUMPRODUCT(('Form responses 1'!$E$2:$E1000=$A62)*('Form responses 1'!$A$2:$A1000&lt;=EOMONTH(DATEVALUE("1 "&amp;AB$1),0)))+
  SUMPRODUCT(('Form responses 1'!$F$2:$F1000=$A62)*('Form responses 1'!$A$2:$A1000&lt;=EOMONTH(DATEVALUE("1 "&amp;AB$1),0)))+
  SUMPRODUCT(('Form responses 1'!$G$2:$G1000=$A62)*('Form responses 1'!$A$2:$A1000&lt;=EOMONTH(DATEVALUE("1 "&amp;AB$1),0)))
),2),"-")</f>
        <v>3.27</v>
      </c>
      <c r="AC62" s="2">
        <f>IFERROR(ROUND(Data!$B62/(
  SUMPRODUCT(('Form responses 1'!$B$2:$B1000=$A62)*('Form responses 1'!$A$2:$A1000&lt;=EOMONTH(DATEVALUE("1 "&amp;AC$1),0)))+
  SUMPRODUCT(('Form responses 1'!$C$2:$C1000=$A62)*('Form responses 1'!$A$2:$A1000&lt;=EOMONTH(DATEVALUE("1 "&amp;AC$1),0)))+
  SUMPRODUCT(('Form responses 1'!$D$2:$D1000=$A62)*('Form responses 1'!$A$2:$A1000&lt;=EOMONTH(DATEVALUE("1 "&amp;AC$1),0)))+
  SUMPRODUCT(('Form responses 1'!$E$2:$E1000=$A62)*('Form responses 1'!$A$2:$A1000&lt;=EOMONTH(DATEVALUE("1 "&amp;AC$1),0)))+
  SUMPRODUCT(('Form responses 1'!$F$2:$F1000=$A62)*('Form responses 1'!$A$2:$A1000&lt;=EOMONTH(DATEVALUE("1 "&amp;AC$1),0)))+
  SUMPRODUCT(('Form responses 1'!$G$2:$G1000=$A62)*('Form responses 1'!$A$2:$A1000&lt;=EOMONTH(DATEVALUE("1 "&amp;AC$1),0)))
),2),"-")</f>
        <v>3.27</v>
      </c>
      <c r="AD62" s="2" t="str">
        <f>IFERROR(ROUND(Data!$B62/(
  SUMPRODUCT(('Form responses 1'!$B$2:$B1000=$A62)*('Form responses 1'!$A$2:$A1000&lt;=EOMONTH(DATEVALUE("1 "&amp;AD$1),0)))+
  SUMPRODUCT(('Form responses 1'!$C$2:$C1000=$A62)*('Form responses 1'!$A$2:$A1000&lt;=EOMONTH(DATEVALUE("1 "&amp;AD$1),0)))+
  SUMPRODUCT(('Form responses 1'!$D$2:$D1000=$A62)*('Form responses 1'!$A$2:$A1000&lt;=EOMONTH(DATEVALUE("1 "&amp;AD$1),0)))+
  SUMPRODUCT(('Form responses 1'!$E$2:$E1000=$A62)*('Form responses 1'!$A$2:$A1000&lt;=EOMONTH(DATEVALUE("1 "&amp;AD$1),0)))+
  SUMPRODUCT(('Form responses 1'!$F$2:$F1000=$A62)*('Form responses 1'!$A$2:$A1000&lt;=EOMONTH(DATEVALUE("1 "&amp;AD$1),0)))+
  SUMPRODUCT(('Form responses 1'!$G$2:$G1000=$A62)*('Form responses 1'!$A$2:$A1000&lt;=EOMONTH(DATEVALUE("1 "&amp;AD$1),0)))
),2),"-")</f>
        <v>-</v>
      </c>
      <c r="AE62" s="2" t="str">
        <f>IFERROR(ROUND(Data!$B62/(
  SUMPRODUCT(('Form responses 1'!$B$2:$B1000=$A62)*('Form responses 1'!$A$2:$A1000&lt;=EOMONTH(DATEVALUE("1 "&amp;AE$1),0)))+
  SUMPRODUCT(('Form responses 1'!$C$2:$C1000=$A62)*('Form responses 1'!$A$2:$A1000&lt;=EOMONTH(DATEVALUE("1 "&amp;AE$1),0)))+
  SUMPRODUCT(('Form responses 1'!$D$2:$D1000=$A62)*('Form responses 1'!$A$2:$A1000&lt;=EOMONTH(DATEVALUE("1 "&amp;AE$1),0)))+
  SUMPRODUCT(('Form responses 1'!$E$2:$E1000=$A62)*('Form responses 1'!$A$2:$A1000&lt;=EOMONTH(DATEVALUE("1 "&amp;AE$1),0)))+
  SUMPRODUCT(('Form responses 1'!$F$2:$F1000=$A62)*('Form responses 1'!$A$2:$A1000&lt;=EOMONTH(DATEVALUE("1 "&amp;AE$1),0)))+
  SUMPRODUCT(('Form responses 1'!$G$2:$G1000=$A62)*('Form responses 1'!$A$2:$A1000&lt;=EOMONTH(DATEVALUE("1 "&amp;AE$1),0)))
),2),"-")</f>
        <v>-</v>
      </c>
      <c r="AF62" s="2" t="str">
        <f>IFERROR(ROUND(Data!$B62/(
  SUMPRODUCT(('Form responses 1'!$B$2:$B1000=$A62)*('Form responses 1'!$A$2:$A1000&lt;=EOMONTH(DATEVALUE("1 "&amp;AF$1),0)))+
  SUMPRODUCT(('Form responses 1'!$C$2:$C1000=$A62)*('Form responses 1'!$A$2:$A1000&lt;=EOMONTH(DATEVALUE("1 "&amp;AF$1),0)))+
  SUMPRODUCT(('Form responses 1'!$D$2:$D1000=$A62)*('Form responses 1'!$A$2:$A1000&lt;=EOMONTH(DATEVALUE("1 "&amp;AF$1),0)))+
  SUMPRODUCT(('Form responses 1'!$E$2:$E1000=$A62)*('Form responses 1'!$A$2:$A1000&lt;=EOMONTH(DATEVALUE("1 "&amp;AF$1),0)))+
  SUMPRODUCT(('Form responses 1'!$F$2:$F1000=$A62)*('Form responses 1'!$A$2:$A1000&lt;=EOMONTH(DATEVALUE("1 "&amp;AF$1),0)))+
  SUMPRODUCT(('Form responses 1'!$G$2:$G1000=$A62)*('Form responses 1'!$A$2:$A1000&lt;=EOMONTH(DATEVALUE("1 "&amp;AF$1),0)))
),2),"-")</f>
        <v>-</v>
      </c>
      <c r="AG62" s="2" t="str">
        <f>IFERROR(ROUND(Data!$B62/(
  SUMPRODUCT(('Form responses 1'!$B$2:$B1000=$A62)*('Form responses 1'!$A$2:$A1000&lt;=EOMONTH(DATEVALUE("1 "&amp;AG$1),0)))+
  SUMPRODUCT(('Form responses 1'!$C$2:$C1000=$A62)*('Form responses 1'!$A$2:$A1000&lt;=EOMONTH(DATEVALUE("1 "&amp;AG$1),0)))+
  SUMPRODUCT(('Form responses 1'!$D$2:$D1000=$A62)*('Form responses 1'!$A$2:$A1000&lt;=EOMONTH(DATEVALUE("1 "&amp;AG$1),0)))+
  SUMPRODUCT(('Form responses 1'!$E$2:$E1000=$A62)*('Form responses 1'!$A$2:$A1000&lt;=EOMONTH(DATEVALUE("1 "&amp;AG$1),0)))+
  SUMPRODUCT(('Form responses 1'!$F$2:$F1000=$A62)*('Form responses 1'!$A$2:$A1000&lt;=EOMONTH(DATEVALUE("1 "&amp;AG$1),0)))+
  SUMPRODUCT(('Form responses 1'!$G$2:$G1000=$A62)*('Form responses 1'!$A$2:$A1000&lt;=EOMONTH(DATEVALUE("1 "&amp;AG$1),0)))
),2),"-")</f>
        <v>-</v>
      </c>
      <c r="AH62" s="2" t="str">
        <f>IFERROR(ROUND(Data!$B62/(
  SUMPRODUCT(('Form responses 1'!$B$2:$B1000=$A62)*('Form responses 1'!$A$2:$A1000&lt;=EOMONTH(DATEVALUE("1 "&amp;AH$1),0)))+
  SUMPRODUCT(('Form responses 1'!$C$2:$C1000=$A62)*('Form responses 1'!$A$2:$A1000&lt;=EOMONTH(DATEVALUE("1 "&amp;AH$1),0)))+
  SUMPRODUCT(('Form responses 1'!$D$2:$D1000=$A62)*('Form responses 1'!$A$2:$A1000&lt;=EOMONTH(DATEVALUE("1 "&amp;AH$1),0)))+
  SUMPRODUCT(('Form responses 1'!$E$2:$E1000=$A62)*('Form responses 1'!$A$2:$A1000&lt;=EOMONTH(DATEVALUE("1 "&amp;AH$1),0)))+
  SUMPRODUCT(('Form responses 1'!$F$2:$F1000=$A62)*('Form responses 1'!$A$2:$A1000&lt;=EOMONTH(DATEVALUE("1 "&amp;AH$1),0)))+
  SUMPRODUCT(('Form responses 1'!$G$2:$G1000=$A62)*('Form responses 1'!$A$2:$A1000&lt;=EOMONTH(DATEVALUE("1 "&amp;AH$1),0)))
),2),"-")</f>
        <v>-</v>
      </c>
      <c r="AI62" s="2" t="str">
        <f>IFERROR(ROUND(Data!$B62/(
  SUMPRODUCT(('Form responses 1'!$B$2:$B1000=$A62)*('Form responses 1'!$A$2:$A1000&lt;=EOMONTH(DATEVALUE("1 "&amp;AI$1),0)))+
  SUMPRODUCT(('Form responses 1'!$C$2:$C1000=$A62)*('Form responses 1'!$A$2:$A1000&lt;=EOMONTH(DATEVALUE("1 "&amp;AI$1),0)))+
  SUMPRODUCT(('Form responses 1'!$D$2:$D1000=$A62)*('Form responses 1'!$A$2:$A1000&lt;=EOMONTH(DATEVALUE("1 "&amp;AI$1),0)))+
  SUMPRODUCT(('Form responses 1'!$E$2:$E1000=$A62)*('Form responses 1'!$A$2:$A1000&lt;=EOMONTH(DATEVALUE("1 "&amp;AI$1),0)))+
  SUMPRODUCT(('Form responses 1'!$F$2:$F1000=$A62)*('Form responses 1'!$A$2:$A1000&lt;=EOMONTH(DATEVALUE("1 "&amp;AI$1),0)))+
  SUMPRODUCT(('Form responses 1'!$G$2:$G1000=$A62)*('Form responses 1'!$A$2:$A1000&lt;=EOMONTH(DATEVALUE("1 "&amp;AI$1),0)))
),2),"-")</f>
        <v>-</v>
      </c>
      <c r="AJ62" s="2" t="str">
        <f>IFERROR(ROUND(Data!$B62/(
  SUMPRODUCT(('Form responses 1'!$B$2:$B1000=$A62)*('Form responses 1'!$A$2:$A1000&lt;=EOMONTH(DATEVALUE("1 "&amp;AJ$1),0)))+
  SUMPRODUCT(('Form responses 1'!$C$2:$C1000=$A62)*('Form responses 1'!$A$2:$A1000&lt;=EOMONTH(DATEVALUE("1 "&amp;AJ$1),0)))+
  SUMPRODUCT(('Form responses 1'!$D$2:$D1000=$A62)*('Form responses 1'!$A$2:$A1000&lt;=EOMONTH(DATEVALUE("1 "&amp;AJ$1),0)))+
  SUMPRODUCT(('Form responses 1'!$E$2:$E1000=$A62)*('Form responses 1'!$A$2:$A1000&lt;=EOMONTH(DATEVALUE("1 "&amp;AJ$1),0)))+
  SUMPRODUCT(('Form responses 1'!$F$2:$F1000=$A62)*('Form responses 1'!$A$2:$A1000&lt;=EOMONTH(DATEVALUE("1 "&amp;AJ$1),0)))+
  SUMPRODUCT(('Form responses 1'!$G$2:$G1000=$A62)*('Form responses 1'!$A$2:$A1000&lt;=EOMONTH(DATEVALUE("1 "&amp;AJ$1),0)))
),2),"-")</f>
        <v>-</v>
      </c>
      <c r="AK62" s="2" t="str">
        <f>IFERROR(ROUND(Data!$B62/(
  SUMPRODUCT(('Form responses 1'!$B$2:$B1000=$A62)*('Form responses 1'!$A$2:$A1000&lt;=EOMONTH(DATEVALUE("1 "&amp;AK$1),0)))+
  SUMPRODUCT(('Form responses 1'!$C$2:$C1000=$A62)*('Form responses 1'!$A$2:$A1000&lt;=EOMONTH(DATEVALUE("1 "&amp;AK$1),0)))+
  SUMPRODUCT(('Form responses 1'!$D$2:$D1000=$A62)*('Form responses 1'!$A$2:$A1000&lt;=EOMONTH(DATEVALUE("1 "&amp;AK$1),0)))+
  SUMPRODUCT(('Form responses 1'!$E$2:$E1000=$A62)*('Form responses 1'!$A$2:$A1000&lt;=EOMONTH(DATEVALUE("1 "&amp;AK$1),0)))+
  SUMPRODUCT(('Form responses 1'!$F$2:$F1000=$A62)*('Form responses 1'!$A$2:$A1000&lt;=EOMONTH(DATEVALUE("1 "&amp;AK$1),0)))+
  SUMPRODUCT(('Form responses 1'!$G$2:$G1000=$A62)*('Form responses 1'!$A$2:$A1000&lt;=EOMONTH(DATEVALUE("1 "&amp;AK$1),0)))
),2),"-")</f>
        <v>-</v>
      </c>
      <c r="AL62" s="2" t="str">
        <f>IFERROR(ROUND(Data!$B62/(
  SUMPRODUCT(('Form responses 1'!$B$2:$B1000=$A62)*('Form responses 1'!$A$2:$A1000&lt;=EOMONTH(DATEVALUE("1 "&amp;AL$1),0)))+
  SUMPRODUCT(('Form responses 1'!$C$2:$C1000=$A62)*('Form responses 1'!$A$2:$A1000&lt;=EOMONTH(DATEVALUE("1 "&amp;AL$1),0)))+
  SUMPRODUCT(('Form responses 1'!$D$2:$D1000=$A62)*('Form responses 1'!$A$2:$A1000&lt;=EOMONTH(DATEVALUE("1 "&amp;AL$1),0)))+
  SUMPRODUCT(('Form responses 1'!$E$2:$E1000=$A62)*('Form responses 1'!$A$2:$A1000&lt;=EOMONTH(DATEVALUE("1 "&amp;AL$1),0)))+
  SUMPRODUCT(('Form responses 1'!$F$2:$F1000=$A62)*('Form responses 1'!$A$2:$A1000&lt;=EOMONTH(DATEVALUE("1 "&amp;AL$1),0)))+
  SUMPRODUCT(('Form responses 1'!$G$2:$G1000=$A62)*('Form responses 1'!$A$2:$A1000&lt;=EOMONTH(DATEVALUE("1 "&amp;AL$1),0)))
),2),"-")</f>
        <v>-</v>
      </c>
    </row>
    <row r="63">
      <c r="A63" s="3" t="str">
        <f>IFERROR(__xludf.DUMMYFUNCTION("""COMPUTED_VALUE"""),"Zwarte blouse")</f>
        <v>Zwarte blouse</v>
      </c>
      <c r="B63" s="2">
        <f>Data!F59:F1000</f>
        <v>9.99</v>
      </c>
      <c r="C63" s="2" t="str">
        <f>IFERROR(ROUND(#REF!/(SUMPRODUCT(('Form responses 1'!$B$2:$B1000 = A63) * ('Form responses 1'!$A$2:$A1000 &lt;= DATE(2024, 1, 31)))
+ SUMPRODUCT(('Form responses 1'!$C$2:$C1000 = A63) * ('Form responses 1'!$A$2:$A1000 &lt;= DATE(2024, 1, 31)))
+ SUMPRODUCT(('Form responses 1'!$D$2:$D1000 = A63) * ('Form responses 1'!$A$2:$A1000 &lt;= DATE(2024, 1, 31)))
+ SUMPRODUCT(('Form responses 1'!$E$2:$E1000 = A63) * ('Form responses 1'!$A$2:$A1000 &lt;= DATE(2024, 1, 31)))
+ SUMPRODUCT(('Form responses 1'!$F$2:$F1000 = A63) * ('Form responses 1'!$A$2:$A1000 &lt;= DATE(2024, 1, 31)))
+ SUMPRODUCT(('Form responses 1'!$G$2:$G1000 = A63) * ('Form responses 1'!$A$2:$A1000 &lt;= DATE(2024, 1, 31)))), 2), "-")
</f>
        <v>-</v>
      </c>
      <c r="D63" s="2" t="str">
        <f>IFERROR(ROUND(#REF!/(SUMPRODUCT(('Form responses 1'!$B$2:$B1000 = A63) * ('Form responses 1'!$A$2:$A1000 &lt;= DATE(2024, 2, 29)))
+ SUMPRODUCT(('Form responses 1'!$C$2:$C1000 = A63) * ('Form responses 1'!$A$2:$A1000 &lt;= DATE(2024, 2, 29)))
+ SUMPRODUCT(('Form responses 1'!$D$2:$D1000 = A63) * ('Form responses 1'!$A$2:$A1000 &lt;= DATE(2024, 2, 29)))
+ SUMPRODUCT(('Form responses 1'!$E$2:$E1000 = A63) * ('Form responses 1'!$A$2:$A1000 &lt;= DATE(2024, 2, 29)))
+ SUMPRODUCT(('Form responses 1'!$F$2:$F1000 = A63) * ('Form responses 1'!$A$2:$A1000 &lt;= DATE(2024, 2, 29)))
+ SUMPRODUCT(('Form responses 1'!$G$2:$G1000 = A63) * ('Form responses 1'!$A$2:$A1000 &lt;= DATE(2024, 2, 29)))), 2), "-")
</f>
        <v>-</v>
      </c>
      <c r="E63" s="2" t="str">
        <f>IFERROR(ROUND(#REF!/(SUMPRODUCT(('Form responses 1'!$B$2:$B1000 = A63) * ('Form responses 1'!$A$2:$A1000 &lt;= DATE(2024, 3, 31)))
+ SUMPRODUCT(('Form responses 1'!$C$2:$C1000 = A63) * ('Form responses 1'!$A$2:$A1000 &lt;= DATE(2024, 3, 31)))
+ SUMPRODUCT(('Form responses 1'!$D$2:$D1000 = A63) * ('Form responses 1'!$A$2:$A1000 &lt;= DATE(2024, 3, 31)))
+ SUMPRODUCT(('Form responses 1'!$E$2:$E1000 = A63) * ('Form responses 1'!$A$2:$A1000 &lt;= DATE(2024, 3, 31)))
+ SUMPRODUCT(('Form responses 1'!$F$2:$F1000 = A63) * ('Form responses 1'!$A$2:$A1000 &lt;= DATE(2024, 3, 31)))
+ SUMPRODUCT(('Form responses 1'!$G$2:$G1000 = A63) * ('Form responses 1'!$A$2:$A1000 &lt;= DATE(2024, 3, 31)))), 2), "-")
</f>
        <v>-</v>
      </c>
      <c r="F63" s="2" t="str">
        <f>IFERROR(ROUND(#REF!/(SUMPRODUCT(('Form responses 1'!$B$2:$B1000 = A63) * ('Form responses 1'!$A$2:$A1000 &lt;= DATE(2024, 4, 30)))
+ SUMPRODUCT(('Form responses 1'!$C$2:$C1000 = A63) * ('Form responses 1'!$A$2:$A1000 &lt;= DATE(2024, 4, 30)))
+ SUMPRODUCT(('Form responses 1'!$D$2:$D1000 = A63) * ('Form responses 1'!$A$2:$A1000 &lt;= DATE(2024, 4, 30)))
+ SUMPRODUCT(('Form responses 1'!$E$2:$E1000 = A63) * ('Form responses 1'!$A$2:$A1000 &lt;= DATE(2024, 4, 30)))
+ SUMPRODUCT(('Form responses 1'!$F$2:$F1000 = A63) * ('Form responses 1'!$A$2:$A1000 &lt;= DATE(2024, 4, 30)))
+ SUMPRODUCT(('Form responses 1'!$G$2:$G1000 = A63) * ('Form responses 1'!$A$2:$A1000 &lt;= DATE(2024, 4, 30)))), 2), "-")
</f>
        <v>-</v>
      </c>
      <c r="G63" s="2" t="str">
        <f>IFERROR(ROUND(#REF!/(SUMPRODUCT(('Form responses 1'!$B$2:$B1000 = A63) * ('Form responses 1'!$A$2:$A1000 &lt;= DATE(2024, 5, 31)))
+ SUMPRODUCT(('Form responses 1'!$C$2:$C1000 = A63) * ('Form responses 1'!$A$2:$A1000 &lt;= DATE(2024, 5, 31)))
+ SUMPRODUCT(('Form responses 1'!$D$2:$D1000 = A63) * ('Form responses 1'!$A$2:$A1000 &lt;= DATE(2024, 5, 31)))
+ SUMPRODUCT(('Form responses 1'!$E$2:$E1000 = A63) * ('Form responses 1'!$A$2:$A1000 &lt;= DATE(2024, 5, 31)))
+ SUMPRODUCT(('Form responses 1'!$F$2:$F1000 = A63) * ('Form responses 1'!$A$2:$A1000 &lt;= DATE(2024, 5, 31)))
+ SUMPRODUCT(('Form responses 1'!$G$2:$G1000 = A63) * ('Form responses 1'!$A$2:$A1000 &lt;= DATE(2024, 5, 31)))), 2), "-")
</f>
        <v>-</v>
      </c>
      <c r="H63" s="2" t="str">
        <f>IFERROR(ROUND(#REF!/(SUMPRODUCT(('Form responses 1'!$B$2:$B1000 = A63) * ('Form responses 1'!$A$2:$A1000 &lt;= DATE(2024, 6, 30)))
+ SUMPRODUCT(('Form responses 1'!$C$2:$C1000 = A63) * ('Form responses 1'!$A$2:$A1000 &lt;= DATE(2024, 6, 30)))
+ SUMPRODUCT(('Form responses 1'!$D$2:$D1000 = A63) * ('Form responses 1'!$A$2:$A1000 &lt;= DATE(2024, 6, 30)))
+ SUMPRODUCT(('Form responses 1'!$E$2:$E1000 = A63) * ('Form responses 1'!$A$2:$A1000 &lt;= DATE(2024, 6, 30)))
+ SUMPRODUCT(('Form responses 1'!$F$2:$F1000 = A63) * ('Form responses 1'!$A$2:$A1000 &lt;= DATE(2024, 6, 30)))
+ SUMPRODUCT(('Form responses 1'!$G$2:$G1000 = A63) * ('Form responses 1'!$A$2:$A1000 &lt;= DATE(2024, 6, 30)))), 2), "-")
</f>
        <v>-</v>
      </c>
      <c r="I63" s="2" t="str">
        <f>IFERROR(ROUND(#REF!/(SUMPRODUCT(('Form responses 1'!$B$2:$B1000 = A63) * ('Form responses 1'!$A$2:$A1000 &lt;= DATE(2024, 7, 31)))
+ SUMPRODUCT(('Form responses 1'!$C$2:$C1000 = A63) * ('Form responses 1'!$A$2:$A1000 &lt;= DATE(2024, 7, 31)))
+ SUMPRODUCT(('Form responses 1'!$D$2:$D1000 = A63) * ('Form responses 1'!$A$2:$A1000 &lt;= DATE(2024, 7, 31)))
+ SUMPRODUCT(('Form responses 1'!$E$2:$E1000 = A63) * ('Form responses 1'!$A$2:$A1000 &lt;= DATE(2024, 7, 31)))
+ SUMPRODUCT(('Form responses 1'!$F$2:$F1000 = A63) * ('Form responses 1'!$A$2:$A1000 &lt;= DATE(2024, 7, 31)))
+ SUMPRODUCT(('Form responses 1'!$G$2:$G1000 = A63) * ('Form responses 1'!$A$2:$A1000 &lt;= DATE(2024, 7, 31)))), 2), "-")
</f>
        <v>-</v>
      </c>
      <c r="J63" s="2" t="str">
        <f>IFERROR(ROUND(#REF!/(SUMPRODUCT(('Form responses 1'!$B$2:$B1000 = A63) * ('Form responses 1'!$A$2:$A1000 &lt;= DATE(2024, 8, 31)))
+ SUMPRODUCT(('Form responses 1'!$C$2:$C1000 = A63) * ('Form responses 1'!$A$2:$A1000 &lt;= DATE(2024, 8, 31)))
+ SUMPRODUCT(('Form responses 1'!$D$2:$D1000 = A63) * ('Form responses 1'!$A$2:$A1000 &lt;= DATE(2024, 8, 31)))
+ SUMPRODUCT(('Form responses 1'!$E$2:$E1000 = A63) * ('Form responses 1'!$A$2:$A1000 &lt;= DATE(2024, 8, 31)))
+ SUMPRODUCT(('Form responses 1'!$F$2:$F1000 = A63) * ('Form responses 1'!$A$2:$A1000 &lt;= DATE(2024, 8, 31)))
+ SUMPRODUCT(('Form responses 1'!$G$2:$G1000 = A63) * ('Form responses 1'!$A$2:$A1000 &lt;= DATE(2024, 8, 31)))), 2), "-")
</f>
        <v>-</v>
      </c>
      <c r="K63" s="2" t="str">
        <f>IFERROR(ROUND(#REF!/(SUMPRODUCT(('Form responses 1'!$B$2:$B1000 = A63) * ('Form responses 1'!$A$2:$A1000 &lt;= DATE(2024, 9, 30)))
+ SUMPRODUCT(('Form responses 1'!$C$2:$C1000 = A63) * ('Form responses 1'!$A$2:$A1000 &lt;= DATE(2024, 9, 30)))
+ SUMPRODUCT(('Form responses 1'!$D$2:$D1000 = A63) * ('Form responses 1'!$A$2:$A1000 &lt;= DATE(2024, 9, 30)))
+ SUMPRODUCT(('Form responses 1'!$E$2:$E1000 = A63) * ('Form responses 1'!$A$2:$A1000 &lt;= DATE(2024, 9, 30)))
+ SUMPRODUCT(('Form responses 1'!$F$2:$F1000 = A63) * ('Form responses 1'!$A$2:$A1000 &lt;= DATE(2024, 9, 30)))
+ SUMPRODUCT(('Form responses 1'!$G$2:$G1000 = A63) * ('Form responses 1'!$A$2:$A1000 &lt;= DATE(2024, 9, 30)))), 2), "-")
</f>
        <v>-</v>
      </c>
      <c r="L63" s="2" t="str">
        <f>IFERROR(ROUND(#REF!/(SUMPRODUCT(('Form responses 1'!$B$2:$B1000 = A63) * ('Form responses 1'!$A$2:$A1000 &lt;= DATE(2024, 10, 31)))
+ SUMPRODUCT(('Form responses 1'!$C$2:$C1000 = A63) * ('Form responses 1'!$A$2:$A1000 &lt;= DATE(2024, 10, 31)))
+ SUMPRODUCT(('Form responses 1'!$D$2:$D1000 = A63) * ('Form responses 1'!$A$2:$A1000 &lt;= DATE(2024, 10, 31)))
+ SUMPRODUCT(('Form responses 1'!$E$2:$E1000 = A63) * ('Form responses 1'!$A$2:$A1000 &lt;= DATE(2024, 10, 31)))
+ SUMPRODUCT(('Form responses 1'!$F$2:$F1000 = A63) * ('Form responses 1'!$A$2:$A1000 &lt;= DATE(2024, 10, 31)))
+ SUMPRODUCT(('Form responses 1'!$G$2:$G1000 = A63) * ('Form responses 1'!$A$2:$A1000 &lt;= DATE(2024, 10, 31)))), 2), "-")
</f>
        <v>-</v>
      </c>
      <c r="M63" s="2" t="str">
        <f>IFERROR(ROUND(#REF!/(SUMPRODUCT(('Form responses 1'!$B$2:$B1000 = A63) * ('Form responses 1'!$A$2:$A1000 &lt;= DATE(2024, 11, 30)))
+ SUMPRODUCT(('Form responses 1'!$C$2:$C1000 = A63) * ('Form responses 1'!$A$2:$A1000 &lt;= DATE(2024, 11, 30)))
+ SUMPRODUCT(('Form responses 1'!$D$2:$D1000 = A63) * ('Form responses 1'!$A$2:$A1000 &lt;= DATE(2024, 11, 30)))
+ SUMPRODUCT(('Form responses 1'!$E$2:$E1000 = A63) * ('Form responses 1'!$A$2:$A1000 &lt;= DATE(2024, 11, 30)))
+ SUMPRODUCT(('Form responses 1'!$F$2:$F1000 = A63) * ('Form responses 1'!$A$2:$A1000 &lt;= DATE(2024, 11, 30)))
+ SUMPRODUCT(('Form responses 1'!$G$2:$G1000 = A63) * ('Form responses 1'!$A$2:$A1000 &lt;= DATE(2024, 11, 30)))), 2), "-")
</f>
        <v>-</v>
      </c>
      <c r="N63" s="2" t="str">
        <f>IFERROR(ROUND(#REF!/(SUMPRODUCT(('Form responses 1'!$B$2:$B1000 = A63) * ('Form responses 1'!$A$2:$A1000 &lt;= DATE(2024, 12, 31)))
+ SUMPRODUCT(('Form responses 1'!$C$2:$C1000 = A63) * ('Form responses 1'!$A$2:$A1000 &lt;= DATE(2024, 12, 31)))
+ SUMPRODUCT(('Form responses 1'!$D$2:$D1000 = A63) * ('Form responses 1'!$A$2:$A1000 &lt;= DATE(2024, 12, 31)))
+ SUMPRODUCT(('Form responses 1'!$E$2:$E1000 = A63) * ('Form responses 1'!$A$2:$A1000 &lt;= DATE(2024, 12, 31)))
+ SUMPRODUCT(('Form responses 1'!$F$2:$F1000 = A63) * ('Form responses 1'!$A$2:$A1000 &lt;= DATE(2024, 12, 31)))
+ SUMPRODUCT(('Form responses 1'!$G$2:$G1000 = A63) * ('Form responses 1'!$A$2:$A1000 &lt;= DATE(2024, 12, 31)))), 2), "-")
</f>
        <v>-</v>
      </c>
      <c r="O63" s="2" t="str">
        <f>IFERROR(ROUND(#REF!/(SUMPRODUCT(('Form responses 1'!$B$2:$B1000 = A63) * ('Form responses 1'!$A$2:$A1000 &lt;= DATE(2025, 1, 31)))
+ SUMPRODUCT(('Form responses 1'!$C$2:$C1000 = A63) * ('Form responses 1'!$A$2:$A1000 &lt;= DATE(2025, 1, 31)))
+ SUMPRODUCT(('Form responses 1'!$D$2:$D1000 = A63) * ('Form responses 1'!$A$2:$A1000 &lt;= DATE(2025, 1, 31)))
+ SUMPRODUCT(('Form responses 1'!$E$2:$E1000 = A63) * ('Form responses 1'!$A$2:$A1000 &lt;= DATE(2025, 1, 31)))
+ SUMPRODUCT(('Form responses 1'!$F$2:$F1000 = A63) * ('Form responses 1'!$A$2:$A1000 &lt;= DATE(2025, 1, 31)))
+ SUMPRODUCT(('Form responses 1'!$G$2:$G1000 = A63) * ('Form responses 1'!$A$2:$A1000 &lt;= DATE(2025, 1, 31)))), 2), "-")
</f>
        <v>-</v>
      </c>
      <c r="P63" s="2" t="str">
        <f>IFERROR(ROUND(#REF!/(SUMPRODUCT(('Form responses 1'!$B$2:$B1000 = A63) * ('Form responses 1'!$A$2:$A1000 &lt;= DATE(2025, 2, 28)))
+ SUMPRODUCT(('Form responses 1'!$C$2:$C1000 = A63) * ('Form responses 1'!$A$2:$A1000 &lt;= DATE(2025, 2, 28)))
+ SUMPRODUCT(('Form responses 1'!$D$2:$D1000 = A63) * ('Form responses 1'!$A$2:$A1000 &lt;= DATE(2025, 2, 28)))
+ SUMPRODUCT(('Form responses 1'!$E$2:$E1000 = A63) * ('Form responses 1'!$A$2:$A1000 &lt;= DATE(2025, 2, 28)))
+ SUMPRODUCT(('Form responses 1'!$F$2:$F1000 = A63) * ('Form responses 1'!$A$2:$A1000 &lt;= DATE(2025, 2, 28)))
+ SUMPRODUCT(('Form responses 1'!$G$2:$G1000 = A63) * ('Form responses 1'!$A$2:$A1000 &lt;= DATE(2025, 2, 28)))), 2), "-")
</f>
        <v>-</v>
      </c>
      <c r="Q63" s="2" t="str">
        <f>IFERROR(ROUND(#REF!/(SUMPRODUCT(('Form responses 1'!$B$2:$B1000 = A63) * ('Form responses 1'!$A$2:$A1000 &lt;= DATE(2025, 3, 31)))
+ SUMPRODUCT(('Form responses 1'!$C$2:$C1000 = A63) * ('Form responses 1'!$A$2:$A1000 &lt;= DATE(2025, 3, 31)))
+ SUMPRODUCT(('Form responses 1'!$D$2:$D1000 = A63) * ('Form responses 1'!$A$2:$A1000 &lt;= DATE(2025, 3, 31)))
+ SUMPRODUCT(('Form responses 1'!$E$2:$E1000 = A63) * ('Form responses 1'!$A$2:$A1000 &lt;= DATE(2025, 3, 31)))
+ SUMPRODUCT(('Form responses 1'!$F$2:$F1000 = A63) * ('Form responses 1'!$A$2:$A1000 &lt;= DATE(2025, 3, 31)))
+ SUMPRODUCT(('Form responses 1'!$G$2:$G1000 = A63) * ('Form responses 1'!$A$2:$A1000 &lt;= DATE(2025, 3, 31)))),2),"-")</f>
        <v>-</v>
      </c>
      <c r="R63" s="2" t="str">
        <f>IFERROR(ROUND(#REF!/(SUMPRODUCT(('Form responses 1'!$B$2:$B1000 = A63) * ('Form responses 1'!$A$2:$A1000 &lt;= DATE(2025, 4, 30)))
+ SUMPRODUCT(('Form responses 1'!$C$2:$C1000 = A63) * ('Form responses 1'!$A$2:$A1000 &lt;= DATE(2025, 4, 30)))
+ SUMPRODUCT(('Form responses 1'!$D$2:$D1000 = A63) * ('Form responses 1'!$A$2:$A1000 &lt;= DATE(2025, 4, 30)))
+ SUMPRODUCT(('Form responses 1'!$E$2:$E1000 = A63) * ('Form responses 1'!$A$2:$A1000 &lt;= DATE(2025, 4, 30)))
+ SUMPRODUCT(('Form responses 1'!$F$2:$F1000 = A63) * ('Form responses 1'!$A$2:$A1000 &lt;= DATE(2025, 4, 30)))
+ SUMPRODUCT(('Form responses 1'!$G$2:$G1000 = A63) * ('Form responses 1'!$A$2:$A1000 &lt;= DATE(2025, 4, 30)))), 2), "-")
</f>
        <v>-</v>
      </c>
      <c r="S63" s="2" t="str">
        <f>IFERROR(ROUND(#REF!/(SUMPRODUCT(('Form responses 1'!$B$2:$B1000 = A63) * ('Form responses 1'!$A$2:$A1000 &lt;= DATE(2025, 5, 31)))
+ SUMPRODUCT(('Form responses 1'!$C$2:$C1000 = A63) * ('Form responses 1'!$A$2:$A1000 &lt;= DATE(2025, 5, 31)))
+ SUMPRODUCT(('Form responses 1'!$D$2:$D1000 = A63) * ('Form responses 1'!$A$2:$A1000 &lt;= DATE(2025, 5, 31)))
+ SUMPRODUCT(('Form responses 1'!$E$2:$E1000 = A63) * ('Form responses 1'!$A$2:$A1000 &lt;= DATE(2025, 5, 31)))
+ SUMPRODUCT(('Form responses 1'!$F$2:$F1000 = A63) * ('Form responses 1'!$A$2:$A1000 &lt;= DATE(2025, 5, 31)))
+ SUMPRODUCT(('Form responses 1'!$G$2:$G1000 = A63) * ('Form responses 1'!$A$2:$A1000 &lt;= DATE(2025, 5, 31)))), 2), "-")
</f>
        <v>-</v>
      </c>
      <c r="T63" s="2" t="str">
        <f>IFERROR(ROUND(#REF!/(SUMPRODUCT(('Form responses 1'!$B$2:$B1000 = A63) * ('Form responses 1'!$A$2:$A1000 &lt;= DATE(2025, 6, 30)))
+ SUMPRODUCT(('Form responses 1'!$C$2:$C1000 = A63) * ('Form responses 1'!$A$2:$A1000 &lt;= DATE(2025, 6, 30)))
+ SUMPRODUCT(('Form responses 1'!$D$2:$D1000 = A63) * ('Form responses 1'!$A$2:$A1000 &lt;= DATE(2025, 6, 30)))
+ SUMPRODUCT(('Form responses 1'!$E$2:$E1000 = A63) * ('Form responses 1'!$A$2:$A1000 &lt;= DATE(2025, 6, 30)))
+ SUMPRODUCT(('Form responses 1'!$F$2:$F1000 = A63) * ('Form responses 1'!$A$2:$A1000 &lt;= DATE(2025, 6, 30)))
+ SUMPRODUCT(('Form responses 1'!$G$2:$G1000 = A63) * ('Form responses 1'!$A$2:$A1000 &lt;= DATE(2025, 6, 30)))), 2), "-")
</f>
        <v>-</v>
      </c>
      <c r="U63" s="2" t="str">
        <f>IFERROR(ROUND(#REF!/(SUMPRODUCT(('Form responses 1'!$B$2:$B1000 = A63) * ('Form responses 1'!$A$2:$A1000 &lt;= DATE(2025, 7, 31)))
+ SUMPRODUCT(('Form responses 1'!$C$2:$C1000 = A63) * ('Form responses 1'!$A$2:$A1000 &lt;= DATE(2025, 7, 31)))
+ SUMPRODUCT(('Form responses 1'!$D$2:$D1000 = A63) * ('Form responses 1'!$A$2:$A1000 &lt;= DATE(2025, 7, 31)))
+ SUMPRODUCT(('Form responses 1'!$E$2:$E1000 = A63) * ('Form responses 1'!$A$2:$A1000 &lt;= DATE(2025, 7, 31)))
+ SUMPRODUCT(('Form responses 1'!$F$2:$F1000 = A63) * ('Form responses 1'!$A$2:$A1000 &lt;= DATE(2025, 7, 31)))
+ SUMPRODUCT(('Form responses 1'!$G$2:$G1000 = A63) * ('Form responses 1'!$A$2:$A1000 &lt;= DATE(2025, 7, 31)))), 2), "-")
</f>
        <v>-</v>
      </c>
      <c r="V63" s="2" t="str">
        <f>IFERROR(ROUND(#REF!/(SUMPRODUCT(('Form responses 1'!$B$2:$B1000 = A63) * ('Form responses 1'!$A$2:$A1000 &lt;= DATE(2025, 8, 31)))
+ SUMPRODUCT(('Form responses 1'!$C$2:$C1000 = A63) * ('Form responses 1'!$A$2:$A1000 &lt;= DATE(2025, 8, 31)))
+ SUMPRODUCT(('Form responses 1'!$D$2:$D1000 = A63) * ('Form responses 1'!$A$2:$A1000 &lt;= DATE(2025, 8, 31)))
+ SUMPRODUCT(('Form responses 1'!$E$2:$E1000 = A63) * ('Form responses 1'!$A$2:$A1000 &lt;= DATE(2025, 8, 31)))
+ SUMPRODUCT(('Form responses 1'!$F$2:$F1000 = A63) * ('Form responses 1'!$A$2:$A1000 &lt;= DATE(2025, 8, 31)))
+ SUMPRODUCT(('Form responses 1'!$G$2:$G1000 = A63) * ('Form responses 1'!$A$2:$A1000 &lt;= DATE(2025, 8, 31)))), 2), "-")
</f>
        <v>-</v>
      </c>
      <c r="W63" s="2" t="str">
        <f>IFERROR(ROUND(#REF!/(SUMPRODUCT(('Form responses 1'!$B$2:$B1000 = A63) * ('Form responses 1'!$A$2:$A1000 &lt;= DATE(2025, 9, 30)))
+ SUMPRODUCT(('Form responses 1'!$C$2:$C1000 = A63) * ('Form responses 1'!$A$2:$A1000 &lt;= DATE(2025, 9, 30)))
+ SUMPRODUCT(('Form responses 1'!$D$2:$D1000 = A63) * ('Form responses 1'!$A$2:$A1000 &lt;= DATE(2025, 9, 30)))
+ SUMPRODUCT(('Form responses 1'!$E$2:$E1000 = A63) * ('Form responses 1'!$A$2:$A1000 &lt;= DATE(2025, 9, 30)))
+ SUMPRODUCT(('Form responses 1'!$F$2:$F1000 = A63) * ('Form responses 1'!$A$2:$A1000 &lt;= DATE(2025, 9, 30)))
+ SUMPRODUCT(('Form responses 1'!$G$2:$G1000 = A63) * ('Form responses 1'!$A$2:$A1000 &lt;= DATE(2025, 9, 30)))), 2), "-")
</f>
        <v>-</v>
      </c>
      <c r="X63" s="2" t="str">
        <f>IFERROR(ROUND(#REF!/(SUMPRODUCT(('Form responses 1'!$B$2:$B1000 = A63) * ('Form responses 1'!$A$2:$A1000 &lt;= DATE(2025, 10, 31)))
+ SUMPRODUCT(('Form responses 1'!$C$2:$C1000 = A63) * ('Form responses 1'!$A$2:$A1000 &lt;= DATE(2025, 10, 31)))
+ SUMPRODUCT(('Form responses 1'!$D$2:$D1000 = A63) * ('Form responses 1'!$A$2:$A1000 &lt;= DATE(2025, 10, 31)))
+ SUMPRODUCT(('Form responses 1'!$E$2:$E1000 = A63) * ('Form responses 1'!$A$2:$A1000 &lt;= DATE(2025, 10, 31)))
+ SUMPRODUCT(('Form responses 1'!$F$2:$F1000 = A63) * ('Form responses 1'!$A$2:$A1000 &lt;= DATE(2025, 10, 31)))
+ SUMPRODUCT(('Form responses 1'!$G$2:$G1000 = A63) * ('Form responses 1'!$A$2:$A1000 &lt;= DATE(2025, 10, 31)))), 2), "-")
</f>
        <v>-</v>
      </c>
      <c r="Y63" s="2" t="str">
        <f>IFERROR(ROUND(#REF!/(SUMPRODUCT(('Form responses 1'!$B$2:$B1000 = A63) * ('Form responses 1'!$A$2:$A1000 &lt;= DATE(2025, 11, 30)))
+ SUMPRODUCT(('Form responses 1'!$C$2:$C1000 = A63) * ('Form responses 1'!$A$2:$A1000 &lt;= DATE(2025, 11, 30)))
+ SUMPRODUCT(('Form responses 1'!$D$2:$D1000 = A63) * ('Form responses 1'!$A$2:$A1000 &lt;= DATE(2025, 11, 30)))
+ SUMPRODUCT(('Form responses 1'!$E$2:$E1000 = A63) * ('Form responses 1'!$A$2:$A1000 &lt;= DATE(2025, 11, 30)))
+ SUMPRODUCT(('Form responses 1'!$F$2:$F1000 = A63) * ('Form responses 1'!$A$2:$A1000 &lt;= DATE(2025, 11, 30)))
+ SUMPRODUCT(('Form responses 1'!$G$2:$G1000 = A63) * ('Form responses 1'!$A$2:$A1000 &lt;= DATE(2025, 11, 30)))), 2), "-")
</f>
        <v>-</v>
      </c>
      <c r="Z63" s="2" t="str">
        <f>IFERROR(ROUND(#REF!/(SUMPRODUCT(('Form responses 1'!$B$2:$B1000 = A63) * ('Form responses 1'!$A$2:$A1000 &lt;= DATE(2025, 12, 31)))
+ SUMPRODUCT(('Form responses 1'!$C$2:$C1000 = A63) * ('Form responses 1'!$A$2:$A1000 &lt;= DATE(2025, 12, 31)))
+ SUMPRODUCT(('Form responses 1'!$D$2:$D1000 = A63) * ('Form responses 1'!$A$2:$A1000 &lt;= DATE(2025, 12, 31)))
+ SUMPRODUCT(('Form responses 1'!$E$2:$E1000 = A63) * ('Form responses 1'!$A$2:$A1000 &lt;= DATE(2025, 12, 31)))
+ SUMPRODUCT(('Form responses 1'!$F$2:$F1000 = A63) * ('Form responses 1'!$A$2:$A1000 &lt;= DATE(2025, 12, 31)))
+ SUMPRODUCT(('Form responses 1'!$G$2:$G1000 = A63) * ('Form responses 1'!$A$2:$A1000 &lt;= DATE(2025, 12, 31)))), 2), "-")
</f>
        <v>-</v>
      </c>
      <c r="AA63" s="2">
        <f>IFERROR(ROUND(Data!$B63/(
  SUMPRODUCT(('Form responses 1'!$B$2:$B1000=$A63)*('Form responses 1'!$A$2:$A1000&lt;=EOMONTH(DATEVALUE("1 "&amp;AA$1),0)))+
  SUMPRODUCT(('Form responses 1'!$C$2:$C1000=$A63)*('Form responses 1'!$A$2:$A1000&lt;=EOMONTH(DATEVALUE("1 "&amp;AA$1),0)))+
  SUMPRODUCT(('Form responses 1'!$D$2:$D1000=$A63)*('Form responses 1'!$A$2:$A1000&lt;=EOMONTH(DATEVALUE("1 "&amp;AA$1),0)))+
  SUMPRODUCT(('Form responses 1'!$E$2:$E1000=$A63)*('Form responses 1'!$A$2:$A1000&lt;=EOMONTH(DATEVALUE("1 "&amp;AA$1),0)))+
  SUMPRODUCT(('Form responses 1'!$F$2:$F1000=$A63)*('Form responses 1'!$A$2:$A1000&lt;=EOMONTH(DATEVALUE("1 "&amp;AA$1),0)))+
  SUMPRODUCT(('Form responses 1'!$G$2:$G1000=$A63)*('Form responses 1'!$A$2:$A1000&lt;=EOMONTH(DATEVALUE("1 "&amp;AA$1),0)))
),2),"-")</f>
        <v>9.99</v>
      </c>
      <c r="AB63" s="2">
        <f>IFERROR(ROUND(Data!$B63/(
  SUMPRODUCT(('Form responses 1'!$B$2:$B1000=$A63)*('Form responses 1'!$A$2:$A1000&lt;=EOMONTH(DATEVALUE("1 "&amp;AB$1),0)))+
  SUMPRODUCT(('Form responses 1'!$C$2:$C1000=$A63)*('Form responses 1'!$A$2:$A1000&lt;=EOMONTH(DATEVALUE("1 "&amp;AB$1),0)))+
  SUMPRODUCT(('Form responses 1'!$D$2:$D1000=$A63)*('Form responses 1'!$A$2:$A1000&lt;=EOMONTH(DATEVALUE("1 "&amp;AB$1),0)))+
  SUMPRODUCT(('Form responses 1'!$E$2:$E1000=$A63)*('Form responses 1'!$A$2:$A1000&lt;=EOMONTH(DATEVALUE("1 "&amp;AB$1),0)))+
  SUMPRODUCT(('Form responses 1'!$F$2:$F1000=$A63)*('Form responses 1'!$A$2:$A1000&lt;=EOMONTH(DATEVALUE("1 "&amp;AB$1),0)))+
  SUMPRODUCT(('Form responses 1'!$G$2:$G1000=$A63)*('Form responses 1'!$A$2:$A1000&lt;=EOMONTH(DATEVALUE("1 "&amp;AB$1),0)))
),2),"-")</f>
        <v>9.99</v>
      </c>
      <c r="AC63" s="2">
        <f>IFERROR(ROUND(Data!$B63/(
  SUMPRODUCT(('Form responses 1'!$B$2:$B1000=$A63)*('Form responses 1'!$A$2:$A1000&lt;=EOMONTH(DATEVALUE("1 "&amp;AC$1),0)))+
  SUMPRODUCT(('Form responses 1'!$C$2:$C1000=$A63)*('Form responses 1'!$A$2:$A1000&lt;=EOMONTH(DATEVALUE("1 "&amp;AC$1),0)))+
  SUMPRODUCT(('Form responses 1'!$D$2:$D1000=$A63)*('Form responses 1'!$A$2:$A1000&lt;=EOMONTH(DATEVALUE("1 "&amp;AC$1),0)))+
  SUMPRODUCT(('Form responses 1'!$E$2:$E1000=$A63)*('Form responses 1'!$A$2:$A1000&lt;=EOMONTH(DATEVALUE("1 "&amp;AC$1),0)))+
  SUMPRODUCT(('Form responses 1'!$F$2:$F1000=$A63)*('Form responses 1'!$A$2:$A1000&lt;=EOMONTH(DATEVALUE("1 "&amp;AC$1),0)))+
  SUMPRODUCT(('Form responses 1'!$G$2:$G1000=$A63)*('Form responses 1'!$A$2:$A1000&lt;=EOMONTH(DATEVALUE("1 "&amp;AC$1),0)))
),2),"-")</f>
        <v>9.99</v>
      </c>
      <c r="AD63" s="2" t="str">
        <f>IFERROR(ROUND(Data!$B63/(
  SUMPRODUCT(('Form responses 1'!$B$2:$B1000=$A63)*('Form responses 1'!$A$2:$A1000&lt;=EOMONTH(DATEVALUE("1 "&amp;AD$1),0)))+
  SUMPRODUCT(('Form responses 1'!$C$2:$C1000=$A63)*('Form responses 1'!$A$2:$A1000&lt;=EOMONTH(DATEVALUE("1 "&amp;AD$1),0)))+
  SUMPRODUCT(('Form responses 1'!$D$2:$D1000=$A63)*('Form responses 1'!$A$2:$A1000&lt;=EOMONTH(DATEVALUE("1 "&amp;AD$1),0)))+
  SUMPRODUCT(('Form responses 1'!$E$2:$E1000=$A63)*('Form responses 1'!$A$2:$A1000&lt;=EOMONTH(DATEVALUE("1 "&amp;AD$1),0)))+
  SUMPRODUCT(('Form responses 1'!$F$2:$F1000=$A63)*('Form responses 1'!$A$2:$A1000&lt;=EOMONTH(DATEVALUE("1 "&amp;AD$1),0)))+
  SUMPRODUCT(('Form responses 1'!$G$2:$G1000=$A63)*('Form responses 1'!$A$2:$A1000&lt;=EOMONTH(DATEVALUE("1 "&amp;AD$1),0)))
),2),"-")</f>
        <v>-</v>
      </c>
      <c r="AE63" s="2" t="str">
        <f>IFERROR(ROUND(Data!$B63/(
  SUMPRODUCT(('Form responses 1'!$B$2:$B1000=$A63)*('Form responses 1'!$A$2:$A1000&lt;=EOMONTH(DATEVALUE("1 "&amp;AE$1),0)))+
  SUMPRODUCT(('Form responses 1'!$C$2:$C1000=$A63)*('Form responses 1'!$A$2:$A1000&lt;=EOMONTH(DATEVALUE("1 "&amp;AE$1),0)))+
  SUMPRODUCT(('Form responses 1'!$D$2:$D1000=$A63)*('Form responses 1'!$A$2:$A1000&lt;=EOMONTH(DATEVALUE("1 "&amp;AE$1),0)))+
  SUMPRODUCT(('Form responses 1'!$E$2:$E1000=$A63)*('Form responses 1'!$A$2:$A1000&lt;=EOMONTH(DATEVALUE("1 "&amp;AE$1),0)))+
  SUMPRODUCT(('Form responses 1'!$F$2:$F1000=$A63)*('Form responses 1'!$A$2:$A1000&lt;=EOMONTH(DATEVALUE("1 "&amp;AE$1),0)))+
  SUMPRODUCT(('Form responses 1'!$G$2:$G1000=$A63)*('Form responses 1'!$A$2:$A1000&lt;=EOMONTH(DATEVALUE("1 "&amp;AE$1),0)))
),2),"-")</f>
        <v>-</v>
      </c>
      <c r="AF63" s="2" t="str">
        <f>IFERROR(ROUND(Data!$B63/(
  SUMPRODUCT(('Form responses 1'!$B$2:$B1000=$A63)*('Form responses 1'!$A$2:$A1000&lt;=EOMONTH(DATEVALUE("1 "&amp;AF$1),0)))+
  SUMPRODUCT(('Form responses 1'!$C$2:$C1000=$A63)*('Form responses 1'!$A$2:$A1000&lt;=EOMONTH(DATEVALUE("1 "&amp;AF$1),0)))+
  SUMPRODUCT(('Form responses 1'!$D$2:$D1000=$A63)*('Form responses 1'!$A$2:$A1000&lt;=EOMONTH(DATEVALUE("1 "&amp;AF$1),0)))+
  SUMPRODUCT(('Form responses 1'!$E$2:$E1000=$A63)*('Form responses 1'!$A$2:$A1000&lt;=EOMONTH(DATEVALUE("1 "&amp;AF$1),0)))+
  SUMPRODUCT(('Form responses 1'!$F$2:$F1000=$A63)*('Form responses 1'!$A$2:$A1000&lt;=EOMONTH(DATEVALUE("1 "&amp;AF$1),0)))+
  SUMPRODUCT(('Form responses 1'!$G$2:$G1000=$A63)*('Form responses 1'!$A$2:$A1000&lt;=EOMONTH(DATEVALUE("1 "&amp;AF$1),0)))
),2),"-")</f>
        <v>-</v>
      </c>
      <c r="AG63" s="2" t="str">
        <f>IFERROR(ROUND(Data!$B63/(
  SUMPRODUCT(('Form responses 1'!$B$2:$B1000=$A63)*('Form responses 1'!$A$2:$A1000&lt;=EOMONTH(DATEVALUE("1 "&amp;AG$1),0)))+
  SUMPRODUCT(('Form responses 1'!$C$2:$C1000=$A63)*('Form responses 1'!$A$2:$A1000&lt;=EOMONTH(DATEVALUE("1 "&amp;AG$1),0)))+
  SUMPRODUCT(('Form responses 1'!$D$2:$D1000=$A63)*('Form responses 1'!$A$2:$A1000&lt;=EOMONTH(DATEVALUE("1 "&amp;AG$1),0)))+
  SUMPRODUCT(('Form responses 1'!$E$2:$E1000=$A63)*('Form responses 1'!$A$2:$A1000&lt;=EOMONTH(DATEVALUE("1 "&amp;AG$1),0)))+
  SUMPRODUCT(('Form responses 1'!$F$2:$F1000=$A63)*('Form responses 1'!$A$2:$A1000&lt;=EOMONTH(DATEVALUE("1 "&amp;AG$1),0)))+
  SUMPRODUCT(('Form responses 1'!$G$2:$G1000=$A63)*('Form responses 1'!$A$2:$A1000&lt;=EOMONTH(DATEVALUE("1 "&amp;AG$1),0)))
),2),"-")</f>
        <v>-</v>
      </c>
      <c r="AH63" s="2" t="str">
        <f>IFERROR(ROUND(Data!$B63/(
  SUMPRODUCT(('Form responses 1'!$B$2:$B1000=$A63)*('Form responses 1'!$A$2:$A1000&lt;=EOMONTH(DATEVALUE("1 "&amp;AH$1),0)))+
  SUMPRODUCT(('Form responses 1'!$C$2:$C1000=$A63)*('Form responses 1'!$A$2:$A1000&lt;=EOMONTH(DATEVALUE("1 "&amp;AH$1),0)))+
  SUMPRODUCT(('Form responses 1'!$D$2:$D1000=$A63)*('Form responses 1'!$A$2:$A1000&lt;=EOMONTH(DATEVALUE("1 "&amp;AH$1),0)))+
  SUMPRODUCT(('Form responses 1'!$E$2:$E1000=$A63)*('Form responses 1'!$A$2:$A1000&lt;=EOMONTH(DATEVALUE("1 "&amp;AH$1),0)))+
  SUMPRODUCT(('Form responses 1'!$F$2:$F1000=$A63)*('Form responses 1'!$A$2:$A1000&lt;=EOMONTH(DATEVALUE("1 "&amp;AH$1),0)))+
  SUMPRODUCT(('Form responses 1'!$G$2:$G1000=$A63)*('Form responses 1'!$A$2:$A1000&lt;=EOMONTH(DATEVALUE("1 "&amp;AH$1),0)))
),2),"-")</f>
        <v>-</v>
      </c>
      <c r="AI63" s="2" t="str">
        <f>IFERROR(ROUND(Data!$B63/(
  SUMPRODUCT(('Form responses 1'!$B$2:$B1000=$A63)*('Form responses 1'!$A$2:$A1000&lt;=EOMONTH(DATEVALUE("1 "&amp;AI$1),0)))+
  SUMPRODUCT(('Form responses 1'!$C$2:$C1000=$A63)*('Form responses 1'!$A$2:$A1000&lt;=EOMONTH(DATEVALUE("1 "&amp;AI$1),0)))+
  SUMPRODUCT(('Form responses 1'!$D$2:$D1000=$A63)*('Form responses 1'!$A$2:$A1000&lt;=EOMONTH(DATEVALUE("1 "&amp;AI$1),0)))+
  SUMPRODUCT(('Form responses 1'!$E$2:$E1000=$A63)*('Form responses 1'!$A$2:$A1000&lt;=EOMONTH(DATEVALUE("1 "&amp;AI$1),0)))+
  SUMPRODUCT(('Form responses 1'!$F$2:$F1000=$A63)*('Form responses 1'!$A$2:$A1000&lt;=EOMONTH(DATEVALUE("1 "&amp;AI$1),0)))+
  SUMPRODUCT(('Form responses 1'!$G$2:$G1000=$A63)*('Form responses 1'!$A$2:$A1000&lt;=EOMONTH(DATEVALUE("1 "&amp;AI$1),0)))
),2),"-")</f>
        <v>-</v>
      </c>
      <c r="AJ63" s="2" t="str">
        <f>IFERROR(ROUND(Data!$B63/(
  SUMPRODUCT(('Form responses 1'!$B$2:$B1000=$A63)*('Form responses 1'!$A$2:$A1000&lt;=EOMONTH(DATEVALUE("1 "&amp;AJ$1),0)))+
  SUMPRODUCT(('Form responses 1'!$C$2:$C1000=$A63)*('Form responses 1'!$A$2:$A1000&lt;=EOMONTH(DATEVALUE("1 "&amp;AJ$1),0)))+
  SUMPRODUCT(('Form responses 1'!$D$2:$D1000=$A63)*('Form responses 1'!$A$2:$A1000&lt;=EOMONTH(DATEVALUE("1 "&amp;AJ$1),0)))+
  SUMPRODUCT(('Form responses 1'!$E$2:$E1000=$A63)*('Form responses 1'!$A$2:$A1000&lt;=EOMONTH(DATEVALUE("1 "&amp;AJ$1),0)))+
  SUMPRODUCT(('Form responses 1'!$F$2:$F1000=$A63)*('Form responses 1'!$A$2:$A1000&lt;=EOMONTH(DATEVALUE("1 "&amp;AJ$1),0)))+
  SUMPRODUCT(('Form responses 1'!$G$2:$G1000=$A63)*('Form responses 1'!$A$2:$A1000&lt;=EOMONTH(DATEVALUE("1 "&amp;AJ$1),0)))
),2),"-")</f>
        <v>-</v>
      </c>
      <c r="AK63" s="2" t="str">
        <f>IFERROR(ROUND(Data!$B63/(
  SUMPRODUCT(('Form responses 1'!$B$2:$B1000=$A63)*('Form responses 1'!$A$2:$A1000&lt;=EOMONTH(DATEVALUE("1 "&amp;AK$1),0)))+
  SUMPRODUCT(('Form responses 1'!$C$2:$C1000=$A63)*('Form responses 1'!$A$2:$A1000&lt;=EOMONTH(DATEVALUE("1 "&amp;AK$1),0)))+
  SUMPRODUCT(('Form responses 1'!$D$2:$D1000=$A63)*('Form responses 1'!$A$2:$A1000&lt;=EOMONTH(DATEVALUE("1 "&amp;AK$1),0)))+
  SUMPRODUCT(('Form responses 1'!$E$2:$E1000=$A63)*('Form responses 1'!$A$2:$A1000&lt;=EOMONTH(DATEVALUE("1 "&amp;AK$1),0)))+
  SUMPRODUCT(('Form responses 1'!$F$2:$F1000=$A63)*('Form responses 1'!$A$2:$A1000&lt;=EOMONTH(DATEVALUE("1 "&amp;AK$1),0)))+
  SUMPRODUCT(('Form responses 1'!$G$2:$G1000=$A63)*('Form responses 1'!$A$2:$A1000&lt;=EOMONTH(DATEVALUE("1 "&amp;AK$1),0)))
),2),"-")</f>
        <v>-</v>
      </c>
      <c r="AL63" s="2" t="str">
        <f>IFERROR(ROUND(Data!$B63/(
  SUMPRODUCT(('Form responses 1'!$B$2:$B1000=$A63)*('Form responses 1'!$A$2:$A1000&lt;=EOMONTH(DATEVALUE("1 "&amp;AL$1),0)))+
  SUMPRODUCT(('Form responses 1'!$C$2:$C1000=$A63)*('Form responses 1'!$A$2:$A1000&lt;=EOMONTH(DATEVALUE("1 "&amp;AL$1),0)))+
  SUMPRODUCT(('Form responses 1'!$D$2:$D1000=$A63)*('Form responses 1'!$A$2:$A1000&lt;=EOMONTH(DATEVALUE("1 "&amp;AL$1),0)))+
  SUMPRODUCT(('Form responses 1'!$E$2:$E1000=$A63)*('Form responses 1'!$A$2:$A1000&lt;=EOMONTH(DATEVALUE("1 "&amp;AL$1),0)))+
  SUMPRODUCT(('Form responses 1'!$F$2:$F1000=$A63)*('Form responses 1'!$A$2:$A1000&lt;=EOMONTH(DATEVALUE("1 "&amp;AL$1),0)))+
  SUMPRODUCT(('Form responses 1'!$G$2:$G1000=$A63)*('Form responses 1'!$A$2:$A1000&lt;=EOMONTH(DATEVALUE("1 "&amp;AL$1),0)))
),2),"-")</f>
        <v>-</v>
      </c>
    </row>
    <row r="64">
      <c r="A64" s="3" t="str">
        <f>IFERROR(__xludf.DUMMYFUNCTION("""COMPUTED_VALUE"""),"Beige, v-neck, strepen")</f>
        <v>Beige, v-neck, strepen</v>
      </c>
      <c r="B64" s="2">
        <f>Data!F59:F1000</f>
        <v>1.6</v>
      </c>
      <c r="C64" s="2">
        <f>IFERROR(ROUND(Data!B59/(SUMPRODUCT(('Form responses 1'!$B$2:$B1000 = A64) * ('Form responses 1'!$A$2:$A1000 &lt;= DATE(2024, 1, 31)))
+ SUMPRODUCT(('Form responses 1'!$C$2:$C1000 = A64) * ('Form responses 1'!$A$2:$A1000 &lt;= DATE(2024, 1, 31)))
+ SUMPRODUCT(('Form responses 1'!$D$2:$D1000 = A64) * ('Form responses 1'!$A$2:$A1000 &lt;= DATE(2024, 1, 31)))
+ SUMPRODUCT(('Form responses 1'!$E$2:$E1000 = A64) * ('Form responses 1'!$A$2:$A1000 &lt;= DATE(2024, 1, 31)))
+ SUMPRODUCT(('Form responses 1'!$F$2:$F1000 = A64) * ('Form responses 1'!$A$2:$A1000 &lt;= DATE(2024, 1, 31)))
+ SUMPRODUCT(('Form responses 1'!$G$2:$G1000 = A64) * ('Form responses 1'!$A$2:$A1000 &lt;= DATE(2024, 1, 31)))), 2), "-")
</f>
        <v>0.91</v>
      </c>
      <c r="D64" s="2">
        <f>IFERROR(ROUND(Data!B59/(SUMPRODUCT(('Form responses 1'!$B$2:$B1000 = A64) * ('Form responses 1'!$A$2:$A1000 &lt;= DATE(2024, 2, 29)))
+ SUMPRODUCT(('Form responses 1'!$C$2:$C1000 = A64) * ('Form responses 1'!$A$2:$A1000 &lt;= DATE(2024, 2, 29)))
+ SUMPRODUCT(('Form responses 1'!$D$2:$D1000 = A64) * ('Form responses 1'!$A$2:$A1000 &lt;= DATE(2024, 2, 29)))
+ SUMPRODUCT(('Form responses 1'!$E$2:$E1000 = A64) * ('Form responses 1'!$A$2:$A1000 &lt;= DATE(2024, 2, 29)))
+ SUMPRODUCT(('Form responses 1'!$F$2:$F1000 = A64) * ('Form responses 1'!$A$2:$A1000 &lt;= DATE(2024, 2, 29)))
+ SUMPRODUCT(('Form responses 1'!$G$2:$G1000 = A64) * ('Form responses 1'!$A$2:$A1000 &lt;= DATE(2024, 2, 29)))), 2), "-")
</f>
        <v>0.91</v>
      </c>
      <c r="E64" s="2">
        <f>IFERROR(ROUND(Data!B59/(SUMPRODUCT(('Form responses 1'!$B$2:$B1000 = A64) * ('Form responses 1'!$A$2:$A1000 &lt;= DATE(2024, 3, 31)))
+ SUMPRODUCT(('Form responses 1'!$C$2:$C1000 = A64) * ('Form responses 1'!$A$2:$A1000 &lt;= DATE(2024, 3, 31)))
+ SUMPRODUCT(('Form responses 1'!$D$2:$D1000 = A64) * ('Form responses 1'!$A$2:$A1000 &lt;= DATE(2024, 3, 31)))
+ SUMPRODUCT(('Form responses 1'!$E$2:$E1000 = A64) * ('Form responses 1'!$A$2:$A1000 &lt;= DATE(2024, 3, 31)))
+ SUMPRODUCT(('Form responses 1'!$F$2:$F1000 = A64) * ('Form responses 1'!$A$2:$A1000 &lt;= DATE(2024, 3, 31)))
+ SUMPRODUCT(('Form responses 1'!$G$2:$G1000 = A64) * ('Form responses 1'!$A$2:$A1000 &lt;= DATE(2024, 3, 31)))), 2), "-")
</f>
        <v>0.91</v>
      </c>
      <c r="F64" s="2">
        <f>IFERROR(ROUND(Data!B59/(SUMPRODUCT(('Form responses 1'!$B$2:$B1000 = A64) * ('Form responses 1'!$A$2:$A1000 &lt;= DATE(2024, 4, 30)))
+ SUMPRODUCT(('Form responses 1'!$C$2:$C1000 = A64) * ('Form responses 1'!$A$2:$A1000 &lt;= DATE(2024, 4, 30)))
+ SUMPRODUCT(('Form responses 1'!$D$2:$D1000 = A64) * ('Form responses 1'!$A$2:$A1000 &lt;= DATE(2024, 4, 30)))
+ SUMPRODUCT(('Form responses 1'!$E$2:$E1000 = A64) * ('Form responses 1'!$A$2:$A1000 &lt;= DATE(2024, 4, 30)))
+ SUMPRODUCT(('Form responses 1'!$F$2:$F1000 = A64) * ('Form responses 1'!$A$2:$A1000 &lt;= DATE(2024, 4, 30)))
+ SUMPRODUCT(('Form responses 1'!$G$2:$G1000 = A64) * ('Form responses 1'!$A$2:$A1000 &lt;= DATE(2024, 4, 30)))), 2), "-")
</f>
        <v>0.91</v>
      </c>
      <c r="G64" s="2">
        <f>IFERROR(ROUND(Data!B59/(SUMPRODUCT(('Form responses 1'!$B$2:$B1000 = A64) * ('Form responses 1'!$A$2:$A1000 &lt;= DATE(2024, 5, 31)))
+ SUMPRODUCT(('Form responses 1'!$C$2:$C1000 = A64) * ('Form responses 1'!$A$2:$A1000 &lt;= DATE(2024, 5, 31)))
+ SUMPRODUCT(('Form responses 1'!$D$2:$D1000 = A64) * ('Form responses 1'!$A$2:$A1000 &lt;= DATE(2024, 5, 31)))
+ SUMPRODUCT(('Form responses 1'!$E$2:$E1000 = A64) * ('Form responses 1'!$A$2:$A1000 &lt;= DATE(2024, 5, 31)))
+ SUMPRODUCT(('Form responses 1'!$F$2:$F1000 = A64) * ('Form responses 1'!$A$2:$A1000 &lt;= DATE(2024, 5, 31)))
+ SUMPRODUCT(('Form responses 1'!$G$2:$G1000 = A64) * ('Form responses 1'!$A$2:$A1000 &lt;= DATE(2024, 5, 31)))), 2), "-")
</f>
        <v>0.82</v>
      </c>
      <c r="H64" s="2">
        <f>IFERROR(ROUND(Data!B59/(SUMPRODUCT(('Form responses 1'!$B$2:$B1000 = A64) * ('Form responses 1'!$A$2:$A1000 &lt;= DATE(2024, 6, 30)))
+ SUMPRODUCT(('Form responses 1'!$C$2:$C1000 = A64) * ('Form responses 1'!$A$2:$A1000 &lt;= DATE(2024, 6, 30)))
+ SUMPRODUCT(('Form responses 1'!$D$2:$D1000 = A64) * ('Form responses 1'!$A$2:$A1000 &lt;= DATE(2024, 6, 30)))
+ SUMPRODUCT(('Form responses 1'!$E$2:$E1000 = A64) * ('Form responses 1'!$A$2:$A1000 &lt;= DATE(2024, 6, 30)))
+ SUMPRODUCT(('Form responses 1'!$F$2:$F1000 = A64) * ('Form responses 1'!$A$2:$A1000 &lt;= DATE(2024, 6, 30)))
+ SUMPRODUCT(('Form responses 1'!$G$2:$G1000 = A64) * ('Form responses 1'!$A$2:$A1000 &lt;= DATE(2024, 6, 30)))), 2), "-")
</f>
        <v>0.82</v>
      </c>
      <c r="I64" s="2">
        <f>IFERROR(ROUND(Data!B59/(SUMPRODUCT(('Form responses 1'!$B$2:$B1000 = A64) * ('Form responses 1'!$A$2:$A1000 &lt;= DATE(2024, 7, 31)))
+ SUMPRODUCT(('Form responses 1'!$C$2:$C1000 = A64) * ('Form responses 1'!$A$2:$A1000 &lt;= DATE(2024, 7, 31)))
+ SUMPRODUCT(('Form responses 1'!$D$2:$D1000 = A64) * ('Form responses 1'!$A$2:$A1000 &lt;= DATE(2024, 7, 31)))
+ SUMPRODUCT(('Form responses 1'!$E$2:$E1000 = A64) * ('Form responses 1'!$A$2:$A1000 &lt;= DATE(2024, 7, 31)))
+ SUMPRODUCT(('Form responses 1'!$F$2:$F1000 = A64) * ('Form responses 1'!$A$2:$A1000 &lt;= DATE(2024, 7, 31)))
+ SUMPRODUCT(('Form responses 1'!$G$2:$G1000 = A64) * ('Form responses 1'!$A$2:$A1000 &lt;= DATE(2024, 7, 31)))), 2), "-")
</f>
        <v>0.82</v>
      </c>
      <c r="J64" s="2">
        <f>IFERROR(ROUND(Data!B59/(SUMPRODUCT(('Form responses 1'!$B$2:$B1000 = A64) * ('Form responses 1'!$A$2:$A1000 &lt;= DATE(2024, 8, 31)))
+ SUMPRODUCT(('Form responses 1'!$C$2:$C1000 = A64) * ('Form responses 1'!$A$2:$A1000 &lt;= DATE(2024, 8, 31)))
+ SUMPRODUCT(('Form responses 1'!$D$2:$D1000 = A64) * ('Form responses 1'!$A$2:$A1000 &lt;= DATE(2024, 8, 31)))
+ SUMPRODUCT(('Form responses 1'!$E$2:$E1000 = A64) * ('Form responses 1'!$A$2:$A1000 &lt;= DATE(2024, 8, 31)))
+ SUMPRODUCT(('Form responses 1'!$F$2:$F1000 = A64) * ('Form responses 1'!$A$2:$A1000 &lt;= DATE(2024, 8, 31)))
+ SUMPRODUCT(('Form responses 1'!$G$2:$G1000 = A64) * ('Form responses 1'!$A$2:$A1000 &lt;= DATE(2024, 8, 31)))), 2), "-")
</f>
        <v>0.78</v>
      </c>
      <c r="K64" s="2">
        <f>IFERROR(ROUND(Data!B59/(SUMPRODUCT(('Form responses 1'!$B$2:$B1000 = A64) * ('Form responses 1'!$A$2:$A1000 &lt;= DATE(2024, 9, 30)))
+ SUMPRODUCT(('Form responses 1'!$C$2:$C1000 = A64) * ('Form responses 1'!$A$2:$A1000 &lt;= DATE(2024, 9, 30)))
+ SUMPRODUCT(('Form responses 1'!$D$2:$D1000 = A64) * ('Form responses 1'!$A$2:$A1000 &lt;= DATE(2024, 9, 30)))
+ SUMPRODUCT(('Form responses 1'!$E$2:$E1000 = A64) * ('Form responses 1'!$A$2:$A1000 &lt;= DATE(2024, 9, 30)))
+ SUMPRODUCT(('Form responses 1'!$F$2:$F1000 = A64) * ('Form responses 1'!$A$2:$A1000 &lt;= DATE(2024, 9, 30)))
+ SUMPRODUCT(('Form responses 1'!$G$2:$G1000 = A64) * ('Form responses 1'!$A$2:$A1000 &lt;= DATE(2024, 9, 30)))), 2), "-")
</f>
        <v>0.78</v>
      </c>
      <c r="L64" s="2">
        <f>IFERROR(ROUND(Data!B59/(SUMPRODUCT(('Form responses 1'!$B$2:$B1000 = A64) * ('Form responses 1'!$A$2:$A1000 &lt;= DATE(2024, 10, 31)))
+ SUMPRODUCT(('Form responses 1'!$C$2:$C1000 = A64) * ('Form responses 1'!$A$2:$A1000 &lt;= DATE(2024, 10, 31)))
+ SUMPRODUCT(('Form responses 1'!$D$2:$D1000 = A64) * ('Form responses 1'!$A$2:$A1000 &lt;= DATE(2024, 10, 31)))
+ SUMPRODUCT(('Form responses 1'!$E$2:$E1000 = A64) * ('Form responses 1'!$A$2:$A1000 &lt;= DATE(2024, 10, 31)))
+ SUMPRODUCT(('Form responses 1'!$F$2:$F1000 = A64) * ('Form responses 1'!$A$2:$A1000 &lt;= DATE(2024, 10, 31)))
+ SUMPRODUCT(('Form responses 1'!$G$2:$G1000 = A64) * ('Form responses 1'!$A$2:$A1000 &lt;= DATE(2024, 10, 31)))), 2), "-")
</f>
        <v>0.78</v>
      </c>
      <c r="M64" s="2">
        <f>IFERROR(ROUND(Data!B59/(SUMPRODUCT(('Form responses 1'!$B$2:$B1000 = A64) * ('Form responses 1'!$A$2:$A1000 &lt;= DATE(2024, 11, 30)))
+ SUMPRODUCT(('Form responses 1'!$C$2:$C1000 = A64) * ('Form responses 1'!$A$2:$A1000 &lt;= DATE(2024, 11, 30)))
+ SUMPRODUCT(('Form responses 1'!$D$2:$D1000 = A64) * ('Form responses 1'!$A$2:$A1000 &lt;= DATE(2024, 11, 30)))
+ SUMPRODUCT(('Form responses 1'!$E$2:$E1000 = A64) * ('Form responses 1'!$A$2:$A1000 &lt;= DATE(2024, 11, 30)))
+ SUMPRODUCT(('Form responses 1'!$F$2:$F1000 = A64) * ('Form responses 1'!$A$2:$A1000 &lt;= DATE(2024, 11, 30)))
+ SUMPRODUCT(('Form responses 1'!$G$2:$G1000 = A64) * ('Form responses 1'!$A$2:$A1000 &lt;= DATE(2024, 11, 30)))), 2), "-")
</f>
        <v>0.78</v>
      </c>
      <c r="N64" s="2">
        <f>IFERROR(ROUND(Data!B59/(SUMPRODUCT(('Form responses 1'!$B$2:$B1000 = A64) * ('Form responses 1'!$A$2:$A1000 &lt;= DATE(2024, 12, 31)))
+ SUMPRODUCT(('Form responses 1'!$C$2:$C1000 = A64) * ('Form responses 1'!$A$2:$A1000 &lt;= DATE(2024, 12, 31)))
+ SUMPRODUCT(('Form responses 1'!$D$2:$D1000 = A64) * ('Form responses 1'!$A$2:$A1000 &lt;= DATE(2024, 12, 31)))
+ SUMPRODUCT(('Form responses 1'!$E$2:$E1000 = A64) * ('Form responses 1'!$A$2:$A1000 &lt;= DATE(2024, 12, 31)))
+ SUMPRODUCT(('Form responses 1'!$F$2:$F1000 = A64) * ('Form responses 1'!$A$2:$A1000 &lt;= DATE(2024, 12, 31)))
+ SUMPRODUCT(('Form responses 1'!$G$2:$G1000 = A64) * ('Form responses 1'!$A$2:$A1000 &lt;= DATE(2024, 12, 31)))), 2), "-")
</f>
        <v>0.78</v>
      </c>
      <c r="O64" s="2">
        <f>IFERROR(ROUND(Data!B59/(SUMPRODUCT(('Form responses 1'!$B$2:$B1000 = A64) * ('Form responses 1'!$A$2:$A1000 &lt;= DATE(2025, 1, 31)))
+ SUMPRODUCT(('Form responses 1'!$C$2:$C1000 = A64) * ('Form responses 1'!$A$2:$A1000 &lt;= DATE(2025, 1, 31)))
+ SUMPRODUCT(('Form responses 1'!$D$2:$D1000 = A64) * ('Form responses 1'!$A$2:$A1000 &lt;= DATE(2025, 1, 31)))
+ SUMPRODUCT(('Form responses 1'!$E$2:$E1000 = A64) * ('Form responses 1'!$A$2:$A1000 &lt;= DATE(2025, 1, 31)))
+ SUMPRODUCT(('Form responses 1'!$F$2:$F1000 = A64) * ('Form responses 1'!$A$2:$A1000 &lt;= DATE(2025, 1, 31)))
+ SUMPRODUCT(('Form responses 1'!$G$2:$G1000 = A64) * ('Form responses 1'!$A$2:$A1000 &lt;= DATE(2025, 1, 31)))), 2), "-")
</f>
        <v>0.78</v>
      </c>
      <c r="P64" s="2">
        <f>IFERROR(ROUND(Data!B59/(SUMPRODUCT(('Form responses 1'!$B$2:$B1000 = A64) * ('Form responses 1'!$A$2:$A1000 &lt;= DATE(2025, 2, 28)))
+ SUMPRODUCT(('Form responses 1'!$C$2:$C1000 = A64) * ('Form responses 1'!$A$2:$A1000 &lt;= DATE(2025, 2, 28)))
+ SUMPRODUCT(('Form responses 1'!$D$2:$D1000 = A64) * ('Form responses 1'!$A$2:$A1000 &lt;= DATE(2025, 2, 28)))
+ SUMPRODUCT(('Form responses 1'!$E$2:$E1000 = A64) * ('Form responses 1'!$A$2:$A1000 &lt;= DATE(2025, 2, 28)))
+ SUMPRODUCT(('Form responses 1'!$F$2:$F1000 = A64) * ('Form responses 1'!$A$2:$A1000 &lt;= DATE(2025, 2, 28)))
+ SUMPRODUCT(('Form responses 1'!$G$2:$G1000 = A64) * ('Form responses 1'!$A$2:$A1000 &lt;= DATE(2025, 2, 28)))), 2), "-")
</f>
        <v>0.78</v>
      </c>
      <c r="Q64" s="2">
        <f>IFERROR(ROUND(Data!B59/(SUMPRODUCT(('Form responses 1'!$B$2:$B1000 = A64) * ('Form responses 1'!$A$2:$A1000 &lt;= DATE(2025, 3, 31)))
+ SUMPRODUCT(('Form responses 1'!$C$2:$C1000 = A64) * ('Form responses 1'!$A$2:$A1000 &lt;= DATE(2025, 3, 31)))
+ SUMPRODUCT(('Form responses 1'!$D$2:$D1000 = A64) * ('Form responses 1'!$A$2:$A1000 &lt;= DATE(2025, 3, 31)))
+ SUMPRODUCT(('Form responses 1'!$E$2:$E1000 = A64) * ('Form responses 1'!$A$2:$A1000 &lt;= DATE(2025, 3, 31)))
+ SUMPRODUCT(('Form responses 1'!$F$2:$F1000 = A64) * ('Form responses 1'!$A$2:$A1000 &lt;= DATE(2025, 3, 31)))
+ SUMPRODUCT(('Form responses 1'!$G$2:$G1000 = A64) * ('Form responses 1'!$A$2:$A1000 &lt;= DATE(2025, 3, 31)))),2),"-")</f>
        <v>0.78</v>
      </c>
      <c r="R64" s="2">
        <f>IFERROR(ROUND(Data!B59/(SUMPRODUCT(('Form responses 1'!$B$2:$B1000 = A64) * ('Form responses 1'!$A$2:$A1000 &lt;= DATE(2025, 4, 30)))
+ SUMPRODUCT(('Form responses 1'!$C$2:$C1000 = A64) * ('Form responses 1'!$A$2:$A1000 &lt;= DATE(2025, 4, 30)))
+ SUMPRODUCT(('Form responses 1'!$D$2:$D1000 = A64) * ('Form responses 1'!$A$2:$A1000 &lt;= DATE(2025, 4, 30)))
+ SUMPRODUCT(('Form responses 1'!$E$2:$E1000 = A64) * ('Form responses 1'!$A$2:$A1000 &lt;= DATE(2025, 4, 30)))
+ SUMPRODUCT(('Form responses 1'!$F$2:$F1000 = A64) * ('Form responses 1'!$A$2:$A1000 &lt;= DATE(2025, 4, 30)))
+ SUMPRODUCT(('Form responses 1'!$G$2:$G1000 = A64) * ('Form responses 1'!$A$2:$A1000 &lt;= DATE(2025, 4, 30)))), 2), "-")
</f>
        <v>0.78</v>
      </c>
      <c r="S64" s="2">
        <f>IFERROR(ROUND(Data!B59/(SUMPRODUCT(('Form responses 1'!$B$2:$B1000 = A64) * ('Form responses 1'!$A$2:$A1000 &lt;= DATE(2025, 5, 31)))
+ SUMPRODUCT(('Form responses 1'!$C$2:$C1000 = A64) * ('Form responses 1'!$A$2:$A1000 &lt;= DATE(2025, 5, 31)))
+ SUMPRODUCT(('Form responses 1'!$D$2:$D1000 = A64) * ('Form responses 1'!$A$2:$A1000 &lt;= DATE(2025, 5, 31)))
+ SUMPRODUCT(('Form responses 1'!$E$2:$E1000 = A64) * ('Form responses 1'!$A$2:$A1000 &lt;= DATE(2025, 5, 31)))
+ SUMPRODUCT(('Form responses 1'!$F$2:$F1000 = A64) * ('Form responses 1'!$A$2:$A1000 &lt;= DATE(2025, 5, 31)))
+ SUMPRODUCT(('Form responses 1'!$G$2:$G1000 = A64) * ('Form responses 1'!$A$2:$A1000 &lt;= DATE(2025, 5, 31)))), 2), "-")
</f>
        <v>0.78</v>
      </c>
      <c r="T64" s="2">
        <f>IFERROR(ROUND(Data!B59/(SUMPRODUCT(('Form responses 1'!$B$2:$B1000 = A64) * ('Form responses 1'!$A$2:$A1000 &lt;= DATE(2025, 6, 30)))
+ SUMPRODUCT(('Form responses 1'!$C$2:$C1000 = A64) * ('Form responses 1'!$A$2:$A1000 &lt;= DATE(2025, 6, 30)))
+ SUMPRODUCT(('Form responses 1'!$D$2:$D1000 = A64) * ('Form responses 1'!$A$2:$A1000 &lt;= DATE(2025, 6, 30)))
+ SUMPRODUCT(('Form responses 1'!$E$2:$E1000 = A64) * ('Form responses 1'!$A$2:$A1000 &lt;= DATE(2025, 6, 30)))
+ SUMPRODUCT(('Form responses 1'!$F$2:$F1000 = A64) * ('Form responses 1'!$A$2:$A1000 &lt;= DATE(2025, 6, 30)))
+ SUMPRODUCT(('Form responses 1'!$G$2:$G1000 = A64) * ('Form responses 1'!$A$2:$A1000 &lt;= DATE(2025, 6, 30)))), 2), "-")
</f>
        <v>0.78</v>
      </c>
      <c r="U64" s="2">
        <f>IFERROR(ROUND(Data!B59/(SUMPRODUCT(('Form responses 1'!$B$2:$B1000 = A64) * ('Form responses 1'!$A$2:$A1000 &lt;= DATE(2025, 7, 31)))
+ SUMPRODUCT(('Form responses 1'!$C$2:$C1000 = A64) * ('Form responses 1'!$A$2:$A1000 &lt;= DATE(2025, 7, 31)))
+ SUMPRODUCT(('Form responses 1'!$D$2:$D1000 = A64) * ('Form responses 1'!$A$2:$A1000 &lt;= DATE(2025, 7, 31)))
+ SUMPRODUCT(('Form responses 1'!$E$2:$E1000 = A64) * ('Form responses 1'!$A$2:$A1000 &lt;= DATE(2025, 7, 31)))
+ SUMPRODUCT(('Form responses 1'!$F$2:$F1000 = A64) * ('Form responses 1'!$A$2:$A1000 &lt;= DATE(2025, 7, 31)))
+ SUMPRODUCT(('Form responses 1'!$G$2:$G1000 = A64) * ('Form responses 1'!$A$2:$A1000 &lt;= DATE(2025, 7, 31)))), 2), "-")
</f>
        <v>0.78</v>
      </c>
      <c r="V64" s="2">
        <f>IFERROR(ROUND(Data!B59/(SUMPRODUCT(('Form responses 1'!$B$2:$B1000 = A64) * ('Form responses 1'!$A$2:$A1000 &lt;= DATE(2025, 8, 31)))
+ SUMPRODUCT(('Form responses 1'!$C$2:$C1000 = A64) * ('Form responses 1'!$A$2:$A1000 &lt;= DATE(2025, 8, 31)))
+ SUMPRODUCT(('Form responses 1'!$D$2:$D1000 = A64) * ('Form responses 1'!$A$2:$A1000 &lt;= DATE(2025, 8, 31)))
+ SUMPRODUCT(('Form responses 1'!$E$2:$E1000 = A64) * ('Form responses 1'!$A$2:$A1000 &lt;= DATE(2025, 8, 31)))
+ SUMPRODUCT(('Form responses 1'!$F$2:$F1000 = A64) * ('Form responses 1'!$A$2:$A1000 &lt;= DATE(2025, 8, 31)))
+ SUMPRODUCT(('Form responses 1'!$G$2:$G1000 = A64) * ('Form responses 1'!$A$2:$A1000 &lt;= DATE(2025, 8, 31)))), 2), "-")
</f>
        <v>0.78</v>
      </c>
      <c r="W64" s="2">
        <f>IFERROR(ROUND(Data!B59/(SUMPRODUCT(('Form responses 1'!$B$2:$B1000 = A64) * ('Form responses 1'!$A$2:$A1000 &lt;= DATE(2025, 9, 30)))
+ SUMPRODUCT(('Form responses 1'!$C$2:$C1000 = A64) * ('Form responses 1'!$A$2:$A1000 &lt;= DATE(2025, 9, 30)))
+ SUMPRODUCT(('Form responses 1'!$D$2:$D1000 = A64) * ('Form responses 1'!$A$2:$A1000 &lt;= DATE(2025, 9, 30)))
+ SUMPRODUCT(('Form responses 1'!$E$2:$E1000 = A64) * ('Form responses 1'!$A$2:$A1000 &lt;= DATE(2025, 9, 30)))
+ SUMPRODUCT(('Form responses 1'!$F$2:$F1000 = A64) * ('Form responses 1'!$A$2:$A1000 &lt;= DATE(2025, 9, 30)))
+ SUMPRODUCT(('Form responses 1'!$G$2:$G1000 = A64) * ('Form responses 1'!$A$2:$A1000 &lt;= DATE(2025, 9, 30)))), 2), "-")
</f>
        <v>0.78</v>
      </c>
      <c r="X64" s="2">
        <f>IFERROR(ROUND(Data!B59/(SUMPRODUCT(('Form responses 1'!$B$2:$B1000 = A64) * ('Form responses 1'!$A$2:$A1000 &lt;= DATE(2025, 10, 31)))
+ SUMPRODUCT(('Form responses 1'!$C$2:$C1000 = A64) * ('Form responses 1'!$A$2:$A1000 &lt;= DATE(2025, 10, 31)))
+ SUMPRODUCT(('Form responses 1'!$D$2:$D1000 = A64) * ('Form responses 1'!$A$2:$A1000 &lt;= DATE(2025, 10, 31)))
+ SUMPRODUCT(('Form responses 1'!$E$2:$E1000 = A64) * ('Form responses 1'!$A$2:$A1000 &lt;= DATE(2025, 10, 31)))
+ SUMPRODUCT(('Form responses 1'!$F$2:$F1000 = A64) * ('Form responses 1'!$A$2:$A1000 &lt;= DATE(2025, 10, 31)))
+ SUMPRODUCT(('Form responses 1'!$G$2:$G1000 = A64) * ('Form responses 1'!$A$2:$A1000 &lt;= DATE(2025, 10, 31)))), 2), "-")
</f>
        <v>0.78</v>
      </c>
      <c r="Y64" s="2">
        <f>IFERROR(ROUND(Data!B59/(SUMPRODUCT(('Form responses 1'!$B$2:$B1000 = A64) * ('Form responses 1'!$A$2:$A1000 &lt;= DATE(2025, 11, 30)))
+ SUMPRODUCT(('Form responses 1'!$C$2:$C1000 = A64) * ('Form responses 1'!$A$2:$A1000 &lt;= DATE(2025, 11, 30)))
+ SUMPRODUCT(('Form responses 1'!$D$2:$D1000 = A64) * ('Form responses 1'!$A$2:$A1000 &lt;= DATE(2025, 11, 30)))
+ SUMPRODUCT(('Form responses 1'!$E$2:$E1000 = A64) * ('Form responses 1'!$A$2:$A1000 &lt;= DATE(2025, 11, 30)))
+ SUMPRODUCT(('Form responses 1'!$F$2:$F1000 = A64) * ('Form responses 1'!$A$2:$A1000 &lt;= DATE(2025, 11, 30)))
+ SUMPRODUCT(('Form responses 1'!$G$2:$G1000 = A64) * ('Form responses 1'!$A$2:$A1000 &lt;= DATE(2025, 11, 30)))), 2), "-")
</f>
        <v>0.78</v>
      </c>
      <c r="Z64" s="2">
        <f>IFERROR(ROUND(Data!B59/(SUMPRODUCT(('Form responses 1'!$B$2:$B1000 = A64) * ('Form responses 1'!$A$2:$A1000 &lt;= DATE(2025, 12, 31)))
+ SUMPRODUCT(('Form responses 1'!$C$2:$C1000 = A64) * ('Form responses 1'!$A$2:$A1000 &lt;= DATE(2025, 12, 31)))
+ SUMPRODUCT(('Form responses 1'!$D$2:$D1000 = A64) * ('Form responses 1'!$A$2:$A1000 &lt;= DATE(2025, 12, 31)))
+ SUMPRODUCT(('Form responses 1'!$E$2:$E1000 = A64) * ('Form responses 1'!$A$2:$A1000 &lt;= DATE(2025, 12, 31)))
+ SUMPRODUCT(('Form responses 1'!$F$2:$F1000 = A64) * ('Form responses 1'!$A$2:$A1000 &lt;= DATE(2025, 12, 31)))
+ SUMPRODUCT(('Form responses 1'!$G$2:$G1000 = A64) * ('Form responses 1'!$A$2:$A1000 &lt;= DATE(2025, 12, 31)))), 2), "-")
</f>
        <v>0.78</v>
      </c>
      <c r="AA64" s="2">
        <f>IFERROR(ROUND(Data!$B64/(
  SUMPRODUCT(('Form responses 1'!$B$2:$B1000=$A64)*('Form responses 1'!$A$2:$A1000&lt;=EOMONTH(DATEVALUE("1 "&amp;AA$1),0)))+
  SUMPRODUCT(('Form responses 1'!$C$2:$C1000=$A64)*('Form responses 1'!$A$2:$A1000&lt;=EOMONTH(DATEVALUE("1 "&amp;AA$1),0)))+
  SUMPRODUCT(('Form responses 1'!$D$2:$D1000=$A64)*('Form responses 1'!$A$2:$A1000&lt;=EOMONTH(DATEVALUE("1 "&amp;AA$1),0)))+
  SUMPRODUCT(('Form responses 1'!$E$2:$E1000=$A64)*('Form responses 1'!$A$2:$A1000&lt;=EOMONTH(DATEVALUE("1 "&amp;AA$1),0)))+
  SUMPRODUCT(('Form responses 1'!$F$2:$F1000=$A64)*('Form responses 1'!$A$2:$A1000&lt;=EOMONTH(DATEVALUE("1 "&amp;AA$1),0)))+
  SUMPRODUCT(('Form responses 1'!$G$2:$G1000=$A64)*('Form responses 1'!$A$2:$A1000&lt;=EOMONTH(DATEVALUE("1 "&amp;AA$1),0)))
),2),"-")</f>
        <v>2</v>
      </c>
      <c r="AB64" s="2">
        <f>IFERROR(ROUND(Data!$B64/(
  SUMPRODUCT(('Form responses 1'!$B$2:$B1000=$A64)*('Form responses 1'!$A$2:$A1000&lt;=EOMONTH(DATEVALUE("1 "&amp;AB$1),0)))+
  SUMPRODUCT(('Form responses 1'!$C$2:$C1000=$A64)*('Form responses 1'!$A$2:$A1000&lt;=EOMONTH(DATEVALUE("1 "&amp;AB$1),0)))+
  SUMPRODUCT(('Form responses 1'!$D$2:$D1000=$A64)*('Form responses 1'!$A$2:$A1000&lt;=EOMONTH(DATEVALUE("1 "&amp;AB$1),0)))+
  SUMPRODUCT(('Form responses 1'!$E$2:$E1000=$A64)*('Form responses 1'!$A$2:$A1000&lt;=EOMONTH(DATEVALUE("1 "&amp;AB$1),0)))+
  SUMPRODUCT(('Form responses 1'!$F$2:$F1000=$A64)*('Form responses 1'!$A$2:$A1000&lt;=EOMONTH(DATEVALUE("1 "&amp;AB$1),0)))+
  SUMPRODUCT(('Form responses 1'!$G$2:$G1000=$A64)*('Form responses 1'!$A$2:$A1000&lt;=EOMONTH(DATEVALUE("1 "&amp;AB$1),0)))
),2),"-")</f>
        <v>2</v>
      </c>
      <c r="AC64" s="2">
        <f>IFERROR(ROUND(Data!$B64/(
  SUMPRODUCT(('Form responses 1'!$B$2:$B1000=$A64)*('Form responses 1'!$A$2:$A1000&lt;=EOMONTH(DATEVALUE("1 "&amp;AC$1),0)))+
  SUMPRODUCT(('Form responses 1'!$C$2:$C1000=$A64)*('Form responses 1'!$A$2:$A1000&lt;=EOMONTH(DATEVALUE("1 "&amp;AC$1),0)))+
  SUMPRODUCT(('Form responses 1'!$D$2:$D1000=$A64)*('Form responses 1'!$A$2:$A1000&lt;=EOMONTH(DATEVALUE("1 "&amp;AC$1),0)))+
  SUMPRODUCT(('Form responses 1'!$E$2:$E1000=$A64)*('Form responses 1'!$A$2:$A1000&lt;=EOMONTH(DATEVALUE("1 "&amp;AC$1),0)))+
  SUMPRODUCT(('Form responses 1'!$F$2:$F1000=$A64)*('Form responses 1'!$A$2:$A1000&lt;=EOMONTH(DATEVALUE("1 "&amp;AC$1),0)))+
  SUMPRODUCT(('Form responses 1'!$G$2:$G1000=$A64)*('Form responses 1'!$A$2:$A1000&lt;=EOMONTH(DATEVALUE("1 "&amp;AC$1),0)))
),2),"-")</f>
        <v>2</v>
      </c>
      <c r="AD64" s="2" t="str">
        <f>IFERROR(ROUND(Data!$B64/(
  SUMPRODUCT(('Form responses 1'!$B$2:$B1000=$A64)*('Form responses 1'!$A$2:$A1000&lt;=EOMONTH(DATEVALUE("1 "&amp;AD$1),0)))+
  SUMPRODUCT(('Form responses 1'!$C$2:$C1000=$A64)*('Form responses 1'!$A$2:$A1000&lt;=EOMONTH(DATEVALUE("1 "&amp;AD$1),0)))+
  SUMPRODUCT(('Form responses 1'!$D$2:$D1000=$A64)*('Form responses 1'!$A$2:$A1000&lt;=EOMONTH(DATEVALUE("1 "&amp;AD$1),0)))+
  SUMPRODUCT(('Form responses 1'!$E$2:$E1000=$A64)*('Form responses 1'!$A$2:$A1000&lt;=EOMONTH(DATEVALUE("1 "&amp;AD$1),0)))+
  SUMPRODUCT(('Form responses 1'!$F$2:$F1000=$A64)*('Form responses 1'!$A$2:$A1000&lt;=EOMONTH(DATEVALUE("1 "&amp;AD$1),0)))+
  SUMPRODUCT(('Form responses 1'!$G$2:$G1000=$A64)*('Form responses 1'!$A$2:$A1000&lt;=EOMONTH(DATEVALUE("1 "&amp;AD$1),0)))
),2),"-")</f>
        <v>-</v>
      </c>
      <c r="AE64" s="2" t="str">
        <f>IFERROR(ROUND(Data!$B64/(
  SUMPRODUCT(('Form responses 1'!$B$2:$B1000=$A64)*('Form responses 1'!$A$2:$A1000&lt;=EOMONTH(DATEVALUE("1 "&amp;AE$1),0)))+
  SUMPRODUCT(('Form responses 1'!$C$2:$C1000=$A64)*('Form responses 1'!$A$2:$A1000&lt;=EOMONTH(DATEVALUE("1 "&amp;AE$1),0)))+
  SUMPRODUCT(('Form responses 1'!$D$2:$D1000=$A64)*('Form responses 1'!$A$2:$A1000&lt;=EOMONTH(DATEVALUE("1 "&amp;AE$1),0)))+
  SUMPRODUCT(('Form responses 1'!$E$2:$E1000=$A64)*('Form responses 1'!$A$2:$A1000&lt;=EOMONTH(DATEVALUE("1 "&amp;AE$1),0)))+
  SUMPRODUCT(('Form responses 1'!$F$2:$F1000=$A64)*('Form responses 1'!$A$2:$A1000&lt;=EOMONTH(DATEVALUE("1 "&amp;AE$1),0)))+
  SUMPRODUCT(('Form responses 1'!$G$2:$G1000=$A64)*('Form responses 1'!$A$2:$A1000&lt;=EOMONTH(DATEVALUE("1 "&amp;AE$1),0)))
),2),"-")</f>
        <v>-</v>
      </c>
      <c r="AF64" s="2" t="str">
        <f>IFERROR(ROUND(Data!$B64/(
  SUMPRODUCT(('Form responses 1'!$B$2:$B1000=$A64)*('Form responses 1'!$A$2:$A1000&lt;=EOMONTH(DATEVALUE("1 "&amp;AF$1),0)))+
  SUMPRODUCT(('Form responses 1'!$C$2:$C1000=$A64)*('Form responses 1'!$A$2:$A1000&lt;=EOMONTH(DATEVALUE("1 "&amp;AF$1),0)))+
  SUMPRODUCT(('Form responses 1'!$D$2:$D1000=$A64)*('Form responses 1'!$A$2:$A1000&lt;=EOMONTH(DATEVALUE("1 "&amp;AF$1),0)))+
  SUMPRODUCT(('Form responses 1'!$E$2:$E1000=$A64)*('Form responses 1'!$A$2:$A1000&lt;=EOMONTH(DATEVALUE("1 "&amp;AF$1),0)))+
  SUMPRODUCT(('Form responses 1'!$F$2:$F1000=$A64)*('Form responses 1'!$A$2:$A1000&lt;=EOMONTH(DATEVALUE("1 "&amp;AF$1),0)))+
  SUMPRODUCT(('Form responses 1'!$G$2:$G1000=$A64)*('Form responses 1'!$A$2:$A1000&lt;=EOMONTH(DATEVALUE("1 "&amp;AF$1),0)))
),2),"-")</f>
        <v>-</v>
      </c>
      <c r="AG64" s="2" t="str">
        <f>IFERROR(ROUND(Data!$B64/(
  SUMPRODUCT(('Form responses 1'!$B$2:$B1000=$A64)*('Form responses 1'!$A$2:$A1000&lt;=EOMONTH(DATEVALUE("1 "&amp;AG$1),0)))+
  SUMPRODUCT(('Form responses 1'!$C$2:$C1000=$A64)*('Form responses 1'!$A$2:$A1000&lt;=EOMONTH(DATEVALUE("1 "&amp;AG$1),0)))+
  SUMPRODUCT(('Form responses 1'!$D$2:$D1000=$A64)*('Form responses 1'!$A$2:$A1000&lt;=EOMONTH(DATEVALUE("1 "&amp;AG$1),0)))+
  SUMPRODUCT(('Form responses 1'!$E$2:$E1000=$A64)*('Form responses 1'!$A$2:$A1000&lt;=EOMONTH(DATEVALUE("1 "&amp;AG$1),0)))+
  SUMPRODUCT(('Form responses 1'!$F$2:$F1000=$A64)*('Form responses 1'!$A$2:$A1000&lt;=EOMONTH(DATEVALUE("1 "&amp;AG$1),0)))+
  SUMPRODUCT(('Form responses 1'!$G$2:$G1000=$A64)*('Form responses 1'!$A$2:$A1000&lt;=EOMONTH(DATEVALUE("1 "&amp;AG$1),0)))
),2),"-")</f>
        <v>-</v>
      </c>
      <c r="AH64" s="2" t="str">
        <f>IFERROR(ROUND(Data!$B64/(
  SUMPRODUCT(('Form responses 1'!$B$2:$B1000=$A64)*('Form responses 1'!$A$2:$A1000&lt;=EOMONTH(DATEVALUE("1 "&amp;AH$1),0)))+
  SUMPRODUCT(('Form responses 1'!$C$2:$C1000=$A64)*('Form responses 1'!$A$2:$A1000&lt;=EOMONTH(DATEVALUE("1 "&amp;AH$1),0)))+
  SUMPRODUCT(('Form responses 1'!$D$2:$D1000=$A64)*('Form responses 1'!$A$2:$A1000&lt;=EOMONTH(DATEVALUE("1 "&amp;AH$1),0)))+
  SUMPRODUCT(('Form responses 1'!$E$2:$E1000=$A64)*('Form responses 1'!$A$2:$A1000&lt;=EOMONTH(DATEVALUE("1 "&amp;AH$1),0)))+
  SUMPRODUCT(('Form responses 1'!$F$2:$F1000=$A64)*('Form responses 1'!$A$2:$A1000&lt;=EOMONTH(DATEVALUE("1 "&amp;AH$1),0)))+
  SUMPRODUCT(('Form responses 1'!$G$2:$G1000=$A64)*('Form responses 1'!$A$2:$A1000&lt;=EOMONTH(DATEVALUE("1 "&amp;AH$1),0)))
),2),"-")</f>
        <v>-</v>
      </c>
      <c r="AI64" s="2" t="str">
        <f>IFERROR(ROUND(Data!$B64/(
  SUMPRODUCT(('Form responses 1'!$B$2:$B1000=$A64)*('Form responses 1'!$A$2:$A1000&lt;=EOMONTH(DATEVALUE("1 "&amp;AI$1),0)))+
  SUMPRODUCT(('Form responses 1'!$C$2:$C1000=$A64)*('Form responses 1'!$A$2:$A1000&lt;=EOMONTH(DATEVALUE("1 "&amp;AI$1),0)))+
  SUMPRODUCT(('Form responses 1'!$D$2:$D1000=$A64)*('Form responses 1'!$A$2:$A1000&lt;=EOMONTH(DATEVALUE("1 "&amp;AI$1),0)))+
  SUMPRODUCT(('Form responses 1'!$E$2:$E1000=$A64)*('Form responses 1'!$A$2:$A1000&lt;=EOMONTH(DATEVALUE("1 "&amp;AI$1),0)))+
  SUMPRODUCT(('Form responses 1'!$F$2:$F1000=$A64)*('Form responses 1'!$A$2:$A1000&lt;=EOMONTH(DATEVALUE("1 "&amp;AI$1),0)))+
  SUMPRODUCT(('Form responses 1'!$G$2:$G1000=$A64)*('Form responses 1'!$A$2:$A1000&lt;=EOMONTH(DATEVALUE("1 "&amp;AI$1),0)))
),2),"-")</f>
        <v>-</v>
      </c>
      <c r="AJ64" s="2" t="str">
        <f>IFERROR(ROUND(Data!$B64/(
  SUMPRODUCT(('Form responses 1'!$B$2:$B1000=$A64)*('Form responses 1'!$A$2:$A1000&lt;=EOMONTH(DATEVALUE("1 "&amp;AJ$1),0)))+
  SUMPRODUCT(('Form responses 1'!$C$2:$C1000=$A64)*('Form responses 1'!$A$2:$A1000&lt;=EOMONTH(DATEVALUE("1 "&amp;AJ$1),0)))+
  SUMPRODUCT(('Form responses 1'!$D$2:$D1000=$A64)*('Form responses 1'!$A$2:$A1000&lt;=EOMONTH(DATEVALUE("1 "&amp;AJ$1),0)))+
  SUMPRODUCT(('Form responses 1'!$E$2:$E1000=$A64)*('Form responses 1'!$A$2:$A1000&lt;=EOMONTH(DATEVALUE("1 "&amp;AJ$1),0)))+
  SUMPRODUCT(('Form responses 1'!$F$2:$F1000=$A64)*('Form responses 1'!$A$2:$A1000&lt;=EOMONTH(DATEVALUE("1 "&amp;AJ$1),0)))+
  SUMPRODUCT(('Form responses 1'!$G$2:$G1000=$A64)*('Form responses 1'!$A$2:$A1000&lt;=EOMONTH(DATEVALUE("1 "&amp;AJ$1),0)))
),2),"-")</f>
        <v>-</v>
      </c>
      <c r="AK64" s="2" t="str">
        <f>IFERROR(ROUND(Data!$B64/(
  SUMPRODUCT(('Form responses 1'!$B$2:$B1000=$A64)*('Form responses 1'!$A$2:$A1000&lt;=EOMONTH(DATEVALUE("1 "&amp;AK$1),0)))+
  SUMPRODUCT(('Form responses 1'!$C$2:$C1000=$A64)*('Form responses 1'!$A$2:$A1000&lt;=EOMONTH(DATEVALUE("1 "&amp;AK$1),0)))+
  SUMPRODUCT(('Form responses 1'!$D$2:$D1000=$A64)*('Form responses 1'!$A$2:$A1000&lt;=EOMONTH(DATEVALUE("1 "&amp;AK$1),0)))+
  SUMPRODUCT(('Form responses 1'!$E$2:$E1000=$A64)*('Form responses 1'!$A$2:$A1000&lt;=EOMONTH(DATEVALUE("1 "&amp;AK$1),0)))+
  SUMPRODUCT(('Form responses 1'!$F$2:$F1000=$A64)*('Form responses 1'!$A$2:$A1000&lt;=EOMONTH(DATEVALUE("1 "&amp;AK$1),0)))+
  SUMPRODUCT(('Form responses 1'!$G$2:$G1000=$A64)*('Form responses 1'!$A$2:$A1000&lt;=EOMONTH(DATEVALUE("1 "&amp;AK$1),0)))
),2),"-")</f>
        <v>-</v>
      </c>
      <c r="AL64" s="2" t="str">
        <f>IFERROR(ROUND(Data!$B64/(
  SUMPRODUCT(('Form responses 1'!$B$2:$B1000=$A64)*('Form responses 1'!$A$2:$A1000&lt;=EOMONTH(DATEVALUE("1 "&amp;AL$1),0)))+
  SUMPRODUCT(('Form responses 1'!$C$2:$C1000=$A64)*('Form responses 1'!$A$2:$A1000&lt;=EOMONTH(DATEVALUE("1 "&amp;AL$1),0)))+
  SUMPRODUCT(('Form responses 1'!$D$2:$D1000=$A64)*('Form responses 1'!$A$2:$A1000&lt;=EOMONTH(DATEVALUE("1 "&amp;AL$1),0)))+
  SUMPRODUCT(('Form responses 1'!$E$2:$E1000=$A64)*('Form responses 1'!$A$2:$A1000&lt;=EOMONTH(DATEVALUE("1 "&amp;AL$1),0)))+
  SUMPRODUCT(('Form responses 1'!$F$2:$F1000=$A64)*('Form responses 1'!$A$2:$A1000&lt;=EOMONTH(DATEVALUE("1 "&amp;AL$1),0)))+
  SUMPRODUCT(('Form responses 1'!$G$2:$G1000=$A64)*('Form responses 1'!$A$2:$A1000&lt;=EOMONTH(DATEVALUE("1 "&amp;AL$1),0)))
),2),"-")</f>
        <v>-</v>
      </c>
    </row>
    <row r="65">
      <c r="A65" s="3" t="str">
        <f>IFERROR(__xludf.DUMMYFUNCTION("""COMPUTED_VALUE"""),"Witte blouse doorzichtig")</f>
        <v>Witte blouse doorzichtig</v>
      </c>
      <c r="B65" s="2">
        <f>Data!F60:F1000</f>
        <v>1.03</v>
      </c>
      <c r="C65" s="2">
        <f>IFERROR(ROUND(Data!B60/(SUMPRODUCT(('Form responses 1'!$B$2:$B1000 = A65) * ('Form responses 1'!$A$2:$A1000 &lt;= DATE(2024, 1, 31)))
+ SUMPRODUCT(('Form responses 1'!$C$2:$C1000 = A65) * ('Form responses 1'!$A$2:$A1000 &lt;= DATE(2024, 1, 31)))
+ SUMPRODUCT(('Form responses 1'!$D$2:$D1000 = A65) * ('Form responses 1'!$A$2:$A1000 &lt;= DATE(2024, 1, 31)))
+ SUMPRODUCT(('Form responses 1'!$E$2:$E1000 = A65) * ('Form responses 1'!$A$2:$A1000 &lt;= DATE(2024, 1, 31)))
+ SUMPRODUCT(('Form responses 1'!$F$2:$F1000 = A65) * ('Form responses 1'!$A$2:$A1000 &lt;= DATE(2024, 1, 31)))
+ SUMPRODUCT(('Form responses 1'!$G$2:$G1000 = A65) * ('Form responses 1'!$A$2:$A1000 &lt;= DATE(2024, 1, 31)))), 2), "-")
</f>
        <v>1.36</v>
      </c>
      <c r="D65" s="2">
        <f>IFERROR(ROUND(Data!B60/(SUMPRODUCT(('Form responses 1'!$B$2:$B1000 = A65) * ('Form responses 1'!$A$2:$A1000 &lt;= DATE(2024, 2, 29)))
+ SUMPRODUCT(('Form responses 1'!$C$2:$C1000 = A65) * ('Form responses 1'!$A$2:$A1000 &lt;= DATE(2024, 2, 29)))
+ SUMPRODUCT(('Form responses 1'!$D$2:$D1000 = A65) * ('Form responses 1'!$A$2:$A1000 &lt;= DATE(2024, 2, 29)))
+ SUMPRODUCT(('Form responses 1'!$E$2:$E1000 = A65) * ('Form responses 1'!$A$2:$A1000 &lt;= DATE(2024, 2, 29)))
+ SUMPRODUCT(('Form responses 1'!$F$2:$F1000 = A65) * ('Form responses 1'!$A$2:$A1000 &lt;= DATE(2024, 2, 29)))
+ SUMPRODUCT(('Form responses 1'!$G$2:$G1000 = A65) * ('Form responses 1'!$A$2:$A1000 &lt;= DATE(2024, 2, 29)))), 2), "-")
</f>
        <v>1.25</v>
      </c>
      <c r="E65" s="2">
        <f>IFERROR(ROUND(Data!B60/(SUMPRODUCT(('Form responses 1'!$B$2:$B1000 = A65) * ('Form responses 1'!$A$2:$A1000 &lt;= DATE(2024, 3, 31)))
+ SUMPRODUCT(('Form responses 1'!$C$2:$C1000 = A65) * ('Form responses 1'!$A$2:$A1000 &lt;= DATE(2024, 3, 31)))
+ SUMPRODUCT(('Form responses 1'!$D$2:$D1000 = A65) * ('Form responses 1'!$A$2:$A1000 &lt;= DATE(2024, 3, 31)))
+ SUMPRODUCT(('Form responses 1'!$E$2:$E1000 = A65) * ('Form responses 1'!$A$2:$A1000 &lt;= DATE(2024, 3, 31)))
+ SUMPRODUCT(('Form responses 1'!$F$2:$F1000 = A65) * ('Form responses 1'!$A$2:$A1000 &lt;= DATE(2024, 3, 31)))
+ SUMPRODUCT(('Form responses 1'!$G$2:$G1000 = A65) * ('Form responses 1'!$A$2:$A1000 &lt;= DATE(2024, 3, 31)))), 2), "-")
</f>
        <v>1.25</v>
      </c>
      <c r="F65" s="2">
        <f>IFERROR(ROUND(Data!B60/(SUMPRODUCT(('Form responses 1'!$B$2:$B1000 = A65) * ('Form responses 1'!$A$2:$A1000 &lt;= DATE(2024, 4, 30)))
+ SUMPRODUCT(('Form responses 1'!$C$2:$C1000 = A65) * ('Form responses 1'!$A$2:$A1000 &lt;= DATE(2024, 4, 30)))
+ SUMPRODUCT(('Form responses 1'!$D$2:$D1000 = A65) * ('Form responses 1'!$A$2:$A1000 &lt;= DATE(2024, 4, 30)))
+ SUMPRODUCT(('Form responses 1'!$E$2:$E1000 = A65) * ('Form responses 1'!$A$2:$A1000 &lt;= DATE(2024, 4, 30)))
+ SUMPRODUCT(('Form responses 1'!$F$2:$F1000 = A65) * ('Form responses 1'!$A$2:$A1000 &lt;= DATE(2024, 4, 30)))
+ SUMPRODUCT(('Form responses 1'!$G$2:$G1000 = A65) * ('Form responses 1'!$A$2:$A1000 &lt;= DATE(2024, 4, 30)))), 2), "-")
</f>
        <v>1.25</v>
      </c>
      <c r="G65" s="2">
        <f>IFERROR(ROUND(Data!B60/(SUMPRODUCT(('Form responses 1'!$B$2:$B1000 = A65) * ('Form responses 1'!$A$2:$A1000 &lt;= DATE(2024, 5, 31)))
+ SUMPRODUCT(('Form responses 1'!$C$2:$C1000 = A65) * ('Form responses 1'!$A$2:$A1000 &lt;= DATE(2024, 5, 31)))
+ SUMPRODUCT(('Form responses 1'!$D$2:$D1000 = A65) * ('Form responses 1'!$A$2:$A1000 &lt;= DATE(2024, 5, 31)))
+ SUMPRODUCT(('Form responses 1'!$E$2:$E1000 = A65) * ('Form responses 1'!$A$2:$A1000 &lt;= DATE(2024, 5, 31)))
+ SUMPRODUCT(('Form responses 1'!$F$2:$F1000 = A65) * ('Form responses 1'!$A$2:$A1000 &lt;= DATE(2024, 5, 31)))
+ SUMPRODUCT(('Form responses 1'!$G$2:$G1000 = A65) * ('Form responses 1'!$A$2:$A1000 &lt;= DATE(2024, 5, 31)))), 2), "-")
</f>
        <v>1.25</v>
      </c>
      <c r="H65" s="2">
        <f>IFERROR(ROUND(Data!B60/(SUMPRODUCT(('Form responses 1'!$B$2:$B1000 = A65) * ('Form responses 1'!$A$2:$A1000 &lt;= DATE(2024, 6, 30)))
+ SUMPRODUCT(('Form responses 1'!$C$2:$C1000 = A65) * ('Form responses 1'!$A$2:$A1000 &lt;= DATE(2024, 6, 30)))
+ SUMPRODUCT(('Form responses 1'!$D$2:$D1000 = A65) * ('Form responses 1'!$A$2:$A1000 &lt;= DATE(2024, 6, 30)))
+ SUMPRODUCT(('Form responses 1'!$E$2:$E1000 = A65) * ('Form responses 1'!$A$2:$A1000 &lt;= DATE(2024, 6, 30)))
+ SUMPRODUCT(('Form responses 1'!$F$2:$F1000 = A65) * ('Form responses 1'!$A$2:$A1000 &lt;= DATE(2024, 6, 30)))
+ SUMPRODUCT(('Form responses 1'!$G$2:$G1000 = A65) * ('Form responses 1'!$A$2:$A1000 &lt;= DATE(2024, 6, 30)))), 2), "-")
</f>
        <v>1.25</v>
      </c>
      <c r="I65" s="2">
        <f>IFERROR(ROUND(Data!B60/(SUMPRODUCT(('Form responses 1'!$B$2:$B1000 = A65) * ('Form responses 1'!$A$2:$A1000 &lt;= DATE(2024, 7, 31)))
+ SUMPRODUCT(('Form responses 1'!$C$2:$C1000 = A65) * ('Form responses 1'!$A$2:$A1000 &lt;= DATE(2024, 7, 31)))
+ SUMPRODUCT(('Form responses 1'!$D$2:$D1000 = A65) * ('Form responses 1'!$A$2:$A1000 &lt;= DATE(2024, 7, 31)))
+ SUMPRODUCT(('Form responses 1'!$E$2:$E1000 = A65) * ('Form responses 1'!$A$2:$A1000 &lt;= DATE(2024, 7, 31)))
+ SUMPRODUCT(('Form responses 1'!$F$2:$F1000 = A65) * ('Form responses 1'!$A$2:$A1000 &lt;= DATE(2024, 7, 31)))
+ SUMPRODUCT(('Form responses 1'!$G$2:$G1000 = A65) * ('Form responses 1'!$A$2:$A1000 &lt;= DATE(2024, 7, 31)))), 2), "-")
</f>
        <v>1.25</v>
      </c>
      <c r="J65" s="2">
        <f>IFERROR(ROUND(Data!B60/(SUMPRODUCT(('Form responses 1'!$B$2:$B1000 = A65) * ('Form responses 1'!$A$2:$A1000 &lt;= DATE(2024, 8, 31)))
+ SUMPRODUCT(('Form responses 1'!$C$2:$C1000 = A65) * ('Form responses 1'!$A$2:$A1000 &lt;= DATE(2024, 8, 31)))
+ SUMPRODUCT(('Form responses 1'!$D$2:$D1000 = A65) * ('Form responses 1'!$A$2:$A1000 &lt;= DATE(2024, 8, 31)))
+ SUMPRODUCT(('Form responses 1'!$E$2:$E1000 = A65) * ('Form responses 1'!$A$2:$A1000 &lt;= DATE(2024, 8, 31)))
+ SUMPRODUCT(('Form responses 1'!$F$2:$F1000 = A65) * ('Form responses 1'!$A$2:$A1000 &lt;= DATE(2024, 8, 31)))
+ SUMPRODUCT(('Form responses 1'!$G$2:$G1000 = A65) * ('Form responses 1'!$A$2:$A1000 &lt;= DATE(2024, 8, 31)))), 2), "-")
</f>
        <v>1.25</v>
      </c>
      <c r="K65" s="2">
        <f>IFERROR(ROUND(Data!B60/(SUMPRODUCT(('Form responses 1'!$B$2:$B1000 = A65) * ('Form responses 1'!$A$2:$A1000 &lt;= DATE(2024, 9, 30)))
+ SUMPRODUCT(('Form responses 1'!$C$2:$C1000 = A65) * ('Form responses 1'!$A$2:$A1000 &lt;= DATE(2024, 9, 30)))
+ SUMPRODUCT(('Form responses 1'!$D$2:$D1000 = A65) * ('Form responses 1'!$A$2:$A1000 &lt;= DATE(2024, 9, 30)))
+ SUMPRODUCT(('Form responses 1'!$E$2:$E1000 = A65) * ('Form responses 1'!$A$2:$A1000 &lt;= DATE(2024, 9, 30)))
+ SUMPRODUCT(('Form responses 1'!$F$2:$F1000 = A65) * ('Form responses 1'!$A$2:$A1000 &lt;= DATE(2024, 9, 30)))
+ SUMPRODUCT(('Form responses 1'!$G$2:$G1000 = A65) * ('Form responses 1'!$A$2:$A1000 &lt;= DATE(2024, 9, 30)))), 2), "-")
</f>
        <v>1.25</v>
      </c>
      <c r="L65" s="2">
        <f>IFERROR(ROUND(Data!B60/(SUMPRODUCT(('Form responses 1'!$B$2:$B1000 = A65) * ('Form responses 1'!$A$2:$A1000 &lt;= DATE(2024, 10, 31)))
+ SUMPRODUCT(('Form responses 1'!$C$2:$C1000 = A65) * ('Form responses 1'!$A$2:$A1000 &lt;= DATE(2024, 10, 31)))
+ SUMPRODUCT(('Form responses 1'!$D$2:$D1000 = A65) * ('Form responses 1'!$A$2:$A1000 &lt;= DATE(2024, 10, 31)))
+ SUMPRODUCT(('Form responses 1'!$E$2:$E1000 = A65) * ('Form responses 1'!$A$2:$A1000 &lt;= DATE(2024, 10, 31)))
+ SUMPRODUCT(('Form responses 1'!$F$2:$F1000 = A65) * ('Form responses 1'!$A$2:$A1000 &lt;= DATE(2024, 10, 31)))
+ SUMPRODUCT(('Form responses 1'!$G$2:$G1000 = A65) * ('Form responses 1'!$A$2:$A1000 &lt;= DATE(2024, 10, 31)))), 2), "-")
</f>
        <v>1.25</v>
      </c>
      <c r="M65" s="2">
        <f>IFERROR(ROUND(Data!B60/(SUMPRODUCT(('Form responses 1'!$B$2:$B1000 = A65) * ('Form responses 1'!$A$2:$A1000 &lt;= DATE(2024, 11, 30)))
+ SUMPRODUCT(('Form responses 1'!$C$2:$C1000 = A65) * ('Form responses 1'!$A$2:$A1000 &lt;= DATE(2024, 11, 30)))
+ SUMPRODUCT(('Form responses 1'!$D$2:$D1000 = A65) * ('Form responses 1'!$A$2:$A1000 &lt;= DATE(2024, 11, 30)))
+ SUMPRODUCT(('Form responses 1'!$E$2:$E1000 = A65) * ('Form responses 1'!$A$2:$A1000 &lt;= DATE(2024, 11, 30)))
+ SUMPRODUCT(('Form responses 1'!$F$2:$F1000 = A65) * ('Form responses 1'!$A$2:$A1000 &lt;= DATE(2024, 11, 30)))
+ SUMPRODUCT(('Form responses 1'!$G$2:$G1000 = A65) * ('Form responses 1'!$A$2:$A1000 &lt;= DATE(2024, 11, 30)))), 2), "-")
</f>
        <v>1.25</v>
      </c>
      <c r="N65" s="2">
        <f>IFERROR(ROUND(Data!B60/(SUMPRODUCT(('Form responses 1'!$B$2:$B1000 = A65) * ('Form responses 1'!$A$2:$A1000 &lt;= DATE(2024, 12, 31)))
+ SUMPRODUCT(('Form responses 1'!$C$2:$C1000 = A65) * ('Form responses 1'!$A$2:$A1000 &lt;= DATE(2024, 12, 31)))
+ SUMPRODUCT(('Form responses 1'!$D$2:$D1000 = A65) * ('Form responses 1'!$A$2:$A1000 &lt;= DATE(2024, 12, 31)))
+ SUMPRODUCT(('Form responses 1'!$E$2:$E1000 = A65) * ('Form responses 1'!$A$2:$A1000 &lt;= DATE(2024, 12, 31)))
+ SUMPRODUCT(('Form responses 1'!$F$2:$F1000 = A65) * ('Form responses 1'!$A$2:$A1000 &lt;= DATE(2024, 12, 31)))
+ SUMPRODUCT(('Form responses 1'!$G$2:$G1000 = A65) * ('Form responses 1'!$A$2:$A1000 &lt;= DATE(2024, 12, 31)))), 2), "-")
</f>
        <v>1.2</v>
      </c>
      <c r="O65" s="2">
        <f>IFERROR(ROUND(Data!B60/(SUMPRODUCT(('Form responses 1'!$B$2:$B1000 = A65) * ('Form responses 1'!$A$2:$A1000 &lt;= DATE(2025, 1, 31)))
+ SUMPRODUCT(('Form responses 1'!$C$2:$C1000 = A65) * ('Form responses 1'!$A$2:$A1000 &lt;= DATE(2025, 1, 31)))
+ SUMPRODUCT(('Form responses 1'!$D$2:$D1000 = A65) * ('Form responses 1'!$A$2:$A1000 &lt;= DATE(2025, 1, 31)))
+ SUMPRODUCT(('Form responses 1'!$E$2:$E1000 = A65) * ('Form responses 1'!$A$2:$A1000 &lt;= DATE(2025, 1, 31)))
+ SUMPRODUCT(('Form responses 1'!$F$2:$F1000 = A65) * ('Form responses 1'!$A$2:$A1000 &lt;= DATE(2025, 1, 31)))
+ SUMPRODUCT(('Form responses 1'!$G$2:$G1000 = A65) * ('Form responses 1'!$A$2:$A1000 &lt;= DATE(2025, 1, 31)))), 2), "-")
</f>
        <v>1.15</v>
      </c>
      <c r="P65" s="2">
        <f>IFERROR(ROUND(Data!B60/(SUMPRODUCT(('Form responses 1'!$B$2:$B1000 = A65) * ('Form responses 1'!$A$2:$A1000 &lt;= DATE(2025, 2, 28)))
+ SUMPRODUCT(('Form responses 1'!$C$2:$C1000 = A65) * ('Form responses 1'!$A$2:$A1000 &lt;= DATE(2025, 2, 28)))
+ SUMPRODUCT(('Form responses 1'!$D$2:$D1000 = A65) * ('Form responses 1'!$A$2:$A1000 &lt;= DATE(2025, 2, 28)))
+ SUMPRODUCT(('Form responses 1'!$E$2:$E1000 = A65) * ('Form responses 1'!$A$2:$A1000 &lt;= DATE(2025, 2, 28)))
+ SUMPRODUCT(('Form responses 1'!$F$2:$F1000 = A65) * ('Form responses 1'!$A$2:$A1000 &lt;= DATE(2025, 2, 28)))
+ SUMPRODUCT(('Form responses 1'!$G$2:$G1000 = A65) * ('Form responses 1'!$A$2:$A1000 &lt;= DATE(2025, 2, 28)))), 2), "-")
</f>
        <v>1.15</v>
      </c>
      <c r="Q65" s="2">
        <f>IFERROR(ROUND(Data!B60/(SUMPRODUCT(('Form responses 1'!$B$2:$B1000 = A65) * ('Form responses 1'!$A$2:$A1000 &lt;= DATE(2025, 3, 31)))
+ SUMPRODUCT(('Form responses 1'!$C$2:$C1000 = A65) * ('Form responses 1'!$A$2:$A1000 &lt;= DATE(2025, 3, 31)))
+ SUMPRODUCT(('Form responses 1'!$D$2:$D1000 = A65) * ('Form responses 1'!$A$2:$A1000 &lt;= DATE(2025, 3, 31)))
+ SUMPRODUCT(('Form responses 1'!$E$2:$E1000 = A65) * ('Form responses 1'!$A$2:$A1000 &lt;= DATE(2025, 3, 31)))
+ SUMPRODUCT(('Form responses 1'!$F$2:$F1000 = A65) * ('Form responses 1'!$A$2:$A1000 &lt;= DATE(2025, 3, 31)))
+ SUMPRODUCT(('Form responses 1'!$G$2:$G1000 = A65) * ('Form responses 1'!$A$2:$A1000 &lt;= DATE(2025, 3, 31)))),2),"-")</f>
        <v>1.15</v>
      </c>
      <c r="R65" s="2">
        <f>IFERROR(ROUND(Data!B60/(SUMPRODUCT(('Form responses 1'!$B$2:$B1000 = A65) * ('Form responses 1'!$A$2:$A1000 &lt;= DATE(2025, 4, 30)))
+ SUMPRODUCT(('Form responses 1'!$C$2:$C1000 = A65) * ('Form responses 1'!$A$2:$A1000 &lt;= DATE(2025, 4, 30)))
+ SUMPRODUCT(('Form responses 1'!$D$2:$D1000 = A65) * ('Form responses 1'!$A$2:$A1000 &lt;= DATE(2025, 4, 30)))
+ SUMPRODUCT(('Form responses 1'!$E$2:$E1000 = A65) * ('Form responses 1'!$A$2:$A1000 &lt;= DATE(2025, 4, 30)))
+ SUMPRODUCT(('Form responses 1'!$F$2:$F1000 = A65) * ('Form responses 1'!$A$2:$A1000 &lt;= DATE(2025, 4, 30)))
+ SUMPRODUCT(('Form responses 1'!$G$2:$G1000 = A65) * ('Form responses 1'!$A$2:$A1000 &lt;= DATE(2025, 4, 30)))), 2), "-")
</f>
        <v>1.15</v>
      </c>
      <c r="S65" s="2">
        <f>IFERROR(ROUND(Data!B60/(SUMPRODUCT(('Form responses 1'!$B$2:$B1000 = A65) * ('Form responses 1'!$A$2:$A1000 &lt;= DATE(2025, 5, 31)))
+ SUMPRODUCT(('Form responses 1'!$C$2:$C1000 = A65) * ('Form responses 1'!$A$2:$A1000 &lt;= DATE(2025, 5, 31)))
+ SUMPRODUCT(('Form responses 1'!$D$2:$D1000 = A65) * ('Form responses 1'!$A$2:$A1000 &lt;= DATE(2025, 5, 31)))
+ SUMPRODUCT(('Form responses 1'!$E$2:$E1000 = A65) * ('Form responses 1'!$A$2:$A1000 &lt;= DATE(2025, 5, 31)))
+ SUMPRODUCT(('Form responses 1'!$F$2:$F1000 = A65) * ('Form responses 1'!$A$2:$A1000 &lt;= DATE(2025, 5, 31)))
+ SUMPRODUCT(('Form responses 1'!$G$2:$G1000 = A65) * ('Form responses 1'!$A$2:$A1000 &lt;= DATE(2025, 5, 31)))), 2), "-")
</f>
        <v>1.15</v>
      </c>
      <c r="T65" s="2">
        <f>IFERROR(ROUND(Data!B60/(SUMPRODUCT(('Form responses 1'!$B$2:$B1000 = A65) * ('Form responses 1'!$A$2:$A1000 &lt;= DATE(2025, 6, 30)))
+ SUMPRODUCT(('Form responses 1'!$C$2:$C1000 = A65) * ('Form responses 1'!$A$2:$A1000 &lt;= DATE(2025, 6, 30)))
+ SUMPRODUCT(('Form responses 1'!$D$2:$D1000 = A65) * ('Form responses 1'!$A$2:$A1000 &lt;= DATE(2025, 6, 30)))
+ SUMPRODUCT(('Form responses 1'!$E$2:$E1000 = A65) * ('Form responses 1'!$A$2:$A1000 &lt;= DATE(2025, 6, 30)))
+ SUMPRODUCT(('Form responses 1'!$F$2:$F1000 = A65) * ('Form responses 1'!$A$2:$A1000 &lt;= DATE(2025, 6, 30)))
+ SUMPRODUCT(('Form responses 1'!$G$2:$G1000 = A65) * ('Form responses 1'!$A$2:$A1000 &lt;= DATE(2025, 6, 30)))), 2), "-")
</f>
        <v>1.15</v>
      </c>
      <c r="U65" s="2">
        <f>IFERROR(ROUND(Data!B60/(SUMPRODUCT(('Form responses 1'!$B$2:$B1000 = A65) * ('Form responses 1'!$A$2:$A1000 &lt;= DATE(2025, 7, 31)))
+ SUMPRODUCT(('Form responses 1'!$C$2:$C1000 = A65) * ('Form responses 1'!$A$2:$A1000 &lt;= DATE(2025, 7, 31)))
+ SUMPRODUCT(('Form responses 1'!$D$2:$D1000 = A65) * ('Form responses 1'!$A$2:$A1000 &lt;= DATE(2025, 7, 31)))
+ SUMPRODUCT(('Form responses 1'!$E$2:$E1000 = A65) * ('Form responses 1'!$A$2:$A1000 &lt;= DATE(2025, 7, 31)))
+ SUMPRODUCT(('Form responses 1'!$F$2:$F1000 = A65) * ('Form responses 1'!$A$2:$A1000 &lt;= DATE(2025, 7, 31)))
+ SUMPRODUCT(('Form responses 1'!$G$2:$G1000 = A65) * ('Form responses 1'!$A$2:$A1000 &lt;= DATE(2025, 7, 31)))), 2), "-")
</f>
        <v>1.15</v>
      </c>
      <c r="V65" s="2">
        <f>IFERROR(ROUND(Data!B60/(SUMPRODUCT(('Form responses 1'!$B$2:$B1000 = A65) * ('Form responses 1'!$A$2:$A1000 &lt;= DATE(2025, 8, 31)))
+ SUMPRODUCT(('Form responses 1'!$C$2:$C1000 = A65) * ('Form responses 1'!$A$2:$A1000 &lt;= DATE(2025, 8, 31)))
+ SUMPRODUCT(('Form responses 1'!$D$2:$D1000 = A65) * ('Form responses 1'!$A$2:$A1000 &lt;= DATE(2025, 8, 31)))
+ SUMPRODUCT(('Form responses 1'!$E$2:$E1000 = A65) * ('Form responses 1'!$A$2:$A1000 &lt;= DATE(2025, 8, 31)))
+ SUMPRODUCT(('Form responses 1'!$F$2:$F1000 = A65) * ('Form responses 1'!$A$2:$A1000 &lt;= DATE(2025, 8, 31)))
+ SUMPRODUCT(('Form responses 1'!$G$2:$G1000 = A65) * ('Form responses 1'!$A$2:$A1000 &lt;= DATE(2025, 8, 31)))), 2), "-")
</f>
        <v>1.15</v>
      </c>
      <c r="W65" s="2">
        <f>IFERROR(ROUND(Data!B60/(SUMPRODUCT(('Form responses 1'!$B$2:$B1000 = A65) * ('Form responses 1'!$A$2:$A1000 &lt;= DATE(2025, 9, 30)))
+ SUMPRODUCT(('Form responses 1'!$C$2:$C1000 = A65) * ('Form responses 1'!$A$2:$A1000 &lt;= DATE(2025, 9, 30)))
+ SUMPRODUCT(('Form responses 1'!$D$2:$D1000 = A65) * ('Form responses 1'!$A$2:$A1000 &lt;= DATE(2025, 9, 30)))
+ SUMPRODUCT(('Form responses 1'!$E$2:$E1000 = A65) * ('Form responses 1'!$A$2:$A1000 &lt;= DATE(2025, 9, 30)))
+ SUMPRODUCT(('Form responses 1'!$F$2:$F1000 = A65) * ('Form responses 1'!$A$2:$A1000 &lt;= DATE(2025, 9, 30)))
+ SUMPRODUCT(('Form responses 1'!$G$2:$G1000 = A65) * ('Form responses 1'!$A$2:$A1000 &lt;= DATE(2025, 9, 30)))), 2), "-")
</f>
        <v>1.15</v>
      </c>
      <c r="X65" s="2">
        <f>IFERROR(ROUND(Data!B60/(SUMPRODUCT(('Form responses 1'!$B$2:$B1000 = A65) * ('Form responses 1'!$A$2:$A1000 &lt;= DATE(2025, 10, 31)))
+ SUMPRODUCT(('Form responses 1'!$C$2:$C1000 = A65) * ('Form responses 1'!$A$2:$A1000 &lt;= DATE(2025, 10, 31)))
+ SUMPRODUCT(('Form responses 1'!$D$2:$D1000 = A65) * ('Form responses 1'!$A$2:$A1000 &lt;= DATE(2025, 10, 31)))
+ SUMPRODUCT(('Form responses 1'!$E$2:$E1000 = A65) * ('Form responses 1'!$A$2:$A1000 &lt;= DATE(2025, 10, 31)))
+ SUMPRODUCT(('Form responses 1'!$F$2:$F1000 = A65) * ('Form responses 1'!$A$2:$A1000 &lt;= DATE(2025, 10, 31)))
+ SUMPRODUCT(('Form responses 1'!$G$2:$G1000 = A65) * ('Form responses 1'!$A$2:$A1000 &lt;= DATE(2025, 10, 31)))), 2), "-")
</f>
        <v>1.15</v>
      </c>
      <c r="Y65" s="2">
        <f>IFERROR(ROUND(Data!B60/(SUMPRODUCT(('Form responses 1'!$B$2:$B1000 = A65) * ('Form responses 1'!$A$2:$A1000 &lt;= DATE(2025, 11, 30)))
+ SUMPRODUCT(('Form responses 1'!$C$2:$C1000 = A65) * ('Form responses 1'!$A$2:$A1000 &lt;= DATE(2025, 11, 30)))
+ SUMPRODUCT(('Form responses 1'!$D$2:$D1000 = A65) * ('Form responses 1'!$A$2:$A1000 &lt;= DATE(2025, 11, 30)))
+ SUMPRODUCT(('Form responses 1'!$E$2:$E1000 = A65) * ('Form responses 1'!$A$2:$A1000 &lt;= DATE(2025, 11, 30)))
+ SUMPRODUCT(('Form responses 1'!$F$2:$F1000 = A65) * ('Form responses 1'!$A$2:$A1000 &lt;= DATE(2025, 11, 30)))
+ SUMPRODUCT(('Form responses 1'!$G$2:$G1000 = A65) * ('Form responses 1'!$A$2:$A1000 &lt;= DATE(2025, 11, 30)))), 2), "-")
</f>
        <v>1.15</v>
      </c>
      <c r="Z65" s="2">
        <f>IFERROR(ROUND(Data!B60/(SUMPRODUCT(('Form responses 1'!$B$2:$B1000 = A65) * ('Form responses 1'!$A$2:$A1000 &lt;= DATE(2025, 12, 31)))
+ SUMPRODUCT(('Form responses 1'!$C$2:$C1000 = A65) * ('Form responses 1'!$A$2:$A1000 &lt;= DATE(2025, 12, 31)))
+ SUMPRODUCT(('Form responses 1'!$D$2:$D1000 = A65) * ('Form responses 1'!$A$2:$A1000 &lt;= DATE(2025, 12, 31)))
+ SUMPRODUCT(('Form responses 1'!$E$2:$E1000 = A65) * ('Form responses 1'!$A$2:$A1000 &lt;= DATE(2025, 12, 31)))
+ SUMPRODUCT(('Form responses 1'!$F$2:$F1000 = A65) * ('Form responses 1'!$A$2:$A1000 &lt;= DATE(2025, 12, 31)))
+ SUMPRODUCT(('Form responses 1'!$G$2:$G1000 = A65) * ('Form responses 1'!$A$2:$A1000 &lt;= DATE(2025, 12, 31)))), 2), "-")
</f>
        <v>1.15</v>
      </c>
      <c r="AA65" s="2">
        <f>IFERROR(ROUND(Data!$B65/(
  SUMPRODUCT(('Form responses 1'!$B$2:$B1000=$A65)*('Form responses 1'!$A$2:$A1000&lt;=EOMONTH(DATEVALUE("1 "&amp;AA$1),0)))+
  SUMPRODUCT(('Form responses 1'!$C$2:$C1000=$A65)*('Form responses 1'!$A$2:$A1000&lt;=EOMONTH(DATEVALUE("1 "&amp;AA$1),0)))+
  SUMPRODUCT(('Form responses 1'!$D$2:$D1000=$A65)*('Form responses 1'!$A$2:$A1000&lt;=EOMONTH(DATEVALUE("1 "&amp;AA$1),0)))+
  SUMPRODUCT(('Form responses 1'!$E$2:$E1000=$A65)*('Form responses 1'!$A$2:$A1000&lt;=EOMONTH(DATEVALUE("1 "&amp;AA$1),0)))+
  SUMPRODUCT(('Form responses 1'!$F$2:$F1000=$A65)*('Form responses 1'!$A$2:$A1000&lt;=EOMONTH(DATEVALUE("1 "&amp;AA$1),0)))+
  SUMPRODUCT(('Form responses 1'!$G$2:$G1000=$A65)*('Form responses 1'!$A$2:$A1000&lt;=EOMONTH(DATEVALUE("1 "&amp;AA$1),0)))
),2),"-")</f>
        <v>1.15</v>
      </c>
      <c r="AB65" s="2">
        <f>IFERROR(ROUND(Data!$B65/(
  SUMPRODUCT(('Form responses 1'!$B$2:$B1000=$A65)*('Form responses 1'!$A$2:$A1000&lt;=EOMONTH(DATEVALUE("1 "&amp;AB$1),0)))+
  SUMPRODUCT(('Form responses 1'!$C$2:$C1000=$A65)*('Form responses 1'!$A$2:$A1000&lt;=EOMONTH(DATEVALUE("1 "&amp;AB$1),0)))+
  SUMPRODUCT(('Form responses 1'!$D$2:$D1000=$A65)*('Form responses 1'!$A$2:$A1000&lt;=EOMONTH(DATEVALUE("1 "&amp;AB$1),0)))+
  SUMPRODUCT(('Form responses 1'!$E$2:$E1000=$A65)*('Form responses 1'!$A$2:$A1000&lt;=EOMONTH(DATEVALUE("1 "&amp;AB$1),0)))+
  SUMPRODUCT(('Form responses 1'!$F$2:$F1000=$A65)*('Form responses 1'!$A$2:$A1000&lt;=EOMONTH(DATEVALUE("1 "&amp;AB$1),0)))+
  SUMPRODUCT(('Form responses 1'!$G$2:$G1000=$A65)*('Form responses 1'!$A$2:$A1000&lt;=EOMONTH(DATEVALUE("1 "&amp;AB$1),0)))
),2),"-")</f>
        <v>1.15</v>
      </c>
      <c r="AC65" s="2">
        <f>IFERROR(ROUND(Data!$B65/(
  SUMPRODUCT(('Form responses 1'!$B$2:$B1000=$A65)*('Form responses 1'!$A$2:$A1000&lt;=EOMONTH(DATEVALUE("1 "&amp;AC$1),0)))+
  SUMPRODUCT(('Form responses 1'!$C$2:$C1000=$A65)*('Form responses 1'!$A$2:$A1000&lt;=EOMONTH(DATEVALUE("1 "&amp;AC$1),0)))+
  SUMPRODUCT(('Form responses 1'!$D$2:$D1000=$A65)*('Form responses 1'!$A$2:$A1000&lt;=EOMONTH(DATEVALUE("1 "&amp;AC$1),0)))+
  SUMPRODUCT(('Form responses 1'!$E$2:$E1000=$A65)*('Form responses 1'!$A$2:$A1000&lt;=EOMONTH(DATEVALUE("1 "&amp;AC$1),0)))+
  SUMPRODUCT(('Form responses 1'!$F$2:$F1000=$A65)*('Form responses 1'!$A$2:$A1000&lt;=EOMONTH(DATEVALUE("1 "&amp;AC$1),0)))+
  SUMPRODUCT(('Form responses 1'!$G$2:$G1000=$A65)*('Form responses 1'!$A$2:$A1000&lt;=EOMONTH(DATEVALUE("1 "&amp;AC$1),0)))
),2),"-")</f>
        <v>1.11</v>
      </c>
      <c r="AD65" s="2" t="str">
        <f>IFERROR(ROUND(Data!$B65/(
  SUMPRODUCT(('Form responses 1'!$B$2:$B1000=$A65)*('Form responses 1'!$A$2:$A1000&lt;=EOMONTH(DATEVALUE("1 "&amp;AD$1),0)))+
  SUMPRODUCT(('Form responses 1'!$C$2:$C1000=$A65)*('Form responses 1'!$A$2:$A1000&lt;=EOMONTH(DATEVALUE("1 "&amp;AD$1),0)))+
  SUMPRODUCT(('Form responses 1'!$D$2:$D1000=$A65)*('Form responses 1'!$A$2:$A1000&lt;=EOMONTH(DATEVALUE("1 "&amp;AD$1),0)))+
  SUMPRODUCT(('Form responses 1'!$E$2:$E1000=$A65)*('Form responses 1'!$A$2:$A1000&lt;=EOMONTH(DATEVALUE("1 "&amp;AD$1),0)))+
  SUMPRODUCT(('Form responses 1'!$F$2:$F1000=$A65)*('Form responses 1'!$A$2:$A1000&lt;=EOMONTH(DATEVALUE("1 "&amp;AD$1),0)))+
  SUMPRODUCT(('Form responses 1'!$G$2:$G1000=$A65)*('Form responses 1'!$A$2:$A1000&lt;=EOMONTH(DATEVALUE("1 "&amp;AD$1),0)))
),2),"-")</f>
        <v>-</v>
      </c>
      <c r="AE65" s="2" t="str">
        <f>IFERROR(ROUND(Data!$B65/(
  SUMPRODUCT(('Form responses 1'!$B$2:$B1000=$A65)*('Form responses 1'!$A$2:$A1000&lt;=EOMONTH(DATEVALUE("1 "&amp;AE$1),0)))+
  SUMPRODUCT(('Form responses 1'!$C$2:$C1000=$A65)*('Form responses 1'!$A$2:$A1000&lt;=EOMONTH(DATEVALUE("1 "&amp;AE$1),0)))+
  SUMPRODUCT(('Form responses 1'!$D$2:$D1000=$A65)*('Form responses 1'!$A$2:$A1000&lt;=EOMONTH(DATEVALUE("1 "&amp;AE$1),0)))+
  SUMPRODUCT(('Form responses 1'!$E$2:$E1000=$A65)*('Form responses 1'!$A$2:$A1000&lt;=EOMONTH(DATEVALUE("1 "&amp;AE$1),0)))+
  SUMPRODUCT(('Form responses 1'!$F$2:$F1000=$A65)*('Form responses 1'!$A$2:$A1000&lt;=EOMONTH(DATEVALUE("1 "&amp;AE$1),0)))+
  SUMPRODUCT(('Form responses 1'!$G$2:$G1000=$A65)*('Form responses 1'!$A$2:$A1000&lt;=EOMONTH(DATEVALUE("1 "&amp;AE$1),0)))
),2),"-")</f>
        <v>-</v>
      </c>
      <c r="AF65" s="2" t="str">
        <f>IFERROR(ROUND(Data!$B65/(
  SUMPRODUCT(('Form responses 1'!$B$2:$B1000=$A65)*('Form responses 1'!$A$2:$A1000&lt;=EOMONTH(DATEVALUE("1 "&amp;AF$1),0)))+
  SUMPRODUCT(('Form responses 1'!$C$2:$C1000=$A65)*('Form responses 1'!$A$2:$A1000&lt;=EOMONTH(DATEVALUE("1 "&amp;AF$1),0)))+
  SUMPRODUCT(('Form responses 1'!$D$2:$D1000=$A65)*('Form responses 1'!$A$2:$A1000&lt;=EOMONTH(DATEVALUE("1 "&amp;AF$1),0)))+
  SUMPRODUCT(('Form responses 1'!$E$2:$E1000=$A65)*('Form responses 1'!$A$2:$A1000&lt;=EOMONTH(DATEVALUE("1 "&amp;AF$1),0)))+
  SUMPRODUCT(('Form responses 1'!$F$2:$F1000=$A65)*('Form responses 1'!$A$2:$A1000&lt;=EOMONTH(DATEVALUE("1 "&amp;AF$1),0)))+
  SUMPRODUCT(('Form responses 1'!$G$2:$G1000=$A65)*('Form responses 1'!$A$2:$A1000&lt;=EOMONTH(DATEVALUE("1 "&amp;AF$1),0)))
),2),"-")</f>
        <v>-</v>
      </c>
      <c r="AG65" s="2" t="str">
        <f>IFERROR(ROUND(Data!$B65/(
  SUMPRODUCT(('Form responses 1'!$B$2:$B1000=$A65)*('Form responses 1'!$A$2:$A1000&lt;=EOMONTH(DATEVALUE("1 "&amp;AG$1),0)))+
  SUMPRODUCT(('Form responses 1'!$C$2:$C1000=$A65)*('Form responses 1'!$A$2:$A1000&lt;=EOMONTH(DATEVALUE("1 "&amp;AG$1),0)))+
  SUMPRODUCT(('Form responses 1'!$D$2:$D1000=$A65)*('Form responses 1'!$A$2:$A1000&lt;=EOMONTH(DATEVALUE("1 "&amp;AG$1),0)))+
  SUMPRODUCT(('Form responses 1'!$E$2:$E1000=$A65)*('Form responses 1'!$A$2:$A1000&lt;=EOMONTH(DATEVALUE("1 "&amp;AG$1),0)))+
  SUMPRODUCT(('Form responses 1'!$F$2:$F1000=$A65)*('Form responses 1'!$A$2:$A1000&lt;=EOMONTH(DATEVALUE("1 "&amp;AG$1),0)))+
  SUMPRODUCT(('Form responses 1'!$G$2:$G1000=$A65)*('Form responses 1'!$A$2:$A1000&lt;=EOMONTH(DATEVALUE("1 "&amp;AG$1),0)))
),2),"-")</f>
        <v>-</v>
      </c>
      <c r="AH65" s="2" t="str">
        <f>IFERROR(ROUND(Data!$B65/(
  SUMPRODUCT(('Form responses 1'!$B$2:$B1000=$A65)*('Form responses 1'!$A$2:$A1000&lt;=EOMONTH(DATEVALUE("1 "&amp;AH$1),0)))+
  SUMPRODUCT(('Form responses 1'!$C$2:$C1000=$A65)*('Form responses 1'!$A$2:$A1000&lt;=EOMONTH(DATEVALUE("1 "&amp;AH$1),0)))+
  SUMPRODUCT(('Form responses 1'!$D$2:$D1000=$A65)*('Form responses 1'!$A$2:$A1000&lt;=EOMONTH(DATEVALUE("1 "&amp;AH$1),0)))+
  SUMPRODUCT(('Form responses 1'!$E$2:$E1000=$A65)*('Form responses 1'!$A$2:$A1000&lt;=EOMONTH(DATEVALUE("1 "&amp;AH$1),0)))+
  SUMPRODUCT(('Form responses 1'!$F$2:$F1000=$A65)*('Form responses 1'!$A$2:$A1000&lt;=EOMONTH(DATEVALUE("1 "&amp;AH$1),0)))+
  SUMPRODUCT(('Form responses 1'!$G$2:$G1000=$A65)*('Form responses 1'!$A$2:$A1000&lt;=EOMONTH(DATEVALUE("1 "&amp;AH$1),0)))
),2),"-")</f>
        <v>-</v>
      </c>
      <c r="AI65" s="2" t="str">
        <f>IFERROR(ROUND(Data!$B65/(
  SUMPRODUCT(('Form responses 1'!$B$2:$B1000=$A65)*('Form responses 1'!$A$2:$A1000&lt;=EOMONTH(DATEVALUE("1 "&amp;AI$1),0)))+
  SUMPRODUCT(('Form responses 1'!$C$2:$C1000=$A65)*('Form responses 1'!$A$2:$A1000&lt;=EOMONTH(DATEVALUE("1 "&amp;AI$1),0)))+
  SUMPRODUCT(('Form responses 1'!$D$2:$D1000=$A65)*('Form responses 1'!$A$2:$A1000&lt;=EOMONTH(DATEVALUE("1 "&amp;AI$1),0)))+
  SUMPRODUCT(('Form responses 1'!$E$2:$E1000=$A65)*('Form responses 1'!$A$2:$A1000&lt;=EOMONTH(DATEVALUE("1 "&amp;AI$1),0)))+
  SUMPRODUCT(('Form responses 1'!$F$2:$F1000=$A65)*('Form responses 1'!$A$2:$A1000&lt;=EOMONTH(DATEVALUE("1 "&amp;AI$1),0)))+
  SUMPRODUCT(('Form responses 1'!$G$2:$G1000=$A65)*('Form responses 1'!$A$2:$A1000&lt;=EOMONTH(DATEVALUE("1 "&amp;AI$1),0)))
),2),"-")</f>
        <v>-</v>
      </c>
      <c r="AJ65" s="2" t="str">
        <f>IFERROR(ROUND(Data!$B65/(
  SUMPRODUCT(('Form responses 1'!$B$2:$B1000=$A65)*('Form responses 1'!$A$2:$A1000&lt;=EOMONTH(DATEVALUE("1 "&amp;AJ$1),0)))+
  SUMPRODUCT(('Form responses 1'!$C$2:$C1000=$A65)*('Form responses 1'!$A$2:$A1000&lt;=EOMONTH(DATEVALUE("1 "&amp;AJ$1),0)))+
  SUMPRODUCT(('Form responses 1'!$D$2:$D1000=$A65)*('Form responses 1'!$A$2:$A1000&lt;=EOMONTH(DATEVALUE("1 "&amp;AJ$1),0)))+
  SUMPRODUCT(('Form responses 1'!$E$2:$E1000=$A65)*('Form responses 1'!$A$2:$A1000&lt;=EOMONTH(DATEVALUE("1 "&amp;AJ$1),0)))+
  SUMPRODUCT(('Form responses 1'!$F$2:$F1000=$A65)*('Form responses 1'!$A$2:$A1000&lt;=EOMONTH(DATEVALUE("1 "&amp;AJ$1),0)))+
  SUMPRODUCT(('Form responses 1'!$G$2:$G1000=$A65)*('Form responses 1'!$A$2:$A1000&lt;=EOMONTH(DATEVALUE("1 "&amp;AJ$1),0)))
),2),"-")</f>
        <v>-</v>
      </c>
      <c r="AK65" s="2" t="str">
        <f>IFERROR(ROUND(Data!$B65/(
  SUMPRODUCT(('Form responses 1'!$B$2:$B1000=$A65)*('Form responses 1'!$A$2:$A1000&lt;=EOMONTH(DATEVALUE("1 "&amp;AK$1),0)))+
  SUMPRODUCT(('Form responses 1'!$C$2:$C1000=$A65)*('Form responses 1'!$A$2:$A1000&lt;=EOMONTH(DATEVALUE("1 "&amp;AK$1),0)))+
  SUMPRODUCT(('Form responses 1'!$D$2:$D1000=$A65)*('Form responses 1'!$A$2:$A1000&lt;=EOMONTH(DATEVALUE("1 "&amp;AK$1),0)))+
  SUMPRODUCT(('Form responses 1'!$E$2:$E1000=$A65)*('Form responses 1'!$A$2:$A1000&lt;=EOMONTH(DATEVALUE("1 "&amp;AK$1),0)))+
  SUMPRODUCT(('Form responses 1'!$F$2:$F1000=$A65)*('Form responses 1'!$A$2:$A1000&lt;=EOMONTH(DATEVALUE("1 "&amp;AK$1),0)))+
  SUMPRODUCT(('Form responses 1'!$G$2:$G1000=$A65)*('Form responses 1'!$A$2:$A1000&lt;=EOMONTH(DATEVALUE("1 "&amp;AK$1),0)))
),2),"-")</f>
        <v>-</v>
      </c>
      <c r="AL65" s="2" t="str">
        <f>IFERROR(ROUND(Data!$B65/(
  SUMPRODUCT(('Form responses 1'!$B$2:$B1000=$A65)*('Form responses 1'!$A$2:$A1000&lt;=EOMONTH(DATEVALUE("1 "&amp;AL$1),0)))+
  SUMPRODUCT(('Form responses 1'!$C$2:$C1000=$A65)*('Form responses 1'!$A$2:$A1000&lt;=EOMONTH(DATEVALUE("1 "&amp;AL$1),0)))+
  SUMPRODUCT(('Form responses 1'!$D$2:$D1000=$A65)*('Form responses 1'!$A$2:$A1000&lt;=EOMONTH(DATEVALUE("1 "&amp;AL$1),0)))+
  SUMPRODUCT(('Form responses 1'!$E$2:$E1000=$A65)*('Form responses 1'!$A$2:$A1000&lt;=EOMONTH(DATEVALUE("1 "&amp;AL$1),0)))+
  SUMPRODUCT(('Form responses 1'!$F$2:$F1000=$A65)*('Form responses 1'!$A$2:$A1000&lt;=EOMONTH(DATEVALUE("1 "&amp;AL$1),0)))+
  SUMPRODUCT(('Form responses 1'!$G$2:$G1000=$A65)*('Form responses 1'!$A$2:$A1000&lt;=EOMONTH(DATEVALUE("1 "&amp;AL$1),0)))
),2),"-")</f>
        <v>-</v>
      </c>
    </row>
    <row r="66">
      <c r="A66" s="3" t="str">
        <f>IFERROR(__xludf.DUMMYFUNCTION("""COMPUTED_VALUE"""),"Witte blouse, zwarte strepen")</f>
        <v>Witte blouse, zwarte strepen</v>
      </c>
      <c r="B66" s="2">
        <f>Data!F61:F1000</f>
        <v>8</v>
      </c>
      <c r="C66" s="2">
        <f>IFERROR(ROUND(Data!B61/(SUMPRODUCT(('Form responses 1'!$B$2:$B1000 = A66) * ('Form responses 1'!$A$2:$A1000 &lt;= DATE(2024, 1, 31)))
+ SUMPRODUCT(('Form responses 1'!$C$2:$C1000 = A66) * ('Form responses 1'!$A$2:$A1000 &lt;= DATE(2024, 1, 31)))
+ SUMPRODUCT(('Form responses 1'!$D$2:$D1000 = A66) * ('Form responses 1'!$A$2:$A1000 &lt;= DATE(2024, 1, 31)))
+ SUMPRODUCT(('Form responses 1'!$E$2:$E1000 = A66) * ('Form responses 1'!$A$2:$A1000 &lt;= DATE(2024, 1, 31)))
+ SUMPRODUCT(('Form responses 1'!$F$2:$F1000 = A66) * ('Form responses 1'!$A$2:$A1000 &lt;= DATE(2024, 1, 31)))
+ SUMPRODUCT(('Form responses 1'!$G$2:$G1000 = A66) * ('Form responses 1'!$A$2:$A1000 &lt;= DATE(2024, 1, 31)))), 2), "-")
</f>
        <v>17</v>
      </c>
      <c r="D66" s="2">
        <f>IFERROR(ROUND(Data!B61/(SUMPRODUCT(('Form responses 1'!$B$2:$B1000 = A66) * ('Form responses 1'!$A$2:$A1000 &lt;= DATE(2024, 2, 29)))
+ SUMPRODUCT(('Form responses 1'!$C$2:$C1000 = A66) * ('Form responses 1'!$A$2:$A1000 &lt;= DATE(2024, 2, 29)))
+ SUMPRODUCT(('Form responses 1'!$D$2:$D1000 = A66) * ('Form responses 1'!$A$2:$A1000 &lt;= DATE(2024, 2, 29)))
+ SUMPRODUCT(('Form responses 1'!$E$2:$E1000 = A66) * ('Form responses 1'!$A$2:$A1000 &lt;= DATE(2024, 2, 29)))
+ SUMPRODUCT(('Form responses 1'!$F$2:$F1000 = A66) * ('Form responses 1'!$A$2:$A1000 &lt;= DATE(2024, 2, 29)))
+ SUMPRODUCT(('Form responses 1'!$G$2:$G1000 = A66) * ('Form responses 1'!$A$2:$A1000 &lt;= DATE(2024, 2, 29)))), 2), "-")
</f>
        <v>17</v>
      </c>
      <c r="E66" s="2">
        <f>IFERROR(ROUND(Data!B61/(SUMPRODUCT(('Form responses 1'!$B$2:$B1000 = A66) * ('Form responses 1'!$A$2:$A1000 &lt;= DATE(2024, 3, 31)))
+ SUMPRODUCT(('Form responses 1'!$C$2:$C1000 = A66) * ('Form responses 1'!$A$2:$A1000 &lt;= DATE(2024, 3, 31)))
+ SUMPRODUCT(('Form responses 1'!$D$2:$D1000 = A66) * ('Form responses 1'!$A$2:$A1000 &lt;= DATE(2024, 3, 31)))
+ SUMPRODUCT(('Form responses 1'!$E$2:$E1000 = A66) * ('Form responses 1'!$A$2:$A1000 &lt;= DATE(2024, 3, 31)))
+ SUMPRODUCT(('Form responses 1'!$F$2:$F1000 = A66) * ('Form responses 1'!$A$2:$A1000 &lt;= DATE(2024, 3, 31)))
+ SUMPRODUCT(('Form responses 1'!$G$2:$G1000 = A66) * ('Form responses 1'!$A$2:$A1000 &lt;= DATE(2024, 3, 31)))), 2), "-")
</f>
        <v>17</v>
      </c>
      <c r="F66" s="2">
        <f>IFERROR(ROUND(Data!B61/(SUMPRODUCT(('Form responses 1'!$B$2:$B1000 = A66) * ('Form responses 1'!$A$2:$A1000 &lt;= DATE(2024, 4, 30)))
+ SUMPRODUCT(('Form responses 1'!$C$2:$C1000 = A66) * ('Form responses 1'!$A$2:$A1000 &lt;= DATE(2024, 4, 30)))
+ SUMPRODUCT(('Form responses 1'!$D$2:$D1000 = A66) * ('Form responses 1'!$A$2:$A1000 &lt;= DATE(2024, 4, 30)))
+ SUMPRODUCT(('Form responses 1'!$E$2:$E1000 = A66) * ('Form responses 1'!$A$2:$A1000 &lt;= DATE(2024, 4, 30)))
+ SUMPRODUCT(('Form responses 1'!$F$2:$F1000 = A66) * ('Form responses 1'!$A$2:$A1000 &lt;= DATE(2024, 4, 30)))
+ SUMPRODUCT(('Form responses 1'!$G$2:$G1000 = A66) * ('Form responses 1'!$A$2:$A1000 &lt;= DATE(2024, 4, 30)))), 2), "-")
</f>
        <v>17</v>
      </c>
      <c r="G66" s="2">
        <f>IFERROR(ROUND(Data!B61/(SUMPRODUCT(('Form responses 1'!$B$2:$B1000 = A66) * ('Form responses 1'!$A$2:$A1000 &lt;= DATE(2024, 5, 31)))
+ SUMPRODUCT(('Form responses 1'!$C$2:$C1000 = A66) * ('Form responses 1'!$A$2:$A1000 &lt;= DATE(2024, 5, 31)))
+ SUMPRODUCT(('Form responses 1'!$D$2:$D1000 = A66) * ('Form responses 1'!$A$2:$A1000 &lt;= DATE(2024, 5, 31)))
+ SUMPRODUCT(('Form responses 1'!$E$2:$E1000 = A66) * ('Form responses 1'!$A$2:$A1000 &lt;= DATE(2024, 5, 31)))
+ SUMPRODUCT(('Form responses 1'!$F$2:$F1000 = A66) * ('Form responses 1'!$A$2:$A1000 &lt;= DATE(2024, 5, 31)))
+ SUMPRODUCT(('Form responses 1'!$G$2:$G1000 = A66) * ('Form responses 1'!$A$2:$A1000 &lt;= DATE(2024, 5, 31)))), 2), "-")
</f>
        <v>17</v>
      </c>
      <c r="H66" s="2">
        <f>IFERROR(ROUND(Data!B61/(SUMPRODUCT(('Form responses 1'!$B$2:$B1000 = A66) * ('Form responses 1'!$A$2:$A1000 &lt;= DATE(2024, 6, 30)))
+ SUMPRODUCT(('Form responses 1'!$C$2:$C1000 = A66) * ('Form responses 1'!$A$2:$A1000 &lt;= DATE(2024, 6, 30)))
+ SUMPRODUCT(('Form responses 1'!$D$2:$D1000 = A66) * ('Form responses 1'!$A$2:$A1000 &lt;= DATE(2024, 6, 30)))
+ SUMPRODUCT(('Form responses 1'!$E$2:$E1000 = A66) * ('Form responses 1'!$A$2:$A1000 &lt;= DATE(2024, 6, 30)))
+ SUMPRODUCT(('Form responses 1'!$F$2:$F1000 = A66) * ('Form responses 1'!$A$2:$A1000 &lt;= DATE(2024, 6, 30)))
+ SUMPRODUCT(('Form responses 1'!$G$2:$G1000 = A66) * ('Form responses 1'!$A$2:$A1000 &lt;= DATE(2024, 6, 30)))), 2), "-")
</f>
        <v>17</v>
      </c>
      <c r="I66" s="2">
        <f>IFERROR(ROUND(Data!B61/(SUMPRODUCT(('Form responses 1'!$B$2:$B1000 = A66) * ('Form responses 1'!$A$2:$A1000 &lt;= DATE(2024, 7, 31)))
+ SUMPRODUCT(('Form responses 1'!$C$2:$C1000 = A66) * ('Form responses 1'!$A$2:$A1000 &lt;= DATE(2024, 7, 31)))
+ SUMPRODUCT(('Form responses 1'!$D$2:$D1000 = A66) * ('Form responses 1'!$A$2:$A1000 &lt;= DATE(2024, 7, 31)))
+ SUMPRODUCT(('Form responses 1'!$E$2:$E1000 = A66) * ('Form responses 1'!$A$2:$A1000 &lt;= DATE(2024, 7, 31)))
+ SUMPRODUCT(('Form responses 1'!$F$2:$F1000 = A66) * ('Form responses 1'!$A$2:$A1000 &lt;= DATE(2024, 7, 31)))
+ SUMPRODUCT(('Form responses 1'!$G$2:$G1000 = A66) * ('Form responses 1'!$A$2:$A1000 &lt;= DATE(2024, 7, 31)))), 2), "-")
</f>
        <v>17</v>
      </c>
      <c r="J66" s="2">
        <f>IFERROR(ROUND(Data!B61/(SUMPRODUCT(('Form responses 1'!$B$2:$B1000 = A66) * ('Form responses 1'!$A$2:$A1000 &lt;= DATE(2024, 8, 31)))
+ SUMPRODUCT(('Form responses 1'!$C$2:$C1000 = A66) * ('Form responses 1'!$A$2:$A1000 &lt;= DATE(2024, 8, 31)))
+ SUMPRODUCT(('Form responses 1'!$D$2:$D1000 = A66) * ('Form responses 1'!$A$2:$A1000 &lt;= DATE(2024, 8, 31)))
+ SUMPRODUCT(('Form responses 1'!$E$2:$E1000 = A66) * ('Form responses 1'!$A$2:$A1000 &lt;= DATE(2024, 8, 31)))
+ SUMPRODUCT(('Form responses 1'!$F$2:$F1000 = A66) * ('Form responses 1'!$A$2:$A1000 &lt;= DATE(2024, 8, 31)))
+ SUMPRODUCT(('Form responses 1'!$G$2:$G1000 = A66) * ('Form responses 1'!$A$2:$A1000 &lt;= DATE(2024, 8, 31)))), 2), "-")
</f>
        <v>17</v>
      </c>
      <c r="K66" s="2">
        <f>IFERROR(ROUND(Data!B61/(SUMPRODUCT(('Form responses 1'!$B$2:$B1000 = A66) * ('Form responses 1'!$A$2:$A1000 &lt;= DATE(2024, 9, 30)))
+ SUMPRODUCT(('Form responses 1'!$C$2:$C1000 = A66) * ('Form responses 1'!$A$2:$A1000 &lt;= DATE(2024, 9, 30)))
+ SUMPRODUCT(('Form responses 1'!$D$2:$D1000 = A66) * ('Form responses 1'!$A$2:$A1000 &lt;= DATE(2024, 9, 30)))
+ SUMPRODUCT(('Form responses 1'!$E$2:$E1000 = A66) * ('Form responses 1'!$A$2:$A1000 &lt;= DATE(2024, 9, 30)))
+ SUMPRODUCT(('Form responses 1'!$F$2:$F1000 = A66) * ('Form responses 1'!$A$2:$A1000 &lt;= DATE(2024, 9, 30)))
+ SUMPRODUCT(('Form responses 1'!$G$2:$G1000 = A66) * ('Form responses 1'!$A$2:$A1000 &lt;= DATE(2024, 9, 30)))), 2), "-")
</f>
        <v>17</v>
      </c>
      <c r="L66" s="2">
        <f>IFERROR(ROUND(Data!B61/(SUMPRODUCT(('Form responses 1'!$B$2:$B1000 = A66) * ('Form responses 1'!$A$2:$A1000 &lt;= DATE(2024, 10, 31)))
+ SUMPRODUCT(('Form responses 1'!$C$2:$C1000 = A66) * ('Form responses 1'!$A$2:$A1000 &lt;= DATE(2024, 10, 31)))
+ SUMPRODUCT(('Form responses 1'!$D$2:$D1000 = A66) * ('Form responses 1'!$A$2:$A1000 &lt;= DATE(2024, 10, 31)))
+ SUMPRODUCT(('Form responses 1'!$E$2:$E1000 = A66) * ('Form responses 1'!$A$2:$A1000 &lt;= DATE(2024, 10, 31)))
+ SUMPRODUCT(('Form responses 1'!$F$2:$F1000 = A66) * ('Form responses 1'!$A$2:$A1000 &lt;= DATE(2024, 10, 31)))
+ SUMPRODUCT(('Form responses 1'!$G$2:$G1000 = A66) * ('Form responses 1'!$A$2:$A1000 &lt;= DATE(2024, 10, 31)))), 2), "-")
</f>
        <v>17</v>
      </c>
      <c r="M66" s="2">
        <f>IFERROR(ROUND(Data!B61/(SUMPRODUCT(('Form responses 1'!$B$2:$B1000 = A66) * ('Form responses 1'!$A$2:$A1000 &lt;= DATE(2024, 11, 30)))
+ SUMPRODUCT(('Form responses 1'!$C$2:$C1000 = A66) * ('Form responses 1'!$A$2:$A1000 &lt;= DATE(2024, 11, 30)))
+ SUMPRODUCT(('Form responses 1'!$D$2:$D1000 = A66) * ('Form responses 1'!$A$2:$A1000 &lt;= DATE(2024, 11, 30)))
+ SUMPRODUCT(('Form responses 1'!$E$2:$E1000 = A66) * ('Form responses 1'!$A$2:$A1000 &lt;= DATE(2024, 11, 30)))
+ SUMPRODUCT(('Form responses 1'!$F$2:$F1000 = A66) * ('Form responses 1'!$A$2:$A1000 &lt;= DATE(2024, 11, 30)))
+ SUMPRODUCT(('Form responses 1'!$G$2:$G1000 = A66) * ('Form responses 1'!$A$2:$A1000 &lt;= DATE(2024, 11, 30)))), 2), "-")
</f>
        <v>17</v>
      </c>
      <c r="N66" s="2">
        <f>IFERROR(ROUND(Data!B61/(SUMPRODUCT(('Form responses 1'!$B$2:$B1000 = A66) * ('Form responses 1'!$A$2:$A1000 &lt;= DATE(2024, 12, 31)))
+ SUMPRODUCT(('Form responses 1'!$C$2:$C1000 = A66) * ('Form responses 1'!$A$2:$A1000 &lt;= DATE(2024, 12, 31)))
+ SUMPRODUCT(('Form responses 1'!$D$2:$D1000 = A66) * ('Form responses 1'!$A$2:$A1000 &lt;= DATE(2024, 12, 31)))
+ SUMPRODUCT(('Form responses 1'!$E$2:$E1000 = A66) * ('Form responses 1'!$A$2:$A1000 &lt;= DATE(2024, 12, 31)))
+ SUMPRODUCT(('Form responses 1'!$F$2:$F1000 = A66) * ('Form responses 1'!$A$2:$A1000 &lt;= DATE(2024, 12, 31)))
+ SUMPRODUCT(('Form responses 1'!$G$2:$G1000 = A66) * ('Form responses 1'!$A$2:$A1000 &lt;= DATE(2024, 12, 31)))), 2), "-")
</f>
        <v>17</v>
      </c>
      <c r="O66" s="2">
        <f>IFERROR(ROUND(Data!B61/(SUMPRODUCT(('Form responses 1'!$B$2:$B1000 = A66) * ('Form responses 1'!$A$2:$A1000 &lt;= DATE(2025, 1, 31)))
+ SUMPRODUCT(('Form responses 1'!$C$2:$C1000 = A66) * ('Form responses 1'!$A$2:$A1000 &lt;= DATE(2025, 1, 31)))
+ SUMPRODUCT(('Form responses 1'!$D$2:$D1000 = A66) * ('Form responses 1'!$A$2:$A1000 &lt;= DATE(2025, 1, 31)))
+ SUMPRODUCT(('Form responses 1'!$E$2:$E1000 = A66) * ('Form responses 1'!$A$2:$A1000 &lt;= DATE(2025, 1, 31)))
+ SUMPRODUCT(('Form responses 1'!$F$2:$F1000 = A66) * ('Form responses 1'!$A$2:$A1000 &lt;= DATE(2025, 1, 31)))
+ SUMPRODUCT(('Form responses 1'!$G$2:$G1000 = A66) * ('Form responses 1'!$A$2:$A1000 &lt;= DATE(2025, 1, 31)))), 2), "-")
</f>
        <v>17</v>
      </c>
      <c r="P66" s="2">
        <f>IFERROR(ROUND(Data!B61/(SUMPRODUCT(('Form responses 1'!$B$2:$B1000 = A66) * ('Form responses 1'!$A$2:$A1000 &lt;= DATE(2025, 2, 28)))
+ SUMPRODUCT(('Form responses 1'!$C$2:$C1000 = A66) * ('Form responses 1'!$A$2:$A1000 &lt;= DATE(2025, 2, 28)))
+ SUMPRODUCT(('Form responses 1'!$D$2:$D1000 = A66) * ('Form responses 1'!$A$2:$A1000 &lt;= DATE(2025, 2, 28)))
+ SUMPRODUCT(('Form responses 1'!$E$2:$E1000 = A66) * ('Form responses 1'!$A$2:$A1000 &lt;= DATE(2025, 2, 28)))
+ SUMPRODUCT(('Form responses 1'!$F$2:$F1000 = A66) * ('Form responses 1'!$A$2:$A1000 &lt;= DATE(2025, 2, 28)))
+ SUMPRODUCT(('Form responses 1'!$G$2:$G1000 = A66) * ('Form responses 1'!$A$2:$A1000 &lt;= DATE(2025, 2, 28)))), 2), "-")
</f>
        <v>17</v>
      </c>
      <c r="Q66" s="2">
        <f>IFERROR(ROUND(Data!B61/(SUMPRODUCT(('Form responses 1'!$B$2:$B1000 = A66) * ('Form responses 1'!$A$2:$A1000 &lt;= DATE(2025, 3, 31)))
+ SUMPRODUCT(('Form responses 1'!$C$2:$C1000 = A66) * ('Form responses 1'!$A$2:$A1000 &lt;= DATE(2025, 3, 31)))
+ SUMPRODUCT(('Form responses 1'!$D$2:$D1000 = A66) * ('Form responses 1'!$A$2:$A1000 &lt;= DATE(2025, 3, 31)))
+ SUMPRODUCT(('Form responses 1'!$E$2:$E1000 = A66) * ('Form responses 1'!$A$2:$A1000 &lt;= DATE(2025, 3, 31)))
+ SUMPRODUCT(('Form responses 1'!$F$2:$F1000 = A66) * ('Form responses 1'!$A$2:$A1000 &lt;= DATE(2025, 3, 31)))
+ SUMPRODUCT(('Form responses 1'!$G$2:$G1000 = A66) * ('Form responses 1'!$A$2:$A1000 &lt;= DATE(2025, 3, 31)))),2),"-")</f>
        <v>17</v>
      </c>
      <c r="R66" s="2">
        <f>IFERROR(ROUND(Data!B61/(SUMPRODUCT(('Form responses 1'!$B$2:$B1000 = A66) * ('Form responses 1'!$A$2:$A1000 &lt;= DATE(2025, 4, 30)))
+ SUMPRODUCT(('Form responses 1'!$C$2:$C1000 = A66) * ('Form responses 1'!$A$2:$A1000 &lt;= DATE(2025, 4, 30)))
+ SUMPRODUCT(('Form responses 1'!$D$2:$D1000 = A66) * ('Form responses 1'!$A$2:$A1000 &lt;= DATE(2025, 4, 30)))
+ SUMPRODUCT(('Form responses 1'!$E$2:$E1000 = A66) * ('Form responses 1'!$A$2:$A1000 &lt;= DATE(2025, 4, 30)))
+ SUMPRODUCT(('Form responses 1'!$F$2:$F1000 = A66) * ('Form responses 1'!$A$2:$A1000 &lt;= DATE(2025, 4, 30)))
+ SUMPRODUCT(('Form responses 1'!$G$2:$G1000 = A66) * ('Form responses 1'!$A$2:$A1000 &lt;= DATE(2025, 4, 30)))), 2), "-")
</f>
        <v>17</v>
      </c>
      <c r="S66" s="2">
        <f>IFERROR(ROUND(Data!B61/(SUMPRODUCT(('Form responses 1'!$B$2:$B1000 = A66) * ('Form responses 1'!$A$2:$A1000 &lt;= DATE(2025, 5, 31)))
+ SUMPRODUCT(('Form responses 1'!$C$2:$C1000 = A66) * ('Form responses 1'!$A$2:$A1000 &lt;= DATE(2025, 5, 31)))
+ SUMPRODUCT(('Form responses 1'!$D$2:$D1000 = A66) * ('Form responses 1'!$A$2:$A1000 &lt;= DATE(2025, 5, 31)))
+ SUMPRODUCT(('Form responses 1'!$E$2:$E1000 = A66) * ('Form responses 1'!$A$2:$A1000 &lt;= DATE(2025, 5, 31)))
+ SUMPRODUCT(('Form responses 1'!$F$2:$F1000 = A66) * ('Form responses 1'!$A$2:$A1000 &lt;= DATE(2025, 5, 31)))
+ SUMPRODUCT(('Form responses 1'!$G$2:$G1000 = A66) * ('Form responses 1'!$A$2:$A1000 &lt;= DATE(2025, 5, 31)))), 2), "-")
</f>
        <v>17</v>
      </c>
      <c r="T66" s="2">
        <f>IFERROR(ROUND(Data!B61/(SUMPRODUCT(('Form responses 1'!$B$2:$B1000 = A66) * ('Form responses 1'!$A$2:$A1000 &lt;= DATE(2025, 6, 30)))
+ SUMPRODUCT(('Form responses 1'!$C$2:$C1000 = A66) * ('Form responses 1'!$A$2:$A1000 &lt;= DATE(2025, 6, 30)))
+ SUMPRODUCT(('Form responses 1'!$D$2:$D1000 = A66) * ('Form responses 1'!$A$2:$A1000 &lt;= DATE(2025, 6, 30)))
+ SUMPRODUCT(('Form responses 1'!$E$2:$E1000 = A66) * ('Form responses 1'!$A$2:$A1000 &lt;= DATE(2025, 6, 30)))
+ SUMPRODUCT(('Form responses 1'!$F$2:$F1000 = A66) * ('Form responses 1'!$A$2:$A1000 &lt;= DATE(2025, 6, 30)))
+ SUMPRODUCT(('Form responses 1'!$G$2:$G1000 = A66) * ('Form responses 1'!$A$2:$A1000 &lt;= DATE(2025, 6, 30)))), 2), "-")
</f>
        <v>17</v>
      </c>
      <c r="U66" s="2">
        <f>IFERROR(ROUND(Data!B61/(SUMPRODUCT(('Form responses 1'!$B$2:$B1000 = A66) * ('Form responses 1'!$A$2:$A1000 &lt;= DATE(2025, 7, 31)))
+ SUMPRODUCT(('Form responses 1'!$C$2:$C1000 = A66) * ('Form responses 1'!$A$2:$A1000 &lt;= DATE(2025, 7, 31)))
+ SUMPRODUCT(('Form responses 1'!$D$2:$D1000 = A66) * ('Form responses 1'!$A$2:$A1000 &lt;= DATE(2025, 7, 31)))
+ SUMPRODUCT(('Form responses 1'!$E$2:$E1000 = A66) * ('Form responses 1'!$A$2:$A1000 &lt;= DATE(2025, 7, 31)))
+ SUMPRODUCT(('Form responses 1'!$F$2:$F1000 = A66) * ('Form responses 1'!$A$2:$A1000 &lt;= DATE(2025, 7, 31)))
+ SUMPRODUCT(('Form responses 1'!$G$2:$G1000 = A66) * ('Form responses 1'!$A$2:$A1000 &lt;= DATE(2025, 7, 31)))), 2), "-")
</f>
        <v>17</v>
      </c>
      <c r="V66" s="2">
        <f>IFERROR(ROUND(Data!B61/(SUMPRODUCT(('Form responses 1'!$B$2:$B1000 = A66) * ('Form responses 1'!$A$2:$A1000 &lt;= DATE(2025, 8, 31)))
+ SUMPRODUCT(('Form responses 1'!$C$2:$C1000 = A66) * ('Form responses 1'!$A$2:$A1000 &lt;= DATE(2025, 8, 31)))
+ SUMPRODUCT(('Form responses 1'!$D$2:$D1000 = A66) * ('Form responses 1'!$A$2:$A1000 &lt;= DATE(2025, 8, 31)))
+ SUMPRODUCT(('Form responses 1'!$E$2:$E1000 = A66) * ('Form responses 1'!$A$2:$A1000 &lt;= DATE(2025, 8, 31)))
+ SUMPRODUCT(('Form responses 1'!$F$2:$F1000 = A66) * ('Form responses 1'!$A$2:$A1000 &lt;= DATE(2025, 8, 31)))
+ SUMPRODUCT(('Form responses 1'!$G$2:$G1000 = A66) * ('Form responses 1'!$A$2:$A1000 &lt;= DATE(2025, 8, 31)))), 2), "-")
</f>
        <v>17</v>
      </c>
      <c r="W66" s="2">
        <f>IFERROR(ROUND(Data!B61/(SUMPRODUCT(('Form responses 1'!$B$2:$B1000 = A66) * ('Form responses 1'!$A$2:$A1000 &lt;= DATE(2025, 9, 30)))
+ SUMPRODUCT(('Form responses 1'!$C$2:$C1000 = A66) * ('Form responses 1'!$A$2:$A1000 &lt;= DATE(2025, 9, 30)))
+ SUMPRODUCT(('Form responses 1'!$D$2:$D1000 = A66) * ('Form responses 1'!$A$2:$A1000 &lt;= DATE(2025, 9, 30)))
+ SUMPRODUCT(('Form responses 1'!$E$2:$E1000 = A66) * ('Form responses 1'!$A$2:$A1000 &lt;= DATE(2025, 9, 30)))
+ SUMPRODUCT(('Form responses 1'!$F$2:$F1000 = A66) * ('Form responses 1'!$A$2:$A1000 &lt;= DATE(2025, 9, 30)))
+ SUMPRODUCT(('Form responses 1'!$G$2:$G1000 = A66) * ('Form responses 1'!$A$2:$A1000 &lt;= DATE(2025, 9, 30)))), 2), "-")
</f>
        <v>17</v>
      </c>
      <c r="X66" s="2">
        <f>IFERROR(ROUND(Data!B61/(SUMPRODUCT(('Form responses 1'!$B$2:$B1000 = A66) * ('Form responses 1'!$A$2:$A1000 &lt;= DATE(2025, 10, 31)))
+ SUMPRODUCT(('Form responses 1'!$C$2:$C1000 = A66) * ('Form responses 1'!$A$2:$A1000 &lt;= DATE(2025, 10, 31)))
+ SUMPRODUCT(('Form responses 1'!$D$2:$D1000 = A66) * ('Form responses 1'!$A$2:$A1000 &lt;= DATE(2025, 10, 31)))
+ SUMPRODUCT(('Form responses 1'!$E$2:$E1000 = A66) * ('Form responses 1'!$A$2:$A1000 &lt;= DATE(2025, 10, 31)))
+ SUMPRODUCT(('Form responses 1'!$F$2:$F1000 = A66) * ('Form responses 1'!$A$2:$A1000 &lt;= DATE(2025, 10, 31)))
+ SUMPRODUCT(('Form responses 1'!$G$2:$G1000 = A66) * ('Form responses 1'!$A$2:$A1000 &lt;= DATE(2025, 10, 31)))), 2), "-")
</f>
        <v>17</v>
      </c>
      <c r="Y66" s="2">
        <f>IFERROR(ROUND(Data!B61/(SUMPRODUCT(('Form responses 1'!$B$2:$B1000 = A66) * ('Form responses 1'!$A$2:$A1000 &lt;= DATE(2025, 11, 30)))
+ SUMPRODUCT(('Form responses 1'!$C$2:$C1000 = A66) * ('Form responses 1'!$A$2:$A1000 &lt;= DATE(2025, 11, 30)))
+ SUMPRODUCT(('Form responses 1'!$D$2:$D1000 = A66) * ('Form responses 1'!$A$2:$A1000 &lt;= DATE(2025, 11, 30)))
+ SUMPRODUCT(('Form responses 1'!$E$2:$E1000 = A66) * ('Form responses 1'!$A$2:$A1000 &lt;= DATE(2025, 11, 30)))
+ SUMPRODUCT(('Form responses 1'!$F$2:$F1000 = A66) * ('Form responses 1'!$A$2:$A1000 &lt;= DATE(2025, 11, 30)))
+ SUMPRODUCT(('Form responses 1'!$G$2:$G1000 = A66) * ('Form responses 1'!$A$2:$A1000 &lt;= DATE(2025, 11, 30)))), 2), "-")
</f>
        <v>17</v>
      </c>
      <c r="Z66" s="2">
        <f>IFERROR(ROUND(Data!B61/(SUMPRODUCT(('Form responses 1'!$B$2:$B1000 = A66) * ('Form responses 1'!$A$2:$A1000 &lt;= DATE(2025, 12, 31)))
+ SUMPRODUCT(('Form responses 1'!$C$2:$C1000 = A66) * ('Form responses 1'!$A$2:$A1000 &lt;= DATE(2025, 12, 31)))
+ SUMPRODUCT(('Form responses 1'!$D$2:$D1000 = A66) * ('Form responses 1'!$A$2:$A1000 &lt;= DATE(2025, 12, 31)))
+ SUMPRODUCT(('Form responses 1'!$E$2:$E1000 = A66) * ('Form responses 1'!$A$2:$A1000 &lt;= DATE(2025, 12, 31)))
+ SUMPRODUCT(('Form responses 1'!$F$2:$F1000 = A66) * ('Form responses 1'!$A$2:$A1000 &lt;= DATE(2025, 12, 31)))
+ SUMPRODUCT(('Form responses 1'!$G$2:$G1000 = A66) * ('Form responses 1'!$A$2:$A1000 &lt;= DATE(2025, 12, 31)))), 2), "-")
</f>
        <v>17</v>
      </c>
      <c r="AA66" s="2">
        <f>IFERROR(ROUND(Data!$B66/(
  SUMPRODUCT(('Form responses 1'!$B$2:$B1000=$A66)*('Form responses 1'!$A$2:$A1000&lt;=EOMONTH(DATEVALUE("1 "&amp;AA$1),0)))+
  SUMPRODUCT(('Form responses 1'!$C$2:$C1000=$A66)*('Form responses 1'!$A$2:$A1000&lt;=EOMONTH(DATEVALUE("1 "&amp;AA$1),0)))+
  SUMPRODUCT(('Form responses 1'!$D$2:$D1000=$A66)*('Form responses 1'!$A$2:$A1000&lt;=EOMONTH(DATEVALUE("1 "&amp;AA$1),0)))+
  SUMPRODUCT(('Form responses 1'!$E$2:$E1000=$A66)*('Form responses 1'!$A$2:$A1000&lt;=EOMONTH(DATEVALUE("1 "&amp;AA$1),0)))+
  SUMPRODUCT(('Form responses 1'!$F$2:$F1000=$A66)*('Form responses 1'!$A$2:$A1000&lt;=EOMONTH(DATEVALUE("1 "&amp;AA$1),0)))+
  SUMPRODUCT(('Form responses 1'!$G$2:$G1000=$A66)*('Form responses 1'!$A$2:$A1000&lt;=EOMONTH(DATEVALUE("1 "&amp;AA$1),0)))
),2),"-")</f>
        <v>8</v>
      </c>
      <c r="AB66" s="2">
        <f>IFERROR(ROUND(Data!$B66/(
  SUMPRODUCT(('Form responses 1'!$B$2:$B1000=$A66)*('Form responses 1'!$A$2:$A1000&lt;=EOMONTH(DATEVALUE("1 "&amp;AB$1),0)))+
  SUMPRODUCT(('Form responses 1'!$C$2:$C1000=$A66)*('Form responses 1'!$A$2:$A1000&lt;=EOMONTH(DATEVALUE("1 "&amp;AB$1),0)))+
  SUMPRODUCT(('Form responses 1'!$D$2:$D1000=$A66)*('Form responses 1'!$A$2:$A1000&lt;=EOMONTH(DATEVALUE("1 "&amp;AB$1),0)))+
  SUMPRODUCT(('Form responses 1'!$E$2:$E1000=$A66)*('Form responses 1'!$A$2:$A1000&lt;=EOMONTH(DATEVALUE("1 "&amp;AB$1),0)))+
  SUMPRODUCT(('Form responses 1'!$F$2:$F1000=$A66)*('Form responses 1'!$A$2:$A1000&lt;=EOMONTH(DATEVALUE("1 "&amp;AB$1),0)))+
  SUMPRODUCT(('Form responses 1'!$G$2:$G1000=$A66)*('Form responses 1'!$A$2:$A1000&lt;=EOMONTH(DATEVALUE("1 "&amp;AB$1),0)))
),2),"-")</f>
        <v>8</v>
      </c>
      <c r="AC66" s="2">
        <f>IFERROR(ROUND(Data!$B66/(
  SUMPRODUCT(('Form responses 1'!$B$2:$B1000=$A66)*('Form responses 1'!$A$2:$A1000&lt;=EOMONTH(DATEVALUE("1 "&amp;AC$1),0)))+
  SUMPRODUCT(('Form responses 1'!$C$2:$C1000=$A66)*('Form responses 1'!$A$2:$A1000&lt;=EOMONTH(DATEVALUE("1 "&amp;AC$1),0)))+
  SUMPRODUCT(('Form responses 1'!$D$2:$D1000=$A66)*('Form responses 1'!$A$2:$A1000&lt;=EOMONTH(DATEVALUE("1 "&amp;AC$1),0)))+
  SUMPRODUCT(('Form responses 1'!$E$2:$E1000=$A66)*('Form responses 1'!$A$2:$A1000&lt;=EOMONTH(DATEVALUE("1 "&amp;AC$1),0)))+
  SUMPRODUCT(('Form responses 1'!$F$2:$F1000=$A66)*('Form responses 1'!$A$2:$A1000&lt;=EOMONTH(DATEVALUE("1 "&amp;AC$1),0)))+
  SUMPRODUCT(('Form responses 1'!$G$2:$G1000=$A66)*('Form responses 1'!$A$2:$A1000&lt;=EOMONTH(DATEVALUE("1 "&amp;AC$1),0)))
),2),"-")</f>
        <v>8</v>
      </c>
      <c r="AD66" s="2" t="str">
        <f>IFERROR(ROUND(Data!$B66/(
  SUMPRODUCT(('Form responses 1'!$B$2:$B1000=$A66)*('Form responses 1'!$A$2:$A1000&lt;=EOMONTH(DATEVALUE("1 "&amp;AD$1),0)))+
  SUMPRODUCT(('Form responses 1'!$C$2:$C1000=$A66)*('Form responses 1'!$A$2:$A1000&lt;=EOMONTH(DATEVALUE("1 "&amp;AD$1),0)))+
  SUMPRODUCT(('Form responses 1'!$D$2:$D1000=$A66)*('Form responses 1'!$A$2:$A1000&lt;=EOMONTH(DATEVALUE("1 "&amp;AD$1),0)))+
  SUMPRODUCT(('Form responses 1'!$E$2:$E1000=$A66)*('Form responses 1'!$A$2:$A1000&lt;=EOMONTH(DATEVALUE("1 "&amp;AD$1),0)))+
  SUMPRODUCT(('Form responses 1'!$F$2:$F1000=$A66)*('Form responses 1'!$A$2:$A1000&lt;=EOMONTH(DATEVALUE("1 "&amp;AD$1),0)))+
  SUMPRODUCT(('Form responses 1'!$G$2:$G1000=$A66)*('Form responses 1'!$A$2:$A1000&lt;=EOMONTH(DATEVALUE("1 "&amp;AD$1),0)))
),2),"-")</f>
        <v>-</v>
      </c>
      <c r="AE66" s="2" t="str">
        <f>IFERROR(ROUND(Data!$B66/(
  SUMPRODUCT(('Form responses 1'!$B$2:$B1000=$A66)*('Form responses 1'!$A$2:$A1000&lt;=EOMONTH(DATEVALUE("1 "&amp;AE$1),0)))+
  SUMPRODUCT(('Form responses 1'!$C$2:$C1000=$A66)*('Form responses 1'!$A$2:$A1000&lt;=EOMONTH(DATEVALUE("1 "&amp;AE$1),0)))+
  SUMPRODUCT(('Form responses 1'!$D$2:$D1000=$A66)*('Form responses 1'!$A$2:$A1000&lt;=EOMONTH(DATEVALUE("1 "&amp;AE$1),0)))+
  SUMPRODUCT(('Form responses 1'!$E$2:$E1000=$A66)*('Form responses 1'!$A$2:$A1000&lt;=EOMONTH(DATEVALUE("1 "&amp;AE$1),0)))+
  SUMPRODUCT(('Form responses 1'!$F$2:$F1000=$A66)*('Form responses 1'!$A$2:$A1000&lt;=EOMONTH(DATEVALUE("1 "&amp;AE$1),0)))+
  SUMPRODUCT(('Form responses 1'!$G$2:$G1000=$A66)*('Form responses 1'!$A$2:$A1000&lt;=EOMONTH(DATEVALUE("1 "&amp;AE$1),0)))
),2),"-")</f>
        <v>-</v>
      </c>
      <c r="AF66" s="2" t="str">
        <f>IFERROR(ROUND(Data!$B66/(
  SUMPRODUCT(('Form responses 1'!$B$2:$B1000=$A66)*('Form responses 1'!$A$2:$A1000&lt;=EOMONTH(DATEVALUE("1 "&amp;AF$1),0)))+
  SUMPRODUCT(('Form responses 1'!$C$2:$C1000=$A66)*('Form responses 1'!$A$2:$A1000&lt;=EOMONTH(DATEVALUE("1 "&amp;AF$1),0)))+
  SUMPRODUCT(('Form responses 1'!$D$2:$D1000=$A66)*('Form responses 1'!$A$2:$A1000&lt;=EOMONTH(DATEVALUE("1 "&amp;AF$1),0)))+
  SUMPRODUCT(('Form responses 1'!$E$2:$E1000=$A66)*('Form responses 1'!$A$2:$A1000&lt;=EOMONTH(DATEVALUE("1 "&amp;AF$1),0)))+
  SUMPRODUCT(('Form responses 1'!$F$2:$F1000=$A66)*('Form responses 1'!$A$2:$A1000&lt;=EOMONTH(DATEVALUE("1 "&amp;AF$1),0)))+
  SUMPRODUCT(('Form responses 1'!$G$2:$G1000=$A66)*('Form responses 1'!$A$2:$A1000&lt;=EOMONTH(DATEVALUE("1 "&amp;AF$1),0)))
),2),"-")</f>
        <v>-</v>
      </c>
      <c r="AG66" s="2" t="str">
        <f>IFERROR(ROUND(Data!$B66/(
  SUMPRODUCT(('Form responses 1'!$B$2:$B1000=$A66)*('Form responses 1'!$A$2:$A1000&lt;=EOMONTH(DATEVALUE("1 "&amp;AG$1),0)))+
  SUMPRODUCT(('Form responses 1'!$C$2:$C1000=$A66)*('Form responses 1'!$A$2:$A1000&lt;=EOMONTH(DATEVALUE("1 "&amp;AG$1),0)))+
  SUMPRODUCT(('Form responses 1'!$D$2:$D1000=$A66)*('Form responses 1'!$A$2:$A1000&lt;=EOMONTH(DATEVALUE("1 "&amp;AG$1),0)))+
  SUMPRODUCT(('Form responses 1'!$E$2:$E1000=$A66)*('Form responses 1'!$A$2:$A1000&lt;=EOMONTH(DATEVALUE("1 "&amp;AG$1),0)))+
  SUMPRODUCT(('Form responses 1'!$F$2:$F1000=$A66)*('Form responses 1'!$A$2:$A1000&lt;=EOMONTH(DATEVALUE("1 "&amp;AG$1),0)))+
  SUMPRODUCT(('Form responses 1'!$G$2:$G1000=$A66)*('Form responses 1'!$A$2:$A1000&lt;=EOMONTH(DATEVALUE("1 "&amp;AG$1),0)))
),2),"-")</f>
        <v>-</v>
      </c>
      <c r="AH66" s="2" t="str">
        <f>IFERROR(ROUND(Data!$B66/(
  SUMPRODUCT(('Form responses 1'!$B$2:$B1000=$A66)*('Form responses 1'!$A$2:$A1000&lt;=EOMONTH(DATEVALUE("1 "&amp;AH$1),0)))+
  SUMPRODUCT(('Form responses 1'!$C$2:$C1000=$A66)*('Form responses 1'!$A$2:$A1000&lt;=EOMONTH(DATEVALUE("1 "&amp;AH$1),0)))+
  SUMPRODUCT(('Form responses 1'!$D$2:$D1000=$A66)*('Form responses 1'!$A$2:$A1000&lt;=EOMONTH(DATEVALUE("1 "&amp;AH$1),0)))+
  SUMPRODUCT(('Form responses 1'!$E$2:$E1000=$A66)*('Form responses 1'!$A$2:$A1000&lt;=EOMONTH(DATEVALUE("1 "&amp;AH$1),0)))+
  SUMPRODUCT(('Form responses 1'!$F$2:$F1000=$A66)*('Form responses 1'!$A$2:$A1000&lt;=EOMONTH(DATEVALUE("1 "&amp;AH$1),0)))+
  SUMPRODUCT(('Form responses 1'!$G$2:$G1000=$A66)*('Form responses 1'!$A$2:$A1000&lt;=EOMONTH(DATEVALUE("1 "&amp;AH$1),0)))
),2),"-")</f>
        <v>-</v>
      </c>
      <c r="AI66" s="2" t="str">
        <f>IFERROR(ROUND(Data!$B66/(
  SUMPRODUCT(('Form responses 1'!$B$2:$B1000=$A66)*('Form responses 1'!$A$2:$A1000&lt;=EOMONTH(DATEVALUE("1 "&amp;AI$1),0)))+
  SUMPRODUCT(('Form responses 1'!$C$2:$C1000=$A66)*('Form responses 1'!$A$2:$A1000&lt;=EOMONTH(DATEVALUE("1 "&amp;AI$1),0)))+
  SUMPRODUCT(('Form responses 1'!$D$2:$D1000=$A66)*('Form responses 1'!$A$2:$A1000&lt;=EOMONTH(DATEVALUE("1 "&amp;AI$1),0)))+
  SUMPRODUCT(('Form responses 1'!$E$2:$E1000=$A66)*('Form responses 1'!$A$2:$A1000&lt;=EOMONTH(DATEVALUE("1 "&amp;AI$1),0)))+
  SUMPRODUCT(('Form responses 1'!$F$2:$F1000=$A66)*('Form responses 1'!$A$2:$A1000&lt;=EOMONTH(DATEVALUE("1 "&amp;AI$1),0)))+
  SUMPRODUCT(('Form responses 1'!$G$2:$G1000=$A66)*('Form responses 1'!$A$2:$A1000&lt;=EOMONTH(DATEVALUE("1 "&amp;AI$1),0)))
),2),"-")</f>
        <v>-</v>
      </c>
      <c r="AJ66" s="2" t="str">
        <f>IFERROR(ROUND(Data!$B66/(
  SUMPRODUCT(('Form responses 1'!$B$2:$B1000=$A66)*('Form responses 1'!$A$2:$A1000&lt;=EOMONTH(DATEVALUE("1 "&amp;AJ$1),0)))+
  SUMPRODUCT(('Form responses 1'!$C$2:$C1000=$A66)*('Form responses 1'!$A$2:$A1000&lt;=EOMONTH(DATEVALUE("1 "&amp;AJ$1),0)))+
  SUMPRODUCT(('Form responses 1'!$D$2:$D1000=$A66)*('Form responses 1'!$A$2:$A1000&lt;=EOMONTH(DATEVALUE("1 "&amp;AJ$1),0)))+
  SUMPRODUCT(('Form responses 1'!$E$2:$E1000=$A66)*('Form responses 1'!$A$2:$A1000&lt;=EOMONTH(DATEVALUE("1 "&amp;AJ$1),0)))+
  SUMPRODUCT(('Form responses 1'!$F$2:$F1000=$A66)*('Form responses 1'!$A$2:$A1000&lt;=EOMONTH(DATEVALUE("1 "&amp;AJ$1),0)))+
  SUMPRODUCT(('Form responses 1'!$G$2:$G1000=$A66)*('Form responses 1'!$A$2:$A1000&lt;=EOMONTH(DATEVALUE("1 "&amp;AJ$1),0)))
),2),"-")</f>
        <v>-</v>
      </c>
      <c r="AK66" s="2" t="str">
        <f>IFERROR(ROUND(Data!$B66/(
  SUMPRODUCT(('Form responses 1'!$B$2:$B1000=$A66)*('Form responses 1'!$A$2:$A1000&lt;=EOMONTH(DATEVALUE("1 "&amp;AK$1),0)))+
  SUMPRODUCT(('Form responses 1'!$C$2:$C1000=$A66)*('Form responses 1'!$A$2:$A1000&lt;=EOMONTH(DATEVALUE("1 "&amp;AK$1),0)))+
  SUMPRODUCT(('Form responses 1'!$D$2:$D1000=$A66)*('Form responses 1'!$A$2:$A1000&lt;=EOMONTH(DATEVALUE("1 "&amp;AK$1),0)))+
  SUMPRODUCT(('Form responses 1'!$E$2:$E1000=$A66)*('Form responses 1'!$A$2:$A1000&lt;=EOMONTH(DATEVALUE("1 "&amp;AK$1),0)))+
  SUMPRODUCT(('Form responses 1'!$F$2:$F1000=$A66)*('Form responses 1'!$A$2:$A1000&lt;=EOMONTH(DATEVALUE("1 "&amp;AK$1),0)))+
  SUMPRODUCT(('Form responses 1'!$G$2:$G1000=$A66)*('Form responses 1'!$A$2:$A1000&lt;=EOMONTH(DATEVALUE("1 "&amp;AK$1),0)))
),2),"-")</f>
        <v>-</v>
      </c>
      <c r="AL66" s="2" t="str">
        <f>IFERROR(ROUND(Data!$B66/(
  SUMPRODUCT(('Form responses 1'!$B$2:$B1000=$A66)*('Form responses 1'!$A$2:$A1000&lt;=EOMONTH(DATEVALUE("1 "&amp;AL$1),0)))+
  SUMPRODUCT(('Form responses 1'!$C$2:$C1000=$A66)*('Form responses 1'!$A$2:$A1000&lt;=EOMONTH(DATEVALUE("1 "&amp;AL$1),0)))+
  SUMPRODUCT(('Form responses 1'!$D$2:$D1000=$A66)*('Form responses 1'!$A$2:$A1000&lt;=EOMONTH(DATEVALUE("1 "&amp;AL$1),0)))+
  SUMPRODUCT(('Form responses 1'!$E$2:$E1000=$A66)*('Form responses 1'!$A$2:$A1000&lt;=EOMONTH(DATEVALUE("1 "&amp;AL$1),0)))+
  SUMPRODUCT(('Form responses 1'!$F$2:$F1000=$A66)*('Form responses 1'!$A$2:$A1000&lt;=EOMONTH(DATEVALUE("1 "&amp;AL$1),0)))+
  SUMPRODUCT(('Form responses 1'!$G$2:$G1000=$A66)*('Form responses 1'!$A$2:$A1000&lt;=EOMONTH(DATEVALUE("1 "&amp;AL$1),0)))
),2),"-")</f>
        <v>-</v>
      </c>
    </row>
    <row r="67">
      <c r="A67" s="3" t="str">
        <f>IFERROR(__xludf.DUMMYFUNCTION("""COMPUTED_VALUE"""),"Witte blouse oud")</f>
        <v>Witte blouse oud</v>
      </c>
      <c r="B67" s="2">
        <f>Data!F62:F1000</f>
        <v>0</v>
      </c>
      <c r="C67" s="2" t="str">
        <f>IFERROR(ROUND(Data!B62/(SUMPRODUCT(('Form responses 1'!$B$2:$B1000 = A67) * ('Form responses 1'!$A$2:$A1000 &lt;= DATE(2024, 1, 31)))
+ SUMPRODUCT(('Form responses 1'!$C$2:$C1000 = A67) * ('Form responses 1'!$A$2:$A1000 &lt;= DATE(2024, 1, 31)))
+ SUMPRODUCT(('Form responses 1'!$D$2:$D1000 = A67) * ('Form responses 1'!$A$2:$A1000 &lt;= DATE(2024, 1, 31)))
+ SUMPRODUCT(('Form responses 1'!$E$2:$E1000 = A67) * ('Form responses 1'!$A$2:$A1000 &lt;= DATE(2024, 1, 31)))
+ SUMPRODUCT(('Form responses 1'!$F$2:$F1000 = A67) * ('Form responses 1'!$A$2:$A1000 &lt;= DATE(2024, 1, 31)))
+ SUMPRODUCT(('Form responses 1'!$G$2:$G1000 = A67) * ('Form responses 1'!$A$2:$A1000 &lt;= DATE(2024, 1, 31)))), 2), "-")
</f>
        <v>-</v>
      </c>
      <c r="D67" s="2" t="str">
        <f>IFERROR(ROUND(Data!B62/(SUMPRODUCT(('Form responses 1'!$B$2:$B1000 = A67) * ('Form responses 1'!$A$2:$A1000 &lt;= DATE(2024, 2, 29)))
+ SUMPRODUCT(('Form responses 1'!$C$2:$C1000 = A67) * ('Form responses 1'!$A$2:$A1000 &lt;= DATE(2024, 2, 29)))
+ SUMPRODUCT(('Form responses 1'!$D$2:$D1000 = A67) * ('Form responses 1'!$A$2:$A1000 &lt;= DATE(2024, 2, 29)))
+ SUMPRODUCT(('Form responses 1'!$E$2:$E1000 = A67) * ('Form responses 1'!$A$2:$A1000 &lt;= DATE(2024, 2, 29)))
+ SUMPRODUCT(('Form responses 1'!$F$2:$F1000 = A67) * ('Form responses 1'!$A$2:$A1000 &lt;= DATE(2024, 2, 29)))
+ SUMPRODUCT(('Form responses 1'!$G$2:$G1000 = A67) * ('Form responses 1'!$A$2:$A1000 &lt;= DATE(2024, 2, 29)))), 2), "-")
</f>
        <v>-</v>
      </c>
      <c r="E67" s="2" t="str">
        <f>IFERROR(ROUND(Data!B62/(SUMPRODUCT(('Form responses 1'!$B$2:$B1000 = A67) * ('Form responses 1'!$A$2:$A1000 &lt;= DATE(2024, 3, 31)))
+ SUMPRODUCT(('Form responses 1'!$C$2:$C1000 = A67) * ('Form responses 1'!$A$2:$A1000 &lt;= DATE(2024, 3, 31)))
+ SUMPRODUCT(('Form responses 1'!$D$2:$D1000 = A67) * ('Form responses 1'!$A$2:$A1000 &lt;= DATE(2024, 3, 31)))
+ SUMPRODUCT(('Form responses 1'!$E$2:$E1000 = A67) * ('Form responses 1'!$A$2:$A1000 &lt;= DATE(2024, 3, 31)))
+ SUMPRODUCT(('Form responses 1'!$F$2:$F1000 = A67) * ('Form responses 1'!$A$2:$A1000 &lt;= DATE(2024, 3, 31)))
+ SUMPRODUCT(('Form responses 1'!$G$2:$G1000 = A67) * ('Form responses 1'!$A$2:$A1000 &lt;= DATE(2024, 3, 31)))), 2), "-")
</f>
        <v>-</v>
      </c>
      <c r="F67" s="2" t="str">
        <f>IFERROR(ROUND(Data!B62/(SUMPRODUCT(('Form responses 1'!$B$2:$B1000 = A67) * ('Form responses 1'!$A$2:$A1000 &lt;= DATE(2024, 4, 30)))
+ SUMPRODUCT(('Form responses 1'!$C$2:$C1000 = A67) * ('Form responses 1'!$A$2:$A1000 &lt;= DATE(2024, 4, 30)))
+ SUMPRODUCT(('Form responses 1'!$D$2:$D1000 = A67) * ('Form responses 1'!$A$2:$A1000 &lt;= DATE(2024, 4, 30)))
+ SUMPRODUCT(('Form responses 1'!$E$2:$E1000 = A67) * ('Form responses 1'!$A$2:$A1000 &lt;= DATE(2024, 4, 30)))
+ SUMPRODUCT(('Form responses 1'!$F$2:$F1000 = A67) * ('Form responses 1'!$A$2:$A1000 &lt;= DATE(2024, 4, 30)))
+ SUMPRODUCT(('Form responses 1'!$G$2:$G1000 = A67) * ('Form responses 1'!$A$2:$A1000 &lt;= DATE(2024, 4, 30)))), 2), "-")
</f>
        <v>-</v>
      </c>
      <c r="G67" s="2" t="str">
        <f>IFERROR(ROUND(Data!B62/(SUMPRODUCT(('Form responses 1'!$B$2:$B1000 = A67) * ('Form responses 1'!$A$2:$A1000 &lt;= DATE(2024, 5, 31)))
+ SUMPRODUCT(('Form responses 1'!$C$2:$C1000 = A67) * ('Form responses 1'!$A$2:$A1000 &lt;= DATE(2024, 5, 31)))
+ SUMPRODUCT(('Form responses 1'!$D$2:$D1000 = A67) * ('Form responses 1'!$A$2:$A1000 &lt;= DATE(2024, 5, 31)))
+ SUMPRODUCT(('Form responses 1'!$E$2:$E1000 = A67) * ('Form responses 1'!$A$2:$A1000 &lt;= DATE(2024, 5, 31)))
+ SUMPRODUCT(('Form responses 1'!$F$2:$F1000 = A67) * ('Form responses 1'!$A$2:$A1000 &lt;= DATE(2024, 5, 31)))
+ SUMPRODUCT(('Form responses 1'!$G$2:$G1000 = A67) * ('Form responses 1'!$A$2:$A1000 &lt;= DATE(2024, 5, 31)))), 2), "-")
</f>
        <v>-</v>
      </c>
      <c r="H67" s="2" t="str">
        <f>IFERROR(ROUND(Data!B62/(SUMPRODUCT(('Form responses 1'!$B$2:$B1000 = A67) * ('Form responses 1'!$A$2:$A1000 &lt;= DATE(2024, 6, 30)))
+ SUMPRODUCT(('Form responses 1'!$C$2:$C1000 = A67) * ('Form responses 1'!$A$2:$A1000 &lt;= DATE(2024, 6, 30)))
+ SUMPRODUCT(('Form responses 1'!$D$2:$D1000 = A67) * ('Form responses 1'!$A$2:$A1000 &lt;= DATE(2024, 6, 30)))
+ SUMPRODUCT(('Form responses 1'!$E$2:$E1000 = A67) * ('Form responses 1'!$A$2:$A1000 &lt;= DATE(2024, 6, 30)))
+ SUMPRODUCT(('Form responses 1'!$F$2:$F1000 = A67) * ('Form responses 1'!$A$2:$A1000 &lt;= DATE(2024, 6, 30)))
+ SUMPRODUCT(('Form responses 1'!$G$2:$G1000 = A67) * ('Form responses 1'!$A$2:$A1000 &lt;= DATE(2024, 6, 30)))), 2), "-")
</f>
        <v>-</v>
      </c>
      <c r="I67" s="2">
        <f>IFERROR(ROUND(Data!B62/(SUMPRODUCT(('Form responses 1'!$B$2:$B1000 = A67) * ('Form responses 1'!$A$2:$A1000 &lt;= DATE(2024, 7, 31)))
+ SUMPRODUCT(('Form responses 1'!$C$2:$C1000 = A67) * ('Form responses 1'!$A$2:$A1000 &lt;= DATE(2024, 7, 31)))
+ SUMPRODUCT(('Form responses 1'!$D$2:$D1000 = A67) * ('Form responses 1'!$A$2:$A1000 &lt;= DATE(2024, 7, 31)))
+ SUMPRODUCT(('Form responses 1'!$E$2:$E1000 = A67) * ('Form responses 1'!$A$2:$A1000 &lt;= DATE(2024, 7, 31)))
+ SUMPRODUCT(('Form responses 1'!$F$2:$F1000 = A67) * ('Form responses 1'!$A$2:$A1000 &lt;= DATE(2024, 7, 31)))
+ SUMPRODUCT(('Form responses 1'!$G$2:$G1000 = A67) * ('Form responses 1'!$A$2:$A1000 &lt;= DATE(2024, 7, 31)))), 2), "-")
</f>
        <v>18</v>
      </c>
      <c r="J67" s="2">
        <f>IFERROR(ROUND(Data!B62/(SUMPRODUCT(('Form responses 1'!$B$2:$B1000 = A67) * ('Form responses 1'!$A$2:$A1000 &lt;= DATE(2024, 8, 31)))
+ SUMPRODUCT(('Form responses 1'!$C$2:$C1000 = A67) * ('Form responses 1'!$A$2:$A1000 &lt;= DATE(2024, 8, 31)))
+ SUMPRODUCT(('Form responses 1'!$D$2:$D1000 = A67) * ('Form responses 1'!$A$2:$A1000 &lt;= DATE(2024, 8, 31)))
+ SUMPRODUCT(('Form responses 1'!$E$2:$E1000 = A67) * ('Form responses 1'!$A$2:$A1000 &lt;= DATE(2024, 8, 31)))
+ SUMPRODUCT(('Form responses 1'!$F$2:$F1000 = A67) * ('Form responses 1'!$A$2:$A1000 &lt;= DATE(2024, 8, 31)))
+ SUMPRODUCT(('Form responses 1'!$G$2:$G1000 = A67) * ('Form responses 1'!$A$2:$A1000 &lt;= DATE(2024, 8, 31)))), 2), "-")
</f>
        <v>18</v>
      </c>
      <c r="K67" s="2">
        <f>IFERROR(ROUND(Data!B62/(SUMPRODUCT(('Form responses 1'!$B$2:$B1000 = A67) * ('Form responses 1'!$A$2:$A1000 &lt;= DATE(2024, 9, 30)))
+ SUMPRODUCT(('Form responses 1'!$C$2:$C1000 = A67) * ('Form responses 1'!$A$2:$A1000 &lt;= DATE(2024, 9, 30)))
+ SUMPRODUCT(('Form responses 1'!$D$2:$D1000 = A67) * ('Form responses 1'!$A$2:$A1000 &lt;= DATE(2024, 9, 30)))
+ SUMPRODUCT(('Form responses 1'!$E$2:$E1000 = A67) * ('Form responses 1'!$A$2:$A1000 &lt;= DATE(2024, 9, 30)))
+ SUMPRODUCT(('Form responses 1'!$F$2:$F1000 = A67) * ('Form responses 1'!$A$2:$A1000 &lt;= DATE(2024, 9, 30)))
+ SUMPRODUCT(('Form responses 1'!$G$2:$G1000 = A67) * ('Form responses 1'!$A$2:$A1000 &lt;= DATE(2024, 9, 30)))), 2), "-")
</f>
        <v>18</v>
      </c>
      <c r="L67" s="2">
        <f>IFERROR(ROUND(Data!B62/(SUMPRODUCT(('Form responses 1'!$B$2:$B1000 = A67) * ('Form responses 1'!$A$2:$A1000 &lt;= DATE(2024, 10, 31)))
+ SUMPRODUCT(('Form responses 1'!$C$2:$C1000 = A67) * ('Form responses 1'!$A$2:$A1000 &lt;= DATE(2024, 10, 31)))
+ SUMPRODUCT(('Form responses 1'!$D$2:$D1000 = A67) * ('Form responses 1'!$A$2:$A1000 &lt;= DATE(2024, 10, 31)))
+ SUMPRODUCT(('Form responses 1'!$E$2:$E1000 = A67) * ('Form responses 1'!$A$2:$A1000 &lt;= DATE(2024, 10, 31)))
+ SUMPRODUCT(('Form responses 1'!$F$2:$F1000 = A67) * ('Form responses 1'!$A$2:$A1000 &lt;= DATE(2024, 10, 31)))
+ SUMPRODUCT(('Form responses 1'!$G$2:$G1000 = A67) * ('Form responses 1'!$A$2:$A1000 &lt;= DATE(2024, 10, 31)))), 2), "-")
</f>
        <v>18</v>
      </c>
      <c r="M67" s="2">
        <f>IFERROR(ROUND(Data!B62/(SUMPRODUCT(('Form responses 1'!$B$2:$B1000 = A67) * ('Form responses 1'!$A$2:$A1000 &lt;= DATE(2024, 11, 30)))
+ SUMPRODUCT(('Form responses 1'!$C$2:$C1000 = A67) * ('Form responses 1'!$A$2:$A1000 &lt;= DATE(2024, 11, 30)))
+ SUMPRODUCT(('Form responses 1'!$D$2:$D1000 = A67) * ('Form responses 1'!$A$2:$A1000 &lt;= DATE(2024, 11, 30)))
+ SUMPRODUCT(('Form responses 1'!$E$2:$E1000 = A67) * ('Form responses 1'!$A$2:$A1000 &lt;= DATE(2024, 11, 30)))
+ SUMPRODUCT(('Form responses 1'!$F$2:$F1000 = A67) * ('Form responses 1'!$A$2:$A1000 &lt;= DATE(2024, 11, 30)))
+ SUMPRODUCT(('Form responses 1'!$G$2:$G1000 = A67) * ('Form responses 1'!$A$2:$A1000 &lt;= DATE(2024, 11, 30)))), 2), "-")
</f>
        <v>18</v>
      </c>
      <c r="N67" s="2">
        <f>IFERROR(ROUND(Data!B62/(SUMPRODUCT(('Form responses 1'!$B$2:$B1000 = A67) * ('Form responses 1'!$A$2:$A1000 &lt;= DATE(2024, 12, 31)))
+ SUMPRODUCT(('Form responses 1'!$C$2:$C1000 = A67) * ('Form responses 1'!$A$2:$A1000 &lt;= DATE(2024, 12, 31)))
+ SUMPRODUCT(('Form responses 1'!$D$2:$D1000 = A67) * ('Form responses 1'!$A$2:$A1000 &lt;= DATE(2024, 12, 31)))
+ SUMPRODUCT(('Form responses 1'!$E$2:$E1000 = A67) * ('Form responses 1'!$A$2:$A1000 &lt;= DATE(2024, 12, 31)))
+ SUMPRODUCT(('Form responses 1'!$F$2:$F1000 = A67) * ('Form responses 1'!$A$2:$A1000 &lt;= DATE(2024, 12, 31)))
+ SUMPRODUCT(('Form responses 1'!$G$2:$G1000 = A67) * ('Form responses 1'!$A$2:$A1000 &lt;= DATE(2024, 12, 31)))), 2), "-")
</f>
        <v>18</v>
      </c>
      <c r="O67" s="2">
        <f>IFERROR(ROUND(Data!B62/(SUMPRODUCT(('Form responses 1'!$B$2:$B1000 = A67) * ('Form responses 1'!$A$2:$A1000 &lt;= DATE(2025, 1, 31)))
+ SUMPRODUCT(('Form responses 1'!$C$2:$C1000 = A67) * ('Form responses 1'!$A$2:$A1000 &lt;= DATE(2025, 1, 31)))
+ SUMPRODUCT(('Form responses 1'!$D$2:$D1000 = A67) * ('Form responses 1'!$A$2:$A1000 &lt;= DATE(2025, 1, 31)))
+ SUMPRODUCT(('Form responses 1'!$E$2:$E1000 = A67) * ('Form responses 1'!$A$2:$A1000 &lt;= DATE(2025, 1, 31)))
+ SUMPRODUCT(('Form responses 1'!$F$2:$F1000 = A67) * ('Form responses 1'!$A$2:$A1000 &lt;= DATE(2025, 1, 31)))
+ SUMPRODUCT(('Form responses 1'!$G$2:$G1000 = A67) * ('Form responses 1'!$A$2:$A1000 &lt;= DATE(2025, 1, 31)))), 2), "-")
</f>
        <v>18</v>
      </c>
      <c r="P67" s="2">
        <f>IFERROR(ROUND(Data!B62/(SUMPRODUCT(('Form responses 1'!$B$2:$B1000 = A67) * ('Form responses 1'!$A$2:$A1000 &lt;= DATE(2025, 2, 28)))
+ SUMPRODUCT(('Form responses 1'!$C$2:$C1000 = A67) * ('Form responses 1'!$A$2:$A1000 &lt;= DATE(2025, 2, 28)))
+ SUMPRODUCT(('Form responses 1'!$D$2:$D1000 = A67) * ('Form responses 1'!$A$2:$A1000 &lt;= DATE(2025, 2, 28)))
+ SUMPRODUCT(('Form responses 1'!$E$2:$E1000 = A67) * ('Form responses 1'!$A$2:$A1000 &lt;= DATE(2025, 2, 28)))
+ SUMPRODUCT(('Form responses 1'!$F$2:$F1000 = A67) * ('Form responses 1'!$A$2:$A1000 &lt;= DATE(2025, 2, 28)))
+ SUMPRODUCT(('Form responses 1'!$G$2:$G1000 = A67) * ('Form responses 1'!$A$2:$A1000 &lt;= DATE(2025, 2, 28)))), 2), "-")
</f>
        <v>12</v>
      </c>
      <c r="Q67" s="2">
        <f>IFERROR(ROUND(Data!B62/(SUMPRODUCT(('Form responses 1'!$B$2:$B1000 = A67) * ('Form responses 1'!$A$2:$A1000 &lt;= DATE(2025, 3, 31)))
+ SUMPRODUCT(('Form responses 1'!$C$2:$C1000 = A67) * ('Form responses 1'!$A$2:$A1000 &lt;= DATE(2025, 3, 31)))
+ SUMPRODUCT(('Form responses 1'!$D$2:$D1000 = A67) * ('Form responses 1'!$A$2:$A1000 &lt;= DATE(2025, 3, 31)))
+ SUMPRODUCT(('Form responses 1'!$E$2:$E1000 = A67) * ('Form responses 1'!$A$2:$A1000 &lt;= DATE(2025, 3, 31)))
+ SUMPRODUCT(('Form responses 1'!$F$2:$F1000 = A67) * ('Form responses 1'!$A$2:$A1000 &lt;= DATE(2025, 3, 31)))
+ SUMPRODUCT(('Form responses 1'!$G$2:$G1000 = A67) * ('Form responses 1'!$A$2:$A1000 &lt;= DATE(2025, 3, 31)))),2),"-")</f>
        <v>12</v>
      </c>
      <c r="R67" s="2">
        <f>IFERROR(ROUND(Data!B62/(SUMPRODUCT(('Form responses 1'!$B$2:$B1000 = A67) * ('Form responses 1'!$A$2:$A1000 &lt;= DATE(2025, 4, 30)))
+ SUMPRODUCT(('Form responses 1'!$C$2:$C1000 = A67) * ('Form responses 1'!$A$2:$A1000 &lt;= DATE(2025, 4, 30)))
+ SUMPRODUCT(('Form responses 1'!$D$2:$D1000 = A67) * ('Form responses 1'!$A$2:$A1000 &lt;= DATE(2025, 4, 30)))
+ SUMPRODUCT(('Form responses 1'!$E$2:$E1000 = A67) * ('Form responses 1'!$A$2:$A1000 &lt;= DATE(2025, 4, 30)))
+ SUMPRODUCT(('Form responses 1'!$F$2:$F1000 = A67) * ('Form responses 1'!$A$2:$A1000 &lt;= DATE(2025, 4, 30)))
+ SUMPRODUCT(('Form responses 1'!$G$2:$G1000 = A67) * ('Form responses 1'!$A$2:$A1000 &lt;= DATE(2025, 4, 30)))), 2), "-")
</f>
        <v>12</v>
      </c>
      <c r="S67" s="2">
        <f>IFERROR(ROUND(Data!B62/(SUMPRODUCT(('Form responses 1'!$B$2:$B1000 = A67) * ('Form responses 1'!$A$2:$A1000 &lt;= DATE(2025, 5, 31)))
+ SUMPRODUCT(('Form responses 1'!$C$2:$C1000 = A67) * ('Form responses 1'!$A$2:$A1000 &lt;= DATE(2025, 5, 31)))
+ SUMPRODUCT(('Form responses 1'!$D$2:$D1000 = A67) * ('Form responses 1'!$A$2:$A1000 &lt;= DATE(2025, 5, 31)))
+ SUMPRODUCT(('Form responses 1'!$E$2:$E1000 = A67) * ('Form responses 1'!$A$2:$A1000 &lt;= DATE(2025, 5, 31)))
+ SUMPRODUCT(('Form responses 1'!$F$2:$F1000 = A67) * ('Form responses 1'!$A$2:$A1000 &lt;= DATE(2025, 5, 31)))
+ SUMPRODUCT(('Form responses 1'!$G$2:$G1000 = A67) * ('Form responses 1'!$A$2:$A1000 &lt;= DATE(2025, 5, 31)))), 2), "-")
</f>
        <v>12</v>
      </c>
      <c r="T67" s="2">
        <f>IFERROR(ROUND(Data!B62/(SUMPRODUCT(('Form responses 1'!$B$2:$B1000 = A67) * ('Form responses 1'!$A$2:$A1000 &lt;= DATE(2025, 6, 30)))
+ SUMPRODUCT(('Form responses 1'!$C$2:$C1000 = A67) * ('Form responses 1'!$A$2:$A1000 &lt;= DATE(2025, 6, 30)))
+ SUMPRODUCT(('Form responses 1'!$D$2:$D1000 = A67) * ('Form responses 1'!$A$2:$A1000 &lt;= DATE(2025, 6, 30)))
+ SUMPRODUCT(('Form responses 1'!$E$2:$E1000 = A67) * ('Form responses 1'!$A$2:$A1000 &lt;= DATE(2025, 6, 30)))
+ SUMPRODUCT(('Form responses 1'!$F$2:$F1000 = A67) * ('Form responses 1'!$A$2:$A1000 &lt;= DATE(2025, 6, 30)))
+ SUMPRODUCT(('Form responses 1'!$G$2:$G1000 = A67) * ('Form responses 1'!$A$2:$A1000 &lt;= DATE(2025, 6, 30)))), 2), "-")
</f>
        <v>12</v>
      </c>
      <c r="U67" s="2">
        <f>IFERROR(ROUND(Data!B62/(SUMPRODUCT(('Form responses 1'!$B$2:$B1000 = A67) * ('Form responses 1'!$A$2:$A1000 &lt;= DATE(2025, 7, 31)))
+ SUMPRODUCT(('Form responses 1'!$C$2:$C1000 = A67) * ('Form responses 1'!$A$2:$A1000 &lt;= DATE(2025, 7, 31)))
+ SUMPRODUCT(('Form responses 1'!$D$2:$D1000 = A67) * ('Form responses 1'!$A$2:$A1000 &lt;= DATE(2025, 7, 31)))
+ SUMPRODUCT(('Form responses 1'!$E$2:$E1000 = A67) * ('Form responses 1'!$A$2:$A1000 &lt;= DATE(2025, 7, 31)))
+ SUMPRODUCT(('Form responses 1'!$F$2:$F1000 = A67) * ('Form responses 1'!$A$2:$A1000 &lt;= DATE(2025, 7, 31)))
+ SUMPRODUCT(('Form responses 1'!$G$2:$G1000 = A67) * ('Form responses 1'!$A$2:$A1000 &lt;= DATE(2025, 7, 31)))), 2), "-")
</f>
        <v>12</v>
      </c>
      <c r="V67" s="2">
        <f>IFERROR(ROUND(Data!B62/(SUMPRODUCT(('Form responses 1'!$B$2:$B1000 = A67) * ('Form responses 1'!$A$2:$A1000 &lt;= DATE(2025, 8, 31)))
+ SUMPRODUCT(('Form responses 1'!$C$2:$C1000 = A67) * ('Form responses 1'!$A$2:$A1000 &lt;= DATE(2025, 8, 31)))
+ SUMPRODUCT(('Form responses 1'!$D$2:$D1000 = A67) * ('Form responses 1'!$A$2:$A1000 &lt;= DATE(2025, 8, 31)))
+ SUMPRODUCT(('Form responses 1'!$E$2:$E1000 = A67) * ('Form responses 1'!$A$2:$A1000 &lt;= DATE(2025, 8, 31)))
+ SUMPRODUCT(('Form responses 1'!$F$2:$F1000 = A67) * ('Form responses 1'!$A$2:$A1000 &lt;= DATE(2025, 8, 31)))
+ SUMPRODUCT(('Form responses 1'!$G$2:$G1000 = A67) * ('Form responses 1'!$A$2:$A1000 &lt;= DATE(2025, 8, 31)))), 2), "-")
</f>
        <v>12</v>
      </c>
      <c r="W67" s="2">
        <f>IFERROR(ROUND(Data!B62/(SUMPRODUCT(('Form responses 1'!$B$2:$B1000 = A67) * ('Form responses 1'!$A$2:$A1000 &lt;= DATE(2025, 9, 30)))
+ SUMPRODUCT(('Form responses 1'!$C$2:$C1000 = A67) * ('Form responses 1'!$A$2:$A1000 &lt;= DATE(2025, 9, 30)))
+ SUMPRODUCT(('Form responses 1'!$D$2:$D1000 = A67) * ('Form responses 1'!$A$2:$A1000 &lt;= DATE(2025, 9, 30)))
+ SUMPRODUCT(('Form responses 1'!$E$2:$E1000 = A67) * ('Form responses 1'!$A$2:$A1000 &lt;= DATE(2025, 9, 30)))
+ SUMPRODUCT(('Form responses 1'!$F$2:$F1000 = A67) * ('Form responses 1'!$A$2:$A1000 &lt;= DATE(2025, 9, 30)))
+ SUMPRODUCT(('Form responses 1'!$G$2:$G1000 = A67) * ('Form responses 1'!$A$2:$A1000 &lt;= DATE(2025, 9, 30)))), 2), "-")
</f>
        <v>12</v>
      </c>
      <c r="X67" s="2">
        <f>IFERROR(ROUND(Data!B62/(SUMPRODUCT(('Form responses 1'!$B$2:$B1000 = A67) * ('Form responses 1'!$A$2:$A1000 &lt;= DATE(2025, 10, 31)))
+ SUMPRODUCT(('Form responses 1'!$C$2:$C1000 = A67) * ('Form responses 1'!$A$2:$A1000 &lt;= DATE(2025, 10, 31)))
+ SUMPRODUCT(('Form responses 1'!$D$2:$D1000 = A67) * ('Form responses 1'!$A$2:$A1000 &lt;= DATE(2025, 10, 31)))
+ SUMPRODUCT(('Form responses 1'!$E$2:$E1000 = A67) * ('Form responses 1'!$A$2:$A1000 &lt;= DATE(2025, 10, 31)))
+ SUMPRODUCT(('Form responses 1'!$F$2:$F1000 = A67) * ('Form responses 1'!$A$2:$A1000 &lt;= DATE(2025, 10, 31)))
+ SUMPRODUCT(('Form responses 1'!$G$2:$G1000 = A67) * ('Form responses 1'!$A$2:$A1000 &lt;= DATE(2025, 10, 31)))), 2), "-")
</f>
        <v>12</v>
      </c>
      <c r="Y67" s="2">
        <f>IFERROR(ROUND(Data!B62/(SUMPRODUCT(('Form responses 1'!$B$2:$B1000 = A67) * ('Form responses 1'!$A$2:$A1000 &lt;= DATE(2025, 11, 30)))
+ SUMPRODUCT(('Form responses 1'!$C$2:$C1000 = A67) * ('Form responses 1'!$A$2:$A1000 &lt;= DATE(2025, 11, 30)))
+ SUMPRODUCT(('Form responses 1'!$D$2:$D1000 = A67) * ('Form responses 1'!$A$2:$A1000 &lt;= DATE(2025, 11, 30)))
+ SUMPRODUCT(('Form responses 1'!$E$2:$E1000 = A67) * ('Form responses 1'!$A$2:$A1000 &lt;= DATE(2025, 11, 30)))
+ SUMPRODUCT(('Form responses 1'!$F$2:$F1000 = A67) * ('Form responses 1'!$A$2:$A1000 &lt;= DATE(2025, 11, 30)))
+ SUMPRODUCT(('Form responses 1'!$G$2:$G1000 = A67) * ('Form responses 1'!$A$2:$A1000 &lt;= DATE(2025, 11, 30)))), 2), "-")
</f>
        <v>12</v>
      </c>
      <c r="Z67" s="2">
        <f>IFERROR(ROUND(Data!B62/(SUMPRODUCT(('Form responses 1'!$B$2:$B1000 = A67) * ('Form responses 1'!$A$2:$A1000 &lt;= DATE(2025, 12, 31)))
+ SUMPRODUCT(('Form responses 1'!$C$2:$C1000 = A67) * ('Form responses 1'!$A$2:$A1000 &lt;= DATE(2025, 12, 31)))
+ SUMPRODUCT(('Form responses 1'!$D$2:$D1000 = A67) * ('Form responses 1'!$A$2:$A1000 &lt;= DATE(2025, 12, 31)))
+ SUMPRODUCT(('Form responses 1'!$E$2:$E1000 = A67) * ('Form responses 1'!$A$2:$A1000 &lt;= DATE(2025, 12, 31)))
+ SUMPRODUCT(('Form responses 1'!$F$2:$F1000 = A67) * ('Form responses 1'!$A$2:$A1000 &lt;= DATE(2025, 12, 31)))
+ SUMPRODUCT(('Form responses 1'!$G$2:$G1000 = A67) * ('Form responses 1'!$A$2:$A1000 &lt;= DATE(2025, 12, 31)))), 2), "-")
</f>
        <v>12</v>
      </c>
      <c r="AA67" s="2">
        <f>IFERROR(ROUND(Data!$B67/(
  SUMPRODUCT(('Form responses 1'!$B$2:$B1000=$A67)*('Form responses 1'!$A$2:$A1000&lt;=EOMONTH(DATEVALUE("1 "&amp;AA$1),0)))+
  SUMPRODUCT(('Form responses 1'!$C$2:$C1000=$A67)*('Form responses 1'!$A$2:$A1000&lt;=EOMONTH(DATEVALUE("1 "&amp;AA$1),0)))+
  SUMPRODUCT(('Form responses 1'!$D$2:$D1000=$A67)*('Form responses 1'!$A$2:$A1000&lt;=EOMONTH(DATEVALUE("1 "&amp;AA$1),0)))+
  SUMPRODUCT(('Form responses 1'!$E$2:$E1000=$A67)*('Form responses 1'!$A$2:$A1000&lt;=EOMONTH(DATEVALUE("1 "&amp;AA$1),0)))+
  SUMPRODUCT(('Form responses 1'!$F$2:$F1000=$A67)*('Form responses 1'!$A$2:$A1000&lt;=EOMONTH(DATEVALUE("1 "&amp;AA$1),0)))+
  SUMPRODUCT(('Form responses 1'!$G$2:$G1000=$A67)*('Form responses 1'!$A$2:$A1000&lt;=EOMONTH(DATEVALUE("1 "&amp;AA$1),0)))
),2),"-")</f>
        <v>0</v>
      </c>
      <c r="AB67" s="2">
        <f>IFERROR(ROUND(Data!$B67/(
  SUMPRODUCT(('Form responses 1'!$B$2:$B1000=$A67)*('Form responses 1'!$A$2:$A1000&lt;=EOMONTH(DATEVALUE("1 "&amp;AB$1),0)))+
  SUMPRODUCT(('Form responses 1'!$C$2:$C1000=$A67)*('Form responses 1'!$A$2:$A1000&lt;=EOMONTH(DATEVALUE("1 "&amp;AB$1),0)))+
  SUMPRODUCT(('Form responses 1'!$D$2:$D1000=$A67)*('Form responses 1'!$A$2:$A1000&lt;=EOMONTH(DATEVALUE("1 "&amp;AB$1),0)))+
  SUMPRODUCT(('Form responses 1'!$E$2:$E1000=$A67)*('Form responses 1'!$A$2:$A1000&lt;=EOMONTH(DATEVALUE("1 "&amp;AB$1),0)))+
  SUMPRODUCT(('Form responses 1'!$F$2:$F1000=$A67)*('Form responses 1'!$A$2:$A1000&lt;=EOMONTH(DATEVALUE("1 "&amp;AB$1),0)))+
  SUMPRODUCT(('Form responses 1'!$G$2:$G1000=$A67)*('Form responses 1'!$A$2:$A1000&lt;=EOMONTH(DATEVALUE("1 "&amp;AB$1),0)))
),2),"-")</f>
        <v>0</v>
      </c>
      <c r="AC67" s="2">
        <f>IFERROR(ROUND(Data!$B67/(
  SUMPRODUCT(('Form responses 1'!$B$2:$B1000=$A67)*('Form responses 1'!$A$2:$A1000&lt;=EOMONTH(DATEVALUE("1 "&amp;AC$1),0)))+
  SUMPRODUCT(('Form responses 1'!$C$2:$C1000=$A67)*('Form responses 1'!$A$2:$A1000&lt;=EOMONTH(DATEVALUE("1 "&amp;AC$1),0)))+
  SUMPRODUCT(('Form responses 1'!$D$2:$D1000=$A67)*('Form responses 1'!$A$2:$A1000&lt;=EOMONTH(DATEVALUE("1 "&amp;AC$1),0)))+
  SUMPRODUCT(('Form responses 1'!$E$2:$E1000=$A67)*('Form responses 1'!$A$2:$A1000&lt;=EOMONTH(DATEVALUE("1 "&amp;AC$1),0)))+
  SUMPRODUCT(('Form responses 1'!$F$2:$F1000=$A67)*('Form responses 1'!$A$2:$A1000&lt;=EOMONTH(DATEVALUE("1 "&amp;AC$1),0)))+
  SUMPRODUCT(('Form responses 1'!$G$2:$G1000=$A67)*('Form responses 1'!$A$2:$A1000&lt;=EOMONTH(DATEVALUE("1 "&amp;AC$1),0)))
),2),"-")</f>
        <v>0</v>
      </c>
      <c r="AD67" s="2" t="str">
        <f>IFERROR(ROUND(Data!$B67/(
  SUMPRODUCT(('Form responses 1'!$B$2:$B1000=$A67)*('Form responses 1'!$A$2:$A1000&lt;=EOMONTH(DATEVALUE("1 "&amp;AD$1),0)))+
  SUMPRODUCT(('Form responses 1'!$C$2:$C1000=$A67)*('Form responses 1'!$A$2:$A1000&lt;=EOMONTH(DATEVALUE("1 "&amp;AD$1),0)))+
  SUMPRODUCT(('Form responses 1'!$D$2:$D1000=$A67)*('Form responses 1'!$A$2:$A1000&lt;=EOMONTH(DATEVALUE("1 "&amp;AD$1),0)))+
  SUMPRODUCT(('Form responses 1'!$E$2:$E1000=$A67)*('Form responses 1'!$A$2:$A1000&lt;=EOMONTH(DATEVALUE("1 "&amp;AD$1),0)))+
  SUMPRODUCT(('Form responses 1'!$F$2:$F1000=$A67)*('Form responses 1'!$A$2:$A1000&lt;=EOMONTH(DATEVALUE("1 "&amp;AD$1),0)))+
  SUMPRODUCT(('Form responses 1'!$G$2:$G1000=$A67)*('Form responses 1'!$A$2:$A1000&lt;=EOMONTH(DATEVALUE("1 "&amp;AD$1),0)))
),2),"-")</f>
        <v>-</v>
      </c>
      <c r="AE67" s="2" t="str">
        <f>IFERROR(ROUND(Data!$B67/(
  SUMPRODUCT(('Form responses 1'!$B$2:$B1000=$A67)*('Form responses 1'!$A$2:$A1000&lt;=EOMONTH(DATEVALUE("1 "&amp;AE$1),0)))+
  SUMPRODUCT(('Form responses 1'!$C$2:$C1000=$A67)*('Form responses 1'!$A$2:$A1000&lt;=EOMONTH(DATEVALUE("1 "&amp;AE$1),0)))+
  SUMPRODUCT(('Form responses 1'!$D$2:$D1000=$A67)*('Form responses 1'!$A$2:$A1000&lt;=EOMONTH(DATEVALUE("1 "&amp;AE$1),0)))+
  SUMPRODUCT(('Form responses 1'!$E$2:$E1000=$A67)*('Form responses 1'!$A$2:$A1000&lt;=EOMONTH(DATEVALUE("1 "&amp;AE$1),0)))+
  SUMPRODUCT(('Form responses 1'!$F$2:$F1000=$A67)*('Form responses 1'!$A$2:$A1000&lt;=EOMONTH(DATEVALUE("1 "&amp;AE$1),0)))+
  SUMPRODUCT(('Form responses 1'!$G$2:$G1000=$A67)*('Form responses 1'!$A$2:$A1000&lt;=EOMONTH(DATEVALUE("1 "&amp;AE$1),0)))
),2),"-")</f>
        <v>-</v>
      </c>
      <c r="AF67" s="2" t="str">
        <f>IFERROR(ROUND(Data!$B67/(
  SUMPRODUCT(('Form responses 1'!$B$2:$B1000=$A67)*('Form responses 1'!$A$2:$A1000&lt;=EOMONTH(DATEVALUE("1 "&amp;AF$1),0)))+
  SUMPRODUCT(('Form responses 1'!$C$2:$C1000=$A67)*('Form responses 1'!$A$2:$A1000&lt;=EOMONTH(DATEVALUE("1 "&amp;AF$1),0)))+
  SUMPRODUCT(('Form responses 1'!$D$2:$D1000=$A67)*('Form responses 1'!$A$2:$A1000&lt;=EOMONTH(DATEVALUE("1 "&amp;AF$1),0)))+
  SUMPRODUCT(('Form responses 1'!$E$2:$E1000=$A67)*('Form responses 1'!$A$2:$A1000&lt;=EOMONTH(DATEVALUE("1 "&amp;AF$1),0)))+
  SUMPRODUCT(('Form responses 1'!$F$2:$F1000=$A67)*('Form responses 1'!$A$2:$A1000&lt;=EOMONTH(DATEVALUE("1 "&amp;AF$1),0)))+
  SUMPRODUCT(('Form responses 1'!$G$2:$G1000=$A67)*('Form responses 1'!$A$2:$A1000&lt;=EOMONTH(DATEVALUE("1 "&amp;AF$1),0)))
),2),"-")</f>
        <v>-</v>
      </c>
      <c r="AG67" s="2" t="str">
        <f>IFERROR(ROUND(Data!$B67/(
  SUMPRODUCT(('Form responses 1'!$B$2:$B1000=$A67)*('Form responses 1'!$A$2:$A1000&lt;=EOMONTH(DATEVALUE("1 "&amp;AG$1),0)))+
  SUMPRODUCT(('Form responses 1'!$C$2:$C1000=$A67)*('Form responses 1'!$A$2:$A1000&lt;=EOMONTH(DATEVALUE("1 "&amp;AG$1),0)))+
  SUMPRODUCT(('Form responses 1'!$D$2:$D1000=$A67)*('Form responses 1'!$A$2:$A1000&lt;=EOMONTH(DATEVALUE("1 "&amp;AG$1),0)))+
  SUMPRODUCT(('Form responses 1'!$E$2:$E1000=$A67)*('Form responses 1'!$A$2:$A1000&lt;=EOMONTH(DATEVALUE("1 "&amp;AG$1),0)))+
  SUMPRODUCT(('Form responses 1'!$F$2:$F1000=$A67)*('Form responses 1'!$A$2:$A1000&lt;=EOMONTH(DATEVALUE("1 "&amp;AG$1),0)))+
  SUMPRODUCT(('Form responses 1'!$G$2:$G1000=$A67)*('Form responses 1'!$A$2:$A1000&lt;=EOMONTH(DATEVALUE("1 "&amp;AG$1),0)))
),2),"-")</f>
        <v>-</v>
      </c>
      <c r="AH67" s="2" t="str">
        <f>IFERROR(ROUND(Data!$B67/(
  SUMPRODUCT(('Form responses 1'!$B$2:$B1000=$A67)*('Form responses 1'!$A$2:$A1000&lt;=EOMONTH(DATEVALUE("1 "&amp;AH$1),0)))+
  SUMPRODUCT(('Form responses 1'!$C$2:$C1000=$A67)*('Form responses 1'!$A$2:$A1000&lt;=EOMONTH(DATEVALUE("1 "&amp;AH$1),0)))+
  SUMPRODUCT(('Form responses 1'!$D$2:$D1000=$A67)*('Form responses 1'!$A$2:$A1000&lt;=EOMONTH(DATEVALUE("1 "&amp;AH$1),0)))+
  SUMPRODUCT(('Form responses 1'!$E$2:$E1000=$A67)*('Form responses 1'!$A$2:$A1000&lt;=EOMONTH(DATEVALUE("1 "&amp;AH$1),0)))+
  SUMPRODUCT(('Form responses 1'!$F$2:$F1000=$A67)*('Form responses 1'!$A$2:$A1000&lt;=EOMONTH(DATEVALUE("1 "&amp;AH$1),0)))+
  SUMPRODUCT(('Form responses 1'!$G$2:$G1000=$A67)*('Form responses 1'!$A$2:$A1000&lt;=EOMONTH(DATEVALUE("1 "&amp;AH$1),0)))
),2),"-")</f>
        <v>-</v>
      </c>
      <c r="AI67" s="2" t="str">
        <f>IFERROR(ROUND(Data!$B67/(
  SUMPRODUCT(('Form responses 1'!$B$2:$B1000=$A67)*('Form responses 1'!$A$2:$A1000&lt;=EOMONTH(DATEVALUE("1 "&amp;AI$1),0)))+
  SUMPRODUCT(('Form responses 1'!$C$2:$C1000=$A67)*('Form responses 1'!$A$2:$A1000&lt;=EOMONTH(DATEVALUE("1 "&amp;AI$1),0)))+
  SUMPRODUCT(('Form responses 1'!$D$2:$D1000=$A67)*('Form responses 1'!$A$2:$A1000&lt;=EOMONTH(DATEVALUE("1 "&amp;AI$1),0)))+
  SUMPRODUCT(('Form responses 1'!$E$2:$E1000=$A67)*('Form responses 1'!$A$2:$A1000&lt;=EOMONTH(DATEVALUE("1 "&amp;AI$1),0)))+
  SUMPRODUCT(('Form responses 1'!$F$2:$F1000=$A67)*('Form responses 1'!$A$2:$A1000&lt;=EOMONTH(DATEVALUE("1 "&amp;AI$1),0)))+
  SUMPRODUCT(('Form responses 1'!$G$2:$G1000=$A67)*('Form responses 1'!$A$2:$A1000&lt;=EOMONTH(DATEVALUE("1 "&amp;AI$1),0)))
),2),"-")</f>
        <v>-</v>
      </c>
      <c r="AJ67" s="2" t="str">
        <f>IFERROR(ROUND(Data!$B67/(
  SUMPRODUCT(('Form responses 1'!$B$2:$B1000=$A67)*('Form responses 1'!$A$2:$A1000&lt;=EOMONTH(DATEVALUE("1 "&amp;AJ$1),0)))+
  SUMPRODUCT(('Form responses 1'!$C$2:$C1000=$A67)*('Form responses 1'!$A$2:$A1000&lt;=EOMONTH(DATEVALUE("1 "&amp;AJ$1),0)))+
  SUMPRODUCT(('Form responses 1'!$D$2:$D1000=$A67)*('Form responses 1'!$A$2:$A1000&lt;=EOMONTH(DATEVALUE("1 "&amp;AJ$1),0)))+
  SUMPRODUCT(('Form responses 1'!$E$2:$E1000=$A67)*('Form responses 1'!$A$2:$A1000&lt;=EOMONTH(DATEVALUE("1 "&amp;AJ$1),0)))+
  SUMPRODUCT(('Form responses 1'!$F$2:$F1000=$A67)*('Form responses 1'!$A$2:$A1000&lt;=EOMONTH(DATEVALUE("1 "&amp;AJ$1),0)))+
  SUMPRODUCT(('Form responses 1'!$G$2:$G1000=$A67)*('Form responses 1'!$A$2:$A1000&lt;=EOMONTH(DATEVALUE("1 "&amp;AJ$1),0)))
),2),"-")</f>
        <v>-</v>
      </c>
      <c r="AK67" s="2" t="str">
        <f>IFERROR(ROUND(Data!$B67/(
  SUMPRODUCT(('Form responses 1'!$B$2:$B1000=$A67)*('Form responses 1'!$A$2:$A1000&lt;=EOMONTH(DATEVALUE("1 "&amp;AK$1),0)))+
  SUMPRODUCT(('Form responses 1'!$C$2:$C1000=$A67)*('Form responses 1'!$A$2:$A1000&lt;=EOMONTH(DATEVALUE("1 "&amp;AK$1),0)))+
  SUMPRODUCT(('Form responses 1'!$D$2:$D1000=$A67)*('Form responses 1'!$A$2:$A1000&lt;=EOMONTH(DATEVALUE("1 "&amp;AK$1),0)))+
  SUMPRODUCT(('Form responses 1'!$E$2:$E1000=$A67)*('Form responses 1'!$A$2:$A1000&lt;=EOMONTH(DATEVALUE("1 "&amp;AK$1),0)))+
  SUMPRODUCT(('Form responses 1'!$F$2:$F1000=$A67)*('Form responses 1'!$A$2:$A1000&lt;=EOMONTH(DATEVALUE("1 "&amp;AK$1),0)))+
  SUMPRODUCT(('Form responses 1'!$G$2:$G1000=$A67)*('Form responses 1'!$A$2:$A1000&lt;=EOMONTH(DATEVALUE("1 "&amp;AK$1),0)))
),2),"-")</f>
        <v>-</v>
      </c>
      <c r="AL67" s="2" t="str">
        <f>IFERROR(ROUND(Data!$B67/(
  SUMPRODUCT(('Form responses 1'!$B$2:$B1000=$A67)*('Form responses 1'!$A$2:$A1000&lt;=EOMONTH(DATEVALUE("1 "&amp;AL$1),0)))+
  SUMPRODUCT(('Form responses 1'!$C$2:$C1000=$A67)*('Form responses 1'!$A$2:$A1000&lt;=EOMONTH(DATEVALUE("1 "&amp;AL$1),0)))+
  SUMPRODUCT(('Form responses 1'!$D$2:$D1000=$A67)*('Form responses 1'!$A$2:$A1000&lt;=EOMONTH(DATEVALUE("1 "&amp;AL$1),0)))+
  SUMPRODUCT(('Form responses 1'!$E$2:$E1000=$A67)*('Form responses 1'!$A$2:$A1000&lt;=EOMONTH(DATEVALUE("1 "&amp;AL$1),0)))+
  SUMPRODUCT(('Form responses 1'!$F$2:$F1000=$A67)*('Form responses 1'!$A$2:$A1000&lt;=EOMONTH(DATEVALUE("1 "&amp;AL$1),0)))+
  SUMPRODUCT(('Form responses 1'!$G$2:$G1000=$A67)*('Form responses 1'!$A$2:$A1000&lt;=EOMONTH(DATEVALUE("1 "&amp;AL$1),0)))
),2),"-")</f>
        <v>-</v>
      </c>
    </row>
    <row r="68">
      <c r="A68" s="3" t="str">
        <f>IFERROR(__xludf.DUMMYFUNCTION("""COMPUTED_VALUE"""),"Witte blouse Society Shop")</f>
        <v>Witte blouse Society Shop</v>
      </c>
      <c r="B68" s="2">
        <f>Data!F63:F1000</f>
        <v>2.04</v>
      </c>
      <c r="C68" s="2" t="str">
        <f>IFERROR(ROUND(Data!B63/(SUMPRODUCT(('Form responses 1'!$B$2:$B1000 = A68) * ('Form responses 1'!$A$2:$A1000 &lt;= DATE(2024, 1, 31)))
+ SUMPRODUCT(('Form responses 1'!$C$2:$C1000 = A68) * ('Form responses 1'!$A$2:$A1000 &lt;= DATE(2024, 1, 31)))
+ SUMPRODUCT(('Form responses 1'!$D$2:$D1000 = A68) * ('Form responses 1'!$A$2:$A1000 &lt;= DATE(2024, 1, 31)))
+ SUMPRODUCT(('Form responses 1'!$E$2:$E1000 = A68) * ('Form responses 1'!$A$2:$A1000 &lt;= DATE(2024, 1, 31)))
+ SUMPRODUCT(('Form responses 1'!$F$2:$F1000 = A68) * ('Form responses 1'!$A$2:$A1000 &lt;= DATE(2024, 1, 31)))
+ SUMPRODUCT(('Form responses 1'!$G$2:$G1000 = A68) * ('Form responses 1'!$A$2:$A1000 &lt;= DATE(2024, 1, 31)))), 2), "-")
</f>
        <v>-</v>
      </c>
      <c r="D68" s="2" t="str">
        <f>IFERROR(ROUND(Data!B63/(SUMPRODUCT(('Form responses 1'!$B$2:$B1000 = A68) * ('Form responses 1'!$A$2:$A1000 &lt;= DATE(2024, 2, 29)))
+ SUMPRODUCT(('Form responses 1'!$C$2:$C1000 = A68) * ('Form responses 1'!$A$2:$A1000 &lt;= DATE(2024, 2, 29)))
+ SUMPRODUCT(('Form responses 1'!$D$2:$D1000 = A68) * ('Form responses 1'!$A$2:$A1000 &lt;= DATE(2024, 2, 29)))
+ SUMPRODUCT(('Form responses 1'!$E$2:$E1000 = A68) * ('Form responses 1'!$A$2:$A1000 &lt;= DATE(2024, 2, 29)))
+ SUMPRODUCT(('Form responses 1'!$F$2:$F1000 = A68) * ('Form responses 1'!$A$2:$A1000 &lt;= DATE(2024, 2, 29)))
+ SUMPRODUCT(('Form responses 1'!$G$2:$G1000 = A68) * ('Form responses 1'!$A$2:$A1000 &lt;= DATE(2024, 2, 29)))), 2), "-")
</f>
        <v>-</v>
      </c>
      <c r="E68" s="2" t="str">
        <f>IFERROR(ROUND(Data!B63/(SUMPRODUCT(('Form responses 1'!$B$2:$B1000 = A68) * ('Form responses 1'!$A$2:$A1000 &lt;= DATE(2024, 3, 31)))
+ SUMPRODUCT(('Form responses 1'!$C$2:$C1000 = A68) * ('Form responses 1'!$A$2:$A1000 &lt;= DATE(2024, 3, 31)))
+ SUMPRODUCT(('Form responses 1'!$D$2:$D1000 = A68) * ('Form responses 1'!$A$2:$A1000 &lt;= DATE(2024, 3, 31)))
+ SUMPRODUCT(('Form responses 1'!$E$2:$E1000 = A68) * ('Form responses 1'!$A$2:$A1000 &lt;= DATE(2024, 3, 31)))
+ SUMPRODUCT(('Form responses 1'!$F$2:$F1000 = A68) * ('Form responses 1'!$A$2:$A1000 &lt;= DATE(2024, 3, 31)))
+ SUMPRODUCT(('Form responses 1'!$G$2:$G1000 = A68) * ('Form responses 1'!$A$2:$A1000 &lt;= DATE(2024, 3, 31)))), 2), "-")
</f>
        <v>-</v>
      </c>
      <c r="F68" s="2" t="str">
        <f>IFERROR(ROUND(Data!B63/(SUMPRODUCT(('Form responses 1'!$B$2:$B1000 = A68) * ('Form responses 1'!$A$2:$A1000 &lt;= DATE(2024, 4, 30)))
+ SUMPRODUCT(('Form responses 1'!$C$2:$C1000 = A68) * ('Form responses 1'!$A$2:$A1000 &lt;= DATE(2024, 4, 30)))
+ SUMPRODUCT(('Form responses 1'!$D$2:$D1000 = A68) * ('Form responses 1'!$A$2:$A1000 &lt;= DATE(2024, 4, 30)))
+ SUMPRODUCT(('Form responses 1'!$E$2:$E1000 = A68) * ('Form responses 1'!$A$2:$A1000 &lt;= DATE(2024, 4, 30)))
+ SUMPRODUCT(('Form responses 1'!$F$2:$F1000 = A68) * ('Form responses 1'!$A$2:$A1000 &lt;= DATE(2024, 4, 30)))
+ SUMPRODUCT(('Form responses 1'!$G$2:$G1000 = A68) * ('Form responses 1'!$A$2:$A1000 &lt;= DATE(2024, 4, 30)))), 2), "-")
</f>
        <v>-</v>
      </c>
      <c r="G68" s="2" t="str">
        <f>IFERROR(ROUND(Data!B63/(SUMPRODUCT(('Form responses 1'!$B$2:$B1000 = A68) * ('Form responses 1'!$A$2:$A1000 &lt;= DATE(2024, 5, 31)))
+ SUMPRODUCT(('Form responses 1'!$C$2:$C1000 = A68) * ('Form responses 1'!$A$2:$A1000 &lt;= DATE(2024, 5, 31)))
+ SUMPRODUCT(('Form responses 1'!$D$2:$D1000 = A68) * ('Form responses 1'!$A$2:$A1000 &lt;= DATE(2024, 5, 31)))
+ SUMPRODUCT(('Form responses 1'!$E$2:$E1000 = A68) * ('Form responses 1'!$A$2:$A1000 &lt;= DATE(2024, 5, 31)))
+ SUMPRODUCT(('Form responses 1'!$F$2:$F1000 = A68) * ('Form responses 1'!$A$2:$A1000 &lt;= DATE(2024, 5, 31)))
+ SUMPRODUCT(('Form responses 1'!$G$2:$G1000 = A68) * ('Form responses 1'!$A$2:$A1000 &lt;= DATE(2024, 5, 31)))), 2), "-")
</f>
        <v>-</v>
      </c>
      <c r="H68" s="2" t="str">
        <f>IFERROR(ROUND(Data!B63/(SUMPRODUCT(('Form responses 1'!$B$2:$B1000 = A68) * ('Form responses 1'!$A$2:$A1000 &lt;= DATE(2024, 6, 30)))
+ SUMPRODUCT(('Form responses 1'!$C$2:$C1000 = A68) * ('Form responses 1'!$A$2:$A1000 &lt;= DATE(2024, 6, 30)))
+ SUMPRODUCT(('Form responses 1'!$D$2:$D1000 = A68) * ('Form responses 1'!$A$2:$A1000 &lt;= DATE(2024, 6, 30)))
+ SUMPRODUCT(('Form responses 1'!$E$2:$E1000 = A68) * ('Form responses 1'!$A$2:$A1000 &lt;= DATE(2024, 6, 30)))
+ SUMPRODUCT(('Form responses 1'!$F$2:$F1000 = A68) * ('Form responses 1'!$A$2:$A1000 &lt;= DATE(2024, 6, 30)))
+ SUMPRODUCT(('Form responses 1'!$G$2:$G1000 = A68) * ('Form responses 1'!$A$2:$A1000 &lt;= DATE(2024, 6, 30)))), 2), "-")
</f>
        <v>-</v>
      </c>
      <c r="I68" s="2">
        <f>IFERROR(ROUND(Data!B63/(SUMPRODUCT(('Form responses 1'!$B$2:$B1000 = A68) * ('Form responses 1'!$A$2:$A1000 &lt;= DATE(2024, 7, 31)))
+ SUMPRODUCT(('Form responses 1'!$C$2:$C1000 = A68) * ('Form responses 1'!$A$2:$A1000 &lt;= DATE(2024, 7, 31)))
+ SUMPRODUCT(('Form responses 1'!$D$2:$D1000 = A68) * ('Form responses 1'!$A$2:$A1000 &lt;= DATE(2024, 7, 31)))
+ SUMPRODUCT(('Form responses 1'!$E$2:$E1000 = A68) * ('Form responses 1'!$A$2:$A1000 &lt;= DATE(2024, 7, 31)))
+ SUMPRODUCT(('Form responses 1'!$F$2:$F1000 = A68) * ('Form responses 1'!$A$2:$A1000 &lt;= DATE(2024, 7, 31)))
+ SUMPRODUCT(('Form responses 1'!$G$2:$G1000 = A68) * ('Form responses 1'!$A$2:$A1000 &lt;= DATE(2024, 7, 31)))), 2), "-")
</f>
        <v>13.32</v>
      </c>
      <c r="J68" s="2">
        <f>IFERROR(ROUND(Data!B63/(SUMPRODUCT(('Form responses 1'!$B$2:$B1000 = A68) * ('Form responses 1'!$A$2:$A1000 &lt;= DATE(2024, 8, 31)))
+ SUMPRODUCT(('Form responses 1'!$C$2:$C1000 = A68) * ('Form responses 1'!$A$2:$A1000 &lt;= DATE(2024, 8, 31)))
+ SUMPRODUCT(('Form responses 1'!$D$2:$D1000 = A68) * ('Form responses 1'!$A$2:$A1000 &lt;= DATE(2024, 8, 31)))
+ SUMPRODUCT(('Form responses 1'!$E$2:$E1000 = A68) * ('Form responses 1'!$A$2:$A1000 &lt;= DATE(2024, 8, 31)))
+ SUMPRODUCT(('Form responses 1'!$F$2:$F1000 = A68) * ('Form responses 1'!$A$2:$A1000 &lt;= DATE(2024, 8, 31)))
+ SUMPRODUCT(('Form responses 1'!$G$2:$G1000 = A68) * ('Form responses 1'!$A$2:$A1000 &lt;= DATE(2024, 8, 31)))), 2), "-")
</f>
        <v>13.32</v>
      </c>
      <c r="K68" s="2">
        <f>IFERROR(ROUND(Data!B63/(SUMPRODUCT(('Form responses 1'!$B$2:$B1000 = A68) * ('Form responses 1'!$A$2:$A1000 &lt;= DATE(2024, 9, 30)))
+ SUMPRODUCT(('Form responses 1'!$C$2:$C1000 = A68) * ('Form responses 1'!$A$2:$A1000 &lt;= DATE(2024, 9, 30)))
+ SUMPRODUCT(('Form responses 1'!$D$2:$D1000 = A68) * ('Form responses 1'!$A$2:$A1000 &lt;= DATE(2024, 9, 30)))
+ SUMPRODUCT(('Form responses 1'!$E$2:$E1000 = A68) * ('Form responses 1'!$A$2:$A1000 &lt;= DATE(2024, 9, 30)))
+ SUMPRODUCT(('Form responses 1'!$F$2:$F1000 = A68) * ('Form responses 1'!$A$2:$A1000 &lt;= DATE(2024, 9, 30)))
+ SUMPRODUCT(('Form responses 1'!$G$2:$G1000 = A68) * ('Form responses 1'!$A$2:$A1000 &lt;= DATE(2024, 9, 30)))), 2), "-")
</f>
        <v>13.32</v>
      </c>
      <c r="L68" s="2">
        <f>IFERROR(ROUND(Data!B63/(SUMPRODUCT(('Form responses 1'!$B$2:$B1000 = A68) * ('Form responses 1'!$A$2:$A1000 &lt;= DATE(2024, 10, 31)))
+ SUMPRODUCT(('Form responses 1'!$C$2:$C1000 = A68) * ('Form responses 1'!$A$2:$A1000 &lt;= DATE(2024, 10, 31)))
+ SUMPRODUCT(('Form responses 1'!$D$2:$D1000 = A68) * ('Form responses 1'!$A$2:$A1000 &lt;= DATE(2024, 10, 31)))
+ SUMPRODUCT(('Form responses 1'!$E$2:$E1000 = A68) * ('Form responses 1'!$A$2:$A1000 &lt;= DATE(2024, 10, 31)))
+ SUMPRODUCT(('Form responses 1'!$F$2:$F1000 = A68) * ('Form responses 1'!$A$2:$A1000 &lt;= DATE(2024, 10, 31)))
+ SUMPRODUCT(('Form responses 1'!$G$2:$G1000 = A68) * ('Form responses 1'!$A$2:$A1000 &lt;= DATE(2024, 10, 31)))), 2), "-")
</f>
        <v>7.99</v>
      </c>
      <c r="M68" s="2">
        <f>IFERROR(ROUND(Data!B63/(SUMPRODUCT(('Form responses 1'!$B$2:$B1000 = A68) * ('Form responses 1'!$A$2:$A1000 &lt;= DATE(2024, 11, 30)))
+ SUMPRODUCT(('Form responses 1'!$C$2:$C1000 = A68) * ('Form responses 1'!$A$2:$A1000 &lt;= DATE(2024, 11, 30)))
+ SUMPRODUCT(('Form responses 1'!$D$2:$D1000 = A68) * ('Form responses 1'!$A$2:$A1000 &lt;= DATE(2024, 11, 30)))
+ SUMPRODUCT(('Form responses 1'!$E$2:$E1000 = A68) * ('Form responses 1'!$A$2:$A1000 &lt;= DATE(2024, 11, 30)))
+ SUMPRODUCT(('Form responses 1'!$F$2:$F1000 = A68) * ('Form responses 1'!$A$2:$A1000 &lt;= DATE(2024, 11, 30)))
+ SUMPRODUCT(('Form responses 1'!$G$2:$G1000 = A68) * ('Form responses 1'!$A$2:$A1000 &lt;= DATE(2024, 11, 30)))), 2), "-")
</f>
        <v>4</v>
      </c>
      <c r="N68" s="2">
        <f>IFERROR(ROUND(Data!B63/(SUMPRODUCT(('Form responses 1'!$B$2:$B1000 = A68) * ('Form responses 1'!$A$2:$A1000 &lt;= DATE(2024, 12, 31)))
+ SUMPRODUCT(('Form responses 1'!$C$2:$C1000 = A68) * ('Form responses 1'!$A$2:$A1000 &lt;= DATE(2024, 12, 31)))
+ SUMPRODUCT(('Form responses 1'!$D$2:$D1000 = A68) * ('Form responses 1'!$A$2:$A1000 &lt;= DATE(2024, 12, 31)))
+ SUMPRODUCT(('Form responses 1'!$E$2:$E1000 = A68) * ('Form responses 1'!$A$2:$A1000 &lt;= DATE(2024, 12, 31)))
+ SUMPRODUCT(('Form responses 1'!$F$2:$F1000 = A68) * ('Form responses 1'!$A$2:$A1000 &lt;= DATE(2024, 12, 31)))
+ SUMPRODUCT(('Form responses 1'!$G$2:$G1000 = A68) * ('Form responses 1'!$A$2:$A1000 &lt;= DATE(2024, 12, 31)))), 2), "-")
</f>
        <v>3.63</v>
      </c>
      <c r="O68" s="2">
        <f>IFERROR(ROUND(Data!B63/(SUMPRODUCT(('Form responses 1'!$B$2:$B1000 = A68) * ('Form responses 1'!$A$2:$A1000 &lt;= DATE(2025, 1, 31)))
+ SUMPRODUCT(('Form responses 1'!$C$2:$C1000 = A68) * ('Form responses 1'!$A$2:$A1000 &lt;= DATE(2025, 1, 31)))
+ SUMPRODUCT(('Form responses 1'!$D$2:$D1000 = A68) * ('Form responses 1'!$A$2:$A1000 &lt;= DATE(2025, 1, 31)))
+ SUMPRODUCT(('Form responses 1'!$E$2:$E1000 = A68) * ('Form responses 1'!$A$2:$A1000 &lt;= DATE(2025, 1, 31)))
+ SUMPRODUCT(('Form responses 1'!$F$2:$F1000 = A68) * ('Form responses 1'!$A$2:$A1000 &lt;= DATE(2025, 1, 31)))
+ SUMPRODUCT(('Form responses 1'!$G$2:$G1000 = A68) * ('Form responses 1'!$A$2:$A1000 &lt;= DATE(2025, 1, 31)))), 2), "-")
</f>
        <v>3.33</v>
      </c>
      <c r="P68" s="2">
        <f>IFERROR(ROUND(Data!B63/(SUMPRODUCT(('Form responses 1'!$B$2:$B1000 = A68) * ('Form responses 1'!$A$2:$A1000 &lt;= DATE(2025, 2, 28)))
+ SUMPRODUCT(('Form responses 1'!$C$2:$C1000 = A68) * ('Form responses 1'!$A$2:$A1000 &lt;= DATE(2025, 2, 28)))
+ SUMPRODUCT(('Form responses 1'!$D$2:$D1000 = A68) * ('Form responses 1'!$A$2:$A1000 &lt;= DATE(2025, 2, 28)))
+ SUMPRODUCT(('Form responses 1'!$E$2:$E1000 = A68) * ('Form responses 1'!$A$2:$A1000 &lt;= DATE(2025, 2, 28)))
+ SUMPRODUCT(('Form responses 1'!$F$2:$F1000 = A68) * ('Form responses 1'!$A$2:$A1000 &lt;= DATE(2025, 2, 28)))
+ SUMPRODUCT(('Form responses 1'!$G$2:$G1000 = A68) * ('Form responses 1'!$A$2:$A1000 &lt;= DATE(2025, 2, 28)))), 2), "-")
</f>
        <v>3.33</v>
      </c>
      <c r="Q68" s="2">
        <f>IFERROR(ROUND(Data!B63/(SUMPRODUCT(('Form responses 1'!$B$2:$B1000 = A68) * ('Form responses 1'!$A$2:$A1000 &lt;= DATE(2025, 3, 31)))
+ SUMPRODUCT(('Form responses 1'!$C$2:$C1000 = A68) * ('Form responses 1'!$A$2:$A1000 &lt;= DATE(2025, 3, 31)))
+ SUMPRODUCT(('Form responses 1'!$D$2:$D1000 = A68) * ('Form responses 1'!$A$2:$A1000 &lt;= DATE(2025, 3, 31)))
+ SUMPRODUCT(('Form responses 1'!$E$2:$E1000 = A68) * ('Form responses 1'!$A$2:$A1000 &lt;= DATE(2025, 3, 31)))
+ SUMPRODUCT(('Form responses 1'!$F$2:$F1000 = A68) * ('Form responses 1'!$A$2:$A1000 &lt;= DATE(2025, 3, 31)))
+ SUMPRODUCT(('Form responses 1'!$G$2:$G1000 = A68) * ('Form responses 1'!$A$2:$A1000 &lt;= DATE(2025, 3, 31)))),2),"-")</f>
        <v>3.33</v>
      </c>
      <c r="R68" s="2">
        <f>IFERROR(ROUND(Data!B63/(SUMPRODUCT(('Form responses 1'!$B$2:$B1000 = A68) * ('Form responses 1'!$A$2:$A1000 &lt;= DATE(2025, 4, 30)))
+ SUMPRODUCT(('Form responses 1'!$C$2:$C1000 = A68) * ('Form responses 1'!$A$2:$A1000 &lt;= DATE(2025, 4, 30)))
+ SUMPRODUCT(('Form responses 1'!$D$2:$D1000 = A68) * ('Form responses 1'!$A$2:$A1000 &lt;= DATE(2025, 4, 30)))
+ SUMPRODUCT(('Form responses 1'!$E$2:$E1000 = A68) * ('Form responses 1'!$A$2:$A1000 &lt;= DATE(2025, 4, 30)))
+ SUMPRODUCT(('Form responses 1'!$F$2:$F1000 = A68) * ('Form responses 1'!$A$2:$A1000 &lt;= DATE(2025, 4, 30)))
+ SUMPRODUCT(('Form responses 1'!$G$2:$G1000 = A68) * ('Form responses 1'!$A$2:$A1000 &lt;= DATE(2025, 4, 30)))), 2), "-")
</f>
        <v>3.07</v>
      </c>
      <c r="S68" s="2">
        <f>IFERROR(ROUND(Data!B63/(SUMPRODUCT(('Form responses 1'!$B$2:$B1000 = A68) * ('Form responses 1'!$A$2:$A1000 &lt;= DATE(2025, 5, 31)))
+ SUMPRODUCT(('Form responses 1'!$C$2:$C1000 = A68) * ('Form responses 1'!$A$2:$A1000 &lt;= DATE(2025, 5, 31)))
+ SUMPRODUCT(('Form responses 1'!$D$2:$D1000 = A68) * ('Form responses 1'!$A$2:$A1000 &lt;= DATE(2025, 5, 31)))
+ SUMPRODUCT(('Form responses 1'!$E$2:$E1000 = A68) * ('Form responses 1'!$A$2:$A1000 &lt;= DATE(2025, 5, 31)))
+ SUMPRODUCT(('Form responses 1'!$F$2:$F1000 = A68) * ('Form responses 1'!$A$2:$A1000 &lt;= DATE(2025, 5, 31)))
+ SUMPRODUCT(('Form responses 1'!$G$2:$G1000 = A68) * ('Form responses 1'!$A$2:$A1000 &lt;= DATE(2025, 5, 31)))), 2), "-")
</f>
        <v>2.5</v>
      </c>
      <c r="T68" s="2">
        <f>IFERROR(ROUND(Data!B63/(SUMPRODUCT(('Form responses 1'!$B$2:$B1000 = A68) * ('Form responses 1'!$A$2:$A1000 &lt;= DATE(2025, 6, 30)))
+ SUMPRODUCT(('Form responses 1'!$C$2:$C1000 = A68) * ('Form responses 1'!$A$2:$A1000 &lt;= DATE(2025, 6, 30)))
+ SUMPRODUCT(('Form responses 1'!$D$2:$D1000 = A68) * ('Form responses 1'!$A$2:$A1000 &lt;= DATE(2025, 6, 30)))
+ SUMPRODUCT(('Form responses 1'!$E$2:$E1000 = A68) * ('Form responses 1'!$A$2:$A1000 &lt;= DATE(2025, 6, 30)))
+ SUMPRODUCT(('Form responses 1'!$F$2:$F1000 = A68) * ('Form responses 1'!$A$2:$A1000 &lt;= DATE(2025, 6, 30)))
+ SUMPRODUCT(('Form responses 1'!$G$2:$G1000 = A68) * ('Form responses 1'!$A$2:$A1000 &lt;= DATE(2025, 6, 30)))), 2), "-")
</f>
        <v>2.22</v>
      </c>
      <c r="U68" s="2">
        <f>IFERROR(ROUND(Data!B63/(SUMPRODUCT(('Form responses 1'!$B$2:$B1000 = A68) * ('Form responses 1'!$A$2:$A1000 &lt;= DATE(2025, 7, 31)))
+ SUMPRODUCT(('Form responses 1'!$C$2:$C1000 = A68) * ('Form responses 1'!$A$2:$A1000 &lt;= DATE(2025, 7, 31)))
+ SUMPRODUCT(('Form responses 1'!$D$2:$D1000 = A68) * ('Form responses 1'!$A$2:$A1000 &lt;= DATE(2025, 7, 31)))
+ SUMPRODUCT(('Form responses 1'!$E$2:$E1000 = A68) * ('Form responses 1'!$A$2:$A1000 &lt;= DATE(2025, 7, 31)))
+ SUMPRODUCT(('Form responses 1'!$F$2:$F1000 = A68) * ('Form responses 1'!$A$2:$A1000 &lt;= DATE(2025, 7, 31)))
+ SUMPRODUCT(('Form responses 1'!$G$2:$G1000 = A68) * ('Form responses 1'!$A$2:$A1000 &lt;= DATE(2025, 7, 31)))), 2), "-")
</f>
        <v>2.22</v>
      </c>
      <c r="V68" s="2">
        <f>IFERROR(ROUND(Data!B63/(SUMPRODUCT(('Form responses 1'!$B$2:$B1000 = A68) * ('Form responses 1'!$A$2:$A1000 &lt;= DATE(2025, 8, 31)))
+ SUMPRODUCT(('Form responses 1'!$C$2:$C1000 = A68) * ('Form responses 1'!$A$2:$A1000 &lt;= DATE(2025, 8, 31)))
+ SUMPRODUCT(('Form responses 1'!$D$2:$D1000 = A68) * ('Form responses 1'!$A$2:$A1000 &lt;= DATE(2025, 8, 31)))
+ SUMPRODUCT(('Form responses 1'!$E$2:$E1000 = A68) * ('Form responses 1'!$A$2:$A1000 &lt;= DATE(2025, 8, 31)))
+ SUMPRODUCT(('Form responses 1'!$F$2:$F1000 = A68) * ('Form responses 1'!$A$2:$A1000 &lt;= DATE(2025, 8, 31)))
+ SUMPRODUCT(('Form responses 1'!$G$2:$G1000 = A68) * ('Form responses 1'!$A$2:$A1000 &lt;= DATE(2025, 8, 31)))), 2), "-")
</f>
        <v>2.22</v>
      </c>
      <c r="W68" s="2">
        <f>IFERROR(ROUND(Data!B63/(SUMPRODUCT(('Form responses 1'!$B$2:$B1000 = A68) * ('Form responses 1'!$A$2:$A1000 &lt;= DATE(2025, 9, 30)))
+ SUMPRODUCT(('Form responses 1'!$C$2:$C1000 = A68) * ('Form responses 1'!$A$2:$A1000 &lt;= DATE(2025, 9, 30)))
+ SUMPRODUCT(('Form responses 1'!$D$2:$D1000 = A68) * ('Form responses 1'!$A$2:$A1000 &lt;= DATE(2025, 9, 30)))
+ SUMPRODUCT(('Form responses 1'!$E$2:$E1000 = A68) * ('Form responses 1'!$A$2:$A1000 &lt;= DATE(2025, 9, 30)))
+ SUMPRODUCT(('Form responses 1'!$F$2:$F1000 = A68) * ('Form responses 1'!$A$2:$A1000 &lt;= DATE(2025, 9, 30)))
+ SUMPRODUCT(('Form responses 1'!$G$2:$G1000 = A68) * ('Form responses 1'!$A$2:$A1000 &lt;= DATE(2025, 9, 30)))), 2), "-")
</f>
        <v>2.22</v>
      </c>
      <c r="X68" s="2">
        <f>IFERROR(ROUND(Data!B63/(SUMPRODUCT(('Form responses 1'!$B$2:$B1000 = A68) * ('Form responses 1'!$A$2:$A1000 &lt;= DATE(2025, 10, 31)))
+ SUMPRODUCT(('Form responses 1'!$C$2:$C1000 = A68) * ('Form responses 1'!$A$2:$A1000 &lt;= DATE(2025, 10, 31)))
+ SUMPRODUCT(('Form responses 1'!$D$2:$D1000 = A68) * ('Form responses 1'!$A$2:$A1000 &lt;= DATE(2025, 10, 31)))
+ SUMPRODUCT(('Form responses 1'!$E$2:$E1000 = A68) * ('Form responses 1'!$A$2:$A1000 &lt;= DATE(2025, 10, 31)))
+ SUMPRODUCT(('Form responses 1'!$F$2:$F1000 = A68) * ('Form responses 1'!$A$2:$A1000 &lt;= DATE(2025, 10, 31)))
+ SUMPRODUCT(('Form responses 1'!$G$2:$G1000 = A68) * ('Form responses 1'!$A$2:$A1000 &lt;= DATE(2025, 10, 31)))), 2), "-")
</f>
        <v>2.22</v>
      </c>
      <c r="Y68" s="2">
        <f>IFERROR(ROUND(Data!B63/(SUMPRODUCT(('Form responses 1'!$B$2:$B1000 = A68) * ('Form responses 1'!$A$2:$A1000 &lt;= DATE(2025, 11, 30)))
+ SUMPRODUCT(('Form responses 1'!$C$2:$C1000 = A68) * ('Form responses 1'!$A$2:$A1000 &lt;= DATE(2025, 11, 30)))
+ SUMPRODUCT(('Form responses 1'!$D$2:$D1000 = A68) * ('Form responses 1'!$A$2:$A1000 &lt;= DATE(2025, 11, 30)))
+ SUMPRODUCT(('Form responses 1'!$E$2:$E1000 = A68) * ('Form responses 1'!$A$2:$A1000 &lt;= DATE(2025, 11, 30)))
+ SUMPRODUCT(('Form responses 1'!$F$2:$F1000 = A68) * ('Form responses 1'!$A$2:$A1000 &lt;= DATE(2025, 11, 30)))
+ SUMPRODUCT(('Form responses 1'!$G$2:$G1000 = A68) * ('Form responses 1'!$A$2:$A1000 &lt;= DATE(2025, 11, 30)))), 2), "-")
</f>
        <v>2</v>
      </c>
      <c r="Z68" s="2">
        <f>IFERROR(ROUND(Data!B63/(SUMPRODUCT(('Form responses 1'!$B$2:$B1000 = A68) * ('Form responses 1'!$A$2:$A1000 &lt;= DATE(2025, 12, 31)))
+ SUMPRODUCT(('Form responses 1'!$C$2:$C1000 = A68) * ('Form responses 1'!$A$2:$A1000 &lt;= DATE(2025, 12, 31)))
+ SUMPRODUCT(('Form responses 1'!$D$2:$D1000 = A68) * ('Form responses 1'!$A$2:$A1000 &lt;= DATE(2025, 12, 31)))
+ SUMPRODUCT(('Form responses 1'!$E$2:$E1000 = A68) * ('Form responses 1'!$A$2:$A1000 &lt;= DATE(2025, 12, 31)))
+ SUMPRODUCT(('Form responses 1'!$F$2:$F1000 = A68) * ('Form responses 1'!$A$2:$A1000 &lt;= DATE(2025, 12, 31)))
+ SUMPRODUCT(('Form responses 1'!$G$2:$G1000 = A68) * ('Form responses 1'!$A$2:$A1000 &lt;= DATE(2025, 12, 31)))), 2), "-")
</f>
        <v>1.82</v>
      </c>
      <c r="AA68" s="2">
        <f>IFERROR(ROUND(Data!$B68/(
  SUMPRODUCT(('Form responses 1'!$B$2:$B1000=$A68)*('Form responses 1'!$A$2:$A1000&lt;=EOMONTH(DATEVALUE("1 "&amp;AA$1),0)))+
  SUMPRODUCT(('Form responses 1'!$C$2:$C1000=$A68)*('Form responses 1'!$A$2:$A1000&lt;=EOMONTH(DATEVALUE("1 "&amp;AA$1),0)))+
  SUMPRODUCT(('Form responses 1'!$D$2:$D1000=$A68)*('Form responses 1'!$A$2:$A1000&lt;=EOMONTH(DATEVALUE("1 "&amp;AA$1),0)))+
  SUMPRODUCT(('Form responses 1'!$E$2:$E1000=$A68)*('Form responses 1'!$A$2:$A1000&lt;=EOMONTH(DATEVALUE("1 "&amp;AA$1),0)))+
  SUMPRODUCT(('Form responses 1'!$F$2:$F1000=$A68)*('Form responses 1'!$A$2:$A1000&lt;=EOMONTH(DATEVALUE("1 "&amp;AA$1),0)))+
  SUMPRODUCT(('Form responses 1'!$G$2:$G1000=$A68)*('Form responses 1'!$A$2:$A1000&lt;=EOMONTH(DATEVALUE("1 "&amp;AA$1),0)))
),2),"-")</f>
        <v>2.94</v>
      </c>
      <c r="AB68" s="2">
        <f>IFERROR(ROUND(Data!$B68/(
  SUMPRODUCT(('Form responses 1'!$B$2:$B1000=$A68)*('Form responses 1'!$A$2:$A1000&lt;=EOMONTH(DATEVALUE("1 "&amp;AB$1),0)))+
  SUMPRODUCT(('Form responses 1'!$C$2:$C1000=$A68)*('Form responses 1'!$A$2:$A1000&lt;=EOMONTH(DATEVALUE("1 "&amp;AB$1),0)))+
  SUMPRODUCT(('Form responses 1'!$D$2:$D1000=$A68)*('Form responses 1'!$A$2:$A1000&lt;=EOMONTH(DATEVALUE("1 "&amp;AB$1),0)))+
  SUMPRODUCT(('Form responses 1'!$E$2:$E1000=$A68)*('Form responses 1'!$A$2:$A1000&lt;=EOMONTH(DATEVALUE("1 "&amp;AB$1),0)))+
  SUMPRODUCT(('Form responses 1'!$F$2:$F1000=$A68)*('Form responses 1'!$A$2:$A1000&lt;=EOMONTH(DATEVALUE("1 "&amp;AB$1),0)))+
  SUMPRODUCT(('Form responses 1'!$G$2:$G1000=$A68)*('Form responses 1'!$A$2:$A1000&lt;=EOMONTH(DATEVALUE("1 "&amp;AB$1),0)))
),2),"-")</f>
        <v>2.62</v>
      </c>
      <c r="AC68" s="2">
        <f>IFERROR(ROUND(Data!$B68/(
  SUMPRODUCT(('Form responses 1'!$B$2:$B1000=$A68)*('Form responses 1'!$A$2:$A1000&lt;=EOMONTH(DATEVALUE("1 "&amp;AC$1),0)))+
  SUMPRODUCT(('Form responses 1'!$C$2:$C1000=$A68)*('Form responses 1'!$A$2:$A1000&lt;=EOMONTH(DATEVALUE("1 "&amp;AC$1),0)))+
  SUMPRODUCT(('Form responses 1'!$D$2:$D1000=$A68)*('Form responses 1'!$A$2:$A1000&lt;=EOMONTH(DATEVALUE("1 "&amp;AC$1),0)))+
  SUMPRODUCT(('Form responses 1'!$E$2:$E1000=$A68)*('Form responses 1'!$A$2:$A1000&lt;=EOMONTH(DATEVALUE("1 "&amp;AC$1),0)))+
  SUMPRODUCT(('Form responses 1'!$F$2:$F1000=$A68)*('Form responses 1'!$A$2:$A1000&lt;=EOMONTH(DATEVALUE("1 "&amp;AC$1),0)))+
  SUMPRODUCT(('Form responses 1'!$G$2:$G1000=$A68)*('Form responses 1'!$A$2:$A1000&lt;=EOMONTH(DATEVALUE("1 "&amp;AC$1),0)))
),2),"-")</f>
        <v>2.45</v>
      </c>
      <c r="AD68" s="2" t="str">
        <f>IFERROR(ROUND(Data!$B68/(
  SUMPRODUCT(('Form responses 1'!$B$2:$B1000=$A68)*('Form responses 1'!$A$2:$A1000&lt;=EOMONTH(DATEVALUE("1 "&amp;AD$1),0)))+
  SUMPRODUCT(('Form responses 1'!$C$2:$C1000=$A68)*('Form responses 1'!$A$2:$A1000&lt;=EOMONTH(DATEVALUE("1 "&amp;AD$1),0)))+
  SUMPRODUCT(('Form responses 1'!$D$2:$D1000=$A68)*('Form responses 1'!$A$2:$A1000&lt;=EOMONTH(DATEVALUE("1 "&amp;AD$1),0)))+
  SUMPRODUCT(('Form responses 1'!$E$2:$E1000=$A68)*('Form responses 1'!$A$2:$A1000&lt;=EOMONTH(DATEVALUE("1 "&amp;AD$1),0)))+
  SUMPRODUCT(('Form responses 1'!$F$2:$F1000=$A68)*('Form responses 1'!$A$2:$A1000&lt;=EOMONTH(DATEVALUE("1 "&amp;AD$1),0)))+
  SUMPRODUCT(('Form responses 1'!$G$2:$G1000=$A68)*('Form responses 1'!$A$2:$A1000&lt;=EOMONTH(DATEVALUE("1 "&amp;AD$1),0)))
),2),"-")</f>
        <v>-</v>
      </c>
      <c r="AE68" s="2" t="str">
        <f>IFERROR(ROUND(Data!$B68/(
  SUMPRODUCT(('Form responses 1'!$B$2:$B1000=$A68)*('Form responses 1'!$A$2:$A1000&lt;=EOMONTH(DATEVALUE("1 "&amp;AE$1),0)))+
  SUMPRODUCT(('Form responses 1'!$C$2:$C1000=$A68)*('Form responses 1'!$A$2:$A1000&lt;=EOMONTH(DATEVALUE("1 "&amp;AE$1),0)))+
  SUMPRODUCT(('Form responses 1'!$D$2:$D1000=$A68)*('Form responses 1'!$A$2:$A1000&lt;=EOMONTH(DATEVALUE("1 "&amp;AE$1),0)))+
  SUMPRODUCT(('Form responses 1'!$E$2:$E1000=$A68)*('Form responses 1'!$A$2:$A1000&lt;=EOMONTH(DATEVALUE("1 "&amp;AE$1),0)))+
  SUMPRODUCT(('Form responses 1'!$F$2:$F1000=$A68)*('Form responses 1'!$A$2:$A1000&lt;=EOMONTH(DATEVALUE("1 "&amp;AE$1),0)))+
  SUMPRODUCT(('Form responses 1'!$G$2:$G1000=$A68)*('Form responses 1'!$A$2:$A1000&lt;=EOMONTH(DATEVALUE("1 "&amp;AE$1),0)))
),2),"-")</f>
        <v>-</v>
      </c>
      <c r="AF68" s="2" t="str">
        <f>IFERROR(ROUND(Data!$B68/(
  SUMPRODUCT(('Form responses 1'!$B$2:$B1000=$A68)*('Form responses 1'!$A$2:$A1000&lt;=EOMONTH(DATEVALUE("1 "&amp;AF$1),0)))+
  SUMPRODUCT(('Form responses 1'!$C$2:$C1000=$A68)*('Form responses 1'!$A$2:$A1000&lt;=EOMONTH(DATEVALUE("1 "&amp;AF$1),0)))+
  SUMPRODUCT(('Form responses 1'!$D$2:$D1000=$A68)*('Form responses 1'!$A$2:$A1000&lt;=EOMONTH(DATEVALUE("1 "&amp;AF$1),0)))+
  SUMPRODUCT(('Form responses 1'!$E$2:$E1000=$A68)*('Form responses 1'!$A$2:$A1000&lt;=EOMONTH(DATEVALUE("1 "&amp;AF$1),0)))+
  SUMPRODUCT(('Form responses 1'!$F$2:$F1000=$A68)*('Form responses 1'!$A$2:$A1000&lt;=EOMONTH(DATEVALUE("1 "&amp;AF$1),0)))+
  SUMPRODUCT(('Form responses 1'!$G$2:$G1000=$A68)*('Form responses 1'!$A$2:$A1000&lt;=EOMONTH(DATEVALUE("1 "&amp;AF$1),0)))
),2),"-")</f>
        <v>-</v>
      </c>
      <c r="AG68" s="2" t="str">
        <f>IFERROR(ROUND(Data!$B68/(
  SUMPRODUCT(('Form responses 1'!$B$2:$B1000=$A68)*('Form responses 1'!$A$2:$A1000&lt;=EOMONTH(DATEVALUE("1 "&amp;AG$1),0)))+
  SUMPRODUCT(('Form responses 1'!$C$2:$C1000=$A68)*('Form responses 1'!$A$2:$A1000&lt;=EOMONTH(DATEVALUE("1 "&amp;AG$1),0)))+
  SUMPRODUCT(('Form responses 1'!$D$2:$D1000=$A68)*('Form responses 1'!$A$2:$A1000&lt;=EOMONTH(DATEVALUE("1 "&amp;AG$1),0)))+
  SUMPRODUCT(('Form responses 1'!$E$2:$E1000=$A68)*('Form responses 1'!$A$2:$A1000&lt;=EOMONTH(DATEVALUE("1 "&amp;AG$1),0)))+
  SUMPRODUCT(('Form responses 1'!$F$2:$F1000=$A68)*('Form responses 1'!$A$2:$A1000&lt;=EOMONTH(DATEVALUE("1 "&amp;AG$1),0)))+
  SUMPRODUCT(('Form responses 1'!$G$2:$G1000=$A68)*('Form responses 1'!$A$2:$A1000&lt;=EOMONTH(DATEVALUE("1 "&amp;AG$1),0)))
),2),"-")</f>
        <v>-</v>
      </c>
      <c r="AH68" s="2" t="str">
        <f>IFERROR(ROUND(Data!$B68/(
  SUMPRODUCT(('Form responses 1'!$B$2:$B1000=$A68)*('Form responses 1'!$A$2:$A1000&lt;=EOMONTH(DATEVALUE("1 "&amp;AH$1),0)))+
  SUMPRODUCT(('Form responses 1'!$C$2:$C1000=$A68)*('Form responses 1'!$A$2:$A1000&lt;=EOMONTH(DATEVALUE("1 "&amp;AH$1),0)))+
  SUMPRODUCT(('Form responses 1'!$D$2:$D1000=$A68)*('Form responses 1'!$A$2:$A1000&lt;=EOMONTH(DATEVALUE("1 "&amp;AH$1),0)))+
  SUMPRODUCT(('Form responses 1'!$E$2:$E1000=$A68)*('Form responses 1'!$A$2:$A1000&lt;=EOMONTH(DATEVALUE("1 "&amp;AH$1),0)))+
  SUMPRODUCT(('Form responses 1'!$F$2:$F1000=$A68)*('Form responses 1'!$A$2:$A1000&lt;=EOMONTH(DATEVALUE("1 "&amp;AH$1),0)))+
  SUMPRODUCT(('Form responses 1'!$G$2:$G1000=$A68)*('Form responses 1'!$A$2:$A1000&lt;=EOMONTH(DATEVALUE("1 "&amp;AH$1),0)))
),2),"-")</f>
        <v>-</v>
      </c>
      <c r="AI68" s="2" t="str">
        <f>IFERROR(ROUND(Data!$B68/(
  SUMPRODUCT(('Form responses 1'!$B$2:$B1000=$A68)*('Form responses 1'!$A$2:$A1000&lt;=EOMONTH(DATEVALUE("1 "&amp;AI$1),0)))+
  SUMPRODUCT(('Form responses 1'!$C$2:$C1000=$A68)*('Form responses 1'!$A$2:$A1000&lt;=EOMONTH(DATEVALUE("1 "&amp;AI$1),0)))+
  SUMPRODUCT(('Form responses 1'!$D$2:$D1000=$A68)*('Form responses 1'!$A$2:$A1000&lt;=EOMONTH(DATEVALUE("1 "&amp;AI$1),0)))+
  SUMPRODUCT(('Form responses 1'!$E$2:$E1000=$A68)*('Form responses 1'!$A$2:$A1000&lt;=EOMONTH(DATEVALUE("1 "&amp;AI$1),0)))+
  SUMPRODUCT(('Form responses 1'!$F$2:$F1000=$A68)*('Form responses 1'!$A$2:$A1000&lt;=EOMONTH(DATEVALUE("1 "&amp;AI$1),0)))+
  SUMPRODUCT(('Form responses 1'!$G$2:$G1000=$A68)*('Form responses 1'!$A$2:$A1000&lt;=EOMONTH(DATEVALUE("1 "&amp;AI$1),0)))
),2),"-")</f>
        <v>-</v>
      </c>
      <c r="AJ68" s="2" t="str">
        <f>IFERROR(ROUND(Data!$B68/(
  SUMPRODUCT(('Form responses 1'!$B$2:$B1000=$A68)*('Form responses 1'!$A$2:$A1000&lt;=EOMONTH(DATEVALUE("1 "&amp;AJ$1),0)))+
  SUMPRODUCT(('Form responses 1'!$C$2:$C1000=$A68)*('Form responses 1'!$A$2:$A1000&lt;=EOMONTH(DATEVALUE("1 "&amp;AJ$1),0)))+
  SUMPRODUCT(('Form responses 1'!$D$2:$D1000=$A68)*('Form responses 1'!$A$2:$A1000&lt;=EOMONTH(DATEVALUE("1 "&amp;AJ$1),0)))+
  SUMPRODUCT(('Form responses 1'!$E$2:$E1000=$A68)*('Form responses 1'!$A$2:$A1000&lt;=EOMONTH(DATEVALUE("1 "&amp;AJ$1),0)))+
  SUMPRODUCT(('Form responses 1'!$F$2:$F1000=$A68)*('Form responses 1'!$A$2:$A1000&lt;=EOMONTH(DATEVALUE("1 "&amp;AJ$1),0)))+
  SUMPRODUCT(('Form responses 1'!$G$2:$G1000=$A68)*('Form responses 1'!$A$2:$A1000&lt;=EOMONTH(DATEVALUE("1 "&amp;AJ$1),0)))
),2),"-")</f>
        <v>-</v>
      </c>
      <c r="AK68" s="2" t="str">
        <f>IFERROR(ROUND(Data!$B68/(
  SUMPRODUCT(('Form responses 1'!$B$2:$B1000=$A68)*('Form responses 1'!$A$2:$A1000&lt;=EOMONTH(DATEVALUE("1 "&amp;AK$1),0)))+
  SUMPRODUCT(('Form responses 1'!$C$2:$C1000=$A68)*('Form responses 1'!$A$2:$A1000&lt;=EOMONTH(DATEVALUE("1 "&amp;AK$1),0)))+
  SUMPRODUCT(('Form responses 1'!$D$2:$D1000=$A68)*('Form responses 1'!$A$2:$A1000&lt;=EOMONTH(DATEVALUE("1 "&amp;AK$1),0)))+
  SUMPRODUCT(('Form responses 1'!$E$2:$E1000=$A68)*('Form responses 1'!$A$2:$A1000&lt;=EOMONTH(DATEVALUE("1 "&amp;AK$1),0)))+
  SUMPRODUCT(('Form responses 1'!$F$2:$F1000=$A68)*('Form responses 1'!$A$2:$A1000&lt;=EOMONTH(DATEVALUE("1 "&amp;AK$1),0)))+
  SUMPRODUCT(('Form responses 1'!$G$2:$G1000=$A68)*('Form responses 1'!$A$2:$A1000&lt;=EOMONTH(DATEVALUE("1 "&amp;AK$1),0)))
),2),"-")</f>
        <v>-</v>
      </c>
      <c r="AL68" s="2" t="str">
        <f>IFERROR(ROUND(Data!$B68/(
  SUMPRODUCT(('Form responses 1'!$B$2:$B1000=$A68)*('Form responses 1'!$A$2:$A1000&lt;=EOMONTH(DATEVALUE("1 "&amp;AL$1),0)))+
  SUMPRODUCT(('Form responses 1'!$C$2:$C1000=$A68)*('Form responses 1'!$A$2:$A1000&lt;=EOMONTH(DATEVALUE("1 "&amp;AL$1),0)))+
  SUMPRODUCT(('Form responses 1'!$D$2:$D1000=$A68)*('Form responses 1'!$A$2:$A1000&lt;=EOMONTH(DATEVALUE("1 "&amp;AL$1),0)))+
  SUMPRODUCT(('Form responses 1'!$E$2:$E1000=$A68)*('Form responses 1'!$A$2:$A1000&lt;=EOMONTH(DATEVALUE("1 "&amp;AL$1),0)))+
  SUMPRODUCT(('Form responses 1'!$F$2:$F1000=$A68)*('Form responses 1'!$A$2:$A1000&lt;=EOMONTH(DATEVALUE("1 "&amp;AL$1),0)))+
  SUMPRODUCT(('Form responses 1'!$G$2:$G1000=$A68)*('Form responses 1'!$A$2:$A1000&lt;=EOMONTH(DATEVALUE("1 "&amp;AL$1),0)))
),2),"-")</f>
        <v>-</v>
      </c>
    </row>
    <row r="69">
      <c r="A69" s="3" t="str">
        <f>IFERROR(__xludf.DUMMYFUNCTION("""COMPUTED_VALUE"""),"Rood geblokte blouse")</f>
        <v>Rood geblokte blouse</v>
      </c>
      <c r="B69" s="2">
        <f>Data!F64:F1000</f>
        <v>3.6</v>
      </c>
      <c r="C69" s="2" t="str">
        <f>IFERROR(ROUND(#REF!/(SUMPRODUCT(('Form responses 1'!$B$2:$B1000 = A69) * ('Form responses 1'!$A$2:$A1000 &lt;= DATE(2024, 1, 31)))
+ SUMPRODUCT(('Form responses 1'!$C$2:$C1000 = A69) * ('Form responses 1'!$A$2:$A1000 &lt;= DATE(2024, 1, 31)))
+ SUMPRODUCT(('Form responses 1'!$D$2:$D1000 = A69) * ('Form responses 1'!$A$2:$A1000 &lt;= DATE(2024, 1, 31)))
+ SUMPRODUCT(('Form responses 1'!$E$2:$E1000 = A69) * ('Form responses 1'!$A$2:$A1000 &lt;= DATE(2024, 1, 31)))
+ SUMPRODUCT(('Form responses 1'!$F$2:$F1000 = A69) * ('Form responses 1'!$A$2:$A1000 &lt;= DATE(2024, 1, 31)))
+ SUMPRODUCT(('Form responses 1'!$G$2:$G1000 = A69) * ('Form responses 1'!$A$2:$A1000 &lt;= DATE(2024, 1, 31)))), 2), "-")
</f>
        <v>-</v>
      </c>
      <c r="D69" s="2" t="str">
        <f>IFERROR(ROUND(#REF!/(SUMPRODUCT(('Form responses 1'!$B$2:$B1000 = A69) * ('Form responses 1'!$A$2:$A1000 &lt;= DATE(2024, 2, 29)))
+ SUMPRODUCT(('Form responses 1'!$C$2:$C1000 = A69) * ('Form responses 1'!$A$2:$A1000 &lt;= DATE(2024, 2, 29)))
+ SUMPRODUCT(('Form responses 1'!$D$2:$D1000 = A69) * ('Form responses 1'!$A$2:$A1000 &lt;= DATE(2024, 2, 29)))
+ SUMPRODUCT(('Form responses 1'!$E$2:$E1000 = A69) * ('Form responses 1'!$A$2:$A1000 &lt;= DATE(2024, 2, 29)))
+ SUMPRODUCT(('Form responses 1'!$F$2:$F1000 = A69) * ('Form responses 1'!$A$2:$A1000 &lt;= DATE(2024, 2, 29)))
+ SUMPRODUCT(('Form responses 1'!$G$2:$G1000 = A69) * ('Form responses 1'!$A$2:$A1000 &lt;= DATE(2024, 2, 29)))), 2), "-")
</f>
        <v>-</v>
      </c>
      <c r="E69" s="2" t="str">
        <f>IFERROR(ROUND(#REF!/(SUMPRODUCT(('Form responses 1'!$B$2:$B1000 = A69) * ('Form responses 1'!$A$2:$A1000 &lt;= DATE(2024, 3, 31)))
+ SUMPRODUCT(('Form responses 1'!$C$2:$C1000 = A69) * ('Form responses 1'!$A$2:$A1000 &lt;= DATE(2024, 3, 31)))
+ SUMPRODUCT(('Form responses 1'!$D$2:$D1000 = A69) * ('Form responses 1'!$A$2:$A1000 &lt;= DATE(2024, 3, 31)))
+ SUMPRODUCT(('Form responses 1'!$E$2:$E1000 = A69) * ('Form responses 1'!$A$2:$A1000 &lt;= DATE(2024, 3, 31)))
+ SUMPRODUCT(('Form responses 1'!$F$2:$F1000 = A69) * ('Form responses 1'!$A$2:$A1000 &lt;= DATE(2024, 3, 31)))
+ SUMPRODUCT(('Form responses 1'!$G$2:$G1000 = A69) * ('Form responses 1'!$A$2:$A1000 &lt;= DATE(2024, 3, 31)))), 2), "-")
</f>
        <v>-</v>
      </c>
      <c r="F69" s="2" t="str">
        <f>IFERROR(ROUND(#REF!/(SUMPRODUCT(('Form responses 1'!$B$2:$B1000 = A69) * ('Form responses 1'!$A$2:$A1000 &lt;= DATE(2024, 4, 30)))
+ SUMPRODUCT(('Form responses 1'!$C$2:$C1000 = A69) * ('Form responses 1'!$A$2:$A1000 &lt;= DATE(2024, 4, 30)))
+ SUMPRODUCT(('Form responses 1'!$D$2:$D1000 = A69) * ('Form responses 1'!$A$2:$A1000 &lt;= DATE(2024, 4, 30)))
+ SUMPRODUCT(('Form responses 1'!$E$2:$E1000 = A69) * ('Form responses 1'!$A$2:$A1000 &lt;= DATE(2024, 4, 30)))
+ SUMPRODUCT(('Form responses 1'!$F$2:$F1000 = A69) * ('Form responses 1'!$A$2:$A1000 &lt;= DATE(2024, 4, 30)))
+ SUMPRODUCT(('Form responses 1'!$G$2:$G1000 = A69) * ('Form responses 1'!$A$2:$A1000 &lt;= DATE(2024, 4, 30)))), 2), "-")
</f>
        <v>-</v>
      </c>
      <c r="G69" s="2" t="str">
        <f>IFERROR(ROUND(#REF!/(SUMPRODUCT(('Form responses 1'!$B$2:$B1000 = A69) * ('Form responses 1'!$A$2:$A1000 &lt;= DATE(2024, 5, 31)))
+ SUMPRODUCT(('Form responses 1'!$C$2:$C1000 = A69) * ('Form responses 1'!$A$2:$A1000 &lt;= DATE(2024, 5, 31)))
+ SUMPRODUCT(('Form responses 1'!$D$2:$D1000 = A69) * ('Form responses 1'!$A$2:$A1000 &lt;= DATE(2024, 5, 31)))
+ SUMPRODUCT(('Form responses 1'!$E$2:$E1000 = A69) * ('Form responses 1'!$A$2:$A1000 &lt;= DATE(2024, 5, 31)))
+ SUMPRODUCT(('Form responses 1'!$F$2:$F1000 = A69) * ('Form responses 1'!$A$2:$A1000 &lt;= DATE(2024, 5, 31)))
+ SUMPRODUCT(('Form responses 1'!$G$2:$G1000 = A69) * ('Form responses 1'!$A$2:$A1000 &lt;= DATE(2024, 5, 31)))), 2), "-")
</f>
        <v>-</v>
      </c>
      <c r="H69" s="2" t="str">
        <f>IFERROR(ROUND(#REF!/(SUMPRODUCT(('Form responses 1'!$B$2:$B1000 = A69) * ('Form responses 1'!$A$2:$A1000 &lt;= DATE(2024, 6, 30)))
+ SUMPRODUCT(('Form responses 1'!$C$2:$C1000 = A69) * ('Form responses 1'!$A$2:$A1000 &lt;= DATE(2024, 6, 30)))
+ SUMPRODUCT(('Form responses 1'!$D$2:$D1000 = A69) * ('Form responses 1'!$A$2:$A1000 &lt;= DATE(2024, 6, 30)))
+ SUMPRODUCT(('Form responses 1'!$E$2:$E1000 = A69) * ('Form responses 1'!$A$2:$A1000 &lt;= DATE(2024, 6, 30)))
+ SUMPRODUCT(('Form responses 1'!$F$2:$F1000 = A69) * ('Form responses 1'!$A$2:$A1000 &lt;= DATE(2024, 6, 30)))
+ SUMPRODUCT(('Form responses 1'!$G$2:$G1000 = A69) * ('Form responses 1'!$A$2:$A1000 &lt;= DATE(2024, 6, 30)))), 2), "-")
</f>
        <v>-</v>
      </c>
      <c r="I69" s="2" t="str">
        <f>IFERROR(ROUND(#REF!/(SUMPRODUCT(('Form responses 1'!$B$2:$B1000 = A69) * ('Form responses 1'!$A$2:$A1000 &lt;= DATE(2024, 7, 31)))
+ SUMPRODUCT(('Form responses 1'!$C$2:$C1000 = A69) * ('Form responses 1'!$A$2:$A1000 &lt;= DATE(2024, 7, 31)))
+ SUMPRODUCT(('Form responses 1'!$D$2:$D1000 = A69) * ('Form responses 1'!$A$2:$A1000 &lt;= DATE(2024, 7, 31)))
+ SUMPRODUCT(('Form responses 1'!$E$2:$E1000 = A69) * ('Form responses 1'!$A$2:$A1000 &lt;= DATE(2024, 7, 31)))
+ SUMPRODUCT(('Form responses 1'!$F$2:$F1000 = A69) * ('Form responses 1'!$A$2:$A1000 &lt;= DATE(2024, 7, 31)))
+ SUMPRODUCT(('Form responses 1'!$G$2:$G1000 = A69) * ('Form responses 1'!$A$2:$A1000 &lt;= DATE(2024, 7, 31)))), 2), "-")
</f>
        <v>-</v>
      </c>
      <c r="J69" s="2" t="str">
        <f>IFERROR(ROUND(#REF!/(SUMPRODUCT(('Form responses 1'!$B$2:$B1000 = A69) * ('Form responses 1'!$A$2:$A1000 &lt;= DATE(2024, 8, 31)))
+ SUMPRODUCT(('Form responses 1'!$C$2:$C1000 = A69) * ('Form responses 1'!$A$2:$A1000 &lt;= DATE(2024, 8, 31)))
+ SUMPRODUCT(('Form responses 1'!$D$2:$D1000 = A69) * ('Form responses 1'!$A$2:$A1000 &lt;= DATE(2024, 8, 31)))
+ SUMPRODUCT(('Form responses 1'!$E$2:$E1000 = A69) * ('Form responses 1'!$A$2:$A1000 &lt;= DATE(2024, 8, 31)))
+ SUMPRODUCT(('Form responses 1'!$F$2:$F1000 = A69) * ('Form responses 1'!$A$2:$A1000 &lt;= DATE(2024, 8, 31)))
+ SUMPRODUCT(('Form responses 1'!$G$2:$G1000 = A69) * ('Form responses 1'!$A$2:$A1000 &lt;= DATE(2024, 8, 31)))), 2), "-")
</f>
        <v>-</v>
      </c>
      <c r="K69" s="2" t="str">
        <f>IFERROR(ROUND(#REF!/(SUMPRODUCT(('Form responses 1'!$B$2:$B1000 = A69) * ('Form responses 1'!$A$2:$A1000 &lt;= DATE(2024, 9, 30)))
+ SUMPRODUCT(('Form responses 1'!$C$2:$C1000 = A69) * ('Form responses 1'!$A$2:$A1000 &lt;= DATE(2024, 9, 30)))
+ SUMPRODUCT(('Form responses 1'!$D$2:$D1000 = A69) * ('Form responses 1'!$A$2:$A1000 &lt;= DATE(2024, 9, 30)))
+ SUMPRODUCT(('Form responses 1'!$E$2:$E1000 = A69) * ('Form responses 1'!$A$2:$A1000 &lt;= DATE(2024, 9, 30)))
+ SUMPRODUCT(('Form responses 1'!$F$2:$F1000 = A69) * ('Form responses 1'!$A$2:$A1000 &lt;= DATE(2024, 9, 30)))
+ SUMPRODUCT(('Form responses 1'!$G$2:$G1000 = A69) * ('Form responses 1'!$A$2:$A1000 &lt;= DATE(2024, 9, 30)))), 2), "-")
</f>
        <v>-</v>
      </c>
      <c r="L69" s="2" t="str">
        <f>IFERROR(ROUND(#REF!/(SUMPRODUCT(('Form responses 1'!$B$2:$B1000 = A69) * ('Form responses 1'!$A$2:$A1000 &lt;= DATE(2024, 10, 31)))
+ SUMPRODUCT(('Form responses 1'!$C$2:$C1000 = A69) * ('Form responses 1'!$A$2:$A1000 &lt;= DATE(2024, 10, 31)))
+ SUMPRODUCT(('Form responses 1'!$D$2:$D1000 = A69) * ('Form responses 1'!$A$2:$A1000 &lt;= DATE(2024, 10, 31)))
+ SUMPRODUCT(('Form responses 1'!$E$2:$E1000 = A69) * ('Form responses 1'!$A$2:$A1000 &lt;= DATE(2024, 10, 31)))
+ SUMPRODUCT(('Form responses 1'!$F$2:$F1000 = A69) * ('Form responses 1'!$A$2:$A1000 &lt;= DATE(2024, 10, 31)))
+ SUMPRODUCT(('Form responses 1'!$G$2:$G1000 = A69) * ('Form responses 1'!$A$2:$A1000 &lt;= DATE(2024, 10, 31)))), 2), "-")
</f>
        <v>-</v>
      </c>
      <c r="M69" s="2" t="str">
        <f>IFERROR(ROUND(#REF!/(SUMPRODUCT(('Form responses 1'!$B$2:$B1000 = A69) * ('Form responses 1'!$A$2:$A1000 &lt;= DATE(2024, 11, 30)))
+ SUMPRODUCT(('Form responses 1'!$C$2:$C1000 = A69) * ('Form responses 1'!$A$2:$A1000 &lt;= DATE(2024, 11, 30)))
+ SUMPRODUCT(('Form responses 1'!$D$2:$D1000 = A69) * ('Form responses 1'!$A$2:$A1000 &lt;= DATE(2024, 11, 30)))
+ SUMPRODUCT(('Form responses 1'!$E$2:$E1000 = A69) * ('Form responses 1'!$A$2:$A1000 &lt;= DATE(2024, 11, 30)))
+ SUMPRODUCT(('Form responses 1'!$F$2:$F1000 = A69) * ('Form responses 1'!$A$2:$A1000 &lt;= DATE(2024, 11, 30)))
+ SUMPRODUCT(('Form responses 1'!$G$2:$G1000 = A69) * ('Form responses 1'!$A$2:$A1000 &lt;= DATE(2024, 11, 30)))), 2), "-")
</f>
        <v>-</v>
      </c>
      <c r="N69" s="2" t="str">
        <f>IFERROR(ROUND(#REF!/(SUMPRODUCT(('Form responses 1'!$B$2:$B1000 = A69) * ('Form responses 1'!$A$2:$A1000 &lt;= DATE(2024, 12, 31)))
+ SUMPRODUCT(('Form responses 1'!$C$2:$C1000 = A69) * ('Form responses 1'!$A$2:$A1000 &lt;= DATE(2024, 12, 31)))
+ SUMPRODUCT(('Form responses 1'!$D$2:$D1000 = A69) * ('Form responses 1'!$A$2:$A1000 &lt;= DATE(2024, 12, 31)))
+ SUMPRODUCT(('Form responses 1'!$E$2:$E1000 = A69) * ('Form responses 1'!$A$2:$A1000 &lt;= DATE(2024, 12, 31)))
+ SUMPRODUCT(('Form responses 1'!$F$2:$F1000 = A69) * ('Form responses 1'!$A$2:$A1000 &lt;= DATE(2024, 12, 31)))
+ SUMPRODUCT(('Form responses 1'!$G$2:$G1000 = A69) * ('Form responses 1'!$A$2:$A1000 &lt;= DATE(2024, 12, 31)))), 2), "-")
</f>
        <v>-</v>
      </c>
      <c r="O69" s="2" t="str">
        <f>IFERROR(ROUND(#REF!/(SUMPRODUCT(('Form responses 1'!$B$2:$B1000 = A69) * ('Form responses 1'!$A$2:$A1000 &lt;= DATE(2025, 1, 31)))
+ SUMPRODUCT(('Form responses 1'!$C$2:$C1000 = A69) * ('Form responses 1'!$A$2:$A1000 &lt;= DATE(2025, 1, 31)))
+ SUMPRODUCT(('Form responses 1'!$D$2:$D1000 = A69) * ('Form responses 1'!$A$2:$A1000 &lt;= DATE(2025, 1, 31)))
+ SUMPRODUCT(('Form responses 1'!$E$2:$E1000 = A69) * ('Form responses 1'!$A$2:$A1000 &lt;= DATE(2025, 1, 31)))
+ SUMPRODUCT(('Form responses 1'!$F$2:$F1000 = A69) * ('Form responses 1'!$A$2:$A1000 &lt;= DATE(2025, 1, 31)))
+ SUMPRODUCT(('Form responses 1'!$G$2:$G1000 = A69) * ('Form responses 1'!$A$2:$A1000 &lt;= DATE(2025, 1, 31)))), 2), "-")
</f>
        <v>-</v>
      </c>
      <c r="P69" s="2" t="str">
        <f>IFERROR(ROUND(#REF!/(SUMPRODUCT(('Form responses 1'!$B$2:$B1000 = A69) * ('Form responses 1'!$A$2:$A1000 &lt;= DATE(2025, 2, 28)))
+ SUMPRODUCT(('Form responses 1'!$C$2:$C1000 = A69) * ('Form responses 1'!$A$2:$A1000 &lt;= DATE(2025, 2, 28)))
+ SUMPRODUCT(('Form responses 1'!$D$2:$D1000 = A69) * ('Form responses 1'!$A$2:$A1000 &lt;= DATE(2025, 2, 28)))
+ SUMPRODUCT(('Form responses 1'!$E$2:$E1000 = A69) * ('Form responses 1'!$A$2:$A1000 &lt;= DATE(2025, 2, 28)))
+ SUMPRODUCT(('Form responses 1'!$F$2:$F1000 = A69) * ('Form responses 1'!$A$2:$A1000 &lt;= DATE(2025, 2, 28)))
+ SUMPRODUCT(('Form responses 1'!$G$2:$G1000 = A69) * ('Form responses 1'!$A$2:$A1000 &lt;= DATE(2025, 2, 28)))), 2), "-")
</f>
        <v>-</v>
      </c>
      <c r="Q69" s="2" t="str">
        <f>IFERROR(ROUND(#REF!/(SUMPRODUCT(('Form responses 1'!$B$2:$B1000 = A69) * ('Form responses 1'!$A$2:$A1000 &lt;= DATE(2025, 3, 31)))
+ SUMPRODUCT(('Form responses 1'!$C$2:$C1000 = A69) * ('Form responses 1'!$A$2:$A1000 &lt;= DATE(2025, 3, 31)))
+ SUMPRODUCT(('Form responses 1'!$D$2:$D1000 = A69) * ('Form responses 1'!$A$2:$A1000 &lt;= DATE(2025, 3, 31)))
+ SUMPRODUCT(('Form responses 1'!$E$2:$E1000 = A69) * ('Form responses 1'!$A$2:$A1000 &lt;= DATE(2025, 3, 31)))
+ SUMPRODUCT(('Form responses 1'!$F$2:$F1000 = A69) * ('Form responses 1'!$A$2:$A1000 &lt;= DATE(2025, 3, 31)))
+ SUMPRODUCT(('Form responses 1'!$G$2:$G1000 = A69) * ('Form responses 1'!$A$2:$A1000 &lt;= DATE(2025, 3, 31)))),2),"-")</f>
        <v>-</v>
      </c>
      <c r="R69" s="2" t="str">
        <f>IFERROR(ROUND(#REF!/(SUMPRODUCT(('Form responses 1'!$B$2:$B1000 = A69) * ('Form responses 1'!$A$2:$A1000 &lt;= DATE(2025, 4, 30)))
+ SUMPRODUCT(('Form responses 1'!$C$2:$C1000 = A69) * ('Form responses 1'!$A$2:$A1000 &lt;= DATE(2025, 4, 30)))
+ SUMPRODUCT(('Form responses 1'!$D$2:$D1000 = A69) * ('Form responses 1'!$A$2:$A1000 &lt;= DATE(2025, 4, 30)))
+ SUMPRODUCT(('Form responses 1'!$E$2:$E1000 = A69) * ('Form responses 1'!$A$2:$A1000 &lt;= DATE(2025, 4, 30)))
+ SUMPRODUCT(('Form responses 1'!$F$2:$F1000 = A69) * ('Form responses 1'!$A$2:$A1000 &lt;= DATE(2025, 4, 30)))
+ SUMPRODUCT(('Form responses 1'!$G$2:$G1000 = A69) * ('Form responses 1'!$A$2:$A1000 &lt;= DATE(2025, 4, 30)))), 2), "-")
</f>
        <v>-</v>
      </c>
      <c r="S69" s="2" t="str">
        <f>IFERROR(ROUND(#REF!/(SUMPRODUCT(('Form responses 1'!$B$2:$B1000 = A69) * ('Form responses 1'!$A$2:$A1000 &lt;= DATE(2025, 5, 31)))
+ SUMPRODUCT(('Form responses 1'!$C$2:$C1000 = A69) * ('Form responses 1'!$A$2:$A1000 &lt;= DATE(2025, 5, 31)))
+ SUMPRODUCT(('Form responses 1'!$D$2:$D1000 = A69) * ('Form responses 1'!$A$2:$A1000 &lt;= DATE(2025, 5, 31)))
+ SUMPRODUCT(('Form responses 1'!$E$2:$E1000 = A69) * ('Form responses 1'!$A$2:$A1000 &lt;= DATE(2025, 5, 31)))
+ SUMPRODUCT(('Form responses 1'!$F$2:$F1000 = A69) * ('Form responses 1'!$A$2:$A1000 &lt;= DATE(2025, 5, 31)))
+ SUMPRODUCT(('Form responses 1'!$G$2:$G1000 = A69) * ('Form responses 1'!$A$2:$A1000 &lt;= DATE(2025, 5, 31)))), 2), "-")
</f>
        <v>-</v>
      </c>
      <c r="T69" s="2" t="str">
        <f>IFERROR(ROUND(#REF!/(SUMPRODUCT(('Form responses 1'!$B$2:$B1000 = A69) * ('Form responses 1'!$A$2:$A1000 &lt;= DATE(2025, 6, 30)))
+ SUMPRODUCT(('Form responses 1'!$C$2:$C1000 = A69) * ('Form responses 1'!$A$2:$A1000 &lt;= DATE(2025, 6, 30)))
+ SUMPRODUCT(('Form responses 1'!$D$2:$D1000 = A69) * ('Form responses 1'!$A$2:$A1000 &lt;= DATE(2025, 6, 30)))
+ SUMPRODUCT(('Form responses 1'!$E$2:$E1000 = A69) * ('Form responses 1'!$A$2:$A1000 &lt;= DATE(2025, 6, 30)))
+ SUMPRODUCT(('Form responses 1'!$F$2:$F1000 = A69) * ('Form responses 1'!$A$2:$A1000 &lt;= DATE(2025, 6, 30)))
+ SUMPRODUCT(('Form responses 1'!$G$2:$G1000 = A69) * ('Form responses 1'!$A$2:$A1000 &lt;= DATE(2025, 6, 30)))), 2), "-")
</f>
        <v>-</v>
      </c>
      <c r="U69" s="2" t="str">
        <f>IFERROR(ROUND(#REF!/(SUMPRODUCT(('Form responses 1'!$B$2:$B1000 = A69) * ('Form responses 1'!$A$2:$A1000 &lt;= DATE(2025, 7, 31)))
+ SUMPRODUCT(('Form responses 1'!$C$2:$C1000 = A69) * ('Form responses 1'!$A$2:$A1000 &lt;= DATE(2025, 7, 31)))
+ SUMPRODUCT(('Form responses 1'!$D$2:$D1000 = A69) * ('Form responses 1'!$A$2:$A1000 &lt;= DATE(2025, 7, 31)))
+ SUMPRODUCT(('Form responses 1'!$E$2:$E1000 = A69) * ('Form responses 1'!$A$2:$A1000 &lt;= DATE(2025, 7, 31)))
+ SUMPRODUCT(('Form responses 1'!$F$2:$F1000 = A69) * ('Form responses 1'!$A$2:$A1000 &lt;= DATE(2025, 7, 31)))
+ SUMPRODUCT(('Form responses 1'!$G$2:$G1000 = A69) * ('Form responses 1'!$A$2:$A1000 &lt;= DATE(2025, 7, 31)))), 2), "-")
</f>
        <v>-</v>
      </c>
      <c r="V69" s="2" t="str">
        <f>IFERROR(ROUND(#REF!/(SUMPRODUCT(('Form responses 1'!$B$2:$B1000 = A69) * ('Form responses 1'!$A$2:$A1000 &lt;= DATE(2025, 8, 31)))
+ SUMPRODUCT(('Form responses 1'!$C$2:$C1000 = A69) * ('Form responses 1'!$A$2:$A1000 &lt;= DATE(2025, 8, 31)))
+ SUMPRODUCT(('Form responses 1'!$D$2:$D1000 = A69) * ('Form responses 1'!$A$2:$A1000 &lt;= DATE(2025, 8, 31)))
+ SUMPRODUCT(('Form responses 1'!$E$2:$E1000 = A69) * ('Form responses 1'!$A$2:$A1000 &lt;= DATE(2025, 8, 31)))
+ SUMPRODUCT(('Form responses 1'!$F$2:$F1000 = A69) * ('Form responses 1'!$A$2:$A1000 &lt;= DATE(2025, 8, 31)))
+ SUMPRODUCT(('Form responses 1'!$G$2:$G1000 = A69) * ('Form responses 1'!$A$2:$A1000 &lt;= DATE(2025, 8, 31)))), 2), "-")
</f>
        <v>-</v>
      </c>
      <c r="W69" s="2" t="str">
        <f>IFERROR(ROUND(#REF!/(SUMPRODUCT(('Form responses 1'!$B$2:$B1000 = A69) * ('Form responses 1'!$A$2:$A1000 &lt;= DATE(2025, 9, 30)))
+ SUMPRODUCT(('Form responses 1'!$C$2:$C1000 = A69) * ('Form responses 1'!$A$2:$A1000 &lt;= DATE(2025, 9, 30)))
+ SUMPRODUCT(('Form responses 1'!$D$2:$D1000 = A69) * ('Form responses 1'!$A$2:$A1000 &lt;= DATE(2025, 9, 30)))
+ SUMPRODUCT(('Form responses 1'!$E$2:$E1000 = A69) * ('Form responses 1'!$A$2:$A1000 &lt;= DATE(2025, 9, 30)))
+ SUMPRODUCT(('Form responses 1'!$F$2:$F1000 = A69) * ('Form responses 1'!$A$2:$A1000 &lt;= DATE(2025, 9, 30)))
+ SUMPRODUCT(('Form responses 1'!$G$2:$G1000 = A69) * ('Form responses 1'!$A$2:$A1000 &lt;= DATE(2025, 9, 30)))), 2), "-")
</f>
        <v>-</v>
      </c>
      <c r="X69" s="2" t="str">
        <f>IFERROR(ROUND(#REF!/(SUMPRODUCT(('Form responses 1'!$B$2:$B1000 = A69) * ('Form responses 1'!$A$2:$A1000 &lt;= DATE(2025, 10, 31)))
+ SUMPRODUCT(('Form responses 1'!$C$2:$C1000 = A69) * ('Form responses 1'!$A$2:$A1000 &lt;= DATE(2025, 10, 31)))
+ SUMPRODUCT(('Form responses 1'!$D$2:$D1000 = A69) * ('Form responses 1'!$A$2:$A1000 &lt;= DATE(2025, 10, 31)))
+ SUMPRODUCT(('Form responses 1'!$E$2:$E1000 = A69) * ('Form responses 1'!$A$2:$A1000 &lt;= DATE(2025, 10, 31)))
+ SUMPRODUCT(('Form responses 1'!$F$2:$F1000 = A69) * ('Form responses 1'!$A$2:$A1000 &lt;= DATE(2025, 10, 31)))
+ SUMPRODUCT(('Form responses 1'!$G$2:$G1000 = A69) * ('Form responses 1'!$A$2:$A1000 &lt;= DATE(2025, 10, 31)))), 2), "-")
</f>
        <v>-</v>
      </c>
      <c r="Y69" s="2" t="str">
        <f>IFERROR(ROUND(#REF!/(SUMPRODUCT(('Form responses 1'!$B$2:$B1000 = A69) * ('Form responses 1'!$A$2:$A1000 &lt;= DATE(2025, 11, 30)))
+ SUMPRODUCT(('Form responses 1'!$C$2:$C1000 = A69) * ('Form responses 1'!$A$2:$A1000 &lt;= DATE(2025, 11, 30)))
+ SUMPRODUCT(('Form responses 1'!$D$2:$D1000 = A69) * ('Form responses 1'!$A$2:$A1000 &lt;= DATE(2025, 11, 30)))
+ SUMPRODUCT(('Form responses 1'!$E$2:$E1000 = A69) * ('Form responses 1'!$A$2:$A1000 &lt;= DATE(2025, 11, 30)))
+ SUMPRODUCT(('Form responses 1'!$F$2:$F1000 = A69) * ('Form responses 1'!$A$2:$A1000 &lt;= DATE(2025, 11, 30)))
+ SUMPRODUCT(('Form responses 1'!$G$2:$G1000 = A69) * ('Form responses 1'!$A$2:$A1000 &lt;= DATE(2025, 11, 30)))), 2), "-")
</f>
        <v>-</v>
      </c>
      <c r="Z69" s="2" t="str">
        <f>IFERROR(ROUND(#REF!/(SUMPRODUCT(('Form responses 1'!$B$2:$B1000 = A69) * ('Form responses 1'!$A$2:$A1000 &lt;= DATE(2025, 12, 31)))
+ SUMPRODUCT(('Form responses 1'!$C$2:$C1000 = A69) * ('Form responses 1'!$A$2:$A1000 &lt;= DATE(2025, 12, 31)))
+ SUMPRODUCT(('Form responses 1'!$D$2:$D1000 = A69) * ('Form responses 1'!$A$2:$A1000 &lt;= DATE(2025, 12, 31)))
+ SUMPRODUCT(('Form responses 1'!$E$2:$E1000 = A69) * ('Form responses 1'!$A$2:$A1000 &lt;= DATE(2025, 12, 31)))
+ SUMPRODUCT(('Form responses 1'!$F$2:$F1000 = A69) * ('Form responses 1'!$A$2:$A1000 &lt;= DATE(2025, 12, 31)))
+ SUMPRODUCT(('Form responses 1'!$G$2:$G1000 = A69) * ('Form responses 1'!$A$2:$A1000 &lt;= DATE(2025, 12, 31)))), 2), "-")
</f>
        <v>-</v>
      </c>
      <c r="AA69" s="2">
        <f>IFERROR(ROUND(Data!$B69/(
  SUMPRODUCT(('Form responses 1'!$B$2:$B1000=$A69)*('Form responses 1'!$A$2:$A1000&lt;=EOMONTH(DATEVALUE("1 "&amp;AA$1),0)))+
  SUMPRODUCT(('Form responses 1'!$C$2:$C1000=$A69)*('Form responses 1'!$A$2:$A1000&lt;=EOMONTH(DATEVALUE("1 "&amp;AA$1),0)))+
  SUMPRODUCT(('Form responses 1'!$D$2:$D1000=$A69)*('Form responses 1'!$A$2:$A1000&lt;=EOMONTH(DATEVALUE("1 "&amp;AA$1),0)))+
  SUMPRODUCT(('Form responses 1'!$E$2:$E1000=$A69)*('Form responses 1'!$A$2:$A1000&lt;=EOMONTH(DATEVALUE("1 "&amp;AA$1),0)))+
  SUMPRODUCT(('Form responses 1'!$F$2:$F1000=$A69)*('Form responses 1'!$A$2:$A1000&lt;=EOMONTH(DATEVALUE("1 "&amp;AA$1),0)))+
  SUMPRODUCT(('Form responses 1'!$G$2:$G1000=$A69)*('Form responses 1'!$A$2:$A1000&lt;=EOMONTH(DATEVALUE("1 "&amp;AA$1),0)))
),2),"-")</f>
        <v>3.6</v>
      </c>
      <c r="AB69" s="2">
        <f>IFERROR(ROUND(Data!$B69/(
  SUMPRODUCT(('Form responses 1'!$B$2:$B1000=$A69)*('Form responses 1'!$A$2:$A1000&lt;=EOMONTH(DATEVALUE("1 "&amp;AB$1),0)))+
  SUMPRODUCT(('Form responses 1'!$C$2:$C1000=$A69)*('Form responses 1'!$A$2:$A1000&lt;=EOMONTH(DATEVALUE("1 "&amp;AB$1),0)))+
  SUMPRODUCT(('Form responses 1'!$D$2:$D1000=$A69)*('Form responses 1'!$A$2:$A1000&lt;=EOMONTH(DATEVALUE("1 "&amp;AB$1),0)))+
  SUMPRODUCT(('Form responses 1'!$E$2:$E1000=$A69)*('Form responses 1'!$A$2:$A1000&lt;=EOMONTH(DATEVALUE("1 "&amp;AB$1),0)))+
  SUMPRODUCT(('Form responses 1'!$F$2:$F1000=$A69)*('Form responses 1'!$A$2:$A1000&lt;=EOMONTH(DATEVALUE("1 "&amp;AB$1),0)))+
  SUMPRODUCT(('Form responses 1'!$G$2:$G1000=$A69)*('Form responses 1'!$A$2:$A1000&lt;=EOMONTH(DATEVALUE("1 "&amp;AB$1),0)))
),2),"-")</f>
        <v>3.6</v>
      </c>
      <c r="AC69" s="2">
        <f>IFERROR(ROUND(Data!$B69/(
  SUMPRODUCT(('Form responses 1'!$B$2:$B1000=$A69)*('Form responses 1'!$A$2:$A1000&lt;=EOMONTH(DATEVALUE("1 "&amp;AC$1),0)))+
  SUMPRODUCT(('Form responses 1'!$C$2:$C1000=$A69)*('Form responses 1'!$A$2:$A1000&lt;=EOMONTH(DATEVALUE("1 "&amp;AC$1),0)))+
  SUMPRODUCT(('Form responses 1'!$D$2:$D1000=$A69)*('Form responses 1'!$A$2:$A1000&lt;=EOMONTH(DATEVALUE("1 "&amp;AC$1),0)))+
  SUMPRODUCT(('Form responses 1'!$E$2:$E1000=$A69)*('Form responses 1'!$A$2:$A1000&lt;=EOMONTH(DATEVALUE("1 "&amp;AC$1),0)))+
  SUMPRODUCT(('Form responses 1'!$F$2:$F1000=$A69)*('Form responses 1'!$A$2:$A1000&lt;=EOMONTH(DATEVALUE("1 "&amp;AC$1),0)))+
  SUMPRODUCT(('Form responses 1'!$G$2:$G1000=$A69)*('Form responses 1'!$A$2:$A1000&lt;=EOMONTH(DATEVALUE("1 "&amp;AC$1),0)))
),2),"-")</f>
        <v>3.6</v>
      </c>
      <c r="AD69" s="2" t="str">
        <f>IFERROR(ROUND(Data!$B69/(
  SUMPRODUCT(('Form responses 1'!$B$2:$B1000=$A69)*('Form responses 1'!$A$2:$A1000&lt;=EOMONTH(DATEVALUE("1 "&amp;AD$1),0)))+
  SUMPRODUCT(('Form responses 1'!$C$2:$C1000=$A69)*('Form responses 1'!$A$2:$A1000&lt;=EOMONTH(DATEVALUE("1 "&amp;AD$1),0)))+
  SUMPRODUCT(('Form responses 1'!$D$2:$D1000=$A69)*('Form responses 1'!$A$2:$A1000&lt;=EOMONTH(DATEVALUE("1 "&amp;AD$1),0)))+
  SUMPRODUCT(('Form responses 1'!$E$2:$E1000=$A69)*('Form responses 1'!$A$2:$A1000&lt;=EOMONTH(DATEVALUE("1 "&amp;AD$1),0)))+
  SUMPRODUCT(('Form responses 1'!$F$2:$F1000=$A69)*('Form responses 1'!$A$2:$A1000&lt;=EOMONTH(DATEVALUE("1 "&amp;AD$1),0)))+
  SUMPRODUCT(('Form responses 1'!$G$2:$G1000=$A69)*('Form responses 1'!$A$2:$A1000&lt;=EOMONTH(DATEVALUE("1 "&amp;AD$1),0)))
),2),"-")</f>
        <v>-</v>
      </c>
      <c r="AE69" s="2" t="str">
        <f>IFERROR(ROUND(Data!$B69/(
  SUMPRODUCT(('Form responses 1'!$B$2:$B1000=$A69)*('Form responses 1'!$A$2:$A1000&lt;=EOMONTH(DATEVALUE("1 "&amp;AE$1),0)))+
  SUMPRODUCT(('Form responses 1'!$C$2:$C1000=$A69)*('Form responses 1'!$A$2:$A1000&lt;=EOMONTH(DATEVALUE("1 "&amp;AE$1),0)))+
  SUMPRODUCT(('Form responses 1'!$D$2:$D1000=$A69)*('Form responses 1'!$A$2:$A1000&lt;=EOMONTH(DATEVALUE("1 "&amp;AE$1),0)))+
  SUMPRODUCT(('Form responses 1'!$E$2:$E1000=$A69)*('Form responses 1'!$A$2:$A1000&lt;=EOMONTH(DATEVALUE("1 "&amp;AE$1),0)))+
  SUMPRODUCT(('Form responses 1'!$F$2:$F1000=$A69)*('Form responses 1'!$A$2:$A1000&lt;=EOMONTH(DATEVALUE("1 "&amp;AE$1),0)))+
  SUMPRODUCT(('Form responses 1'!$G$2:$G1000=$A69)*('Form responses 1'!$A$2:$A1000&lt;=EOMONTH(DATEVALUE("1 "&amp;AE$1),0)))
),2),"-")</f>
        <v>-</v>
      </c>
      <c r="AF69" s="2" t="str">
        <f>IFERROR(ROUND(Data!$B69/(
  SUMPRODUCT(('Form responses 1'!$B$2:$B1000=$A69)*('Form responses 1'!$A$2:$A1000&lt;=EOMONTH(DATEVALUE("1 "&amp;AF$1),0)))+
  SUMPRODUCT(('Form responses 1'!$C$2:$C1000=$A69)*('Form responses 1'!$A$2:$A1000&lt;=EOMONTH(DATEVALUE("1 "&amp;AF$1),0)))+
  SUMPRODUCT(('Form responses 1'!$D$2:$D1000=$A69)*('Form responses 1'!$A$2:$A1000&lt;=EOMONTH(DATEVALUE("1 "&amp;AF$1),0)))+
  SUMPRODUCT(('Form responses 1'!$E$2:$E1000=$A69)*('Form responses 1'!$A$2:$A1000&lt;=EOMONTH(DATEVALUE("1 "&amp;AF$1),0)))+
  SUMPRODUCT(('Form responses 1'!$F$2:$F1000=$A69)*('Form responses 1'!$A$2:$A1000&lt;=EOMONTH(DATEVALUE("1 "&amp;AF$1),0)))+
  SUMPRODUCT(('Form responses 1'!$G$2:$G1000=$A69)*('Form responses 1'!$A$2:$A1000&lt;=EOMONTH(DATEVALUE("1 "&amp;AF$1),0)))
),2),"-")</f>
        <v>-</v>
      </c>
      <c r="AG69" s="2" t="str">
        <f>IFERROR(ROUND(Data!$B69/(
  SUMPRODUCT(('Form responses 1'!$B$2:$B1000=$A69)*('Form responses 1'!$A$2:$A1000&lt;=EOMONTH(DATEVALUE("1 "&amp;AG$1),0)))+
  SUMPRODUCT(('Form responses 1'!$C$2:$C1000=$A69)*('Form responses 1'!$A$2:$A1000&lt;=EOMONTH(DATEVALUE("1 "&amp;AG$1),0)))+
  SUMPRODUCT(('Form responses 1'!$D$2:$D1000=$A69)*('Form responses 1'!$A$2:$A1000&lt;=EOMONTH(DATEVALUE("1 "&amp;AG$1),0)))+
  SUMPRODUCT(('Form responses 1'!$E$2:$E1000=$A69)*('Form responses 1'!$A$2:$A1000&lt;=EOMONTH(DATEVALUE("1 "&amp;AG$1),0)))+
  SUMPRODUCT(('Form responses 1'!$F$2:$F1000=$A69)*('Form responses 1'!$A$2:$A1000&lt;=EOMONTH(DATEVALUE("1 "&amp;AG$1),0)))+
  SUMPRODUCT(('Form responses 1'!$G$2:$G1000=$A69)*('Form responses 1'!$A$2:$A1000&lt;=EOMONTH(DATEVALUE("1 "&amp;AG$1),0)))
),2),"-")</f>
        <v>-</v>
      </c>
      <c r="AH69" s="2" t="str">
        <f>IFERROR(ROUND(Data!$B69/(
  SUMPRODUCT(('Form responses 1'!$B$2:$B1000=$A69)*('Form responses 1'!$A$2:$A1000&lt;=EOMONTH(DATEVALUE("1 "&amp;AH$1),0)))+
  SUMPRODUCT(('Form responses 1'!$C$2:$C1000=$A69)*('Form responses 1'!$A$2:$A1000&lt;=EOMONTH(DATEVALUE("1 "&amp;AH$1),0)))+
  SUMPRODUCT(('Form responses 1'!$D$2:$D1000=$A69)*('Form responses 1'!$A$2:$A1000&lt;=EOMONTH(DATEVALUE("1 "&amp;AH$1),0)))+
  SUMPRODUCT(('Form responses 1'!$E$2:$E1000=$A69)*('Form responses 1'!$A$2:$A1000&lt;=EOMONTH(DATEVALUE("1 "&amp;AH$1),0)))+
  SUMPRODUCT(('Form responses 1'!$F$2:$F1000=$A69)*('Form responses 1'!$A$2:$A1000&lt;=EOMONTH(DATEVALUE("1 "&amp;AH$1),0)))+
  SUMPRODUCT(('Form responses 1'!$G$2:$G1000=$A69)*('Form responses 1'!$A$2:$A1000&lt;=EOMONTH(DATEVALUE("1 "&amp;AH$1),0)))
),2),"-")</f>
        <v>-</v>
      </c>
      <c r="AI69" s="2" t="str">
        <f>IFERROR(ROUND(Data!$B69/(
  SUMPRODUCT(('Form responses 1'!$B$2:$B1000=$A69)*('Form responses 1'!$A$2:$A1000&lt;=EOMONTH(DATEVALUE("1 "&amp;AI$1),0)))+
  SUMPRODUCT(('Form responses 1'!$C$2:$C1000=$A69)*('Form responses 1'!$A$2:$A1000&lt;=EOMONTH(DATEVALUE("1 "&amp;AI$1),0)))+
  SUMPRODUCT(('Form responses 1'!$D$2:$D1000=$A69)*('Form responses 1'!$A$2:$A1000&lt;=EOMONTH(DATEVALUE("1 "&amp;AI$1),0)))+
  SUMPRODUCT(('Form responses 1'!$E$2:$E1000=$A69)*('Form responses 1'!$A$2:$A1000&lt;=EOMONTH(DATEVALUE("1 "&amp;AI$1),0)))+
  SUMPRODUCT(('Form responses 1'!$F$2:$F1000=$A69)*('Form responses 1'!$A$2:$A1000&lt;=EOMONTH(DATEVALUE("1 "&amp;AI$1),0)))+
  SUMPRODUCT(('Form responses 1'!$G$2:$G1000=$A69)*('Form responses 1'!$A$2:$A1000&lt;=EOMONTH(DATEVALUE("1 "&amp;AI$1),0)))
),2),"-")</f>
        <v>-</v>
      </c>
      <c r="AJ69" s="2" t="str">
        <f>IFERROR(ROUND(Data!$B69/(
  SUMPRODUCT(('Form responses 1'!$B$2:$B1000=$A69)*('Form responses 1'!$A$2:$A1000&lt;=EOMONTH(DATEVALUE("1 "&amp;AJ$1),0)))+
  SUMPRODUCT(('Form responses 1'!$C$2:$C1000=$A69)*('Form responses 1'!$A$2:$A1000&lt;=EOMONTH(DATEVALUE("1 "&amp;AJ$1),0)))+
  SUMPRODUCT(('Form responses 1'!$D$2:$D1000=$A69)*('Form responses 1'!$A$2:$A1000&lt;=EOMONTH(DATEVALUE("1 "&amp;AJ$1),0)))+
  SUMPRODUCT(('Form responses 1'!$E$2:$E1000=$A69)*('Form responses 1'!$A$2:$A1000&lt;=EOMONTH(DATEVALUE("1 "&amp;AJ$1),0)))+
  SUMPRODUCT(('Form responses 1'!$F$2:$F1000=$A69)*('Form responses 1'!$A$2:$A1000&lt;=EOMONTH(DATEVALUE("1 "&amp;AJ$1),0)))+
  SUMPRODUCT(('Form responses 1'!$G$2:$G1000=$A69)*('Form responses 1'!$A$2:$A1000&lt;=EOMONTH(DATEVALUE("1 "&amp;AJ$1),0)))
),2),"-")</f>
        <v>-</v>
      </c>
      <c r="AK69" s="2" t="str">
        <f>IFERROR(ROUND(Data!$B69/(
  SUMPRODUCT(('Form responses 1'!$B$2:$B1000=$A69)*('Form responses 1'!$A$2:$A1000&lt;=EOMONTH(DATEVALUE("1 "&amp;AK$1),0)))+
  SUMPRODUCT(('Form responses 1'!$C$2:$C1000=$A69)*('Form responses 1'!$A$2:$A1000&lt;=EOMONTH(DATEVALUE("1 "&amp;AK$1),0)))+
  SUMPRODUCT(('Form responses 1'!$D$2:$D1000=$A69)*('Form responses 1'!$A$2:$A1000&lt;=EOMONTH(DATEVALUE("1 "&amp;AK$1),0)))+
  SUMPRODUCT(('Form responses 1'!$E$2:$E1000=$A69)*('Form responses 1'!$A$2:$A1000&lt;=EOMONTH(DATEVALUE("1 "&amp;AK$1),0)))+
  SUMPRODUCT(('Form responses 1'!$F$2:$F1000=$A69)*('Form responses 1'!$A$2:$A1000&lt;=EOMONTH(DATEVALUE("1 "&amp;AK$1),0)))+
  SUMPRODUCT(('Form responses 1'!$G$2:$G1000=$A69)*('Form responses 1'!$A$2:$A1000&lt;=EOMONTH(DATEVALUE("1 "&amp;AK$1),0)))
),2),"-")</f>
        <v>-</v>
      </c>
      <c r="AL69" s="2" t="str">
        <f>IFERROR(ROUND(Data!$B69/(
  SUMPRODUCT(('Form responses 1'!$B$2:$B1000=$A69)*('Form responses 1'!$A$2:$A1000&lt;=EOMONTH(DATEVALUE("1 "&amp;AL$1),0)))+
  SUMPRODUCT(('Form responses 1'!$C$2:$C1000=$A69)*('Form responses 1'!$A$2:$A1000&lt;=EOMONTH(DATEVALUE("1 "&amp;AL$1),0)))+
  SUMPRODUCT(('Form responses 1'!$D$2:$D1000=$A69)*('Form responses 1'!$A$2:$A1000&lt;=EOMONTH(DATEVALUE("1 "&amp;AL$1),0)))+
  SUMPRODUCT(('Form responses 1'!$E$2:$E1000=$A69)*('Form responses 1'!$A$2:$A1000&lt;=EOMONTH(DATEVALUE("1 "&amp;AL$1),0)))+
  SUMPRODUCT(('Form responses 1'!$F$2:$F1000=$A69)*('Form responses 1'!$A$2:$A1000&lt;=EOMONTH(DATEVALUE("1 "&amp;AL$1),0)))+
  SUMPRODUCT(('Form responses 1'!$G$2:$G1000=$A69)*('Form responses 1'!$A$2:$A1000&lt;=EOMONTH(DATEVALUE("1 "&amp;AL$1),0)))
),2),"-")</f>
        <v>-</v>
      </c>
    </row>
    <row r="70">
      <c r="A70" s="3" t="str">
        <f>IFERROR(__xludf.DUMMYFUNCTION("""COMPUTED_VALUE"""),"Nette lange grijze jas")</f>
        <v>Nette lange grijze jas</v>
      </c>
      <c r="B70" s="2">
        <f>Data!F64:F1000</f>
        <v>0.8</v>
      </c>
      <c r="C70" s="2" t="str">
        <f>IFERROR(ROUND(#REF!/(SUMPRODUCT(('Form responses 1'!$B$2:$B1000 = A70) * ('Form responses 1'!$A$2:$A1000 &lt;= DATE(2024, 1, 31)))
+ SUMPRODUCT(('Form responses 1'!$C$2:$C1000 = A70) * ('Form responses 1'!$A$2:$A1000 &lt;= DATE(2024, 1, 31)))
+ SUMPRODUCT(('Form responses 1'!$D$2:$D1000 = A70) * ('Form responses 1'!$A$2:$A1000 &lt;= DATE(2024, 1, 31)))
+ SUMPRODUCT(('Form responses 1'!$E$2:$E1000 = A70) * ('Form responses 1'!$A$2:$A1000 &lt;= DATE(2024, 1, 31)))
+ SUMPRODUCT(('Form responses 1'!$F$2:$F1000 = A70) * ('Form responses 1'!$A$2:$A1000 &lt;= DATE(2024, 1, 31)))
+ SUMPRODUCT(('Form responses 1'!$G$2:$G1000 = A70) * ('Form responses 1'!$A$2:$A1000 &lt;= DATE(2024, 1, 31)))), 2), "-")
</f>
        <v>-</v>
      </c>
      <c r="D70" s="2" t="str">
        <f>IFERROR(ROUND(#REF!/(SUMPRODUCT(('Form responses 1'!$B$2:$B1000 = A70) * ('Form responses 1'!$A$2:$A1000 &lt;= DATE(2024, 2, 29)))
+ SUMPRODUCT(('Form responses 1'!$C$2:$C1000 = A70) * ('Form responses 1'!$A$2:$A1000 &lt;= DATE(2024, 2, 29)))
+ SUMPRODUCT(('Form responses 1'!$D$2:$D1000 = A70) * ('Form responses 1'!$A$2:$A1000 &lt;= DATE(2024, 2, 29)))
+ SUMPRODUCT(('Form responses 1'!$E$2:$E1000 = A70) * ('Form responses 1'!$A$2:$A1000 &lt;= DATE(2024, 2, 29)))
+ SUMPRODUCT(('Form responses 1'!$F$2:$F1000 = A70) * ('Form responses 1'!$A$2:$A1000 &lt;= DATE(2024, 2, 29)))
+ SUMPRODUCT(('Form responses 1'!$G$2:$G1000 = A70) * ('Form responses 1'!$A$2:$A1000 &lt;= DATE(2024, 2, 29)))), 2), "-")
</f>
        <v>-</v>
      </c>
      <c r="E70" s="2" t="str">
        <f>IFERROR(ROUND(#REF!/(SUMPRODUCT(('Form responses 1'!$B$2:$B1000 = A70) * ('Form responses 1'!$A$2:$A1000 &lt;= DATE(2024, 3, 31)))
+ SUMPRODUCT(('Form responses 1'!$C$2:$C1000 = A70) * ('Form responses 1'!$A$2:$A1000 &lt;= DATE(2024, 3, 31)))
+ SUMPRODUCT(('Form responses 1'!$D$2:$D1000 = A70) * ('Form responses 1'!$A$2:$A1000 &lt;= DATE(2024, 3, 31)))
+ SUMPRODUCT(('Form responses 1'!$E$2:$E1000 = A70) * ('Form responses 1'!$A$2:$A1000 &lt;= DATE(2024, 3, 31)))
+ SUMPRODUCT(('Form responses 1'!$F$2:$F1000 = A70) * ('Form responses 1'!$A$2:$A1000 &lt;= DATE(2024, 3, 31)))
+ SUMPRODUCT(('Form responses 1'!$G$2:$G1000 = A70) * ('Form responses 1'!$A$2:$A1000 &lt;= DATE(2024, 3, 31)))), 2), "-")
</f>
        <v>-</v>
      </c>
      <c r="F70" s="2" t="str">
        <f>IFERROR(ROUND(#REF!/(SUMPRODUCT(('Form responses 1'!$B$2:$B1000 = A70) * ('Form responses 1'!$A$2:$A1000 &lt;= DATE(2024, 4, 30)))
+ SUMPRODUCT(('Form responses 1'!$C$2:$C1000 = A70) * ('Form responses 1'!$A$2:$A1000 &lt;= DATE(2024, 4, 30)))
+ SUMPRODUCT(('Form responses 1'!$D$2:$D1000 = A70) * ('Form responses 1'!$A$2:$A1000 &lt;= DATE(2024, 4, 30)))
+ SUMPRODUCT(('Form responses 1'!$E$2:$E1000 = A70) * ('Form responses 1'!$A$2:$A1000 &lt;= DATE(2024, 4, 30)))
+ SUMPRODUCT(('Form responses 1'!$F$2:$F1000 = A70) * ('Form responses 1'!$A$2:$A1000 &lt;= DATE(2024, 4, 30)))
+ SUMPRODUCT(('Form responses 1'!$G$2:$G1000 = A70) * ('Form responses 1'!$A$2:$A1000 &lt;= DATE(2024, 4, 30)))), 2), "-")
</f>
        <v>-</v>
      </c>
      <c r="G70" s="2" t="str">
        <f>IFERROR(ROUND(#REF!/(SUMPRODUCT(('Form responses 1'!$B$2:$B1000 = A70) * ('Form responses 1'!$A$2:$A1000 &lt;= DATE(2024, 5, 31)))
+ SUMPRODUCT(('Form responses 1'!$C$2:$C1000 = A70) * ('Form responses 1'!$A$2:$A1000 &lt;= DATE(2024, 5, 31)))
+ SUMPRODUCT(('Form responses 1'!$D$2:$D1000 = A70) * ('Form responses 1'!$A$2:$A1000 &lt;= DATE(2024, 5, 31)))
+ SUMPRODUCT(('Form responses 1'!$E$2:$E1000 = A70) * ('Form responses 1'!$A$2:$A1000 &lt;= DATE(2024, 5, 31)))
+ SUMPRODUCT(('Form responses 1'!$F$2:$F1000 = A70) * ('Form responses 1'!$A$2:$A1000 &lt;= DATE(2024, 5, 31)))
+ SUMPRODUCT(('Form responses 1'!$G$2:$G1000 = A70) * ('Form responses 1'!$A$2:$A1000 &lt;= DATE(2024, 5, 31)))), 2), "-")
</f>
        <v>-</v>
      </c>
      <c r="H70" s="2" t="str">
        <f>IFERROR(ROUND(#REF!/(SUMPRODUCT(('Form responses 1'!$B$2:$B1000 = A70) * ('Form responses 1'!$A$2:$A1000 &lt;= DATE(2024, 6, 30)))
+ SUMPRODUCT(('Form responses 1'!$C$2:$C1000 = A70) * ('Form responses 1'!$A$2:$A1000 &lt;= DATE(2024, 6, 30)))
+ SUMPRODUCT(('Form responses 1'!$D$2:$D1000 = A70) * ('Form responses 1'!$A$2:$A1000 &lt;= DATE(2024, 6, 30)))
+ SUMPRODUCT(('Form responses 1'!$E$2:$E1000 = A70) * ('Form responses 1'!$A$2:$A1000 &lt;= DATE(2024, 6, 30)))
+ SUMPRODUCT(('Form responses 1'!$F$2:$F1000 = A70) * ('Form responses 1'!$A$2:$A1000 &lt;= DATE(2024, 6, 30)))
+ SUMPRODUCT(('Form responses 1'!$G$2:$G1000 = A70) * ('Form responses 1'!$A$2:$A1000 &lt;= DATE(2024, 6, 30)))), 2), "-")
</f>
        <v>-</v>
      </c>
      <c r="I70" s="2" t="str">
        <f>IFERROR(ROUND(#REF!/(SUMPRODUCT(('Form responses 1'!$B$2:$B1000 = A70) * ('Form responses 1'!$A$2:$A1000 &lt;= DATE(2024, 7, 31)))
+ SUMPRODUCT(('Form responses 1'!$C$2:$C1000 = A70) * ('Form responses 1'!$A$2:$A1000 &lt;= DATE(2024, 7, 31)))
+ SUMPRODUCT(('Form responses 1'!$D$2:$D1000 = A70) * ('Form responses 1'!$A$2:$A1000 &lt;= DATE(2024, 7, 31)))
+ SUMPRODUCT(('Form responses 1'!$E$2:$E1000 = A70) * ('Form responses 1'!$A$2:$A1000 &lt;= DATE(2024, 7, 31)))
+ SUMPRODUCT(('Form responses 1'!$F$2:$F1000 = A70) * ('Form responses 1'!$A$2:$A1000 &lt;= DATE(2024, 7, 31)))
+ SUMPRODUCT(('Form responses 1'!$G$2:$G1000 = A70) * ('Form responses 1'!$A$2:$A1000 &lt;= DATE(2024, 7, 31)))), 2), "-")
</f>
        <v>-</v>
      </c>
      <c r="J70" s="2" t="str">
        <f>IFERROR(ROUND(#REF!/(SUMPRODUCT(('Form responses 1'!$B$2:$B1000 = A70) * ('Form responses 1'!$A$2:$A1000 &lt;= DATE(2024, 8, 31)))
+ SUMPRODUCT(('Form responses 1'!$C$2:$C1000 = A70) * ('Form responses 1'!$A$2:$A1000 &lt;= DATE(2024, 8, 31)))
+ SUMPRODUCT(('Form responses 1'!$D$2:$D1000 = A70) * ('Form responses 1'!$A$2:$A1000 &lt;= DATE(2024, 8, 31)))
+ SUMPRODUCT(('Form responses 1'!$E$2:$E1000 = A70) * ('Form responses 1'!$A$2:$A1000 &lt;= DATE(2024, 8, 31)))
+ SUMPRODUCT(('Form responses 1'!$F$2:$F1000 = A70) * ('Form responses 1'!$A$2:$A1000 &lt;= DATE(2024, 8, 31)))
+ SUMPRODUCT(('Form responses 1'!$G$2:$G1000 = A70) * ('Form responses 1'!$A$2:$A1000 &lt;= DATE(2024, 8, 31)))), 2), "-")
</f>
        <v>-</v>
      </c>
      <c r="K70" s="2" t="str">
        <f>IFERROR(ROUND(#REF!/(SUMPRODUCT(('Form responses 1'!$B$2:$B1000 = A70) * ('Form responses 1'!$A$2:$A1000 &lt;= DATE(2024, 9, 30)))
+ SUMPRODUCT(('Form responses 1'!$C$2:$C1000 = A70) * ('Form responses 1'!$A$2:$A1000 &lt;= DATE(2024, 9, 30)))
+ SUMPRODUCT(('Form responses 1'!$D$2:$D1000 = A70) * ('Form responses 1'!$A$2:$A1000 &lt;= DATE(2024, 9, 30)))
+ SUMPRODUCT(('Form responses 1'!$E$2:$E1000 = A70) * ('Form responses 1'!$A$2:$A1000 &lt;= DATE(2024, 9, 30)))
+ SUMPRODUCT(('Form responses 1'!$F$2:$F1000 = A70) * ('Form responses 1'!$A$2:$A1000 &lt;= DATE(2024, 9, 30)))
+ SUMPRODUCT(('Form responses 1'!$G$2:$G1000 = A70) * ('Form responses 1'!$A$2:$A1000 &lt;= DATE(2024, 9, 30)))), 2), "-")
</f>
        <v>-</v>
      </c>
      <c r="L70" s="2" t="str">
        <f>IFERROR(ROUND(#REF!/(SUMPRODUCT(('Form responses 1'!$B$2:$B1000 = A70) * ('Form responses 1'!$A$2:$A1000 &lt;= DATE(2024, 10, 31)))
+ SUMPRODUCT(('Form responses 1'!$C$2:$C1000 = A70) * ('Form responses 1'!$A$2:$A1000 &lt;= DATE(2024, 10, 31)))
+ SUMPRODUCT(('Form responses 1'!$D$2:$D1000 = A70) * ('Form responses 1'!$A$2:$A1000 &lt;= DATE(2024, 10, 31)))
+ SUMPRODUCT(('Form responses 1'!$E$2:$E1000 = A70) * ('Form responses 1'!$A$2:$A1000 &lt;= DATE(2024, 10, 31)))
+ SUMPRODUCT(('Form responses 1'!$F$2:$F1000 = A70) * ('Form responses 1'!$A$2:$A1000 &lt;= DATE(2024, 10, 31)))
+ SUMPRODUCT(('Form responses 1'!$G$2:$G1000 = A70) * ('Form responses 1'!$A$2:$A1000 &lt;= DATE(2024, 10, 31)))), 2), "-")
</f>
        <v>-</v>
      </c>
      <c r="M70" s="2" t="str">
        <f>IFERROR(ROUND(#REF!/(SUMPRODUCT(('Form responses 1'!$B$2:$B1000 = A70) * ('Form responses 1'!$A$2:$A1000 &lt;= DATE(2024, 11, 30)))
+ SUMPRODUCT(('Form responses 1'!$C$2:$C1000 = A70) * ('Form responses 1'!$A$2:$A1000 &lt;= DATE(2024, 11, 30)))
+ SUMPRODUCT(('Form responses 1'!$D$2:$D1000 = A70) * ('Form responses 1'!$A$2:$A1000 &lt;= DATE(2024, 11, 30)))
+ SUMPRODUCT(('Form responses 1'!$E$2:$E1000 = A70) * ('Form responses 1'!$A$2:$A1000 &lt;= DATE(2024, 11, 30)))
+ SUMPRODUCT(('Form responses 1'!$F$2:$F1000 = A70) * ('Form responses 1'!$A$2:$A1000 &lt;= DATE(2024, 11, 30)))
+ SUMPRODUCT(('Form responses 1'!$G$2:$G1000 = A70) * ('Form responses 1'!$A$2:$A1000 &lt;= DATE(2024, 11, 30)))), 2), "-")
</f>
        <v>-</v>
      </c>
      <c r="N70" s="2" t="str">
        <f>IFERROR(ROUND(#REF!/(SUMPRODUCT(('Form responses 1'!$B$2:$B1000 = A70) * ('Form responses 1'!$A$2:$A1000 &lt;= DATE(2024, 12, 31)))
+ SUMPRODUCT(('Form responses 1'!$C$2:$C1000 = A70) * ('Form responses 1'!$A$2:$A1000 &lt;= DATE(2024, 12, 31)))
+ SUMPRODUCT(('Form responses 1'!$D$2:$D1000 = A70) * ('Form responses 1'!$A$2:$A1000 &lt;= DATE(2024, 12, 31)))
+ SUMPRODUCT(('Form responses 1'!$E$2:$E1000 = A70) * ('Form responses 1'!$A$2:$A1000 &lt;= DATE(2024, 12, 31)))
+ SUMPRODUCT(('Form responses 1'!$F$2:$F1000 = A70) * ('Form responses 1'!$A$2:$A1000 &lt;= DATE(2024, 12, 31)))
+ SUMPRODUCT(('Form responses 1'!$G$2:$G1000 = A70) * ('Form responses 1'!$A$2:$A1000 &lt;= DATE(2024, 12, 31)))), 2), "-")
</f>
        <v>-</v>
      </c>
      <c r="O70" s="2" t="str">
        <f>IFERROR(ROUND(#REF!/(SUMPRODUCT(('Form responses 1'!$B$2:$B1000 = A70) * ('Form responses 1'!$A$2:$A1000 &lt;= DATE(2025, 1, 31)))
+ SUMPRODUCT(('Form responses 1'!$C$2:$C1000 = A70) * ('Form responses 1'!$A$2:$A1000 &lt;= DATE(2025, 1, 31)))
+ SUMPRODUCT(('Form responses 1'!$D$2:$D1000 = A70) * ('Form responses 1'!$A$2:$A1000 &lt;= DATE(2025, 1, 31)))
+ SUMPRODUCT(('Form responses 1'!$E$2:$E1000 = A70) * ('Form responses 1'!$A$2:$A1000 &lt;= DATE(2025, 1, 31)))
+ SUMPRODUCT(('Form responses 1'!$F$2:$F1000 = A70) * ('Form responses 1'!$A$2:$A1000 &lt;= DATE(2025, 1, 31)))
+ SUMPRODUCT(('Form responses 1'!$G$2:$G1000 = A70) * ('Form responses 1'!$A$2:$A1000 &lt;= DATE(2025, 1, 31)))), 2), "-")
</f>
        <v>-</v>
      </c>
      <c r="P70" s="2" t="str">
        <f>IFERROR(ROUND(#REF!/(SUMPRODUCT(('Form responses 1'!$B$2:$B1000 = A70) * ('Form responses 1'!$A$2:$A1000 &lt;= DATE(2025, 2, 28)))
+ SUMPRODUCT(('Form responses 1'!$C$2:$C1000 = A70) * ('Form responses 1'!$A$2:$A1000 &lt;= DATE(2025, 2, 28)))
+ SUMPRODUCT(('Form responses 1'!$D$2:$D1000 = A70) * ('Form responses 1'!$A$2:$A1000 &lt;= DATE(2025, 2, 28)))
+ SUMPRODUCT(('Form responses 1'!$E$2:$E1000 = A70) * ('Form responses 1'!$A$2:$A1000 &lt;= DATE(2025, 2, 28)))
+ SUMPRODUCT(('Form responses 1'!$F$2:$F1000 = A70) * ('Form responses 1'!$A$2:$A1000 &lt;= DATE(2025, 2, 28)))
+ SUMPRODUCT(('Form responses 1'!$G$2:$G1000 = A70) * ('Form responses 1'!$A$2:$A1000 &lt;= DATE(2025, 2, 28)))), 2), "-")
</f>
        <v>-</v>
      </c>
      <c r="Q70" s="2" t="str">
        <f>IFERROR(ROUND(#REF!/(SUMPRODUCT(('Form responses 1'!$B$2:$B1000 = A70) * ('Form responses 1'!$A$2:$A1000 &lt;= DATE(2025, 3, 31)))
+ SUMPRODUCT(('Form responses 1'!$C$2:$C1000 = A70) * ('Form responses 1'!$A$2:$A1000 &lt;= DATE(2025, 3, 31)))
+ SUMPRODUCT(('Form responses 1'!$D$2:$D1000 = A70) * ('Form responses 1'!$A$2:$A1000 &lt;= DATE(2025, 3, 31)))
+ SUMPRODUCT(('Form responses 1'!$E$2:$E1000 = A70) * ('Form responses 1'!$A$2:$A1000 &lt;= DATE(2025, 3, 31)))
+ SUMPRODUCT(('Form responses 1'!$F$2:$F1000 = A70) * ('Form responses 1'!$A$2:$A1000 &lt;= DATE(2025, 3, 31)))
+ SUMPRODUCT(('Form responses 1'!$G$2:$G1000 = A70) * ('Form responses 1'!$A$2:$A1000 &lt;= DATE(2025, 3, 31)))),2),"-")</f>
        <v>-</v>
      </c>
      <c r="R70" s="2" t="str">
        <f>IFERROR(ROUND(#REF!/(SUMPRODUCT(('Form responses 1'!$B$2:$B1000 = A70) * ('Form responses 1'!$A$2:$A1000 &lt;= DATE(2025, 4, 30)))
+ SUMPRODUCT(('Form responses 1'!$C$2:$C1000 = A70) * ('Form responses 1'!$A$2:$A1000 &lt;= DATE(2025, 4, 30)))
+ SUMPRODUCT(('Form responses 1'!$D$2:$D1000 = A70) * ('Form responses 1'!$A$2:$A1000 &lt;= DATE(2025, 4, 30)))
+ SUMPRODUCT(('Form responses 1'!$E$2:$E1000 = A70) * ('Form responses 1'!$A$2:$A1000 &lt;= DATE(2025, 4, 30)))
+ SUMPRODUCT(('Form responses 1'!$F$2:$F1000 = A70) * ('Form responses 1'!$A$2:$A1000 &lt;= DATE(2025, 4, 30)))
+ SUMPRODUCT(('Form responses 1'!$G$2:$G1000 = A70) * ('Form responses 1'!$A$2:$A1000 &lt;= DATE(2025, 4, 30)))), 2), "-")
</f>
        <v>-</v>
      </c>
      <c r="S70" s="2" t="str">
        <f>IFERROR(ROUND(#REF!/(SUMPRODUCT(('Form responses 1'!$B$2:$B1000 = A70) * ('Form responses 1'!$A$2:$A1000 &lt;= DATE(2025, 5, 31)))
+ SUMPRODUCT(('Form responses 1'!$C$2:$C1000 = A70) * ('Form responses 1'!$A$2:$A1000 &lt;= DATE(2025, 5, 31)))
+ SUMPRODUCT(('Form responses 1'!$D$2:$D1000 = A70) * ('Form responses 1'!$A$2:$A1000 &lt;= DATE(2025, 5, 31)))
+ SUMPRODUCT(('Form responses 1'!$E$2:$E1000 = A70) * ('Form responses 1'!$A$2:$A1000 &lt;= DATE(2025, 5, 31)))
+ SUMPRODUCT(('Form responses 1'!$F$2:$F1000 = A70) * ('Form responses 1'!$A$2:$A1000 &lt;= DATE(2025, 5, 31)))
+ SUMPRODUCT(('Form responses 1'!$G$2:$G1000 = A70) * ('Form responses 1'!$A$2:$A1000 &lt;= DATE(2025, 5, 31)))), 2), "-")
</f>
        <v>-</v>
      </c>
      <c r="T70" s="2" t="str">
        <f>IFERROR(ROUND(#REF!/(SUMPRODUCT(('Form responses 1'!$B$2:$B1000 = A70) * ('Form responses 1'!$A$2:$A1000 &lt;= DATE(2025, 6, 30)))
+ SUMPRODUCT(('Form responses 1'!$C$2:$C1000 = A70) * ('Form responses 1'!$A$2:$A1000 &lt;= DATE(2025, 6, 30)))
+ SUMPRODUCT(('Form responses 1'!$D$2:$D1000 = A70) * ('Form responses 1'!$A$2:$A1000 &lt;= DATE(2025, 6, 30)))
+ SUMPRODUCT(('Form responses 1'!$E$2:$E1000 = A70) * ('Form responses 1'!$A$2:$A1000 &lt;= DATE(2025, 6, 30)))
+ SUMPRODUCT(('Form responses 1'!$F$2:$F1000 = A70) * ('Form responses 1'!$A$2:$A1000 &lt;= DATE(2025, 6, 30)))
+ SUMPRODUCT(('Form responses 1'!$G$2:$G1000 = A70) * ('Form responses 1'!$A$2:$A1000 &lt;= DATE(2025, 6, 30)))), 2), "-")
</f>
        <v>-</v>
      </c>
      <c r="U70" s="2" t="str">
        <f>IFERROR(ROUND(#REF!/(SUMPRODUCT(('Form responses 1'!$B$2:$B1000 = A70) * ('Form responses 1'!$A$2:$A1000 &lt;= DATE(2025, 7, 31)))
+ SUMPRODUCT(('Form responses 1'!$C$2:$C1000 = A70) * ('Form responses 1'!$A$2:$A1000 &lt;= DATE(2025, 7, 31)))
+ SUMPRODUCT(('Form responses 1'!$D$2:$D1000 = A70) * ('Form responses 1'!$A$2:$A1000 &lt;= DATE(2025, 7, 31)))
+ SUMPRODUCT(('Form responses 1'!$E$2:$E1000 = A70) * ('Form responses 1'!$A$2:$A1000 &lt;= DATE(2025, 7, 31)))
+ SUMPRODUCT(('Form responses 1'!$F$2:$F1000 = A70) * ('Form responses 1'!$A$2:$A1000 &lt;= DATE(2025, 7, 31)))
+ SUMPRODUCT(('Form responses 1'!$G$2:$G1000 = A70) * ('Form responses 1'!$A$2:$A1000 &lt;= DATE(2025, 7, 31)))), 2), "-")
</f>
        <v>-</v>
      </c>
      <c r="V70" s="2" t="str">
        <f>IFERROR(ROUND(#REF!/(SUMPRODUCT(('Form responses 1'!$B$2:$B1000 = A70) * ('Form responses 1'!$A$2:$A1000 &lt;= DATE(2025, 8, 31)))
+ SUMPRODUCT(('Form responses 1'!$C$2:$C1000 = A70) * ('Form responses 1'!$A$2:$A1000 &lt;= DATE(2025, 8, 31)))
+ SUMPRODUCT(('Form responses 1'!$D$2:$D1000 = A70) * ('Form responses 1'!$A$2:$A1000 &lt;= DATE(2025, 8, 31)))
+ SUMPRODUCT(('Form responses 1'!$E$2:$E1000 = A70) * ('Form responses 1'!$A$2:$A1000 &lt;= DATE(2025, 8, 31)))
+ SUMPRODUCT(('Form responses 1'!$F$2:$F1000 = A70) * ('Form responses 1'!$A$2:$A1000 &lt;= DATE(2025, 8, 31)))
+ SUMPRODUCT(('Form responses 1'!$G$2:$G1000 = A70) * ('Form responses 1'!$A$2:$A1000 &lt;= DATE(2025, 8, 31)))), 2), "-")
</f>
        <v>-</v>
      </c>
      <c r="W70" s="2" t="str">
        <f>IFERROR(ROUND(#REF!/(SUMPRODUCT(('Form responses 1'!$B$2:$B1000 = A70) * ('Form responses 1'!$A$2:$A1000 &lt;= DATE(2025, 9, 30)))
+ SUMPRODUCT(('Form responses 1'!$C$2:$C1000 = A70) * ('Form responses 1'!$A$2:$A1000 &lt;= DATE(2025, 9, 30)))
+ SUMPRODUCT(('Form responses 1'!$D$2:$D1000 = A70) * ('Form responses 1'!$A$2:$A1000 &lt;= DATE(2025, 9, 30)))
+ SUMPRODUCT(('Form responses 1'!$E$2:$E1000 = A70) * ('Form responses 1'!$A$2:$A1000 &lt;= DATE(2025, 9, 30)))
+ SUMPRODUCT(('Form responses 1'!$F$2:$F1000 = A70) * ('Form responses 1'!$A$2:$A1000 &lt;= DATE(2025, 9, 30)))
+ SUMPRODUCT(('Form responses 1'!$G$2:$G1000 = A70) * ('Form responses 1'!$A$2:$A1000 &lt;= DATE(2025, 9, 30)))), 2), "-")
</f>
        <v>-</v>
      </c>
      <c r="X70" s="2" t="str">
        <f>IFERROR(ROUND(#REF!/(SUMPRODUCT(('Form responses 1'!$B$2:$B1000 = A70) * ('Form responses 1'!$A$2:$A1000 &lt;= DATE(2025, 10, 31)))
+ SUMPRODUCT(('Form responses 1'!$C$2:$C1000 = A70) * ('Form responses 1'!$A$2:$A1000 &lt;= DATE(2025, 10, 31)))
+ SUMPRODUCT(('Form responses 1'!$D$2:$D1000 = A70) * ('Form responses 1'!$A$2:$A1000 &lt;= DATE(2025, 10, 31)))
+ SUMPRODUCT(('Form responses 1'!$E$2:$E1000 = A70) * ('Form responses 1'!$A$2:$A1000 &lt;= DATE(2025, 10, 31)))
+ SUMPRODUCT(('Form responses 1'!$F$2:$F1000 = A70) * ('Form responses 1'!$A$2:$A1000 &lt;= DATE(2025, 10, 31)))
+ SUMPRODUCT(('Form responses 1'!$G$2:$G1000 = A70) * ('Form responses 1'!$A$2:$A1000 &lt;= DATE(2025, 10, 31)))), 2), "-")
</f>
        <v>-</v>
      </c>
      <c r="Y70" s="2" t="str">
        <f>IFERROR(ROUND(#REF!/(SUMPRODUCT(('Form responses 1'!$B$2:$B1000 = A70) * ('Form responses 1'!$A$2:$A1000 &lt;= DATE(2025, 11, 30)))
+ SUMPRODUCT(('Form responses 1'!$C$2:$C1000 = A70) * ('Form responses 1'!$A$2:$A1000 &lt;= DATE(2025, 11, 30)))
+ SUMPRODUCT(('Form responses 1'!$D$2:$D1000 = A70) * ('Form responses 1'!$A$2:$A1000 &lt;= DATE(2025, 11, 30)))
+ SUMPRODUCT(('Form responses 1'!$E$2:$E1000 = A70) * ('Form responses 1'!$A$2:$A1000 &lt;= DATE(2025, 11, 30)))
+ SUMPRODUCT(('Form responses 1'!$F$2:$F1000 = A70) * ('Form responses 1'!$A$2:$A1000 &lt;= DATE(2025, 11, 30)))
+ SUMPRODUCT(('Form responses 1'!$G$2:$G1000 = A70) * ('Form responses 1'!$A$2:$A1000 &lt;= DATE(2025, 11, 30)))), 2), "-")
</f>
        <v>-</v>
      </c>
      <c r="Z70" s="2" t="str">
        <f>IFERROR(ROUND(#REF!/(SUMPRODUCT(('Form responses 1'!$B$2:$B1000 = A70) * ('Form responses 1'!$A$2:$A1000 &lt;= DATE(2025, 12, 31)))
+ SUMPRODUCT(('Form responses 1'!$C$2:$C1000 = A70) * ('Form responses 1'!$A$2:$A1000 &lt;= DATE(2025, 12, 31)))
+ SUMPRODUCT(('Form responses 1'!$D$2:$D1000 = A70) * ('Form responses 1'!$A$2:$A1000 &lt;= DATE(2025, 12, 31)))
+ SUMPRODUCT(('Form responses 1'!$E$2:$E1000 = A70) * ('Form responses 1'!$A$2:$A1000 &lt;= DATE(2025, 12, 31)))
+ SUMPRODUCT(('Form responses 1'!$F$2:$F1000 = A70) * ('Form responses 1'!$A$2:$A1000 &lt;= DATE(2025, 12, 31)))
+ SUMPRODUCT(('Form responses 1'!$G$2:$G1000 = A70) * ('Form responses 1'!$A$2:$A1000 &lt;= DATE(2025, 12, 31)))), 2), "-")
</f>
        <v>-</v>
      </c>
      <c r="AA70" s="2">
        <f>IFERROR(ROUND(Data!$B70/(
  SUMPRODUCT(('Form responses 1'!$B$2:$B1000=$A70)*('Form responses 1'!$A$2:$A1000&lt;=EOMONTH(DATEVALUE("1 "&amp;AA$1),0)))+
  SUMPRODUCT(('Form responses 1'!$C$2:$C1000=$A70)*('Form responses 1'!$A$2:$A1000&lt;=EOMONTH(DATEVALUE("1 "&amp;AA$1),0)))+
  SUMPRODUCT(('Form responses 1'!$D$2:$D1000=$A70)*('Form responses 1'!$A$2:$A1000&lt;=EOMONTH(DATEVALUE("1 "&amp;AA$1),0)))+
  SUMPRODUCT(('Form responses 1'!$E$2:$E1000=$A70)*('Form responses 1'!$A$2:$A1000&lt;=EOMONTH(DATEVALUE("1 "&amp;AA$1),0)))+
  SUMPRODUCT(('Form responses 1'!$F$2:$F1000=$A70)*('Form responses 1'!$A$2:$A1000&lt;=EOMONTH(DATEVALUE("1 "&amp;AA$1),0)))+
  SUMPRODUCT(('Form responses 1'!$G$2:$G1000=$A70)*('Form responses 1'!$A$2:$A1000&lt;=EOMONTH(DATEVALUE("1 "&amp;AA$1),0)))
),2),"-")</f>
        <v>0.94</v>
      </c>
      <c r="AB70" s="2">
        <f>IFERROR(ROUND(Data!$B70/(
  SUMPRODUCT(('Form responses 1'!$B$2:$B1000=$A70)*('Form responses 1'!$A$2:$A1000&lt;=EOMONTH(DATEVALUE("1 "&amp;AB$1),0)))+
  SUMPRODUCT(('Form responses 1'!$C$2:$C1000=$A70)*('Form responses 1'!$A$2:$A1000&lt;=EOMONTH(DATEVALUE("1 "&amp;AB$1),0)))+
  SUMPRODUCT(('Form responses 1'!$D$2:$D1000=$A70)*('Form responses 1'!$A$2:$A1000&lt;=EOMONTH(DATEVALUE("1 "&amp;AB$1),0)))+
  SUMPRODUCT(('Form responses 1'!$E$2:$E1000=$A70)*('Form responses 1'!$A$2:$A1000&lt;=EOMONTH(DATEVALUE("1 "&amp;AB$1),0)))+
  SUMPRODUCT(('Form responses 1'!$F$2:$F1000=$A70)*('Form responses 1'!$A$2:$A1000&lt;=EOMONTH(DATEVALUE("1 "&amp;AB$1),0)))+
  SUMPRODUCT(('Form responses 1'!$G$2:$G1000=$A70)*('Form responses 1'!$A$2:$A1000&lt;=EOMONTH(DATEVALUE("1 "&amp;AB$1),0)))
),2),"-")</f>
        <v>0.89</v>
      </c>
      <c r="AC70" s="2">
        <f>IFERROR(ROUND(Data!$B70/(
  SUMPRODUCT(('Form responses 1'!$B$2:$B1000=$A70)*('Form responses 1'!$A$2:$A1000&lt;=EOMONTH(DATEVALUE("1 "&amp;AC$1),0)))+
  SUMPRODUCT(('Form responses 1'!$C$2:$C1000=$A70)*('Form responses 1'!$A$2:$A1000&lt;=EOMONTH(DATEVALUE("1 "&amp;AC$1),0)))+
  SUMPRODUCT(('Form responses 1'!$D$2:$D1000=$A70)*('Form responses 1'!$A$2:$A1000&lt;=EOMONTH(DATEVALUE("1 "&amp;AC$1),0)))+
  SUMPRODUCT(('Form responses 1'!$E$2:$E1000=$A70)*('Form responses 1'!$A$2:$A1000&lt;=EOMONTH(DATEVALUE("1 "&amp;AC$1),0)))+
  SUMPRODUCT(('Form responses 1'!$F$2:$F1000=$A70)*('Form responses 1'!$A$2:$A1000&lt;=EOMONTH(DATEVALUE("1 "&amp;AC$1),0)))+
  SUMPRODUCT(('Form responses 1'!$G$2:$G1000=$A70)*('Form responses 1'!$A$2:$A1000&lt;=EOMONTH(DATEVALUE("1 "&amp;AC$1),0)))
),2),"-")</f>
        <v>0.83</v>
      </c>
      <c r="AD70" s="2" t="str">
        <f>IFERROR(ROUND(Data!$B70/(
  SUMPRODUCT(('Form responses 1'!$B$2:$B1000=$A70)*('Form responses 1'!$A$2:$A1000&lt;=EOMONTH(DATEVALUE("1 "&amp;AD$1),0)))+
  SUMPRODUCT(('Form responses 1'!$C$2:$C1000=$A70)*('Form responses 1'!$A$2:$A1000&lt;=EOMONTH(DATEVALUE("1 "&amp;AD$1),0)))+
  SUMPRODUCT(('Form responses 1'!$D$2:$D1000=$A70)*('Form responses 1'!$A$2:$A1000&lt;=EOMONTH(DATEVALUE("1 "&amp;AD$1),0)))+
  SUMPRODUCT(('Form responses 1'!$E$2:$E1000=$A70)*('Form responses 1'!$A$2:$A1000&lt;=EOMONTH(DATEVALUE("1 "&amp;AD$1),0)))+
  SUMPRODUCT(('Form responses 1'!$F$2:$F1000=$A70)*('Form responses 1'!$A$2:$A1000&lt;=EOMONTH(DATEVALUE("1 "&amp;AD$1),0)))+
  SUMPRODUCT(('Form responses 1'!$G$2:$G1000=$A70)*('Form responses 1'!$A$2:$A1000&lt;=EOMONTH(DATEVALUE("1 "&amp;AD$1),0)))
),2),"-")</f>
        <v>-</v>
      </c>
      <c r="AE70" s="2" t="str">
        <f>IFERROR(ROUND(Data!$B70/(
  SUMPRODUCT(('Form responses 1'!$B$2:$B1000=$A70)*('Form responses 1'!$A$2:$A1000&lt;=EOMONTH(DATEVALUE("1 "&amp;AE$1),0)))+
  SUMPRODUCT(('Form responses 1'!$C$2:$C1000=$A70)*('Form responses 1'!$A$2:$A1000&lt;=EOMONTH(DATEVALUE("1 "&amp;AE$1),0)))+
  SUMPRODUCT(('Form responses 1'!$D$2:$D1000=$A70)*('Form responses 1'!$A$2:$A1000&lt;=EOMONTH(DATEVALUE("1 "&amp;AE$1),0)))+
  SUMPRODUCT(('Form responses 1'!$E$2:$E1000=$A70)*('Form responses 1'!$A$2:$A1000&lt;=EOMONTH(DATEVALUE("1 "&amp;AE$1),0)))+
  SUMPRODUCT(('Form responses 1'!$F$2:$F1000=$A70)*('Form responses 1'!$A$2:$A1000&lt;=EOMONTH(DATEVALUE("1 "&amp;AE$1),0)))+
  SUMPRODUCT(('Form responses 1'!$G$2:$G1000=$A70)*('Form responses 1'!$A$2:$A1000&lt;=EOMONTH(DATEVALUE("1 "&amp;AE$1),0)))
),2),"-")</f>
        <v>-</v>
      </c>
      <c r="AF70" s="2" t="str">
        <f>IFERROR(ROUND(Data!$B70/(
  SUMPRODUCT(('Form responses 1'!$B$2:$B1000=$A70)*('Form responses 1'!$A$2:$A1000&lt;=EOMONTH(DATEVALUE("1 "&amp;AF$1),0)))+
  SUMPRODUCT(('Form responses 1'!$C$2:$C1000=$A70)*('Form responses 1'!$A$2:$A1000&lt;=EOMONTH(DATEVALUE("1 "&amp;AF$1),0)))+
  SUMPRODUCT(('Form responses 1'!$D$2:$D1000=$A70)*('Form responses 1'!$A$2:$A1000&lt;=EOMONTH(DATEVALUE("1 "&amp;AF$1),0)))+
  SUMPRODUCT(('Form responses 1'!$E$2:$E1000=$A70)*('Form responses 1'!$A$2:$A1000&lt;=EOMONTH(DATEVALUE("1 "&amp;AF$1),0)))+
  SUMPRODUCT(('Form responses 1'!$F$2:$F1000=$A70)*('Form responses 1'!$A$2:$A1000&lt;=EOMONTH(DATEVALUE("1 "&amp;AF$1),0)))+
  SUMPRODUCT(('Form responses 1'!$G$2:$G1000=$A70)*('Form responses 1'!$A$2:$A1000&lt;=EOMONTH(DATEVALUE("1 "&amp;AF$1),0)))
),2),"-")</f>
        <v>-</v>
      </c>
      <c r="AG70" s="2" t="str">
        <f>IFERROR(ROUND(Data!$B70/(
  SUMPRODUCT(('Form responses 1'!$B$2:$B1000=$A70)*('Form responses 1'!$A$2:$A1000&lt;=EOMONTH(DATEVALUE("1 "&amp;AG$1),0)))+
  SUMPRODUCT(('Form responses 1'!$C$2:$C1000=$A70)*('Form responses 1'!$A$2:$A1000&lt;=EOMONTH(DATEVALUE("1 "&amp;AG$1),0)))+
  SUMPRODUCT(('Form responses 1'!$D$2:$D1000=$A70)*('Form responses 1'!$A$2:$A1000&lt;=EOMONTH(DATEVALUE("1 "&amp;AG$1),0)))+
  SUMPRODUCT(('Form responses 1'!$E$2:$E1000=$A70)*('Form responses 1'!$A$2:$A1000&lt;=EOMONTH(DATEVALUE("1 "&amp;AG$1),0)))+
  SUMPRODUCT(('Form responses 1'!$F$2:$F1000=$A70)*('Form responses 1'!$A$2:$A1000&lt;=EOMONTH(DATEVALUE("1 "&amp;AG$1),0)))+
  SUMPRODUCT(('Form responses 1'!$G$2:$G1000=$A70)*('Form responses 1'!$A$2:$A1000&lt;=EOMONTH(DATEVALUE("1 "&amp;AG$1),0)))
),2),"-")</f>
        <v>-</v>
      </c>
      <c r="AH70" s="2" t="str">
        <f>IFERROR(ROUND(Data!$B70/(
  SUMPRODUCT(('Form responses 1'!$B$2:$B1000=$A70)*('Form responses 1'!$A$2:$A1000&lt;=EOMONTH(DATEVALUE("1 "&amp;AH$1),0)))+
  SUMPRODUCT(('Form responses 1'!$C$2:$C1000=$A70)*('Form responses 1'!$A$2:$A1000&lt;=EOMONTH(DATEVALUE("1 "&amp;AH$1),0)))+
  SUMPRODUCT(('Form responses 1'!$D$2:$D1000=$A70)*('Form responses 1'!$A$2:$A1000&lt;=EOMONTH(DATEVALUE("1 "&amp;AH$1),0)))+
  SUMPRODUCT(('Form responses 1'!$E$2:$E1000=$A70)*('Form responses 1'!$A$2:$A1000&lt;=EOMONTH(DATEVALUE("1 "&amp;AH$1),0)))+
  SUMPRODUCT(('Form responses 1'!$F$2:$F1000=$A70)*('Form responses 1'!$A$2:$A1000&lt;=EOMONTH(DATEVALUE("1 "&amp;AH$1),0)))+
  SUMPRODUCT(('Form responses 1'!$G$2:$G1000=$A70)*('Form responses 1'!$A$2:$A1000&lt;=EOMONTH(DATEVALUE("1 "&amp;AH$1),0)))
),2),"-")</f>
        <v>-</v>
      </c>
      <c r="AI70" s="2" t="str">
        <f>IFERROR(ROUND(Data!$B70/(
  SUMPRODUCT(('Form responses 1'!$B$2:$B1000=$A70)*('Form responses 1'!$A$2:$A1000&lt;=EOMONTH(DATEVALUE("1 "&amp;AI$1),0)))+
  SUMPRODUCT(('Form responses 1'!$C$2:$C1000=$A70)*('Form responses 1'!$A$2:$A1000&lt;=EOMONTH(DATEVALUE("1 "&amp;AI$1),0)))+
  SUMPRODUCT(('Form responses 1'!$D$2:$D1000=$A70)*('Form responses 1'!$A$2:$A1000&lt;=EOMONTH(DATEVALUE("1 "&amp;AI$1),0)))+
  SUMPRODUCT(('Form responses 1'!$E$2:$E1000=$A70)*('Form responses 1'!$A$2:$A1000&lt;=EOMONTH(DATEVALUE("1 "&amp;AI$1),0)))+
  SUMPRODUCT(('Form responses 1'!$F$2:$F1000=$A70)*('Form responses 1'!$A$2:$A1000&lt;=EOMONTH(DATEVALUE("1 "&amp;AI$1),0)))+
  SUMPRODUCT(('Form responses 1'!$G$2:$G1000=$A70)*('Form responses 1'!$A$2:$A1000&lt;=EOMONTH(DATEVALUE("1 "&amp;AI$1),0)))
),2),"-")</f>
        <v>-</v>
      </c>
      <c r="AJ70" s="2" t="str">
        <f>IFERROR(ROUND(Data!$B70/(
  SUMPRODUCT(('Form responses 1'!$B$2:$B1000=$A70)*('Form responses 1'!$A$2:$A1000&lt;=EOMONTH(DATEVALUE("1 "&amp;AJ$1),0)))+
  SUMPRODUCT(('Form responses 1'!$C$2:$C1000=$A70)*('Form responses 1'!$A$2:$A1000&lt;=EOMONTH(DATEVALUE("1 "&amp;AJ$1),0)))+
  SUMPRODUCT(('Form responses 1'!$D$2:$D1000=$A70)*('Form responses 1'!$A$2:$A1000&lt;=EOMONTH(DATEVALUE("1 "&amp;AJ$1),0)))+
  SUMPRODUCT(('Form responses 1'!$E$2:$E1000=$A70)*('Form responses 1'!$A$2:$A1000&lt;=EOMONTH(DATEVALUE("1 "&amp;AJ$1),0)))+
  SUMPRODUCT(('Form responses 1'!$F$2:$F1000=$A70)*('Form responses 1'!$A$2:$A1000&lt;=EOMONTH(DATEVALUE("1 "&amp;AJ$1),0)))+
  SUMPRODUCT(('Form responses 1'!$G$2:$G1000=$A70)*('Form responses 1'!$A$2:$A1000&lt;=EOMONTH(DATEVALUE("1 "&amp;AJ$1),0)))
),2),"-")</f>
        <v>-</v>
      </c>
      <c r="AK70" s="2" t="str">
        <f>IFERROR(ROUND(Data!$B70/(
  SUMPRODUCT(('Form responses 1'!$B$2:$B1000=$A70)*('Form responses 1'!$A$2:$A1000&lt;=EOMONTH(DATEVALUE("1 "&amp;AK$1),0)))+
  SUMPRODUCT(('Form responses 1'!$C$2:$C1000=$A70)*('Form responses 1'!$A$2:$A1000&lt;=EOMONTH(DATEVALUE("1 "&amp;AK$1),0)))+
  SUMPRODUCT(('Form responses 1'!$D$2:$D1000=$A70)*('Form responses 1'!$A$2:$A1000&lt;=EOMONTH(DATEVALUE("1 "&amp;AK$1),0)))+
  SUMPRODUCT(('Form responses 1'!$E$2:$E1000=$A70)*('Form responses 1'!$A$2:$A1000&lt;=EOMONTH(DATEVALUE("1 "&amp;AK$1),0)))+
  SUMPRODUCT(('Form responses 1'!$F$2:$F1000=$A70)*('Form responses 1'!$A$2:$A1000&lt;=EOMONTH(DATEVALUE("1 "&amp;AK$1),0)))+
  SUMPRODUCT(('Form responses 1'!$G$2:$G1000=$A70)*('Form responses 1'!$A$2:$A1000&lt;=EOMONTH(DATEVALUE("1 "&amp;AK$1),0)))
),2),"-")</f>
        <v>-</v>
      </c>
      <c r="AL70" s="2" t="str">
        <f>IFERROR(ROUND(Data!$B70/(
  SUMPRODUCT(('Form responses 1'!$B$2:$B1000=$A70)*('Form responses 1'!$A$2:$A1000&lt;=EOMONTH(DATEVALUE("1 "&amp;AL$1),0)))+
  SUMPRODUCT(('Form responses 1'!$C$2:$C1000=$A70)*('Form responses 1'!$A$2:$A1000&lt;=EOMONTH(DATEVALUE("1 "&amp;AL$1),0)))+
  SUMPRODUCT(('Form responses 1'!$D$2:$D1000=$A70)*('Form responses 1'!$A$2:$A1000&lt;=EOMONTH(DATEVALUE("1 "&amp;AL$1),0)))+
  SUMPRODUCT(('Form responses 1'!$E$2:$E1000=$A70)*('Form responses 1'!$A$2:$A1000&lt;=EOMONTH(DATEVALUE("1 "&amp;AL$1),0)))+
  SUMPRODUCT(('Form responses 1'!$F$2:$F1000=$A70)*('Form responses 1'!$A$2:$A1000&lt;=EOMONTH(DATEVALUE("1 "&amp;AL$1),0)))+
  SUMPRODUCT(('Form responses 1'!$G$2:$G1000=$A70)*('Form responses 1'!$A$2:$A1000&lt;=EOMONTH(DATEVALUE("1 "&amp;AL$1),0)))
),2),"-")</f>
        <v>-</v>
      </c>
    </row>
    <row r="71">
      <c r="A71" s="3" t="str">
        <f>IFERROR(__xludf.DUMMYFUNCTION("""COMPUTED_VALUE"""),"Groene winterjas")</f>
        <v>Groene winterjas</v>
      </c>
      <c r="B71" s="2">
        <f>Data!F64:F1000</f>
        <v>0.46</v>
      </c>
      <c r="C71" s="2">
        <f>IFERROR(ROUND(Data!B64/(SUMPRODUCT(('Form responses 1'!$B$2:$B1000 = A71) * ('Form responses 1'!$A$2:$A1000 &lt;= DATE(2024, 1, 31)))
+ SUMPRODUCT(('Form responses 1'!$C$2:$C1000 = A71) * ('Form responses 1'!$A$2:$A1000 &lt;= DATE(2024, 1, 31)))
+ SUMPRODUCT(('Form responses 1'!$D$2:$D1000 = A71) * ('Form responses 1'!$A$2:$A1000 &lt;= DATE(2024, 1, 31)))
+ SUMPRODUCT(('Form responses 1'!$E$2:$E1000 = A71) * ('Form responses 1'!$A$2:$A1000 &lt;= DATE(2024, 1, 31)))
+ SUMPRODUCT(('Form responses 1'!$F$2:$F1000 = A71) * ('Form responses 1'!$A$2:$A1000 &lt;= DATE(2024, 1, 31)))
+ SUMPRODUCT(('Form responses 1'!$G$2:$G1000 = A71) * ('Form responses 1'!$A$2:$A1000 &lt;= DATE(2024, 1, 31)))), 2), "-")
</f>
        <v>0.19</v>
      </c>
      <c r="D71" s="2">
        <f>IFERROR(ROUND(Data!B64/(SUMPRODUCT(('Form responses 1'!$B$2:$B1000 = A71) * ('Form responses 1'!$A$2:$A1000 &lt;= DATE(2024, 2, 29)))
+ SUMPRODUCT(('Form responses 1'!$C$2:$C1000 = A71) * ('Form responses 1'!$A$2:$A1000 &lt;= DATE(2024, 2, 29)))
+ SUMPRODUCT(('Form responses 1'!$D$2:$D1000 = A71) * ('Form responses 1'!$A$2:$A1000 &lt;= DATE(2024, 2, 29)))
+ SUMPRODUCT(('Form responses 1'!$E$2:$E1000 = A71) * ('Form responses 1'!$A$2:$A1000 &lt;= DATE(2024, 2, 29)))
+ SUMPRODUCT(('Form responses 1'!$F$2:$F1000 = A71) * ('Form responses 1'!$A$2:$A1000 &lt;= DATE(2024, 2, 29)))
+ SUMPRODUCT(('Form responses 1'!$G$2:$G1000 = A71) * ('Form responses 1'!$A$2:$A1000 &lt;= DATE(2024, 2, 29)))), 2), "-")
</f>
        <v>0.18</v>
      </c>
      <c r="E71" s="2">
        <f>IFERROR(ROUND(Data!B64/(SUMPRODUCT(('Form responses 1'!$B$2:$B1000 = A71) * ('Form responses 1'!$A$2:$A1000 &lt;= DATE(2024, 3, 31)))
+ SUMPRODUCT(('Form responses 1'!$C$2:$C1000 = A71) * ('Form responses 1'!$A$2:$A1000 &lt;= DATE(2024, 3, 31)))
+ SUMPRODUCT(('Form responses 1'!$D$2:$D1000 = A71) * ('Form responses 1'!$A$2:$A1000 &lt;= DATE(2024, 3, 31)))
+ SUMPRODUCT(('Form responses 1'!$E$2:$E1000 = A71) * ('Form responses 1'!$A$2:$A1000 &lt;= DATE(2024, 3, 31)))
+ SUMPRODUCT(('Form responses 1'!$F$2:$F1000 = A71) * ('Form responses 1'!$A$2:$A1000 &lt;= DATE(2024, 3, 31)))
+ SUMPRODUCT(('Form responses 1'!$G$2:$G1000 = A71) * ('Form responses 1'!$A$2:$A1000 &lt;= DATE(2024, 3, 31)))), 2), "-")
</f>
        <v>0.17</v>
      </c>
      <c r="F71" s="2">
        <f>IFERROR(ROUND(Data!B64/(SUMPRODUCT(('Form responses 1'!$B$2:$B1000 = A71) * ('Form responses 1'!$A$2:$A1000 &lt;= DATE(2024, 4, 30)))
+ SUMPRODUCT(('Form responses 1'!$C$2:$C1000 = A71) * ('Form responses 1'!$A$2:$A1000 &lt;= DATE(2024, 4, 30)))
+ SUMPRODUCT(('Form responses 1'!$D$2:$D1000 = A71) * ('Form responses 1'!$A$2:$A1000 &lt;= DATE(2024, 4, 30)))
+ SUMPRODUCT(('Form responses 1'!$E$2:$E1000 = A71) * ('Form responses 1'!$A$2:$A1000 &lt;= DATE(2024, 4, 30)))
+ SUMPRODUCT(('Form responses 1'!$F$2:$F1000 = A71) * ('Form responses 1'!$A$2:$A1000 &lt;= DATE(2024, 4, 30)))
+ SUMPRODUCT(('Form responses 1'!$G$2:$G1000 = A71) * ('Form responses 1'!$A$2:$A1000 &lt;= DATE(2024, 4, 30)))), 2), "-")
</f>
        <v>0.16</v>
      </c>
      <c r="G71" s="2">
        <f>IFERROR(ROUND(Data!B64/(SUMPRODUCT(('Form responses 1'!$B$2:$B1000 = A71) * ('Form responses 1'!$A$2:$A1000 &lt;= DATE(2024, 5, 31)))
+ SUMPRODUCT(('Form responses 1'!$C$2:$C1000 = A71) * ('Form responses 1'!$A$2:$A1000 &lt;= DATE(2024, 5, 31)))
+ SUMPRODUCT(('Form responses 1'!$D$2:$D1000 = A71) * ('Form responses 1'!$A$2:$A1000 &lt;= DATE(2024, 5, 31)))
+ SUMPRODUCT(('Form responses 1'!$E$2:$E1000 = A71) * ('Form responses 1'!$A$2:$A1000 &lt;= DATE(2024, 5, 31)))
+ SUMPRODUCT(('Form responses 1'!$F$2:$F1000 = A71) * ('Form responses 1'!$A$2:$A1000 &lt;= DATE(2024, 5, 31)))
+ SUMPRODUCT(('Form responses 1'!$G$2:$G1000 = A71) * ('Form responses 1'!$A$2:$A1000 &lt;= DATE(2024, 5, 31)))), 2), "-")
</f>
        <v>0.16</v>
      </c>
      <c r="H71" s="2">
        <f>IFERROR(ROUND(Data!B64/(SUMPRODUCT(('Form responses 1'!$B$2:$B1000 = A71) * ('Form responses 1'!$A$2:$A1000 &lt;= DATE(2024, 6, 30)))
+ SUMPRODUCT(('Form responses 1'!$C$2:$C1000 = A71) * ('Form responses 1'!$A$2:$A1000 &lt;= DATE(2024, 6, 30)))
+ SUMPRODUCT(('Form responses 1'!$D$2:$D1000 = A71) * ('Form responses 1'!$A$2:$A1000 &lt;= DATE(2024, 6, 30)))
+ SUMPRODUCT(('Form responses 1'!$E$2:$E1000 = A71) * ('Form responses 1'!$A$2:$A1000 &lt;= DATE(2024, 6, 30)))
+ SUMPRODUCT(('Form responses 1'!$F$2:$F1000 = A71) * ('Form responses 1'!$A$2:$A1000 &lt;= DATE(2024, 6, 30)))
+ SUMPRODUCT(('Form responses 1'!$G$2:$G1000 = A71) * ('Form responses 1'!$A$2:$A1000 &lt;= DATE(2024, 6, 30)))), 2), "-")
</f>
        <v>0.16</v>
      </c>
      <c r="I71" s="2">
        <f>IFERROR(ROUND(Data!B64/(SUMPRODUCT(('Form responses 1'!$B$2:$B1000 = A71) * ('Form responses 1'!$A$2:$A1000 &lt;= DATE(2024, 7, 31)))
+ SUMPRODUCT(('Form responses 1'!$C$2:$C1000 = A71) * ('Form responses 1'!$A$2:$A1000 &lt;= DATE(2024, 7, 31)))
+ SUMPRODUCT(('Form responses 1'!$D$2:$D1000 = A71) * ('Form responses 1'!$A$2:$A1000 &lt;= DATE(2024, 7, 31)))
+ SUMPRODUCT(('Form responses 1'!$E$2:$E1000 = A71) * ('Form responses 1'!$A$2:$A1000 &lt;= DATE(2024, 7, 31)))
+ SUMPRODUCT(('Form responses 1'!$F$2:$F1000 = A71) * ('Form responses 1'!$A$2:$A1000 &lt;= DATE(2024, 7, 31)))
+ SUMPRODUCT(('Form responses 1'!$G$2:$G1000 = A71) * ('Form responses 1'!$A$2:$A1000 &lt;= DATE(2024, 7, 31)))), 2), "-")
</f>
        <v>0.16</v>
      </c>
      <c r="J71" s="2">
        <f>IFERROR(ROUND(Data!B64/(SUMPRODUCT(('Form responses 1'!$B$2:$B1000 = A71) * ('Form responses 1'!$A$2:$A1000 &lt;= DATE(2024, 8, 31)))
+ SUMPRODUCT(('Form responses 1'!$C$2:$C1000 = A71) * ('Form responses 1'!$A$2:$A1000 &lt;= DATE(2024, 8, 31)))
+ SUMPRODUCT(('Form responses 1'!$D$2:$D1000 = A71) * ('Form responses 1'!$A$2:$A1000 &lt;= DATE(2024, 8, 31)))
+ SUMPRODUCT(('Form responses 1'!$E$2:$E1000 = A71) * ('Form responses 1'!$A$2:$A1000 &lt;= DATE(2024, 8, 31)))
+ SUMPRODUCT(('Form responses 1'!$F$2:$F1000 = A71) * ('Form responses 1'!$A$2:$A1000 &lt;= DATE(2024, 8, 31)))
+ SUMPRODUCT(('Form responses 1'!$G$2:$G1000 = A71) * ('Form responses 1'!$A$2:$A1000 &lt;= DATE(2024, 8, 31)))), 2), "-")
</f>
        <v>0.16</v>
      </c>
      <c r="K71" s="2">
        <f>IFERROR(ROUND(Data!B64/(SUMPRODUCT(('Form responses 1'!$B$2:$B1000 = A71) * ('Form responses 1'!$A$2:$A1000 &lt;= DATE(2024, 9, 30)))
+ SUMPRODUCT(('Form responses 1'!$C$2:$C1000 = A71) * ('Form responses 1'!$A$2:$A1000 &lt;= DATE(2024, 9, 30)))
+ SUMPRODUCT(('Form responses 1'!$D$2:$D1000 = A71) * ('Form responses 1'!$A$2:$A1000 &lt;= DATE(2024, 9, 30)))
+ SUMPRODUCT(('Form responses 1'!$E$2:$E1000 = A71) * ('Form responses 1'!$A$2:$A1000 &lt;= DATE(2024, 9, 30)))
+ SUMPRODUCT(('Form responses 1'!$F$2:$F1000 = A71) * ('Form responses 1'!$A$2:$A1000 &lt;= DATE(2024, 9, 30)))
+ SUMPRODUCT(('Form responses 1'!$G$2:$G1000 = A71) * ('Form responses 1'!$A$2:$A1000 &lt;= DATE(2024, 9, 30)))), 2), "-")
</f>
        <v>0.16</v>
      </c>
      <c r="L71" s="2">
        <f>IFERROR(ROUND(Data!B64/(SUMPRODUCT(('Form responses 1'!$B$2:$B1000 = A71) * ('Form responses 1'!$A$2:$A1000 &lt;= DATE(2024, 10, 31)))
+ SUMPRODUCT(('Form responses 1'!$C$2:$C1000 = A71) * ('Form responses 1'!$A$2:$A1000 &lt;= DATE(2024, 10, 31)))
+ SUMPRODUCT(('Form responses 1'!$D$2:$D1000 = A71) * ('Form responses 1'!$A$2:$A1000 &lt;= DATE(2024, 10, 31)))
+ SUMPRODUCT(('Form responses 1'!$E$2:$E1000 = A71) * ('Form responses 1'!$A$2:$A1000 &lt;= DATE(2024, 10, 31)))
+ SUMPRODUCT(('Form responses 1'!$F$2:$F1000 = A71) * ('Form responses 1'!$A$2:$A1000 &lt;= DATE(2024, 10, 31)))
+ SUMPRODUCT(('Form responses 1'!$G$2:$G1000 = A71) * ('Form responses 1'!$A$2:$A1000 &lt;= DATE(2024, 10, 31)))), 2), "-")
</f>
        <v>0.16</v>
      </c>
      <c r="M71" s="2">
        <f>IFERROR(ROUND(Data!B64/(SUMPRODUCT(('Form responses 1'!$B$2:$B1000 = A71) * ('Form responses 1'!$A$2:$A1000 &lt;= DATE(2024, 11, 30)))
+ SUMPRODUCT(('Form responses 1'!$C$2:$C1000 = A71) * ('Form responses 1'!$A$2:$A1000 &lt;= DATE(2024, 11, 30)))
+ SUMPRODUCT(('Form responses 1'!$D$2:$D1000 = A71) * ('Form responses 1'!$A$2:$A1000 &lt;= DATE(2024, 11, 30)))
+ SUMPRODUCT(('Form responses 1'!$E$2:$E1000 = A71) * ('Form responses 1'!$A$2:$A1000 &lt;= DATE(2024, 11, 30)))
+ SUMPRODUCT(('Form responses 1'!$F$2:$F1000 = A71) * ('Form responses 1'!$A$2:$A1000 &lt;= DATE(2024, 11, 30)))
+ SUMPRODUCT(('Form responses 1'!$G$2:$G1000 = A71) * ('Form responses 1'!$A$2:$A1000 &lt;= DATE(2024, 11, 30)))), 2), "-")
</f>
        <v>0.15</v>
      </c>
      <c r="N71" s="2">
        <f>IFERROR(ROUND(Data!B64/(SUMPRODUCT(('Form responses 1'!$B$2:$B1000 = A71) * ('Form responses 1'!$A$2:$A1000 &lt;= DATE(2024, 12, 31)))
+ SUMPRODUCT(('Form responses 1'!$C$2:$C1000 = A71) * ('Form responses 1'!$A$2:$A1000 &lt;= DATE(2024, 12, 31)))
+ SUMPRODUCT(('Form responses 1'!$D$2:$D1000 = A71) * ('Form responses 1'!$A$2:$A1000 &lt;= DATE(2024, 12, 31)))
+ SUMPRODUCT(('Form responses 1'!$E$2:$E1000 = A71) * ('Form responses 1'!$A$2:$A1000 &lt;= DATE(2024, 12, 31)))
+ SUMPRODUCT(('Form responses 1'!$F$2:$F1000 = A71) * ('Form responses 1'!$A$2:$A1000 &lt;= DATE(2024, 12, 31)))
+ SUMPRODUCT(('Form responses 1'!$G$2:$G1000 = A71) * ('Form responses 1'!$A$2:$A1000 &lt;= DATE(2024, 12, 31)))), 2), "-")
</f>
        <v>0.14</v>
      </c>
      <c r="O71" s="2">
        <f>IFERROR(ROUND(Data!B64/(SUMPRODUCT(('Form responses 1'!$B$2:$B1000 = A71) * ('Form responses 1'!$A$2:$A1000 &lt;= DATE(2025, 1, 31)))
+ SUMPRODUCT(('Form responses 1'!$C$2:$C1000 = A71) * ('Form responses 1'!$A$2:$A1000 &lt;= DATE(2025, 1, 31)))
+ SUMPRODUCT(('Form responses 1'!$D$2:$D1000 = A71) * ('Form responses 1'!$A$2:$A1000 &lt;= DATE(2025, 1, 31)))
+ SUMPRODUCT(('Form responses 1'!$E$2:$E1000 = A71) * ('Form responses 1'!$A$2:$A1000 &lt;= DATE(2025, 1, 31)))
+ SUMPRODUCT(('Form responses 1'!$F$2:$F1000 = A71) * ('Form responses 1'!$A$2:$A1000 &lt;= DATE(2025, 1, 31)))
+ SUMPRODUCT(('Form responses 1'!$G$2:$G1000 = A71) * ('Form responses 1'!$A$2:$A1000 &lt;= DATE(2025, 1, 31)))), 2), "-")
</f>
        <v>0.13</v>
      </c>
      <c r="P71" s="2">
        <f>IFERROR(ROUND(Data!B64/(SUMPRODUCT(('Form responses 1'!$B$2:$B1000 = A71) * ('Form responses 1'!$A$2:$A1000 &lt;= DATE(2025, 2, 28)))
+ SUMPRODUCT(('Form responses 1'!$C$2:$C1000 = A71) * ('Form responses 1'!$A$2:$A1000 &lt;= DATE(2025, 2, 28)))
+ SUMPRODUCT(('Form responses 1'!$D$2:$D1000 = A71) * ('Form responses 1'!$A$2:$A1000 &lt;= DATE(2025, 2, 28)))
+ SUMPRODUCT(('Form responses 1'!$E$2:$E1000 = A71) * ('Form responses 1'!$A$2:$A1000 &lt;= DATE(2025, 2, 28)))
+ SUMPRODUCT(('Form responses 1'!$F$2:$F1000 = A71) * ('Form responses 1'!$A$2:$A1000 &lt;= DATE(2025, 2, 28)))
+ SUMPRODUCT(('Form responses 1'!$G$2:$G1000 = A71) * ('Form responses 1'!$A$2:$A1000 &lt;= DATE(2025, 2, 28)))), 2), "-")
</f>
        <v>0.12</v>
      </c>
      <c r="Q71" s="2">
        <f>IFERROR(ROUND(Data!B64/(SUMPRODUCT(('Form responses 1'!$B$2:$B1000 = A71) * ('Form responses 1'!$A$2:$A1000 &lt;= DATE(2025, 3, 31)))
+ SUMPRODUCT(('Form responses 1'!$C$2:$C1000 = A71) * ('Form responses 1'!$A$2:$A1000 &lt;= DATE(2025, 3, 31)))
+ SUMPRODUCT(('Form responses 1'!$D$2:$D1000 = A71) * ('Form responses 1'!$A$2:$A1000 &lt;= DATE(2025, 3, 31)))
+ SUMPRODUCT(('Form responses 1'!$E$2:$E1000 = A71) * ('Form responses 1'!$A$2:$A1000 &lt;= DATE(2025, 3, 31)))
+ SUMPRODUCT(('Form responses 1'!$F$2:$F1000 = A71) * ('Form responses 1'!$A$2:$A1000 &lt;= DATE(2025, 3, 31)))
+ SUMPRODUCT(('Form responses 1'!$G$2:$G1000 = A71) * ('Form responses 1'!$A$2:$A1000 &lt;= DATE(2025, 3, 31)))),2),"-")</f>
        <v>0.12</v>
      </c>
      <c r="R71" s="2">
        <f>IFERROR(ROUND(Data!B64/(SUMPRODUCT(('Form responses 1'!$B$2:$B1000 = A71) * ('Form responses 1'!$A$2:$A1000 &lt;= DATE(2025, 4, 30)))
+ SUMPRODUCT(('Form responses 1'!$C$2:$C1000 = A71) * ('Form responses 1'!$A$2:$A1000 &lt;= DATE(2025, 4, 30)))
+ SUMPRODUCT(('Form responses 1'!$D$2:$D1000 = A71) * ('Form responses 1'!$A$2:$A1000 &lt;= DATE(2025, 4, 30)))
+ SUMPRODUCT(('Form responses 1'!$E$2:$E1000 = A71) * ('Form responses 1'!$A$2:$A1000 &lt;= DATE(2025, 4, 30)))
+ SUMPRODUCT(('Form responses 1'!$F$2:$F1000 = A71) * ('Form responses 1'!$A$2:$A1000 &lt;= DATE(2025, 4, 30)))
+ SUMPRODUCT(('Form responses 1'!$G$2:$G1000 = A71) * ('Form responses 1'!$A$2:$A1000 &lt;= DATE(2025, 4, 30)))), 2), "-")
</f>
        <v>0.12</v>
      </c>
      <c r="S71" s="2">
        <f>IFERROR(ROUND(Data!B64/(SUMPRODUCT(('Form responses 1'!$B$2:$B1000 = A71) * ('Form responses 1'!$A$2:$A1000 &lt;= DATE(2025, 5, 31)))
+ SUMPRODUCT(('Form responses 1'!$C$2:$C1000 = A71) * ('Form responses 1'!$A$2:$A1000 &lt;= DATE(2025, 5, 31)))
+ SUMPRODUCT(('Form responses 1'!$D$2:$D1000 = A71) * ('Form responses 1'!$A$2:$A1000 &lt;= DATE(2025, 5, 31)))
+ SUMPRODUCT(('Form responses 1'!$E$2:$E1000 = A71) * ('Form responses 1'!$A$2:$A1000 &lt;= DATE(2025, 5, 31)))
+ SUMPRODUCT(('Form responses 1'!$F$2:$F1000 = A71) * ('Form responses 1'!$A$2:$A1000 &lt;= DATE(2025, 5, 31)))
+ SUMPRODUCT(('Form responses 1'!$G$2:$G1000 = A71) * ('Form responses 1'!$A$2:$A1000 &lt;= DATE(2025, 5, 31)))), 2), "-")
</f>
        <v>0.12</v>
      </c>
      <c r="T71" s="2">
        <f>IFERROR(ROUND(Data!B64/(SUMPRODUCT(('Form responses 1'!$B$2:$B1000 = A71) * ('Form responses 1'!$A$2:$A1000 &lt;= DATE(2025, 6, 30)))
+ SUMPRODUCT(('Form responses 1'!$C$2:$C1000 = A71) * ('Form responses 1'!$A$2:$A1000 &lt;= DATE(2025, 6, 30)))
+ SUMPRODUCT(('Form responses 1'!$D$2:$D1000 = A71) * ('Form responses 1'!$A$2:$A1000 &lt;= DATE(2025, 6, 30)))
+ SUMPRODUCT(('Form responses 1'!$E$2:$E1000 = A71) * ('Form responses 1'!$A$2:$A1000 &lt;= DATE(2025, 6, 30)))
+ SUMPRODUCT(('Form responses 1'!$F$2:$F1000 = A71) * ('Form responses 1'!$A$2:$A1000 &lt;= DATE(2025, 6, 30)))
+ SUMPRODUCT(('Form responses 1'!$G$2:$G1000 = A71) * ('Form responses 1'!$A$2:$A1000 &lt;= DATE(2025, 6, 30)))), 2), "-")
</f>
        <v>0.12</v>
      </c>
      <c r="U71" s="2">
        <f>IFERROR(ROUND(Data!B64/(SUMPRODUCT(('Form responses 1'!$B$2:$B1000 = A71) * ('Form responses 1'!$A$2:$A1000 &lt;= DATE(2025, 7, 31)))
+ SUMPRODUCT(('Form responses 1'!$C$2:$C1000 = A71) * ('Form responses 1'!$A$2:$A1000 &lt;= DATE(2025, 7, 31)))
+ SUMPRODUCT(('Form responses 1'!$D$2:$D1000 = A71) * ('Form responses 1'!$A$2:$A1000 &lt;= DATE(2025, 7, 31)))
+ SUMPRODUCT(('Form responses 1'!$E$2:$E1000 = A71) * ('Form responses 1'!$A$2:$A1000 &lt;= DATE(2025, 7, 31)))
+ SUMPRODUCT(('Form responses 1'!$F$2:$F1000 = A71) * ('Form responses 1'!$A$2:$A1000 &lt;= DATE(2025, 7, 31)))
+ SUMPRODUCT(('Form responses 1'!$G$2:$G1000 = A71) * ('Form responses 1'!$A$2:$A1000 &lt;= DATE(2025, 7, 31)))), 2), "-")
</f>
        <v>0.12</v>
      </c>
      <c r="V71" s="2">
        <f>IFERROR(ROUND(Data!B64/(SUMPRODUCT(('Form responses 1'!$B$2:$B1000 = A71) * ('Form responses 1'!$A$2:$A1000 &lt;= DATE(2025, 8, 31)))
+ SUMPRODUCT(('Form responses 1'!$C$2:$C1000 = A71) * ('Form responses 1'!$A$2:$A1000 &lt;= DATE(2025, 8, 31)))
+ SUMPRODUCT(('Form responses 1'!$D$2:$D1000 = A71) * ('Form responses 1'!$A$2:$A1000 &lt;= DATE(2025, 8, 31)))
+ SUMPRODUCT(('Form responses 1'!$E$2:$E1000 = A71) * ('Form responses 1'!$A$2:$A1000 &lt;= DATE(2025, 8, 31)))
+ SUMPRODUCT(('Form responses 1'!$F$2:$F1000 = A71) * ('Form responses 1'!$A$2:$A1000 &lt;= DATE(2025, 8, 31)))
+ SUMPRODUCT(('Form responses 1'!$G$2:$G1000 = A71) * ('Form responses 1'!$A$2:$A1000 &lt;= DATE(2025, 8, 31)))), 2), "-")
</f>
        <v>0.12</v>
      </c>
      <c r="W71" s="2">
        <f>IFERROR(ROUND(Data!B64/(SUMPRODUCT(('Form responses 1'!$B$2:$B1000 = A71) * ('Form responses 1'!$A$2:$A1000 &lt;= DATE(2025, 9, 30)))
+ SUMPRODUCT(('Form responses 1'!$C$2:$C1000 = A71) * ('Form responses 1'!$A$2:$A1000 &lt;= DATE(2025, 9, 30)))
+ SUMPRODUCT(('Form responses 1'!$D$2:$D1000 = A71) * ('Form responses 1'!$A$2:$A1000 &lt;= DATE(2025, 9, 30)))
+ SUMPRODUCT(('Form responses 1'!$E$2:$E1000 = A71) * ('Form responses 1'!$A$2:$A1000 &lt;= DATE(2025, 9, 30)))
+ SUMPRODUCT(('Form responses 1'!$F$2:$F1000 = A71) * ('Form responses 1'!$A$2:$A1000 &lt;= DATE(2025, 9, 30)))
+ SUMPRODUCT(('Form responses 1'!$G$2:$G1000 = A71) * ('Form responses 1'!$A$2:$A1000 &lt;= DATE(2025, 9, 30)))), 2), "-")
</f>
        <v>0.12</v>
      </c>
      <c r="X71" s="2">
        <f>IFERROR(ROUND(Data!B64/(SUMPRODUCT(('Form responses 1'!$B$2:$B1000 = A71) * ('Form responses 1'!$A$2:$A1000 &lt;= DATE(2025, 10, 31)))
+ SUMPRODUCT(('Form responses 1'!$C$2:$C1000 = A71) * ('Form responses 1'!$A$2:$A1000 &lt;= DATE(2025, 10, 31)))
+ SUMPRODUCT(('Form responses 1'!$D$2:$D1000 = A71) * ('Form responses 1'!$A$2:$A1000 &lt;= DATE(2025, 10, 31)))
+ SUMPRODUCT(('Form responses 1'!$E$2:$E1000 = A71) * ('Form responses 1'!$A$2:$A1000 &lt;= DATE(2025, 10, 31)))
+ SUMPRODUCT(('Form responses 1'!$F$2:$F1000 = A71) * ('Form responses 1'!$A$2:$A1000 &lt;= DATE(2025, 10, 31)))
+ SUMPRODUCT(('Form responses 1'!$G$2:$G1000 = A71) * ('Form responses 1'!$A$2:$A1000 &lt;= DATE(2025, 10, 31)))), 2), "-")
</f>
        <v>0.12</v>
      </c>
      <c r="Y71" s="2">
        <f>IFERROR(ROUND(Data!B64/(SUMPRODUCT(('Form responses 1'!$B$2:$B1000 = A71) * ('Form responses 1'!$A$2:$A1000 &lt;= DATE(2025, 11, 30)))
+ SUMPRODUCT(('Form responses 1'!$C$2:$C1000 = A71) * ('Form responses 1'!$A$2:$A1000 &lt;= DATE(2025, 11, 30)))
+ SUMPRODUCT(('Form responses 1'!$D$2:$D1000 = A71) * ('Form responses 1'!$A$2:$A1000 &lt;= DATE(2025, 11, 30)))
+ SUMPRODUCT(('Form responses 1'!$E$2:$E1000 = A71) * ('Form responses 1'!$A$2:$A1000 &lt;= DATE(2025, 11, 30)))
+ SUMPRODUCT(('Form responses 1'!$F$2:$F1000 = A71) * ('Form responses 1'!$A$2:$A1000 &lt;= DATE(2025, 11, 30)))
+ SUMPRODUCT(('Form responses 1'!$G$2:$G1000 = A71) * ('Form responses 1'!$A$2:$A1000 &lt;= DATE(2025, 11, 30)))), 2), "-")
</f>
        <v>0.12</v>
      </c>
      <c r="Z71" s="2">
        <f>IFERROR(ROUND(Data!B64/(SUMPRODUCT(('Form responses 1'!$B$2:$B1000 = A71) * ('Form responses 1'!$A$2:$A1000 &lt;= DATE(2025, 12, 31)))
+ SUMPRODUCT(('Form responses 1'!$C$2:$C1000 = A71) * ('Form responses 1'!$A$2:$A1000 &lt;= DATE(2025, 12, 31)))
+ SUMPRODUCT(('Form responses 1'!$D$2:$D1000 = A71) * ('Form responses 1'!$A$2:$A1000 &lt;= DATE(2025, 12, 31)))
+ SUMPRODUCT(('Form responses 1'!$E$2:$E1000 = A71) * ('Form responses 1'!$A$2:$A1000 &lt;= DATE(2025, 12, 31)))
+ SUMPRODUCT(('Form responses 1'!$F$2:$F1000 = A71) * ('Form responses 1'!$A$2:$A1000 &lt;= DATE(2025, 12, 31)))
+ SUMPRODUCT(('Form responses 1'!$G$2:$G1000 = A71) * ('Form responses 1'!$A$2:$A1000 &lt;= DATE(2025, 12, 31)))), 2), "-")
</f>
        <v>0.11</v>
      </c>
      <c r="AA71" s="2">
        <f>IFERROR(ROUND(Data!$B71/(
  SUMPRODUCT(('Form responses 1'!$B$2:$B1000=$A71)*('Form responses 1'!$A$2:$A1000&lt;=EOMONTH(DATEVALUE("1 "&amp;AA$1),0)))+
  SUMPRODUCT(('Form responses 1'!$C$2:$C1000=$A71)*('Form responses 1'!$A$2:$A1000&lt;=EOMONTH(DATEVALUE("1 "&amp;AA$1),0)))+
  SUMPRODUCT(('Form responses 1'!$D$2:$D1000=$A71)*('Form responses 1'!$A$2:$A1000&lt;=EOMONTH(DATEVALUE("1 "&amp;AA$1),0)))+
  SUMPRODUCT(('Form responses 1'!$E$2:$E1000=$A71)*('Form responses 1'!$A$2:$A1000&lt;=EOMONTH(DATEVALUE("1 "&amp;AA$1),0)))+
  SUMPRODUCT(('Form responses 1'!$F$2:$F1000=$A71)*('Form responses 1'!$A$2:$A1000&lt;=EOMONTH(DATEVALUE("1 "&amp;AA$1),0)))+
  SUMPRODUCT(('Form responses 1'!$G$2:$G1000=$A71)*('Form responses 1'!$A$2:$A1000&lt;=EOMONTH(DATEVALUE("1 "&amp;AA$1),0)))
),2),"-")</f>
        <v>0.49</v>
      </c>
      <c r="AB71" s="2">
        <f>IFERROR(ROUND(Data!$B71/(
  SUMPRODUCT(('Form responses 1'!$B$2:$B1000=$A71)*('Form responses 1'!$A$2:$A1000&lt;=EOMONTH(DATEVALUE("1 "&amp;AB$1),0)))+
  SUMPRODUCT(('Form responses 1'!$C$2:$C1000=$A71)*('Form responses 1'!$A$2:$A1000&lt;=EOMONTH(DATEVALUE("1 "&amp;AB$1),0)))+
  SUMPRODUCT(('Form responses 1'!$D$2:$D1000=$A71)*('Form responses 1'!$A$2:$A1000&lt;=EOMONTH(DATEVALUE("1 "&amp;AB$1),0)))+
  SUMPRODUCT(('Form responses 1'!$E$2:$E1000=$A71)*('Form responses 1'!$A$2:$A1000&lt;=EOMONTH(DATEVALUE("1 "&amp;AB$1),0)))+
  SUMPRODUCT(('Form responses 1'!$F$2:$F1000=$A71)*('Form responses 1'!$A$2:$A1000&lt;=EOMONTH(DATEVALUE("1 "&amp;AB$1),0)))+
  SUMPRODUCT(('Form responses 1'!$G$2:$G1000=$A71)*('Form responses 1'!$A$2:$A1000&lt;=EOMONTH(DATEVALUE("1 "&amp;AB$1),0)))
),2),"-")</f>
        <v>0.48</v>
      </c>
      <c r="AC71" s="2">
        <f>IFERROR(ROUND(Data!$B71/(
  SUMPRODUCT(('Form responses 1'!$B$2:$B1000=$A71)*('Form responses 1'!$A$2:$A1000&lt;=EOMONTH(DATEVALUE("1 "&amp;AC$1),0)))+
  SUMPRODUCT(('Form responses 1'!$C$2:$C1000=$A71)*('Form responses 1'!$A$2:$A1000&lt;=EOMONTH(DATEVALUE("1 "&amp;AC$1),0)))+
  SUMPRODUCT(('Form responses 1'!$D$2:$D1000=$A71)*('Form responses 1'!$A$2:$A1000&lt;=EOMONTH(DATEVALUE("1 "&amp;AC$1),0)))+
  SUMPRODUCT(('Form responses 1'!$E$2:$E1000=$A71)*('Form responses 1'!$A$2:$A1000&lt;=EOMONTH(DATEVALUE("1 "&amp;AC$1),0)))+
  SUMPRODUCT(('Form responses 1'!$F$2:$F1000=$A71)*('Form responses 1'!$A$2:$A1000&lt;=EOMONTH(DATEVALUE("1 "&amp;AC$1),0)))+
  SUMPRODUCT(('Form responses 1'!$G$2:$G1000=$A71)*('Form responses 1'!$A$2:$A1000&lt;=EOMONTH(DATEVALUE("1 "&amp;AC$1),0)))
),2),"-")</f>
        <v>0.47</v>
      </c>
      <c r="AD71" s="2" t="str">
        <f>IFERROR(ROUND(Data!$B71/(
  SUMPRODUCT(('Form responses 1'!$B$2:$B1000=$A71)*('Form responses 1'!$A$2:$A1000&lt;=EOMONTH(DATEVALUE("1 "&amp;AD$1),0)))+
  SUMPRODUCT(('Form responses 1'!$C$2:$C1000=$A71)*('Form responses 1'!$A$2:$A1000&lt;=EOMONTH(DATEVALUE("1 "&amp;AD$1),0)))+
  SUMPRODUCT(('Form responses 1'!$D$2:$D1000=$A71)*('Form responses 1'!$A$2:$A1000&lt;=EOMONTH(DATEVALUE("1 "&amp;AD$1),0)))+
  SUMPRODUCT(('Form responses 1'!$E$2:$E1000=$A71)*('Form responses 1'!$A$2:$A1000&lt;=EOMONTH(DATEVALUE("1 "&amp;AD$1),0)))+
  SUMPRODUCT(('Form responses 1'!$F$2:$F1000=$A71)*('Form responses 1'!$A$2:$A1000&lt;=EOMONTH(DATEVALUE("1 "&amp;AD$1),0)))+
  SUMPRODUCT(('Form responses 1'!$G$2:$G1000=$A71)*('Form responses 1'!$A$2:$A1000&lt;=EOMONTH(DATEVALUE("1 "&amp;AD$1),0)))
),2),"-")</f>
        <v>-</v>
      </c>
      <c r="AE71" s="2" t="str">
        <f>IFERROR(ROUND(Data!$B71/(
  SUMPRODUCT(('Form responses 1'!$B$2:$B1000=$A71)*('Form responses 1'!$A$2:$A1000&lt;=EOMONTH(DATEVALUE("1 "&amp;AE$1),0)))+
  SUMPRODUCT(('Form responses 1'!$C$2:$C1000=$A71)*('Form responses 1'!$A$2:$A1000&lt;=EOMONTH(DATEVALUE("1 "&amp;AE$1),0)))+
  SUMPRODUCT(('Form responses 1'!$D$2:$D1000=$A71)*('Form responses 1'!$A$2:$A1000&lt;=EOMONTH(DATEVALUE("1 "&amp;AE$1),0)))+
  SUMPRODUCT(('Form responses 1'!$E$2:$E1000=$A71)*('Form responses 1'!$A$2:$A1000&lt;=EOMONTH(DATEVALUE("1 "&amp;AE$1),0)))+
  SUMPRODUCT(('Form responses 1'!$F$2:$F1000=$A71)*('Form responses 1'!$A$2:$A1000&lt;=EOMONTH(DATEVALUE("1 "&amp;AE$1),0)))+
  SUMPRODUCT(('Form responses 1'!$G$2:$G1000=$A71)*('Form responses 1'!$A$2:$A1000&lt;=EOMONTH(DATEVALUE("1 "&amp;AE$1),0)))
),2),"-")</f>
        <v>-</v>
      </c>
      <c r="AF71" s="2" t="str">
        <f>IFERROR(ROUND(Data!$B71/(
  SUMPRODUCT(('Form responses 1'!$B$2:$B1000=$A71)*('Form responses 1'!$A$2:$A1000&lt;=EOMONTH(DATEVALUE("1 "&amp;AF$1),0)))+
  SUMPRODUCT(('Form responses 1'!$C$2:$C1000=$A71)*('Form responses 1'!$A$2:$A1000&lt;=EOMONTH(DATEVALUE("1 "&amp;AF$1),0)))+
  SUMPRODUCT(('Form responses 1'!$D$2:$D1000=$A71)*('Form responses 1'!$A$2:$A1000&lt;=EOMONTH(DATEVALUE("1 "&amp;AF$1),0)))+
  SUMPRODUCT(('Form responses 1'!$E$2:$E1000=$A71)*('Form responses 1'!$A$2:$A1000&lt;=EOMONTH(DATEVALUE("1 "&amp;AF$1),0)))+
  SUMPRODUCT(('Form responses 1'!$F$2:$F1000=$A71)*('Form responses 1'!$A$2:$A1000&lt;=EOMONTH(DATEVALUE("1 "&amp;AF$1),0)))+
  SUMPRODUCT(('Form responses 1'!$G$2:$G1000=$A71)*('Form responses 1'!$A$2:$A1000&lt;=EOMONTH(DATEVALUE("1 "&amp;AF$1),0)))
),2),"-")</f>
        <v>-</v>
      </c>
      <c r="AG71" s="2" t="str">
        <f>IFERROR(ROUND(Data!$B71/(
  SUMPRODUCT(('Form responses 1'!$B$2:$B1000=$A71)*('Form responses 1'!$A$2:$A1000&lt;=EOMONTH(DATEVALUE("1 "&amp;AG$1),0)))+
  SUMPRODUCT(('Form responses 1'!$C$2:$C1000=$A71)*('Form responses 1'!$A$2:$A1000&lt;=EOMONTH(DATEVALUE("1 "&amp;AG$1),0)))+
  SUMPRODUCT(('Form responses 1'!$D$2:$D1000=$A71)*('Form responses 1'!$A$2:$A1000&lt;=EOMONTH(DATEVALUE("1 "&amp;AG$1),0)))+
  SUMPRODUCT(('Form responses 1'!$E$2:$E1000=$A71)*('Form responses 1'!$A$2:$A1000&lt;=EOMONTH(DATEVALUE("1 "&amp;AG$1),0)))+
  SUMPRODUCT(('Form responses 1'!$F$2:$F1000=$A71)*('Form responses 1'!$A$2:$A1000&lt;=EOMONTH(DATEVALUE("1 "&amp;AG$1),0)))+
  SUMPRODUCT(('Form responses 1'!$G$2:$G1000=$A71)*('Form responses 1'!$A$2:$A1000&lt;=EOMONTH(DATEVALUE("1 "&amp;AG$1),0)))
),2),"-")</f>
        <v>-</v>
      </c>
      <c r="AH71" s="2" t="str">
        <f>IFERROR(ROUND(Data!$B71/(
  SUMPRODUCT(('Form responses 1'!$B$2:$B1000=$A71)*('Form responses 1'!$A$2:$A1000&lt;=EOMONTH(DATEVALUE("1 "&amp;AH$1),0)))+
  SUMPRODUCT(('Form responses 1'!$C$2:$C1000=$A71)*('Form responses 1'!$A$2:$A1000&lt;=EOMONTH(DATEVALUE("1 "&amp;AH$1),0)))+
  SUMPRODUCT(('Form responses 1'!$D$2:$D1000=$A71)*('Form responses 1'!$A$2:$A1000&lt;=EOMONTH(DATEVALUE("1 "&amp;AH$1),0)))+
  SUMPRODUCT(('Form responses 1'!$E$2:$E1000=$A71)*('Form responses 1'!$A$2:$A1000&lt;=EOMONTH(DATEVALUE("1 "&amp;AH$1),0)))+
  SUMPRODUCT(('Form responses 1'!$F$2:$F1000=$A71)*('Form responses 1'!$A$2:$A1000&lt;=EOMONTH(DATEVALUE("1 "&amp;AH$1),0)))+
  SUMPRODUCT(('Form responses 1'!$G$2:$G1000=$A71)*('Form responses 1'!$A$2:$A1000&lt;=EOMONTH(DATEVALUE("1 "&amp;AH$1),0)))
),2),"-")</f>
        <v>-</v>
      </c>
      <c r="AI71" s="2" t="str">
        <f>IFERROR(ROUND(Data!$B71/(
  SUMPRODUCT(('Form responses 1'!$B$2:$B1000=$A71)*('Form responses 1'!$A$2:$A1000&lt;=EOMONTH(DATEVALUE("1 "&amp;AI$1),0)))+
  SUMPRODUCT(('Form responses 1'!$C$2:$C1000=$A71)*('Form responses 1'!$A$2:$A1000&lt;=EOMONTH(DATEVALUE("1 "&amp;AI$1),0)))+
  SUMPRODUCT(('Form responses 1'!$D$2:$D1000=$A71)*('Form responses 1'!$A$2:$A1000&lt;=EOMONTH(DATEVALUE("1 "&amp;AI$1),0)))+
  SUMPRODUCT(('Form responses 1'!$E$2:$E1000=$A71)*('Form responses 1'!$A$2:$A1000&lt;=EOMONTH(DATEVALUE("1 "&amp;AI$1),0)))+
  SUMPRODUCT(('Form responses 1'!$F$2:$F1000=$A71)*('Form responses 1'!$A$2:$A1000&lt;=EOMONTH(DATEVALUE("1 "&amp;AI$1),0)))+
  SUMPRODUCT(('Form responses 1'!$G$2:$G1000=$A71)*('Form responses 1'!$A$2:$A1000&lt;=EOMONTH(DATEVALUE("1 "&amp;AI$1),0)))
),2),"-")</f>
        <v>-</v>
      </c>
      <c r="AJ71" s="2" t="str">
        <f>IFERROR(ROUND(Data!$B71/(
  SUMPRODUCT(('Form responses 1'!$B$2:$B1000=$A71)*('Form responses 1'!$A$2:$A1000&lt;=EOMONTH(DATEVALUE("1 "&amp;AJ$1),0)))+
  SUMPRODUCT(('Form responses 1'!$C$2:$C1000=$A71)*('Form responses 1'!$A$2:$A1000&lt;=EOMONTH(DATEVALUE("1 "&amp;AJ$1),0)))+
  SUMPRODUCT(('Form responses 1'!$D$2:$D1000=$A71)*('Form responses 1'!$A$2:$A1000&lt;=EOMONTH(DATEVALUE("1 "&amp;AJ$1),0)))+
  SUMPRODUCT(('Form responses 1'!$E$2:$E1000=$A71)*('Form responses 1'!$A$2:$A1000&lt;=EOMONTH(DATEVALUE("1 "&amp;AJ$1),0)))+
  SUMPRODUCT(('Form responses 1'!$F$2:$F1000=$A71)*('Form responses 1'!$A$2:$A1000&lt;=EOMONTH(DATEVALUE("1 "&amp;AJ$1),0)))+
  SUMPRODUCT(('Form responses 1'!$G$2:$G1000=$A71)*('Form responses 1'!$A$2:$A1000&lt;=EOMONTH(DATEVALUE("1 "&amp;AJ$1),0)))
),2),"-")</f>
        <v>-</v>
      </c>
      <c r="AK71" s="2" t="str">
        <f>IFERROR(ROUND(Data!$B71/(
  SUMPRODUCT(('Form responses 1'!$B$2:$B1000=$A71)*('Form responses 1'!$A$2:$A1000&lt;=EOMONTH(DATEVALUE("1 "&amp;AK$1),0)))+
  SUMPRODUCT(('Form responses 1'!$C$2:$C1000=$A71)*('Form responses 1'!$A$2:$A1000&lt;=EOMONTH(DATEVALUE("1 "&amp;AK$1),0)))+
  SUMPRODUCT(('Form responses 1'!$D$2:$D1000=$A71)*('Form responses 1'!$A$2:$A1000&lt;=EOMONTH(DATEVALUE("1 "&amp;AK$1),0)))+
  SUMPRODUCT(('Form responses 1'!$E$2:$E1000=$A71)*('Form responses 1'!$A$2:$A1000&lt;=EOMONTH(DATEVALUE("1 "&amp;AK$1),0)))+
  SUMPRODUCT(('Form responses 1'!$F$2:$F1000=$A71)*('Form responses 1'!$A$2:$A1000&lt;=EOMONTH(DATEVALUE("1 "&amp;AK$1),0)))+
  SUMPRODUCT(('Form responses 1'!$G$2:$G1000=$A71)*('Form responses 1'!$A$2:$A1000&lt;=EOMONTH(DATEVALUE("1 "&amp;AK$1),0)))
),2),"-")</f>
        <v>-</v>
      </c>
      <c r="AL71" s="2" t="str">
        <f>IFERROR(ROUND(Data!$B71/(
  SUMPRODUCT(('Form responses 1'!$B$2:$B1000=$A71)*('Form responses 1'!$A$2:$A1000&lt;=EOMONTH(DATEVALUE("1 "&amp;AL$1),0)))+
  SUMPRODUCT(('Form responses 1'!$C$2:$C1000=$A71)*('Form responses 1'!$A$2:$A1000&lt;=EOMONTH(DATEVALUE("1 "&amp;AL$1),0)))+
  SUMPRODUCT(('Form responses 1'!$D$2:$D1000=$A71)*('Form responses 1'!$A$2:$A1000&lt;=EOMONTH(DATEVALUE("1 "&amp;AL$1),0)))+
  SUMPRODUCT(('Form responses 1'!$E$2:$E1000=$A71)*('Form responses 1'!$A$2:$A1000&lt;=EOMONTH(DATEVALUE("1 "&amp;AL$1),0)))+
  SUMPRODUCT(('Form responses 1'!$F$2:$F1000=$A71)*('Form responses 1'!$A$2:$A1000&lt;=EOMONTH(DATEVALUE("1 "&amp;AL$1),0)))+
  SUMPRODUCT(('Form responses 1'!$G$2:$G1000=$A71)*('Form responses 1'!$A$2:$A1000&lt;=EOMONTH(DATEVALUE("1 "&amp;AL$1),0)))
),2),"-")</f>
        <v>-</v>
      </c>
    </row>
    <row r="72">
      <c r="A72" s="3" t="str">
        <f>IFERROR(__xludf.DUMMYFUNCTION("""COMPUTED_VALUE"""),"Blauwe zomerjas")</f>
        <v>Blauwe zomerjas</v>
      </c>
      <c r="B72" s="2">
        <f>Data!F65:F1000</f>
        <v>0.98</v>
      </c>
      <c r="C72" s="2" t="str">
        <f>IFERROR(ROUND(#REF!/(SUMPRODUCT(('Form responses 1'!$B$2:$B1000 = A72) * ('Form responses 1'!$A$2:$A1000 &lt;= DATE(2024, 1, 31)))
+ SUMPRODUCT(('Form responses 1'!$C$2:$C1000 = A72) * ('Form responses 1'!$A$2:$A1000 &lt;= DATE(2024, 1, 31)))
+ SUMPRODUCT(('Form responses 1'!$D$2:$D1000 = A72) * ('Form responses 1'!$A$2:$A1000 &lt;= DATE(2024, 1, 31)))
+ SUMPRODUCT(('Form responses 1'!$E$2:$E1000 = A72) * ('Form responses 1'!$A$2:$A1000 &lt;= DATE(2024, 1, 31)))
+ SUMPRODUCT(('Form responses 1'!$F$2:$F1000 = A72) * ('Form responses 1'!$A$2:$A1000 &lt;= DATE(2024, 1, 31)))
+ SUMPRODUCT(('Form responses 1'!$G$2:$G1000 = A72) * ('Form responses 1'!$A$2:$A1000 &lt;= DATE(2024, 1, 31)))), 2), "-")
</f>
        <v>-</v>
      </c>
      <c r="D72" s="2" t="str">
        <f>IFERROR(ROUND(#REF!/(SUMPRODUCT(('Form responses 1'!$B$2:$B1000 = A72) * ('Form responses 1'!$A$2:$A1000 &lt;= DATE(2024, 2, 29)))
+ SUMPRODUCT(('Form responses 1'!$C$2:$C1000 = A72) * ('Form responses 1'!$A$2:$A1000 &lt;= DATE(2024, 2, 29)))
+ SUMPRODUCT(('Form responses 1'!$D$2:$D1000 = A72) * ('Form responses 1'!$A$2:$A1000 &lt;= DATE(2024, 2, 29)))
+ SUMPRODUCT(('Form responses 1'!$E$2:$E1000 = A72) * ('Form responses 1'!$A$2:$A1000 &lt;= DATE(2024, 2, 29)))
+ SUMPRODUCT(('Form responses 1'!$F$2:$F1000 = A72) * ('Form responses 1'!$A$2:$A1000 &lt;= DATE(2024, 2, 29)))
+ SUMPRODUCT(('Form responses 1'!$G$2:$G1000 = A72) * ('Form responses 1'!$A$2:$A1000 &lt;= DATE(2024, 2, 29)))), 2), "-")
</f>
        <v>-</v>
      </c>
      <c r="E72" s="2" t="str">
        <f>IFERROR(ROUND(#REF!/(SUMPRODUCT(('Form responses 1'!$B$2:$B1000 = A72) * ('Form responses 1'!$A$2:$A1000 &lt;= DATE(2024, 3, 31)))
+ SUMPRODUCT(('Form responses 1'!$C$2:$C1000 = A72) * ('Form responses 1'!$A$2:$A1000 &lt;= DATE(2024, 3, 31)))
+ SUMPRODUCT(('Form responses 1'!$D$2:$D1000 = A72) * ('Form responses 1'!$A$2:$A1000 &lt;= DATE(2024, 3, 31)))
+ SUMPRODUCT(('Form responses 1'!$E$2:$E1000 = A72) * ('Form responses 1'!$A$2:$A1000 &lt;= DATE(2024, 3, 31)))
+ SUMPRODUCT(('Form responses 1'!$F$2:$F1000 = A72) * ('Form responses 1'!$A$2:$A1000 &lt;= DATE(2024, 3, 31)))
+ SUMPRODUCT(('Form responses 1'!$G$2:$G1000 = A72) * ('Form responses 1'!$A$2:$A1000 &lt;= DATE(2024, 3, 31)))), 2), "-")
</f>
        <v>-</v>
      </c>
      <c r="F72" s="2" t="str">
        <f>IFERROR(ROUND(#REF!/(SUMPRODUCT(('Form responses 1'!$B$2:$B1000 = A72) * ('Form responses 1'!$A$2:$A1000 &lt;= DATE(2024, 4, 30)))
+ SUMPRODUCT(('Form responses 1'!$C$2:$C1000 = A72) * ('Form responses 1'!$A$2:$A1000 &lt;= DATE(2024, 4, 30)))
+ SUMPRODUCT(('Form responses 1'!$D$2:$D1000 = A72) * ('Form responses 1'!$A$2:$A1000 &lt;= DATE(2024, 4, 30)))
+ SUMPRODUCT(('Form responses 1'!$E$2:$E1000 = A72) * ('Form responses 1'!$A$2:$A1000 &lt;= DATE(2024, 4, 30)))
+ SUMPRODUCT(('Form responses 1'!$F$2:$F1000 = A72) * ('Form responses 1'!$A$2:$A1000 &lt;= DATE(2024, 4, 30)))
+ SUMPRODUCT(('Form responses 1'!$G$2:$G1000 = A72) * ('Form responses 1'!$A$2:$A1000 &lt;= DATE(2024, 4, 30)))), 2), "-")
</f>
        <v>-</v>
      </c>
      <c r="G72" s="2" t="str">
        <f>IFERROR(ROUND(#REF!/(SUMPRODUCT(('Form responses 1'!$B$2:$B1000 = A72) * ('Form responses 1'!$A$2:$A1000 &lt;= DATE(2024, 5, 31)))
+ SUMPRODUCT(('Form responses 1'!$C$2:$C1000 = A72) * ('Form responses 1'!$A$2:$A1000 &lt;= DATE(2024, 5, 31)))
+ SUMPRODUCT(('Form responses 1'!$D$2:$D1000 = A72) * ('Form responses 1'!$A$2:$A1000 &lt;= DATE(2024, 5, 31)))
+ SUMPRODUCT(('Form responses 1'!$E$2:$E1000 = A72) * ('Form responses 1'!$A$2:$A1000 &lt;= DATE(2024, 5, 31)))
+ SUMPRODUCT(('Form responses 1'!$F$2:$F1000 = A72) * ('Form responses 1'!$A$2:$A1000 &lt;= DATE(2024, 5, 31)))
+ SUMPRODUCT(('Form responses 1'!$G$2:$G1000 = A72) * ('Form responses 1'!$A$2:$A1000 &lt;= DATE(2024, 5, 31)))), 2), "-")
</f>
        <v>-</v>
      </c>
      <c r="H72" s="2" t="str">
        <f>IFERROR(ROUND(#REF!/(SUMPRODUCT(('Form responses 1'!$B$2:$B1000 = A72) * ('Form responses 1'!$A$2:$A1000 &lt;= DATE(2024, 6, 30)))
+ SUMPRODUCT(('Form responses 1'!$C$2:$C1000 = A72) * ('Form responses 1'!$A$2:$A1000 &lt;= DATE(2024, 6, 30)))
+ SUMPRODUCT(('Form responses 1'!$D$2:$D1000 = A72) * ('Form responses 1'!$A$2:$A1000 &lt;= DATE(2024, 6, 30)))
+ SUMPRODUCT(('Form responses 1'!$E$2:$E1000 = A72) * ('Form responses 1'!$A$2:$A1000 &lt;= DATE(2024, 6, 30)))
+ SUMPRODUCT(('Form responses 1'!$F$2:$F1000 = A72) * ('Form responses 1'!$A$2:$A1000 &lt;= DATE(2024, 6, 30)))
+ SUMPRODUCT(('Form responses 1'!$G$2:$G1000 = A72) * ('Form responses 1'!$A$2:$A1000 &lt;= DATE(2024, 6, 30)))), 2), "-")
</f>
        <v>-</v>
      </c>
      <c r="I72" s="2" t="str">
        <f>IFERROR(ROUND(#REF!/(SUMPRODUCT(('Form responses 1'!$B$2:$B1000 = A72) * ('Form responses 1'!$A$2:$A1000 &lt;= DATE(2024, 7, 31)))
+ SUMPRODUCT(('Form responses 1'!$C$2:$C1000 = A72) * ('Form responses 1'!$A$2:$A1000 &lt;= DATE(2024, 7, 31)))
+ SUMPRODUCT(('Form responses 1'!$D$2:$D1000 = A72) * ('Form responses 1'!$A$2:$A1000 &lt;= DATE(2024, 7, 31)))
+ SUMPRODUCT(('Form responses 1'!$E$2:$E1000 = A72) * ('Form responses 1'!$A$2:$A1000 &lt;= DATE(2024, 7, 31)))
+ SUMPRODUCT(('Form responses 1'!$F$2:$F1000 = A72) * ('Form responses 1'!$A$2:$A1000 &lt;= DATE(2024, 7, 31)))
+ SUMPRODUCT(('Form responses 1'!$G$2:$G1000 = A72) * ('Form responses 1'!$A$2:$A1000 &lt;= DATE(2024, 7, 31)))), 2), "-")
</f>
        <v>-</v>
      </c>
      <c r="J72" s="2" t="str">
        <f>IFERROR(ROUND(#REF!/(SUMPRODUCT(('Form responses 1'!$B$2:$B1000 = A72) * ('Form responses 1'!$A$2:$A1000 &lt;= DATE(2024, 8, 31)))
+ SUMPRODUCT(('Form responses 1'!$C$2:$C1000 = A72) * ('Form responses 1'!$A$2:$A1000 &lt;= DATE(2024, 8, 31)))
+ SUMPRODUCT(('Form responses 1'!$D$2:$D1000 = A72) * ('Form responses 1'!$A$2:$A1000 &lt;= DATE(2024, 8, 31)))
+ SUMPRODUCT(('Form responses 1'!$E$2:$E1000 = A72) * ('Form responses 1'!$A$2:$A1000 &lt;= DATE(2024, 8, 31)))
+ SUMPRODUCT(('Form responses 1'!$F$2:$F1000 = A72) * ('Form responses 1'!$A$2:$A1000 &lt;= DATE(2024, 8, 31)))
+ SUMPRODUCT(('Form responses 1'!$G$2:$G1000 = A72) * ('Form responses 1'!$A$2:$A1000 &lt;= DATE(2024, 8, 31)))), 2), "-")
</f>
        <v>-</v>
      </c>
      <c r="K72" s="2" t="str">
        <f>IFERROR(ROUND(#REF!/(SUMPRODUCT(('Form responses 1'!$B$2:$B1000 = A72) * ('Form responses 1'!$A$2:$A1000 &lt;= DATE(2024, 9, 30)))
+ SUMPRODUCT(('Form responses 1'!$C$2:$C1000 = A72) * ('Form responses 1'!$A$2:$A1000 &lt;= DATE(2024, 9, 30)))
+ SUMPRODUCT(('Form responses 1'!$D$2:$D1000 = A72) * ('Form responses 1'!$A$2:$A1000 &lt;= DATE(2024, 9, 30)))
+ SUMPRODUCT(('Form responses 1'!$E$2:$E1000 = A72) * ('Form responses 1'!$A$2:$A1000 &lt;= DATE(2024, 9, 30)))
+ SUMPRODUCT(('Form responses 1'!$F$2:$F1000 = A72) * ('Form responses 1'!$A$2:$A1000 &lt;= DATE(2024, 9, 30)))
+ SUMPRODUCT(('Form responses 1'!$G$2:$G1000 = A72) * ('Form responses 1'!$A$2:$A1000 &lt;= DATE(2024, 9, 30)))), 2), "-")
</f>
        <v>-</v>
      </c>
      <c r="L72" s="2" t="str">
        <f>IFERROR(ROUND(#REF!/(SUMPRODUCT(('Form responses 1'!$B$2:$B1000 = A72) * ('Form responses 1'!$A$2:$A1000 &lt;= DATE(2024, 10, 31)))
+ SUMPRODUCT(('Form responses 1'!$C$2:$C1000 = A72) * ('Form responses 1'!$A$2:$A1000 &lt;= DATE(2024, 10, 31)))
+ SUMPRODUCT(('Form responses 1'!$D$2:$D1000 = A72) * ('Form responses 1'!$A$2:$A1000 &lt;= DATE(2024, 10, 31)))
+ SUMPRODUCT(('Form responses 1'!$E$2:$E1000 = A72) * ('Form responses 1'!$A$2:$A1000 &lt;= DATE(2024, 10, 31)))
+ SUMPRODUCT(('Form responses 1'!$F$2:$F1000 = A72) * ('Form responses 1'!$A$2:$A1000 &lt;= DATE(2024, 10, 31)))
+ SUMPRODUCT(('Form responses 1'!$G$2:$G1000 = A72) * ('Form responses 1'!$A$2:$A1000 &lt;= DATE(2024, 10, 31)))), 2), "-")
</f>
        <v>-</v>
      </c>
      <c r="M72" s="2" t="str">
        <f>IFERROR(ROUND(#REF!/(SUMPRODUCT(('Form responses 1'!$B$2:$B1000 = A72) * ('Form responses 1'!$A$2:$A1000 &lt;= DATE(2024, 11, 30)))
+ SUMPRODUCT(('Form responses 1'!$C$2:$C1000 = A72) * ('Form responses 1'!$A$2:$A1000 &lt;= DATE(2024, 11, 30)))
+ SUMPRODUCT(('Form responses 1'!$D$2:$D1000 = A72) * ('Form responses 1'!$A$2:$A1000 &lt;= DATE(2024, 11, 30)))
+ SUMPRODUCT(('Form responses 1'!$E$2:$E1000 = A72) * ('Form responses 1'!$A$2:$A1000 &lt;= DATE(2024, 11, 30)))
+ SUMPRODUCT(('Form responses 1'!$F$2:$F1000 = A72) * ('Form responses 1'!$A$2:$A1000 &lt;= DATE(2024, 11, 30)))
+ SUMPRODUCT(('Form responses 1'!$G$2:$G1000 = A72) * ('Form responses 1'!$A$2:$A1000 &lt;= DATE(2024, 11, 30)))), 2), "-")
</f>
        <v>-</v>
      </c>
      <c r="N72" s="2" t="str">
        <f>IFERROR(ROUND(#REF!/(SUMPRODUCT(('Form responses 1'!$B$2:$B1000 = A72) * ('Form responses 1'!$A$2:$A1000 &lt;= DATE(2024, 12, 31)))
+ SUMPRODUCT(('Form responses 1'!$C$2:$C1000 = A72) * ('Form responses 1'!$A$2:$A1000 &lt;= DATE(2024, 12, 31)))
+ SUMPRODUCT(('Form responses 1'!$D$2:$D1000 = A72) * ('Form responses 1'!$A$2:$A1000 &lt;= DATE(2024, 12, 31)))
+ SUMPRODUCT(('Form responses 1'!$E$2:$E1000 = A72) * ('Form responses 1'!$A$2:$A1000 &lt;= DATE(2024, 12, 31)))
+ SUMPRODUCT(('Form responses 1'!$F$2:$F1000 = A72) * ('Form responses 1'!$A$2:$A1000 &lt;= DATE(2024, 12, 31)))
+ SUMPRODUCT(('Form responses 1'!$G$2:$G1000 = A72) * ('Form responses 1'!$A$2:$A1000 &lt;= DATE(2024, 12, 31)))), 2), "-")
</f>
        <v>-</v>
      </c>
      <c r="O72" s="2" t="str">
        <f>IFERROR(ROUND(#REF!/(SUMPRODUCT(('Form responses 1'!$B$2:$B1000 = A72) * ('Form responses 1'!$A$2:$A1000 &lt;= DATE(2025, 1, 31)))
+ SUMPRODUCT(('Form responses 1'!$C$2:$C1000 = A72) * ('Form responses 1'!$A$2:$A1000 &lt;= DATE(2025, 1, 31)))
+ SUMPRODUCT(('Form responses 1'!$D$2:$D1000 = A72) * ('Form responses 1'!$A$2:$A1000 &lt;= DATE(2025, 1, 31)))
+ SUMPRODUCT(('Form responses 1'!$E$2:$E1000 = A72) * ('Form responses 1'!$A$2:$A1000 &lt;= DATE(2025, 1, 31)))
+ SUMPRODUCT(('Form responses 1'!$F$2:$F1000 = A72) * ('Form responses 1'!$A$2:$A1000 &lt;= DATE(2025, 1, 31)))
+ SUMPRODUCT(('Form responses 1'!$G$2:$G1000 = A72) * ('Form responses 1'!$A$2:$A1000 &lt;= DATE(2025, 1, 31)))), 2), "-")
</f>
        <v>-</v>
      </c>
      <c r="P72" s="2" t="str">
        <f>IFERROR(ROUND(#REF!/(SUMPRODUCT(('Form responses 1'!$B$2:$B1000 = A72) * ('Form responses 1'!$A$2:$A1000 &lt;= DATE(2025, 2, 28)))
+ SUMPRODUCT(('Form responses 1'!$C$2:$C1000 = A72) * ('Form responses 1'!$A$2:$A1000 &lt;= DATE(2025, 2, 28)))
+ SUMPRODUCT(('Form responses 1'!$D$2:$D1000 = A72) * ('Form responses 1'!$A$2:$A1000 &lt;= DATE(2025, 2, 28)))
+ SUMPRODUCT(('Form responses 1'!$E$2:$E1000 = A72) * ('Form responses 1'!$A$2:$A1000 &lt;= DATE(2025, 2, 28)))
+ SUMPRODUCT(('Form responses 1'!$F$2:$F1000 = A72) * ('Form responses 1'!$A$2:$A1000 &lt;= DATE(2025, 2, 28)))
+ SUMPRODUCT(('Form responses 1'!$G$2:$G1000 = A72) * ('Form responses 1'!$A$2:$A1000 &lt;= DATE(2025, 2, 28)))), 2), "-")
</f>
        <v>-</v>
      </c>
      <c r="Q72" s="2" t="str">
        <f>IFERROR(ROUND(#REF!/(SUMPRODUCT(('Form responses 1'!$B$2:$B1000 = A72) * ('Form responses 1'!$A$2:$A1000 &lt;= DATE(2025, 3, 31)))
+ SUMPRODUCT(('Form responses 1'!$C$2:$C1000 = A72) * ('Form responses 1'!$A$2:$A1000 &lt;= DATE(2025, 3, 31)))
+ SUMPRODUCT(('Form responses 1'!$D$2:$D1000 = A72) * ('Form responses 1'!$A$2:$A1000 &lt;= DATE(2025, 3, 31)))
+ SUMPRODUCT(('Form responses 1'!$E$2:$E1000 = A72) * ('Form responses 1'!$A$2:$A1000 &lt;= DATE(2025, 3, 31)))
+ SUMPRODUCT(('Form responses 1'!$F$2:$F1000 = A72) * ('Form responses 1'!$A$2:$A1000 &lt;= DATE(2025, 3, 31)))
+ SUMPRODUCT(('Form responses 1'!$G$2:$G1000 = A72) * ('Form responses 1'!$A$2:$A1000 &lt;= DATE(2025, 3, 31)))),2),"-")</f>
        <v>-</v>
      </c>
      <c r="R72" s="2" t="str">
        <f>IFERROR(ROUND(#REF!/(SUMPRODUCT(('Form responses 1'!$B$2:$B1000 = A72) * ('Form responses 1'!$A$2:$A1000 &lt;= DATE(2025, 4, 30)))
+ SUMPRODUCT(('Form responses 1'!$C$2:$C1000 = A72) * ('Form responses 1'!$A$2:$A1000 &lt;= DATE(2025, 4, 30)))
+ SUMPRODUCT(('Form responses 1'!$D$2:$D1000 = A72) * ('Form responses 1'!$A$2:$A1000 &lt;= DATE(2025, 4, 30)))
+ SUMPRODUCT(('Form responses 1'!$E$2:$E1000 = A72) * ('Form responses 1'!$A$2:$A1000 &lt;= DATE(2025, 4, 30)))
+ SUMPRODUCT(('Form responses 1'!$F$2:$F1000 = A72) * ('Form responses 1'!$A$2:$A1000 &lt;= DATE(2025, 4, 30)))
+ SUMPRODUCT(('Form responses 1'!$G$2:$G1000 = A72) * ('Form responses 1'!$A$2:$A1000 &lt;= DATE(2025, 4, 30)))), 2), "-")
</f>
        <v>-</v>
      </c>
      <c r="S72" s="2" t="str">
        <f>IFERROR(ROUND(#REF!/(SUMPRODUCT(('Form responses 1'!$B$2:$B1000 = A72) * ('Form responses 1'!$A$2:$A1000 &lt;= DATE(2025, 5, 31)))
+ SUMPRODUCT(('Form responses 1'!$C$2:$C1000 = A72) * ('Form responses 1'!$A$2:$A1000 &lt;= DATE(2025, 5, 31)))
+ SUMPRODUCT(('Form responses 1'!$D$2:$D1000 = A72) * ('Form responses 1'!$A$2:$A1000 &lt;= DATE(2025, 5, 31)))
+ SUMPRODUCT(('Form responses 1'!$E$2:$E1000 = A72) * ('Form responses 1'!$A$2:$A1000 &lt;= DATE(2025, 5, 31)))
+ SUMPRODUCT(('Form responses 1'!$F$2:$F1000 = A72) * ('Form responses 1'!$A$2:$A1000 &lt;= DATE(2025, 5, 31)))
+ SUMPRODUCT(('Form responses 1'!$G$2:$G1000 = A72) * ('Form responses 1'!$A$2:$A1000 &lt;= DATE(2025, 5, 31)))), 2), "-")
</f>
        <v>-</v>
      </c>
      <c r="T72" s="2" t="str">
        <f>IFERROR(ROUND(#REF!/(SUMPRODUCT(('Form responses 1'!$B$2:$B1000 = A72) * ('Form responses 1'!$A$2:$A1000 &lt;= DATE(2025, 6, 30)))
+ SUMPRODUCT(('Form responses 1'!$C$2:$C1000 = A72) * ('Form responses 1'!$A$2:$A1000 &lt;= DATE(2025, 6, 30)))
+ SUMPRODUCT(('Form responses 1'!$D$2:$D1000 = A72) * ('Form responses 1'!$A$2:$A1000 &lt;= DATE(2025, 6, 30)))
+ SUMPRODUCT(('Form responses 1'!$E$2:$E1000 = A72) * ('Form responses 1'!$A$2:$A1000 &lt;= DATE(2025, 6, 30)))
+ SUMPRODUCT(('Form responses 1'!$F$2:$F1000 = A72) * ('Form responses 1'!$A$2:$A1000 &lt;= DATE(2025, 6, 30)))
+ SUMPRODUCT(('Form responses 1'!$G$2:$G1000 = A72) * ('Form responses 1'!$A$2:$A1000 &lt;= DATE(2025, 6, 30)))), 2), "-")
</f>
        <v>-</v>
      </c>
      <c r="U72" s="2" t="str">
        <f>IFERROR(ROUND(#REF!/(SUMPRODUCT(('Form responses 1'!$B$2:$B1000 = A72) * ('Form responses 1'!$A$2:$A1000 &lt;= DATE(2025, 7, 31)))
+ SUMPRODUCT(('Form responses 1'!$C$2:$C1000 = A72) * ('Form responses 1'!$A$2:$A1000 &lt;= DATE(2025, 7, 31)))
+ SUMPRODUCT(('Form responses 1'!$D$2:$D1000 = A72) * ('Form responses 1'!$A$2:$A1000 &lt;= DATE(2025, 7, 31)))
+ SUMPRODUCT(('Form responses 1'!$E$2:$E1000 = A72) * ('Form responses 1'!$A$2:$A1000 &lt;= DATE(2025, 7, 31)))
+ SUMPRODUCT(('Form responses 1'!$F$2:$F1000 = A72) * ('Form responses 1'!$A$2:$A1000 &lt;= DATE(2025, 7, 31)))
+ SUMPRODUCT(('Form responses 1'!$G$2:$G1000 = A72) * ('Form responses 1'!$A$2:$A1000 &lt;= DATE(2025, 7, 31)))), 2), "-")
</f>
        <v>-</v>
      </c>
      <c r="V72" s="2" t="str">
        <f>IFERROR(ROUND(#REF!/(SUMPRODUCT(('Form responses 1'!$B$2:$B1000 = A72) * ('Form responses 1'!$A$2:$A1000 &lt;= DATE(2025, 8, 31)))
+ SUMPRODUCT(('Form responses 1'!$C$2:$C1000 = A72) * ('Form responses 1'!$A$2:$A1000 &lt;= DATE(2025, 8, 31)))
+ SUMPRODUCT(('Form responses 1'!$D$2:$D1000 = A72) * ('Form responses 1'!$A$2:$A1000 &lt;= DATE(2025, 8, 31)))
+ SUMPRODUCT(('Form responses 1'!$E$2:$E1000 = A72) * ('Form responses 1'!$A$2:$A1000 &lt;= DATE(2025, 8, 31)))
+ SUMPRODUCT(('Form responses 1'!$F$2:$F1000 = A72) * ('Form responses 1'!$A$2:$A1000 &lt;= DATE(2025, 8, 31)))
+ SUMPRODUCT(('Form responses 1'!$G$2:$G1000 = A72) * ('Form responses 1'!$A$2:$A1000 &lt;= DATE(2025, 8, 31)))), 2), "-")
</f>
        <v>-</v>
      </c>
      <c r="W72" s="2" t="str">
        <f>IFERROR(ROUND(#REF!/(SUMPRODUCT(('Form responses 1'!$B$2:$B1000 = A72) * ('Form responses 1'!$A$2:$A1000 &lt;= DATE(2025, 9, 30)))
+ SUMPRODUCT(('Form responses 1'!$C$2:$C1000 = A72) * ('Form responses 1'!$A$2:$A1000 &lt;= DATE(2025, 9, 30)))
+ SUMPRODUCT(('Form responses 1'!$D$2:$D1000 = A72) * ('Form responses 1'!$A$2:$A1000 &lt;= DATE(2025, 9, 30)))
+ SUMPRODUCT(('Form responses 1'!$E$2:$E1000 = A72) * ('Form responses 1'!$A$2:$A1000 &lt;= DATE(2025, 9, 30)))
+ SUMPRODUCT(('Form responses 1'!$F$2:$F1000 = A72) * ('Form responses 1'!$A$2:$A1000 &lt;= DATE(2025, 9, 30)))
+ SUMPRODUCT(('Form responses 1'!$G$2:$G1000 = A72) * ('Form responses 1'!$A$2:$A1000 &lt;= DATE(2025, 9, 30)))), 2), "-")
</f>
        <v>-</v>
      </c>
      <c r="X72" s="2" t="str">
        <f>IFERROR(ROUND(#REF!/(SUMPRODUCT(('Form responses 1'!$B$2:$B1000 = A72) * ('Form responses 1'!$A$2:$A1000 &lt;= DATE(2025, 10, 31)))
+ SUMPRODUCT(('Form responses 1'!$C$2:$C1000 = A72) * ('Form responses 1'!$A$2:$A1000 &lt;= DATE(2025, 10, 31)))
+ SUMPRODUCT(('Form responses 1'!$D$2:$D1000 = A72) * ('Form responses 1'!$A$2:$A1000 &lt;= DATE(2025, 10, 31)))
+ SUMPRODUCT(('Form responses 1'!$E$2:$E1000 = A72) * ('Form responses 1'!$A$2:$A1000 &lt;= DATE(2025, 10, 31)))
+ SUMPRODUCT(('Form responses 1'!$F$2:$F1000 = A72) * ('Form responses 1'!$A$2:$A1000 &lt;= DATE(2025, 10, 31)))
+ SUMPRODUCT(('Form responses 1'!$G$2:$G1000 = A72) * ('Form responses 1'!$A$2:$A1000 &lt;= DATE(2025, 10, 31)))), 2), "-")
</f>
        <v>-</v>
      </c>
      <c r="Y72" s="2" t="str">
        <f>IFERROR(ROUND(#REF!/(SUMPRODUCT(('Form responses 1'!$B$2:$B1000 = A72) * ('Form responses 1'!$A$2:$A1000 &lt;= DATE(2025, 11, 30)))
+ SUMPRODUCT(('Form responses 1'!$C$2:$C1000 = A72) * ('Form responses 1'!$A$2:$A1000 &lt;= DATE(2025, 11, 30)))
+ SUMPRODUCT(('Form responses 1'!$D$2:$D1000 = A72) * ('Form responses 1'!$A$2:$A1000 &lt;= DATE(2025, 11, 30)))
+ SUMPRODUCT(('Form responses 1'!$E$2:$E1000 = A72) * ('Form responses 1'!$A$2:$A1000 &lt;= DATE(2025, 11, 30)))
+ SUMPRODUCT(('Form responses 1'!$F$2:$F1000 = A72) * ('Form responses 1'!$A$2:$A1000 &lt;= DATE(2025, 11, 30)))
+ SUMPRODUCT(('Form responses 1'!$G$2:$G1000 = A72) * ('Form responses 1'!$A$2:$A1000 &lt;= DATE(2025, 11, 30)))), 2), "-")
</f>
        <v>-</v>
      </c>
      <c r="Z72" s="2" t="str">
        <f>IFERROR(ROUND(#REF!/(SUMPRODUCT(('Form responses 1'!$B$2:$B1000 = A72) * ('Form responses 1'!$A$2:$A1000 &lt;= DATE(2025, 12, 31)))
+ SUMPRODUCT(('Form responses 1'!$C$2:$C1000 = A72) * ('Form responses 1'!$A$2:$A1000 &lt;= DATE(2025, 12, 31)))
+ SUMPRODUCT(('Form responses 1'!$D$2:$D1000 = A72) * ('Form responses 1'!$A$2:$A1000 &lt;= DATE(2025, 12, 31)))
+ SUMPRODUCT(('Form responses 1'!$E$2:$E1000 = A72) * ('Form responses 1'!$A$2:$A1000 &lt;= DATE(2025, 12, 31)))
+ SUMPRODUCT(('Form responses 1'!$F$2:$F1000 = A72) * ('Form responses 1'!$A$2:$A1000 &lt;= DATE(2025, 12, 31)))
+ SUMPRODUCT(('Form responses 1'!$G$2:$G1000 = A72) * ('Form responses 1'!$A$2:$A1000 &lt;= DATE(2025, 12, 31)))), 2), "-")
</f>
        <v>-</v>
      </c>
      <c r="AA72" s="2">
        <f>IFERROR(ROUND(Data!$B72/(
  SUMPRODUCT(('Form responses 1'!$B$2:$B1000=$A72)*('Form responses 1'!$A$2:$A1000&lt;=EOMONTH(DATEVALUE("1 "&amp;AA$1),0)))+
  SUMPRODUCT(('Form responses 1'!$C$2:$C1000=$A72)*('Form responses 1'!$A$2:$A1000&lt;=EOMONTH(DATEVALUE("1 "&amp;AA$1),0)))+
  SUMPRODUCT(('Form responses 1'!$D$2:$D1000=$A72)*('Form responses 1'!$A$2:$A1000&lt;=EOMONTH(DATEVALUE("1 "&amp;AA$1),0)))+
  SUMPRODUCT(('Form responses 1'!$E$2:$E1000=$A72)*('Form responses 1'!$A$2:$A1000&lt;=EOMONTH(DATEVALUE("1 "&amp;AA$1),0)))+
  SUMPRODUCT(('Form responses 1'!$F$2:$F1000=$A72)*('Form responses 1'!$A$2:$A1000&lt;=EOMONTH(DATEVALUE("1 "&amp;AA$1),0)))+
  SUMPRODUCT(('Form responses 1'!$G$2:$G1000=$A72)*('Form responses 1'!$A$2:$A1000&lt;=EOMONTH(DATEVALUE("1 "&amp;AA$1),0)))
),2),"-")</f>
        <v>0.98</v>
      </c>
      <c r="AB72" s="2">
        <f>IFERROR(ROUND(Data!$B72/(
  SUMPRODUCT(('Form responses 1'!$B$2:$B1000=$A72)*('Form responses 1'!$A$2:$A1000&lt;=EOMONTH(DATEVALUE("1 "&amp;AB$1),0)))+
  SUMPRODUCT(('Form responses 1'!$C$2:$C1000=$A72)*('Form responses 1'!$A$2:$A1000&lt;=EOMONTH(DATEVALUE("1 "&amp;AB$1),0)))+
  SUMPRODUCT(('Form responses 1'!$D$2:$D1000=$A72)*('Form responses 1'!$A$2:$A1000&lt;=EOMONTH(DATEVALUE("1 "&amp;AB$1),0)))+
  SUMPRODUCT(('Form responses 1'!$E$2:$E1000=$A72)*('Form responses 1'!$A$2:$A1000&lt;=EOMONTH(DATEVALUE("1 "&amp;AB$1),0)))+
  SUMPRODUCT(('Form responses 1'!$F$2:$F1000=$A72)*('Form responses 1'!$A$2:$A1000&lt;=EOMONTH(DATEVALUE("1 "&amp;AB$1),0)))+
  SUMPRODUCT(('Form responses 1'!$G$2:$G1000=$A72)*('Form responses 1'!$A$2:$A1000&lt;=EOMONTH(DATEVALUE("1 "&amp;AB$1),0)))
),2),"-")</f>
        <v>0.98</v>
      </c>
      <c r="AC72" s="2">
        <f>IFERROR(ROUND(Data!$B72/(
  SUMPRODUCT(('Form responses 1'!$B$2:$B1000=$A72)*('Form responses 1'!$A$2:$A1000&lt;=EOMONTH(DATEVALUE("1 "&amp;AC$1),0)))+
  SUMPRODUCT(('Form responses 1'!$C$2:$C1000=$A72)*('Form responses 1'!$A$2:$A1000&lt;=EOMONTH(DATEVALUE("1 "&amp;AC$1),0)))+
  SUMPRODUCT(('Form responses 1'!$D$2:$D1000=$A72)*('Form responses 1'!$A$2:$A1000&lt;=EOMONTH(DATEVALUE("1 "&amp;AC$1),0)))+
  SUMPRODUCT(('Form responses 1'!$E$2:$E1000=$A72)*('Form responses 1'!$A$2:$A1000&lt;=EOMONTH(DATEVALUE("1 "&amp;AC$1),0)))+
  SUMPRODUCT(('Form responses 1'!$F$2:$F1000=$A72)*('Form responses 1'!$A$2:$A1000&lt;=EOMONTH(DATEVALUE("1 "&amp;AC$1),0)))+
  SUMPRODUCT(('Form responses 1'!$G$2:$G1000=$A72)*('Form responses 1'!$A$2:$A1000&lt;=EOMONTH(DATEVALUE("1 "&amp;AC$1),0)))
),2),"-")</f>
        <v>0.98</v>
      </c>
      <c r="AD72" s="2" t="str">
        <f>IFERROR(ROUND(Data!$B72/(
  SUMPRODUCT(('Form responses 1'!$B$2:$B1000=$A72)*('Form responses 1'!$A$2:$A1000&lt;=EOMONTH(DATEVALUE("1 "&amp;AD$1),0)))+
  SUMPRODUCT(('Form responses 1'!$C$2:$C1000=$A72)*('Form responses 1'!$A$2:$A1000&lt;=EOMONTH(DATEVALUE("1 "&amp;AD$1),0)))+
  SUMPRODUCT(('Form responses 1'!$D$2:$D1000=$A72)*('Form responses 1'!$A$2:$A1000&lt;=EOMONTH(DATEVALUE("1 "&amp;AD$1),0)))+
  SUMPRODUCT(('Form responses 1'!$E$2:$E1000=$A72)*('Form responses 1'!$A$2:$A1000&lt;=EOMONTH(DATEVALUE("1 "&amp;AD$1),0)))+
  SUMPRODUCT(('Form responses 1'!$F$2:$F1000=$A72)*('Form responses 1'!$A$2:$A1000&lt;=EOMONTH(DATEVALUE("1 "&amp;AD$1),0)))+
  SUMPRODUCT(('Form responses 1'!$G$2:$G1000=$A72)*('Form responses 1'!$A$2:$A1000&lt;=EOMONTH(DATEVALUE("1 "&amp;AD$1),0)))
),2),"-")</f>
        <v>-</v>
      </c>
      <c r="AE72" s="2" t="str">
        <f>IFERROR(ROUND(Data!$B72/(
  SUMPRODUCT(('Form responses 1'!$B$2:$B1000=$A72)*('Form responses 1'!$A$2:$A1000&lt;=EOMONTH(DATEVALUE("1 "&amp;AE$1),0)))+
  SUMPRODUCT(('Form responses 1'!$C$2:$C1000=$A72)*('Form responses 1'!$A$2:$A1000&lt;=EOMONTH(DATEVALUE("1 "&amp;AE$1),0)))+
  SUMPRODUCT(('Form responses 1'!$D$2:$D1000=$A72)*('Form responses 1'!$A$2:$A1000&lt;=EOMONTH(DATEVALUE("1 "&amp;AE$1),0)))+
  SUMPRODUCT(('Form responses 1'!$E$2:$E1000=$A72)*('Form responses 1'!$A$2:$A1000&lt;=EOMONTH(DATEVALUE("1 "&amp;AE$1),0)))+
  SUMPRODUCT(('Form responses 1'!$F$2:$F1000=$A72)*('Form responses 1'!$A$2:$A1000&lt;=EOMONTH(DATEVALUE("1 "&amp;AE$1),0)))+
  SUMPRODUCT(('Form responses 1'!$G$2:$G1000=$A72)*('Form responses 1'!$A$2:$A1000&lt;=EOMONTH(DATEVALUE("1 "&amp;AE$1),0)))
),2),"-")</f>
        <v>-</v>
      </c>
      <c r="AF72" s="2" t="str">
        <f>IFERROR(ROUND(Data!$B72/(
  SUMPRODUCT(('Form responses 1'!$B$2:$B1000=$A72)*('Form responses 1'!$A$2:$A1000&lt;=EOMONTH(DATEVALUE("1 "&amp;AF$1),0)))+
  SUMPRODUCT(('Form responses 1'!$C$2:$C1000=$A72)*('Form responses 1'!$A$2:$A1000&lt;=EOMONTH(DATEVALUE("1 "&amp;AF$1),0)))+
  SUMPRODUCT(('Form responses 1'!$D$2:$D1000=$A72)*('Form responses 1'!$A$2:$A1000&lt;=EOMONTH(DATEVALUE("1 "&amp;AF$1),0)))+
  SUMPRODUCT(('Form responses 1'!$E$2:$E1000=$A72)*('Form responses 1'!$A$2:$A1000&lt;=EOMONTH(DATEVALUE("1 "&amp;AF$1),0)))+
  SUMPRODUCT(('Form responses 1'!$F$2:$F1000=$A72)*('Form responses 1'!$A$2:$A1000&lt;=EOMONTH(DATEVALUE("1 "&amp;AF$1),0)))+
  SUMPRODUCT(('Form responses 1'!$G$2:$G1000=$A72)*('Form responses 1'!$A$2:$A1000&lt;=EOMONTH(DATEVALUE("1 "&amp;AF$1),0)))
),2),"-")</f>
        <v>-</v>
      </c>
      <c r="AG72" s="2" t="str">
        <f>IFERROR(ROUND(Data!$B72/(
  SUMPRODUCT(('Form responses 1'!$B$2:$B1000=$A72)*('Form responses 1'!$A$2:$A1000&lt;=EOMONTH(DATEVALUE("1 "&amp;AG$1),0)))+
  SUMPRODUCT(('Form responses 1'!$C$2:$C1000=$A72)*('Form responses 1'!$A$2:$A1000&lt;=EOMONTH(DATEVALUE("1 "&amp;AG$1),0)))+
  SUMPRODUCT(('Form responses 1'!$D$2:$D1000=$A72)*('Form responses 1'!$A$2:$A1000&lt;=EOMONTH(DATEVALUE("1 "&amp;AG$1),0)))+
  SUMPRODUCT(('Form responses 1'!$E$2:$E1000=$A72)*('Form responses 1'!$A$2:$A1000&lt;=EOMONTH(DATEVALUE("1 "&amp;AG$1),0)))+
  SUMPRODUCT(('Form responses 1'!$F$2:$F1000=$A72)*('Form responses 1'!$A$2:$A1000&lt;=EOMONTH(DATEVALUE("1 "&amp;AG$1),0)))+
  SUMPRODUCT(('Form responses 1'!$G$2:$G1000=$A72)*('Form responses 1'!$A$2:$A1000&lt;=EOMONTH(DATEVALUE("1 "&amp;AG$1),0)))
),2),"-")</f>
        <v>-</v>
      </c>
      <c r="AH72" s="2" t="str">
        <f>IFERROR(ROUND(Data!$B72/(
  SUMPRODUCT(('Form responses 1'!$B$2:$B1000=$A72)*('Form responses 1'!$A$2:$A1000&lt;=EOMONTH(DATEVALUE("1 "&amp;AH$1),0)))+
  SUMPRODUCT(('Form responses 1'!$C$2:$C1000=$A72)*('Form responses 1'!$A$2:$A1000&lt;=EOMONTH(DATEVALUE("1 "&amp;AH$1),0)))+
  SUMPRODUCT(('Form responses 1'!$D$2:$D1000=$A72)*('Form responses 1'!$A$2:$A1000&lt;=EOMONTH(DATEVALUE("1 "&amp;AH$1),0)))+
  SUMPRODUCT(('Form responses 1'!$E$2:$E1000=$A72)*('Form responses 1'!$A$2:$A1000&lt;=EOMONTH(DATEVALUE("1 "&amp;AH$1),0)))+
  SUMPRODUCT(('Form responses 1'!$F$2:$F1000=$A72)*('Form responses 1'!$A$2:$A1000&lt;=EOMONTH(DATEVALUE("1 "&amp;AH$1),0)))+
  SUMPRODUCT(('Form responses 1'!$G$2:$G1000=$A72)*('Form responses 1'!$A$2:$A1000&lt;=EOMONTH(DATEVALUE("1 "&amp;AH$1),0)))
),2),"-")</f>
        <v>-</v>
      </c>
      <c r="AI72" s="2" t="str">
        <f>IFERROR(ROUND(Data!$B72/(
  SUMPRODUCT(('Form responses 1'!$B$2:$B1000=$A72)*('Form responses 1'!$A$2:$A1000&lt;=EOMONTH(DATEVALUE("1 "&amp;AI$1),0)))+
  SUMPRODUCT(('Form responses 1'!$C$2:$C1000=$A72)*('Form responses 1'!$A$2:$A1000&lt;=EOMONTH(DATEVALUE("1 "&amp;AI$1),0)))+
  SUMPRODUCT(('Form responses 1'!$D$2:$D1000=$A72)*('Form responses 1'!$A$2:$A1000&lt;=EOMONTH(DATEVALUE("1 "&amp;AI$1),0)))+
  SUMPRODUCT(('Form responses 1'!$E$2:$E1000=$A72)*('Form responses 1'!$A$2:$A1000&lt;=EOMONTH(DATEVALUE("1 "&amp;AI$1),0)))+
  SUMPRODUCT(('Form responses 1'!$F$2:$F1000=$A72)*('Form responses 1'!$A$2:$A1000&lt;=EOMONTH(DATEVALUE("1 "&amp;AI$1),0)))+
  SUMPRODUCT(('Form responses 1'!$G$2:$G1000=$A72)*('Form responses 1'!$A$2:$A1000&lt;=EOMONTH(DATEVALUE("1 "&amp;AI$1),0)))
),2),"-")</f>
        <v>-</v>
      </c>
      <c r="AJ72" s="2" t="str">
        <f>IFERROR(ROUND(Data!$B72/(
  SUMPRODUCT(('Form responses 1'!$B$2:$B1000=$A72)*('Form responses 1'!$A$2:$A1000&lt;=EOMONTH(DATEVALUE("1 "&amp;AJ$1),0)))+
  SUMPRODUCT(('Form responses 1'!$C$2:$C1000=$A72)*('Form responses 1'!$A$2:$A1000&lt;=EOMONTH(DATEVALUE("1 "&amp;AJ$1),0)))+
  SUMPRODUCT(('Form responses 1'!$D$2:$D1000=$A72)*('Form responses 1'!$A$2:$A1000&lt;=EOMONTH(DATEVALUE("1 "&amp;AJ$1),0)))+
  SUMPRODUCT(('Form responses 1'!$E$2:$E1000=$A72)*('Form responses 1'!$A$2:$A1000&lt;=EOMONTH(DATEVALUE("1 "&amp;AJ$1),0)))+
  SUMPRODUCT(('Form responses 1'!$F$2:$F1000=$A72)*('Form responses 1'!$A$2:$A1000&lt;=EOMONTH(DATEVALUE("1 "&amp;AJ$1),0)))+
  SUMPRODUCT(('Form responses 1'!$G$2:$G1000=$A72)*('Form responses 1'!$A$2:$A1000&lt;=EOMONTH(DATEVALUE("1 "&amp;AJ$1),0)))
),2),"-")</f>
        <v>-</v>
      </c>
      <c r="AK72" s="2" t="str">
        <f>IFERROR(ROUND(Data!$B72/(
  SUMPRODUCT(('Form responses 1'!$B$2:$B1000=$A72)*('Form responses 1'!$A$2:$A1000&lt;=EOMONTH(DATEVALUE("1 "&amp;AK$1),0)))+
  SUMPRODUCT(('Form responses 1'!$C$2:$C1000=$A72)*('Form responses 1'!$A$2:$A1000&lt;=EOMONTH(DATEVALUE("1 "&amp;AK$1),0)))+
  SUMPRODUCT(('Form responses 1'!$D$2:$D1000=$A72)*('Form responses 1'!$A$2:$A1000&lt;=EOMONTH(DATEVALUE("1 "&amp;AK$1),0)))+
  SUMPRODUCT(('Form responses 1'!$E$2:$E1000=$A72)*('Form responses 1'!$A$2:$A1000&lt;=EOMONTH(DATEVALUE("1 "&amp;AK$1),0)))+
  SUMPRODUCT(('Form responses 1'!$F$2:$F1000=$A72)*('Form responses 1'!$A$2:$A1000&lt;=EOMONTH(DATEVALUE("1 "&amp;AK$1),0)))+
  SUMPRODUCT(('Form responses 1'!$G$2:$G1000=$A72)*('Form responses 1'!$A$2:$A1000&lt;=EOMONTH(DATEVALUE("1 "&amp;AK$1),0)))
),2),"-")</f>
        <v>-</v>
      </c>
      <c r="AL72" s="2" t="str">
        <f>IFERROR(ROUND(Data!$B72/(
  SUMPRODUCT(('Form responses 1'!$B$2:$B1000=$A72)*('Form responses 1'!$A$2:$A1000&lt;=EOMONTH(DATEVALUE("1 "&amp;AL$1),0)))+
  SUMPRODUCT(('Form responses 1'!$C$2:$C1000=$A72)*('Form responses 1'!$A$2:$A1000&lt;=EOMONTH(DATEVALUE("1 "&amp;AL$1),0)))+
  SUMPRODUCT(('Form responses 1'!$D$2:$D1000=$A72)*('Form responses 1'!$A$2:$A1000&lt;=EOMONTH(DATEVALUE("1 "&amp;AL$1),0)))+
  SUMPRODUCT(('Form responses 1'!$E$2:$E1000=$A72)*('Form responses 1'!$A$2:$A1000&lt;=EOMONTH(DATEVALUE("1 "&amp;AL$1),0)))+
  SUMPRODUCT(('Form responses 1'!$F$2:$F1000=$A72)*('Form responses 1'!$A$2:$A1000&lt;=EOMONTH(DATEVALUE("1 "&amp;AL$1),0)))+
  SUMPRODUCT(('Form responses 1'!$G$2:$G1000=$A72)*('Form responses 1'!$A$2:$A1000&lt;=EOMONTH(DATEVALUE("1 "&amp;AL$1),0)))
),2),"-")</f>
        <v>-</v>
      </c>
    </row>
    <row r="73">
      <c r="A73" s="3" t="str">
        <f>IFERROR(__xludf.DUMMYFUNCTION("""COMPUTED_VALUE"""),"Groene zomerjas corduroy")</f>
        <v>Groene zomerjas corduroy</v>
      </c>
      <c r="B73" s="2">
        <f>Data!F65:F1000</f>
        <v>0.52</v>
      </c>
      <c r="C73" s="2" t="str">
        <f>IFERROR(ROUND(Data!B65/(SUMPRODUCT(('Form responses 1'!$B$2:$B1000 = A73) * ('Form responses 1'!$A$2:$A1000 &lt;= DATE(2024, 1, 31)))
+ SUMPRODUCT(('Form responses 1'!$C$2:$C1000 = A73) * ('Form responses 1'!$A$2:$A1000 &lt;= DATE(2024, 1, 31)))
+ SUMPRODUCT(('Form responses 1'!$D$2:$D1000 = A73) * ('Form responses 1'!$A$2:$A1000 &lt;= DATE(2024, 1, 31)))
+ SUMPRODUCT(('Form responses 1'!$E$2:$E1000 = A73) * ('Form responses 1'!$A$2:$A1000 &lt;= DATE(2024, 1, 31)))
+ SUMPRODUCT(('Form responses 1'!$F$2:$F1000 = A73) * ('Form responses 1'!$A$2:$A1000 &lt;= DATE(2024, 1, 31)))
+ SUMPRODUCT(('Form responses 1'!$G$2:$G1000 = A73) * ('Form responses 1'!$A$2:$A1000 &lt;= DATE(2024, 1, 31)))), 2), "-")
</f>
        <v>-</v>
      </c>
      <c r="D73" s="2" t="str">
        <f>IFERROR(ROUND(Data!B65/(SUMPRODUCT(('Form responses 1'!$B$2:$B1000 = A73) * ('Form responses 1'!$A$2:$A1000 &lt;= DATE(2024, 2, 29)))
+ SUMPRODUCT(('Form responses 1'!$C$2:$C1000 = A73) * ('Form responses 1'!$A$2:$A1000 &lt;= DATE(2024, 2, 29)))
+ SUMPRODUCT(('Form responses 1'!$D$2:$D1000 = A73) * ('Form responses 1'!$A$2:$A1000 &lt;= DATE(2024, 2, 29)))
+ SUMPRODUCT(('Form responses 1'!$E$2:$E1000 = A73) * ('Form responses 1'!$A$2:$A1000 &lt;= DATE(2024, 2, 29)))
+ SUMPRODUCT(('Form responses 1'!$F$2:$F1000 = A73) * ('Form responses 1'!$A$2:$A1000 &lt;= DATE(2024, 2, 29)))
+ SUMPRODUCT(('Form responses 1'!$G$2:$G1000 = A73) * ('Form responses 1'!$A$2:$A1000 &lt;= DATE(2024, 2, 29)))), 2), "-")
</f>
        <v>-</v>
      </c>
      <c r="E73" s="2">
        <f>IFERROR(ROUND(Data!B65/(SUMPRODUCT(('Form responses 1'!$B$2:$B1000 = A73) * ('Form responses 1'!$A$2:$A1000 &lt;= DATE(2024, 3, 31)))
+ SUMPRODUCT(('Form responses 1'!$C$2:$C1000 = A73) * ('Form responses 1'!$A$2:$A1000 &lt;= DATE(2024, 3, 31)))
+ SUMPRODUCT(('Form responses 1'!$D$2:$D1000 = A73) * ('Form responses 1'!$A$2:$A1000 &lt;= DATE(2024, 3, 31)))
+ SUMPRODUCT(('Form responses 1'!$E$2:$E1000 = A73) * ('Form responses 1'!$A$2:$A1000 &lt;= DATE(2024, 3, 31)))
+ SUMPRODUCT(('Form responses 1'!$F$2:$F1000 = A73) * ('Form responses 1'!$A$2:$A1000 &lt;= DATE(2024, 3, 31)))
+ SUMPRODUCT(('Form responses 1'!$G$2:$G1000 = A73) * ('Form responses 1'!$A$2:$A1000 &lt;= DATE(2024, 3, 31)))), 2), "-")
</f>
        <v>5</v>
      </c>
      <c r="F73" s="2">
        <f>IFERROR(ROUND(Data!B65/(SUMPRODUCT(('Form responses 1'!$B$2:$B1000 = A73) * ('Form responses 1'!$A$2:$A1000 &lt;= DATE(2024, 4, 30)))
+ SUMPRODUCT(('Form responses 1'!$C$2:$C1000 = A73) * ('Form responses 1'!$A$2:$A1000 &lt;= DATE(2024, 4, 30)))
+ SUMPRODUCT(('Form responses 1'!$D$2:$D1000 = A73) * ('Form responses 1'!$A$2:$A1000 &lt;= DATE(2024, 4, 30)))
+ SUMPRODUCT(('Form responses 1'!$E$2:$E1000 = A73) * ('Form responses 1'!$A$2:$A1000 &lt;= DATE(2024, 4, 30)))
+ SUMPRODUCT(('Form responses 1'!$F$2:$F1000 = A73) * ('Form responses 1'!$A$2:$A1000 &lt;= DATE(2024, 4, 30)))
+ SUMPRODUCT(('Form responses 1'!$G$2:$G1000 = A73) * ('Form responses 1'!$A$2:$A1000 &lt;= DATE(2024, 4, 30)))), 2), "-")
</f>
        <v>2.31</v>
      </c>
      <c r="G73" s="2">
        <f>IFERROR(ROUND(Data!B65/(SUMPRODUCT(('Form responses 1'!$B$2:$B1000 = A73) * ('Form responses 1'!$A$2:$A1000 &lt;= DATE(2024, 5, 31)))
+ SUMPRODUCT(('Form responses 1'!$C$2:$C1000 = A73) * ('Form responses 1'!$A$2:$A1000 &lt;= DATE(2024, 5, 31)))
+ SUMPRODUCT(('Form responses 1'!$D$2:$D1000 = A73) * ('Form responses 1'!$A$2:$A1000 &lt;= DATE(2024, 5, 31)))
+ SUMPRODUCT(('Form responses 1'!$E$2:$E1000 = A73) * ('Form responses 1'!$A$2:$A1000 &lt;= DATE(2024, 5, 31)))
+ SUMPRODUCT(('Form responses 1'!$F$2:$F1000 = A73) * ('Form responses 1'!$A$2:$A1000 &lt;= DATE(2024, 5, 31)))
+ SUMPRODUCT(('Form responses 1'!$G$2:$G1000 = A73) * ('Form responses 1'!$A$2:$A1000 &lt;= DATE(2024, 5, 31)))), 2), "-")
</f>
        <v>0.94</v>
      </c>
      <c r="H73" s="2">
        <f>IFERROR(ROUND(Data!B65/(SUMPRODUCT(('Form responses 1'!$B$2:$B1000 = A73) * ('Form responses 1'!$A$2:$A1000 &lt;= DATE(2024, 6, 30)))
+ SUMPRODUCT(('Form responses 1'!$C$2:$C1000 = A73) * ('Form responses 1'!$A$2:$A1000 &lt;= DATE(2024, 6, 30)))
+ SUMPRODUCT(('Form responses 1'!$D$2:$D1000 = A73) * ('Form responses 1'!$A$2:$A1000 &lt;= DATE(2024, 6, 30)))
+ SUMPRODUCT(('Form responses 1'!$E$2:$E1000 = A73) * ('Form responses 1'!$A$2:$A1000 &lt;= DATE(2024, 6, 30)))
+ SUMPRODUCT(('Form responses 1'!$F$2:$F1000 = A73) * ('Form responses 1'!$A$2:$A1000 &lt;= DATE(2024, 6, 30)))
+ SUMPRODUCT(('Form responses 1'!$G$2:$G1000 = A73) * ('Form responses 1'!$A$2:$A1000 &lt;= DATE(2024, 6, 30)))), 2), "-")
</f>
        <v>0.56</v>
      </c>
      <c r="I73" s="2">
        <f>IFERROR(ROUND(Data!B65/(SUMPRODUCT(('Form responses 1'!$B$2:$B1000 = A73) * ('Form responses 1'!$A$2:$A1000 &lt;= DATE(2024, 7, 31)))
+ SUMPRODUCT(('Form responses 1'!$C$2:$C1000 = A73) * ('Form responses 1'!$A$2:$A1000 &lt;= DATE(2024, 7, 31)))
+ SUMPRODUCT(('Form responses 1'!$D$2:$D1000 = A73) * ('Form responses 1'!$A$2:$A1000 &lt;= DATE(2024, 7, 31)))
+ SUMPRODUCT(('Form responses 1'!$E$2:$E1000 = A73) * ('Form responses 1'!$A$2:$A1000 &lt;= DATE(2024, 7, 31)))
+ SUMPRODUCT(('Form responses 1'!$F$2:$F1000 = A73) * ('Form responses 1'!$A$2:$A1000 &lt;= DATE(2024, 7, 31)))
+ SUMPRODUCT(('Form responses 1'!$G$2:$G1000 = A73) * ('Form responses 1'!$A$2:$A1000 &lt;= DATE(2024, 7, 31)))), 2), "-")
</f>
        <v>0.48</v>
      </c>
      <c r="J73" s="2">
        <f>IFERROR(ROUND(Data!B65/(SUMPRODUCT(('Form responses 1'!$B$2:$B1000 = A73) * ('Form responses 1'!$A$2:$A1000 &lt;= DATE(2024, 8, 31)))
+ SUMPRODUCT(('Form responses 1'!$C$2:$C1000 = A73) * ('Form responses 1'!$A$2:$A1000 &lt;= DATE(2024, 8, 31)))
+ SUMPRODUCT(('Form responses 1'!$D$2:$D1000 = A73) * ('Form responses 1'!$A$2:$A1000 &lt;= DATE(2024, 8, 31)))
+ SUMPRODUCT(('Form responses 1'!$E$2:$E1000 = A73) * ('Form responses 1'!$A$2:$A1000 &lt;= DATE(2024, 8, 31)))
+ SUMPRODUCT(('Form responses 1'!$F$2:$F1000 = A73) * ('Form responses 1'!$A$2:$A1000 &lt;= DATE(2024, 8, 31)))
+ SUMPRODUCT(('Form responses 1'!$G$2:$G1000 = A73) * ('Form responses 1'!$A$2:$A1000 &lt;= DATE(2024, 8, 31)))), 2), "-")
</f>
        <v>0.48</v>
      </c>
      <c r="K73" s="2">
        <f>IFERROR(ROUND(Data!B65/(SUMPRODUCT(('Form responses 1'!$B$2:$B1000 = A73) * ('Form responses 1'!$A$2:$A1000 &lt;= DATE(2024, 9, 30)))
+ SUMPRODUCT(('Form responses 1'!$C$2:$C1000 = A73) * ('Form responses 1'!$A$2:$A1000 &lt;= DATE(2024, 9, 30)))
+ SUMPRODUCT(('Form responses 1'!$D$2:$D1000 = A73) * ('Form responses 1'!$A$2:$A1000 &lt;= DATE(2024, 9, 30)))
+ SUMPRODUCT(('Form responses 1'!$E$2:$E1000 = A73) * ('Form responses 1'!$A$2:$A1000 &lt;= DATE(2024, 9, 30)))
+ SUMPRODUCT(('Form responses 1'!$F$2:$F1000 = A73) * ('Form responses 1'!$A$2:$A1000 &lt;= DATE(2024, 9, 30)))
+ SUMPRODUCT(('Form responses 1'!$G$2:$G1000 = A73) * ('Form responses 1'!$A$2:$A1000 &lt;= DATE(2024, 9, 30)))), 2), "-")
</f>
        <v>0.42</v>
      </c>
      <c r="L73" s="2">
        <f>IFERROR(ROUND(Data!B65/(SUMPRODUCT(('Form responses 1'!$B$2:$B1000 = A73) * ('Form responses 1'!$A$2:$A1000 &lt;= DATE(2024, 10, 31)))
+ SUMPRODUCT(('Form responses 1'!$C$2:$C1000 = A73) * ('Form responses 1'!$A$2:$A1000 &lt;= DATE(2024, 10, 31)))
+ SUMPRODUCT(('Form responses 1'!$D$2:$D1000 = A73) * ('Form responses 1'!$A$2:$A1000 &lt;= DATE(2024, 10, 31)))
+ SUMPRODUCT(('Form responses 1'!$E$2:$E1000 = A73) * ('Form responses 1'!$A$2:$A1000 &lt;= DATE(2024, 10, 31)))
+ SUMPRODUCT(('Form responses 1'!$F$2:$F1000 = A73) * ('Form responses 1'!$A$2:$A1000 &lt;= DATE(2024, 10, 31)))
+ SUMPRODUCT(('Form responses 1'!$G$2:$G1000 = A73) * ('Form responses 1'!$A$2:$A1000 &lt;= DATE(2024, 10, 31)))), 2), "-")
</f>
        <v>0.35</v>
      </c>
      <c r="M73" s="2">
        <f>IFERROR(ROUND(Data!B65/(SUMPRODUCT(('Form responses 1'!$B$2:$B1000 = A73) * ('Form responses 1'!$A$2:$A1000 &lt;= DATE(2024, 11, 30)))
+ SUMPRODUCT(('Form responses 1'!$C$2:$C1000 = A73) * ('Form responses 1'!$A$2:$A1000 &lt;= DATE(2024, 11, 30)))
+ SUMPRODUCT(('Form responses 1'!$D$2:$D1000 = A73) * ('Form responses 1'!$A$2:$A1000 &lt;= DATE(2024, 11, 30)))
+ SUMPRODUCT(('Form responses 1'!$E$2:$E1000 = A73) * ('Form responses 1'!$A$2:$A1000 &lt;= DATE(2024, 11, 30)))
+ SUMPRODUCT(('Form responses 1'!$F$2:$F1000 = A73) * ('Form responses 1'!$A$2:$A1000 &lt;= DATE(2024, 11, 30)))
+ SUMPRODUCT(('Form responses 1'!$G$2:$G1000 = A73) * ('Form responses 1'!$A$2:$A1000 &lt;= DATE(2024, 11, 30)))), 2), "-")
</f>
        <v>0.34</v>
      </c>
      <c r="N73" s="2">
        <f>IFERROR(ROUND(Data!B65/(SUMPRODUCT(('Form responses 1'!$B$2:$B1000 = A73) * ('Form responses 1'!$A$2:$A1000 &lt;= DATE(2024, 12, 31)))
+ SUMPRODUCT(('Form responses 1'!$C$2:$C1000 = A73) * ('Form responses 1'!$A$2:$A1000 &lt;= DATE(2024, 12, 31)))
+ SUMPRODUCT(('Form responses 1'!$D$2:$D1000 = A73) * ('Form responses 1'!$A$2:$A1000 &lt;= DATE(2024, 12, 31)))
+ SUMPRODUCT(('Form responses 1'!$E$2:$E1000 = A73) * ('Form responses 1'!$A$2:$A1000 &lt;= DATE(2024, 12, 31)))
+ SUMPRODUCT(('Form responses 1'!$F$2:$F1000 = A73) * ('Form responses 1'!$A$2:$A1000 &lt;= DATE(2024, 12, 31)))
+ SUMPRODUCT(('Form responses 1'!$G$2:$G1000 = A73) * ('Form responses 1'!$A$2:$A1000 &lt;= DATE(2024, 12, 31)))), 2), "-")
</f>
        <v>0.34</v>
      </c>
      <c r="O73" s="2">
        <f>IFERROR(ROUND(Data!B65/(SUMPRODUCT(('Form responses 1'!$B$2:$B1000 = A73) * ('Form responses 1'!$A$2:$A1000 &lt;= DATE(2025, 1, 31)))
+ SUMPRODUCT(('Form responses 1'!$C$2:$C1000 = A73) * ('Form responses 1'!$A$2:$A1000 &lt;= DATE(2025, 1, 31)))
+ SUMPRODUCT(('Form responses 1'!$D$2:$D1000 = A73) * ('Form responses 1'!$A$2:$A1000 &lt;= DATE(2025, 1, 31)))
+ SUMPRODUCT(('Form responses 1'!$E$2:$E1000 = A73) * ('Form responses 1'!$A$2:$A1000 &lt;= DATE(2025, 1, 31)))
+ SUMPRODUCT(('Form responses 1'!$F$2:$F1000 = A73) * ('Form responses 1'!$A$2:$A1000 &lt;= DATE(2025, 1, 31)))
+ SUMPRODUCT(('Form responses 1'!$G$2:$G1000 = A73) * ('Form responses 1'!$A$2:$A1000 &lt;= DATE(2025, 1, 31)))), 2), "-")
</f>
        <v>0.34</v>
      </c>
      <c r="P73" s="2">
        <f>IFERROR(ROUND(Data!B65/(SUMPRODUCT(('Form responses 1'!$B$2:$B1000 = A73) * ('Form responses 1'!$A$2:$A1000 &lt;= DATE(2025, 2, 28)))
+ SUMPRODUCT(('Form responses 1'!$C$2:$C1000 = A73) * ('Form responses 1'!$A$2:$A1000 &lt;= DATE(2025, 2, 28)))
+ SUMPRODUCT(('Form responses 1'!$D$2:$D1000 = A73) * ('Form responses 1'!$A$2:$A1000 &lt;= DATE(2025, 2, 28)))
+ SUMPRODUCT(('Form responses 1'!$E$2:$E1000 = A73) * ('Form responses 1'!$A$2:$A1000 &lt;= DATE(2025, 2, 28)))
+ SUMPRODUCT(('Form responses 1'!$F$2:$F1000 = A73) * ('Form responses 1'!$A$2:$A1000 &lt;= DATE(2025, 2, 28)))
+ SUMPRODUCT(('Form responses 1'!$G$2:$G1000 = A73) * ('Form responses 1'!$A$2:$A1000 &lt;= DATE(2025, 2, 28)))), 2), "-")
</f>
        <v>0.34</v>
      </c>
      <c r="Q73" s="2">
        <f>IFERROR(ROUND(Data!B65/(SUMPRODUCT(('Form responses 1'!$B$2:$B1000 = A73) * ('Form responses 1'!$A$2:$A1000 &lt;= DATE(2025, 3, 31)))
+ SUMPRODUCT(('Form responses 1'!$C$2:$C1000 = A73) * ('Form responses 1'!$A$2:$A1000 &lt;= DATE(2025, 3, 31)))
+ SUMPRODUCT(('Form responses 1'!$D$2:$D1000 = A73) * ('Form responses 1'!$A$2:$A1000 &lt;= DATE(2025, 3, 31)))
+ SUMPRODUCT(('Form responses 1'!$E$2:$E1000 = A73) * ('Form responses 1'!$A$2:$A1000 &lt;= DATE(2025, 3, 31)))
+ SUMPRODUCT(('Form responses 1'!$F$2:$F1000 = A73) * ('Form responses 1'!$A$2:$A1000 &lt;= DATE(2025, 3, 31)))
+ SUMPRODUCT(('Form responses 1'!$G$2:$G1000 = A73) * ('Form responses 1'!$A$2:$A1000 &lt;= DATE(2025, 3, 31)))),2),"-")</f>
        <v>0.34</v>
      </c>
      <c r="R73" s="2">
        <f>IFERROR(ROUND(Data!B65/(SUMPRODUCT(('Form responses 1'!$B$2:$B1000 = A73) * ('Form responses 1'!$A$2:$A1000 &lt;= DATE(2025, 4, 30)))
+ SUMPRODUCT(('Form responses 1'!$C$2:$C1000 = A73) * ('Form responses 1'!$A$2:$A1000 &lt;= DATE(2025, 4, 30)))
+ SUMPRODUCT(('Form responses 1'!$D$2:$D1000 = A73) * ('Form responses 1'!$A$2:$A1000 &lt;= DATE(2025, 4, 30)))
+ SUMPRODUCT(('Form responses 1'!$E$2:$E1000 = A73) * ('Form responses 1'!$A$2:$A1000 &lt;= DATE(2025, 4, 30)))
+ SUMPRODUCT(('Form responses 1'!$F$2:$F1000 = A73) * ('Form responses 1'!$A$2:$A1000 &lt;= DATE(2025, 4, 30)))
+ SUMPRODUCT(('Form responses 1'!$G$2:$G1000 = A73) * ('Form responses 1'!$A$2:$A1000 &lt;= DATE(2025, 4, 30)))), 2), "-")
</f>
        <v>0.29</v>
      </c>
      <c r="S73" s="2">
        <f>IFERROR(ROUND(Data!B65/(SUMPRODUCT(('Form responses 1'!$B$2:$B1000 = A73) * ('Form responses 1'!$A$2:$A1000 &lt;= DATE(2025, 5, 31)))
+ SUMPRODUCT(('Form responses 1'!$C$2:$C1000 = A73) * ('Form responses 1'!$A$2:$A1000 &lt;= DATE(2025, 5, 31)))
+ SUMPRODUCT(('Form responses 1'!$D$2:$D1000 = A73) * ('Form responses 1'!$A$2:$A1000 &lt;= DATE(2025, 5, 31)))
+ SUMPRODUCT(('Form responses 1'!$E$2:$E1000 = A73) * ('Form responses 1'!$A$2:$A1000 &lt;= DATE(2025, 5, 31)))
+ SUMPRODUCT(('Form responses 1'!$F$2:$F1000 = A73) * ('Form responses 1'!$A$2:$A1000 &lt;= DATE(2025, 5, 31)))
+ SUMPRODUCT(('Form responses 1'!$G$2:$G1000 = A73) * ('Form responses 1'!$A$2:$A1000 &lt;= DATE(2025, 5, 31)))), 2), "-")
</f>
        <v>0.29</v>
      </c>
      <c r="T73" s="2">
        <f>IFERROR(ROUND(Data!B65/(SUMPRODUCT(('Form responses 1'!$B$2:$B1000 = A73) * ('Form responses 1'!$A$2:$A1000 &lt;= DATE(2025, 6, 30)))
+ SUMPRODUCT(('Form responses 1'!$C$2:$C1000 = A73) * ('Form responses 1'!$A$2:$A1000 &lt;= DATE(2025, 6, 30)))
+ SUMPRODUCT(('Form responses 1'!$D$2:$D1000 = A73) * ('Form responses 1'!$A$2:$A1000 &lt;= DATE(2025, 6, 30)))
+ SUMPRODUCT(('Form responses 1'!$E$2:$E1000 = A73) * ('Form responses 1'!$A$2:$A1000 &lt;= DATE(2025, 6, 30)))
+ SUMPRODUCT(('Form responses 1'!$F$2:$F1000 = A73) * ('Form responses 1'!$A$2:$A1000 &lt;= DATE(2025, 6, 30)))
+ SUMPRODUCT(('Form responses 1'!$G$2:$G1000 = A73) * ('Form responses 1'!$A$2:$A1000 &lt;= DATE(2025, 6, 30)))), 2), "-")
</f>
        <v>0.28</v>
      </c>
      <c r="U73" s="2">
        <f>IFERROR(ROUND(Data!B65/(SUMPRODUCT(('Form responses 1'!$B$2:$B1000 = A73) * ('Form responses 1'!$A$2:$A1000 &lt;= DATE(2025, 7, 31)))
+ SUMPRODUCT(('Form responses 1'!$C$2:$C1000 = A73) * ('Form responses 1'!$A$2:$A1000 &lt;= DATE(2025, 7, 31)))
+ SUMPRODUCT(('Form responses 1'!$D$2:$D1000 = A73) * ('Form responses 1'!$A$2:$A1000 &lt;= DATE(2025, 7, 31)))
+ SUMPRODUCT(('Form responses 1'!$E$2:$E1000 = A73) * ('Form responses 1'!$A$2:$A1000 &lt;= DATE(2025, 7, 31)))
+ SUMPRODUCT(('Form responses 1'!$F$2:$F1000 = A73) * ('Form responses 1'!$A$2:$A1000 &lt;= DATE(2025, 7, 31)))
+ SUMPRODUCT(('Form responses 1'!$G$2:$G1000 = A73) * ('Form responses 1'!$A$2:$A1000 &lt;= DATE(2025, 7, 31)))), 2), "-")
</f>
        <v>0.28</v>
      </c>
      <c r="V73" s="2">
        <f>IFERROR(ROUND(Data!B65/(SUMPRODUCT(('Form responses 1'!$B$2:$B1000 = A73) * ('Form responses 1'!$A$2:$A1000 &lt;= DATE(2025, 8, 31)))
+ SUMPRODUCT(('Form responses 1'!$C$2:$C1000 = A73) * ('Form responses 1'!$A$2:$A1000 &lt;= DATE(2025, 8, 31)))
+ SUMPRODUCT(('Form responses 1'!$D$2:$D1000 = A73) * ('Form responses 1'!$A$2:$A1000 &lt;= DATE(2025, 8, 31)))
+ SUMPRODUCT(('Form responses 1'!$E$2:$E1000 = A73) * ('Form responses 1'!$A$2:$A1000 &lt;= DATE(2025, 8, 31)))
+ SUMPRODUCT(('Form responses 1'!$F$2:$F1000 = A73) * ('Form responses 1'!$A$2:$A1000 &lt;= DATE(2025, 8, 31)))
+ SUMPRODUCT(('Form responses 1'!$G$2:$G1000 = A73) * ('Form responses 1'!$A$2:$A1000 &lt;= DATE(2025, 8, 31)))), 2), "-")
</f>
        <v>0.28</v>
      </c>
      <c r="W73" s="2">
        <f>IFERROR(ROUND(Data!B65/(SUMPRODUCT(('Form responses 1'!$B$2:$B1000 = A73) * ('Form responses 1'!$A$2:$A1000 &lt;= DATE(2025, 9, 30)))
+ SUMPRODUCT(('Form responses 1'!$C$2:$C1000 = A73) * ('Form responses 1'!$A$2:$A1000 &lt;= DATE(2025, 9, 30)))
+ SUMPRODUCT(('Form responses 1'!$D$2:$D1000 = A73) * ('Form responses 1'!$A$2:$A1000 &lt;= DATE(2025, 9, 30)))
+ SUMPRODUCT(('Form responses 1'!$E$2:$E1000 = A73) * ('Form responses 1'!$A$2:$A1000 &lt;= DATE(2025, 9, 30)))
+ SUMPRODUCT(('Form responses 1'!$F$2:$F1000 = A73) * ('Form responses 1'!$A$2:$A1000 &lt;= DATE(2025, 9, 30)))
+ SUMPRODUCT(('Form responses 1'!$G$2:$G1000 = A73) * ('Form responses 1'!$A$2:$A1000 &lt;= DATE(2025, 9, 30)))), 2), "-")
</f>
        <v>0.27</v>
      </c>
      <c r="X73" s="2">
        <f>IFERROR(ROUND(Data!B65/(SUMPRODUCT(('Form responses 1'!$B$2:$B1000 = A73) * ('Form responses 1'!$A$2:$A1000 &lt;= DATE(2025, 10, 31)))
+ SUMPRODUCT(('Form responses 1'!$C$2:$C1000 = A73) * ('Form responses 1'!$A$2:$A1000 &lt;= DATE(2025, 10, 31)))
+ SUMPRODUCT(('Form responses 1'!$D$2:$D1000 = A73) * ('Form responses 1'!$A$2:$A1000 &lt;= DATE(2025, 10, 31)))
+ SUMPRODUCT(('Form responses 1'!$E$2:$E1000 = A73) * ('Form responses 1'!$A$2:$A1000 &lt;= DATE(2025, 10, 31)))
+ SUMPRODUCT(('Form responses 1'!$F$2:$F1000 = A73) * ('Form responses 1'!$A$2:$A1000 &lt;= DATE(2025, 10, 31)))
+ SUMPRODUCT(('Form responses 1'!$G$2:$G1000 = A73) * ('Form responses 1'!$A$2:$A1000 &lt;= DATE(2025, 10, 31)))), 2), "-")
</f>
        <v>0.24</v>
      </c>
      <c r="Y73" s="2">
        <f>IFERROR(ROUND(Data!B65/(SUMPRODUCT(('Form responses 1'!$B$2:$B1000 = A73) * ('Form responses 1'!$A$2:$A1000 &lt;= DATE(2025, 11, 30)))
+ SUMPRODUCT(('Form responses 1'!$C$2:$C1000 = A73) * ('Form responses 1'!$A$2:$A1000 &lt;= DATE(2025, 11, 30)))
+ SUMPRODUCT(('Form responses 1'!$D$2:$D1000 = A73) * ('Form responses 1'!$A$2:$A1000 &lt;= DATE(2025, 11, 30)))
+ SUMPRODUCT(('Form responses 1'!$E$2:$E1000 = A73) * ('Form responses 1'!$A$2:$A1000 &lt;= DATE(2025, 11, 30)))
+ SUMPRODUCT(('Form responses 1'!$F$2:$F1000 = A73) * ('Form responses 1'!$A$2:$A1000 &lt;= DATE(2025, 11, 30)))
+ SUMPRODUCT(('Form responses 1'!$G$2:$G1000 = A73) * ('Form responses 1'!$A$2:$A1000 &lt;= DATE(2025, 11, 30)))), 2), "-")
</f>
        <v>0.23</v>
      </c>
      <c r="Z73" s="2">
        <f>IFERROR(ROUND(Data!B65/(SUMPRODUCT(('Form responses 1'!$B$2:$B1000 = A73) * ('Form responses 1'!$A$2:$A1000 &lt;= DATE(2025, 12, 31)))
+ SUMPRODUCT(('Form responses 1'!$C$2:$C1000 = A73) * ('Form responses 1'!$A$2:$A1000 &lt;= DATE(2025, 12, 31)))
+ SUMPRODUCT(('Form responses 1'!$D$2:$D1000 = A73) * ('Form responses 1'!$A$2:$A1000 &lt;= DATE(2025, 12, 31)))
+ SUMPRODUCT(('Form responses 1'!$E$2:$E1000 = A73) * ('Form responses 1'!$A$2:$A1000 &lt;= DATE(2025, 12, 31)))
+ SUMPRODUCT(('Form responses 1'!$F$2:$F1000 = A73) * ('Form responses 1'!$A$2:$A1000 &lt;= DATE(2025, 12, 31)))
+ SUMPRODUCT(('Form responses 1'!$G$2:$G1000 = A73) * ('Form responses 1'!$A$2:$A1000 &lt;= DATE(2025, 12, 31)))), 2), "-")
</f>
        <v>0.23</v>
      </c>
      <c r="AA73" s="2">
        <f>IFERROR(ROUND(Data!$B73/(
  SUMPRODUCT(('Form responses 1'!$B$2:$B1000=$A73)*('Form responses 1'!$A$2:$A1000&lt;=EOMONTH(DATEVALUE("1 "&amp;AA$1),0)))+
  SUMPRODUCT(('Form responses 1'!$C$2:$C1000=$A73)*('Form responses 1'!$A$2:$A1000&lt;=EOMONTH(DATEVALUE("1 "&amp;AA$1),0)))+
  SUMPRODUCT(('Form responses 1'!$D$2:$D1000=$A73)*('Form responses 1'!$A$2:$A1000&lt;=EOMONTH(DATEVALUE("1 "&amp;AA$1),0)))+
  SUMPRODUCT(('Form responses 1'!$E$2:$E1000=$A73)*('Form responses 1'!$A$2:$A1000&lt;=EOMONTH(DATEVALUE("1 "&amp;AA$1),0)))+
  SUMPRODUCT(('Form responses 1'!$F$2:$F1000=$A73)*('Form responses 1'!$A$2:$A1000&lt;=EOMONTH(DATEVALUE("1 "&amp;AA$1),0)))+
  SUMPRODUCT(('Form responses 1'!$G$2:$G1000=$A73)*('Form responses 1'!$A$2:$A1000&lt;=EOMONTH(DATEVALUE("1 "&amp;AA$1),0)))
),2),"-")</f>
        <v>0.56</v>
      </c>
      <c r="AB73" s="2">
        <f>IFERROR(ROUND(Data!$B73/(
  SUMPRODUCT(('Form responses 1'!$B$2:$B1000=$A73)*('Form responses 1'!$A$2:$A1000&lt;=EOMONTH(DATEVALUE("1 "&amp;AB$1),0)))+
  SUMPRODUCT(('Form responses 1'!$C$2:$C1000=$A73)*('Form responses 1'!$A$2:$A1000&lt;=EOMONTH(DATEVALUE("1 "&amp;AB$1),0)))+
  SUMPRODUCT(('Form responses 1'!$D$2:$D1000=$A73)*('Form responses 1'!$A$2:$A1000&lt;=EOMONTH(DATEVALUE("1 "&amp;AB$1),0)))+
  SUMPRODUCT(('Form responses 1'!$E$2:$E1000=$A73)*('Form responses 1'!$A$2:$A1000&lt;=EOMONTH(DATEVALUE("1 "&amp;AB$1),0)))+
  SUMPRODUCT(('Form responses 1'!$F$2:$F1000=$A73)*('Form responses 1'!$A$2:$A1000&lt;=EOMONTH(DATEVALUE("1 "&amp;AB$1),0)))+
  SUMPRODUCT(('Form responses 1'!$G$2:$G1000=$A73)*('Form responses 1'!$A$2:$A1000&lt;=EOMONTH(DATEVALUE("1 "&amp;AB$1),0)))
),2),"-")</f>
        <v>0.56</v>
      </c>
      <c r="AC73" s="2">
        <f>IFERROR(ROUND(Data!$B73/(
  SUMPRODUCT(('Form responses 1'!$B$2:$B1000=$A73)*('Form responses 1'!$A$2:$A1000&lt;=EOMONTH(DATEVALUE("1 "&amp;AC$1),0)))+
  SUMPRODUCT(('Form responses 1'!$C$2:$C1000=$A73)*('Form responses 1'!$A$2:$A1000&lt;=EOMONTH(DATEVALUE("1 "&amp;AC$1),0)))+
  SUMPRODUCT(('Form responses 1'!$D$2:$D1000=$A73)*('Form responses 1'!$A$2:$A1000&lt;=EOMONTH(DATEVALUE("1 "&amp;AC$1),0)))+
  SUMPRODUCT(('Form responses 1'!$E$2:$E1000=$A73)*('Form responses 1'!$A$2:$A1000&lt;=EOMONTH(DATEVALUE("1 "&amp;AC$1),0)))+
  SUMPRODUCT(('Form responses 1'!$F$2:$F1000=$A73)*('Form responses 1'!$A$2:$A1000&lt;=EOMONTH(DATEVALUE("1 "&amp;AC$1),0)))+
  SUMPRODUCT(('Form responses 1'!$G$2:$G1000=$A73)*('Form responses 1'!$A$2:$A1000&lt;=EOMONTH(DATEVALUE("1 "&amp;AC$1),0)))
),2),"-")</f>
        <v>0.56</v>
      </c>
      <c r="AD73" s="2" t="str">
        <f>IFERROR(ROUND(Data!$B73/(
  SUMPRODUCT(('Form responses 1'!$B$2:$B1000=$A73)*('Form responses 1'!$A$2:$A1000&lt;=EOMONTH(DATEVALUE("1 "&amp;AD$1),0)))+
  SUMPRODUCT(('Form responses 1'!$C$2:$C1000=$A73)*('Form responses 1'!$A$2:$A1000&lt;=EOMONTH(DATEVALUE("1 "&amp;AD$1),0)))+
  SUMPRODUCT(('Form responses 1'!$D$2:$D1000=$A73)*('Form responses 1'!$A$2:$A1000&lt;=EOMONTH(DATEVALUE("1 "&amp;AD$1),0)))+
  SUMPRODUCT(('Form responses 1'!$E$2:$E1000=$A73)*('Form responses 1'!$A$2:$A1000&lt;=EOMONTH(DATEVALUE("1 "&amp;AD$1),0)))+
  SUMPRODUCT(('Form responses 1'!$F$2:$F1000=$A73)*('Form responses 1'!$A$2:$A1000&lt;=EOMONTH(DATEVALUE("1 "&amp;AD$1),0)))+
  SUMPRODUCT(('Form responses 1'!$G$2:$G1000=$A73)*('Form responses 1'!$A$2:$A1000&lt;=EOMONTH(DATEVALUE("1 "&amp;AD$1),0)))
),2),"-")</f>
        <v>-</v>
      </c>
      <c r="AE73" s="2" t="str">
        <f>IFERROR(ROUND(Data!$B73/(
  SUMPRODUCT(('Form responses 1'!$B$2:$B1000=$A73)*('Form responses 1'!$A$2:$A1000&lt;=EOMONTH(DATEVALUE("1 "&amp;AE$1),0)))+
  SUMPRODUCT(('Form responses 1'!$C$2:$C1000=$A73)*('Form responses 1'!$A$2:$A1000&lt;=EOMONTH(DATEVALUE("1 "&amp;AE$1),0)))+
  SUMPRODUCT(('Form responses 1'!$D$2:$D1000=$A73)*('Form responses 1'!$A$2:$A1000&lt;=EOMONTH(DATEVALUE("1 "&amp;AE$1),0)))+
  SUMPRODUCT(('Form responses 1'!$E$2:$E1000=$A73)*('Form responses 1'!$A$2:$A1000&lt;=EOMONTH(DATEVALUE("1 "&amp;AE$1),0)))+
  SUMPRODUCT(('Form responses 1'!$F$2:$F1000=$A73)*('Form responses 1'!$A$2:$A1000&lt;=EOMONTH(DATEVALUE("1 "&amp;AE$1),0)))+
  SUMPRODUCT(('Form responses 1'!$G$2:$G1000=$A73)*('Form responses 1'!$A$2:$A1000&lt;=EOMONTH(DATEVALUE("1 "&amp;AE$1),0)))
),2),"-")</f>
        <v>-</v>
      </c>
      <c r="AF73" s="2" t="str">
        <f>IFERROR(ROUND(Data!$B73/(
  SUMPRODUCT(('Form responses 1'!$B$2:$B1000=$A73)*('Form responses 1'!$A$2:$A1000&lt;=EOMONTH(DATEVALUE("1 "&amp;AF$1),0)))+
  SUMPRODUCT(('Form responses 1'!$C$2:$C1000=$A73)*('Form responses 1'!$A$2:$A1000&lt;=EOMONTH(DATEVALUE("1 "&amp;AF$1),0)))+
  SUMPRODUCT(('Form responses 1'!$D$2:$D1000=$A73)*('Form responses 1'!$A$2:$A1000&lt;=EOMONTH(DATEVALUE("1 "&amp;AF$1),0)))+
  SUMPRODUCT(('Form responses 1'!$E$2:$E1000=$A73)*('Form responses 1'!$A$2:$A1000&lt;=EOMONTH(DATEVALUE("1 "&amp;AF$1),0)))+
  SUMPRODUCT(('Form responses 1'!$F$2:$F1000=$A73)*('Form responses 1'!$A$2:$A1000&lt;=EOMONTH(DATEVALUE("1 "&amp;AF$1),0)))+
  SUMPRODUCT(('Form responses 1'!$G$2:$G1000=$A73)*('Form responses 1'!$A$2:$A1000&lt;=EOMONTH(DATEVALUE("1 "&amp;AF$1),0)))
),2),"-")</f>
        <v>-</v>
      </c>
      <c r="AG73" s="2" t="str">
        <f>IFERROR(ROUND(Data!$B73/(
  SUMPRODUCT(('Form responses 1'!$B$2:$B1000=$A73)*('Form responses 1'!$A$2:$A1000&lt;=EOMONTH(DATEVALUE("1 "&amp;AG$1),0)))+
  SUMPRODUCT(('Form responses 1'!$C$2:$C1000=$A73)*('Form responses 1'!$A$2:$A1000&lt;=EOMONTH(DATEVALUE("1 "&amp;AG$1),0)))+
  SUMPRODUCT(('Form responses 1'!$D$2:$D1000=$A73)*('Form responses 1'!$A$2:$A1000&lt;=EOMONTH(DATEVALUE("1 "&amp;AG$1),0)))+
  SUMPRODUCT(('Form responses 1'!$E$2:$E1000=$A73)*('Form responses 1'!$A$2:$A1000&lt;=EOMONTH(DATEVALUE("1 "&amp;AG$1),0)))+
  SUMPRODUCT(('Form responses 1'!$F$2:$F1000=$A73)*('Form responses 1'!$A$2:$A1000&lt;=EOMONTH(DATEVALUE("1 "&amp;AG$1),0)))+
  SUMPRODUCT(('Form responses 1'!$G$2:$G1000=$A73)*('Form responses 1'!$A$2:$A1000&lt;=EOMONTH(DATEVALUE("1 "&amp;AG$1),0)))
),2),"-")</f>
        <v>-</v>
      </c>
      <c r="AH73" s="2" t="str">
        <f>IFERROR(ROUND(Data!$B73/(
  SUMPRODUCT(('Form responses 1'!$B$2:$B1000=$A73)*('Form responses 1'!$A$2:$A1000&lt;=EOMONTH(DATEVALUE("1 "&amp;AH$1),0)))+
  SUMPRODUCT(('Form responses 1'!$C$2:$C1000=$A73)*('Form responses 1'!$A$2:$A1000&lt;=EOMONTH(DATEVALUE("1 "&amp;AH$1),0)))+
  SUMPRODUCT(('Form responses 1'!$D$2:$D1000=$A73)*('Form responses 1'!$A$2:$A1000&lt;=EOMONTH(DATEVALUE("1 "&amp;AH$1),0)))+
  SUMPRODUCT(('Form responses 1'!$E$2:$E1000=$A73)*('Form responses 1'!$A$2:$A1000&lt;=EOMONTH(DATEVALUE("1 "&amp;AH$1),0)))+
  SUMPRODUCT(('Form responses 1'!$F$2:$F1000=$A73)*('Form responses 1'!$A$2:$A1000&lt;=EOMONTH(DATEVALUE("1 "&amp;AH$1),0)))+
  SUMPRODUCT(('Form responses 1'!$G$2:$G1000=$A73)*('Form responses 1'!$A$2:$A1000&lt;=EOMONTH(DATEVALUE("1 "&amp;AH$1),0)))
),2),"-")</f>
        <v>-</v>
      </c>
      <c r="AI73" s="2" t="str">
        <f>IFERROR(ROUND(Data!$B73/(
  SUMPRODUCT(('Form responses 1'!$B$2:$B1000=$A73)*('Form responses 1'!$A$2:$A1000&lt;=EOMONTH(DATEVALUE("1 "&amp;AI$1),0)))+
  SUMPRODUCT(('Form responses 1'!$C$2:$C1000=$A73)*('Form responses 1'!$A$2:$A1000&lt;=EOMONTH(DATEVALUE("1 "&amp;AI$1),0)))+
  SUMPRODUCT(('Form responses 1'!$D$2:$D1000=$A73)*('Form responses 1'!$A$2:$A1000&lt;=EOMONTH(DATEVALUE("1 "&amp;AI$1),0)))+
  SUMPRODUCT(('Form responses 1'!$E$2:$E1000=$A73)*('Form responses 1'!$A$2:$A1000&lt;=EOMONTH(DATEVALUE("1 "&amp;AI$1),0)))+
  SUMPRODUCT(('Form responses 1'!$F$2:$F1000=$A73)*('Form responses 1'!$A$2:$A1000&lt;=EOMONTH(DATEVALUE("1 "&amp;AI$1),0)))+
  SUMPRODUCT(('Form responses 1'!$G$2:$G1000=$A73)*('Form responses 1'!$A$2:$A1000&lt;=EOMONTH(DATEVALUE("1 "&amp;AI$1),0)))
),2),"-")</f>
        <v>-</v>
      </c>
      <c r="AJ73" s="2" t="str">
        <f>IFERROR(ROUND(Data!$B73/(
  SUMPRODUCT(('Form responses 1'!$B$2:$B1000=$A73)*('Form responses 1'!$A$2:$A1000&lt;=EOMONTH(DATEVALUE("1 "&amp;AJ$1),0)))+
  SUMPRODUCT(('Form responses 1'!$C$2:$C1000=$A73)*('Form responses 1'!$A$2:$A1000&lt;=EOMONTH(DATEVALUE("1 "&amp;AJ$1),0)))+
  SUMPRODUCT(('Form responses 1'!$D$2:$D1000=$A73)*('Form responses 1'!$A$2:$A1000&lt;=EOMONTH(DATEVALUE("1 "&amp;AJ$1),0)))+
  SUMPRODUCT(('Form responses 1'!$E$2:$E1000=$A73)*('Form responses 1'!$A$2:$A1000&lt;=EOMONTH(DATEVALUE("1 "&amp;AJ$1),0)))+
  SUMPRODUCT(('Form responses 1'!$F$2:$F1000=$A73)*('Form responses 1'!$A$2:$A1000&lt;=EOMONTH(DATEVALUE("1 "&amp;AJ$1),0)))+
  SUMPRODUCT(('Form responses 1'!$G$2:$G1000=$A73)*('Form responses 1'!$A$2:$A1000&lt;=EOMONTH(DATEVALUE("1 "&amp;AJ$1),0)))
),2),"-")</f>
        <v>-</v>
      </c>
      <c r="AK73" s="2" t="str">
        <f>IFERROR(ROUND(Data!$B73/(
  SUMPRODUCT(('Form responses 1'!$B$2:$B1000=$A73)*('Form responses 1'!$A$2:$A1000&lt;=EOMONTH(DATEVALUE("1 "&amp;AK$1),0)))+
  SUMPRODUCT(('Form responses 1'!$C$2:$C1000=$A73)*('Form responses 1'!$A$2:$A1000&lt;=EOMONTH(DATEVALUE("1 "&amp;AK$1),0)))+
  SUMPRODUCT(('Form responses 1'!$D$2:$D1000=$A73)*('Form responses 1'!$A$2:$A1000&lt;=EOMONTH(DATEVALUE("1 "&amp;AK$1),0)))+
  SUMPRODUCT(('Form responses 1'!$E$2:$E1000=$A73)*('Form responses 1'!$A$2:$A1000&lt;=EOMONTH(DATEVALUE("1 "&amp;AK$1),0)))+
  SUMPRODUCT(('Form responses 1'!$F$2:$F1000=$A73)*('Form responses 1'!$A$2:$A1000&lt;=EOMONTH(DATEVALUE("1 "&amp;AK$1),0)))+
  SUMPRODUCT(('Form responses 1'!$G$2:$G1000=$A73)*('Form responses 1'!$A$2:$A1000&lt;=EOMONTH(DATEVALUE("1 "&amp;AK$1),0)))
),2),"-")</f>
        <v>-</v>
      </c>
      <c r="AL73" s="2" t="str">
        <f>IFERROR(ROUND(Data!$B73/(
  SUMPRODUCT(('Form responses 1'!$B$2:$B1000=$A73)*('Form responses 1'!$A$2:$A1000&lt;=EOMONTH(DATEVALUE("1 "&amp;AL$1),0)))+
  SUMPRODUCT(('Form responses 1'!$C$2:$C1000=$A73)*('Form responses 1'!$A$2:$A1000&lt;=EOMONTH(DATEVALUE("1 "&amp;AL$1),0)))+
  SUMPRODUCT(('Form responses 1'!$D$2:$D1000=$A73)*('Form responses 1'!$A$2:$A1000&lt;=EOMONTH(DATEVALUE("1 "&amp;AL$1),0)))+
  SUMPRODUCT(('Form responses 1'!$E$2:$E1000=$A73)*('Form responses 1'!$A$2:$A1000&lt;=EOMONTH(DATEVALUE("1 "&amp;AL$1),0)))+
  SUMPRODUCT(('Form responses 1'!$F$2:$F1000=$A73)*('Form responses 1'!$A$2:$A1000&lt;=EOMONTH(DATEVALUE("1 "&amp;AL$1),0)))+
  SUMPRODUCT(('Form responses 1'!$G$2:$G1000=$A73)*('Form responses 1'!$A$2:$A1000&lt;=EOMONTH(DATEVALUE("1 "&amp;AL$1),0)))
),2),"-")</f>
        <v>-</v>
      </c>
    </row>
    <row r="74">
      <c r="A74" s="3" t="str">
        <f>IFERROR(__xludf.DUMMYFUNCTION("""COMPUTED_VALUE"""),"Dikke spijkerjas")</f>
        <v>Dikke spijkerjas</v>
      </c>
      <c r="B74" s="2">
        <f>Data!F66:F1000</f>
        <v>0.87</v>
      </c>
      <c r="C74" s="2">
        <f>IFERROR(ROUND(Data!B66/(SUMPRODUCT(('Form responses 1'!$B$2:$B1000 = A74) * ('Form responses 1'!$A$2:$A1000 &lt;= DATE(2024, 1, 31)))
+ SUMPRODUCT(('Form responses 1'!$C$2:$C1000 = A74) * ('Form responses 1'!$A$2:$A1000 &lt;= DATE(2024, 1, 31)))
+ SUMPRODUCT(('Form responses 1'!$D$2:$D1000 = A74) * ('Form responses 1'!$A$2:$A1000 &lt;= DATE(2024, 1, 31)))
+ SUMPRODUCT(('Form responses 1'!$E$2:$E1000 = A74) * ('Form responses 1'!$A$2:$A1000 &lt;= DATE(2024, 1, 31)))
+ SUMPRODUCT(('Form responses 1'!$F$2:$F1000 = A74) * ('Form responses 1'!$A$2:$A1000 &lt;= DATE(2024, 1, 31)))
+ SUMPRODUCT(('Form responses 1'!$G$2:$G1000 = A74) * ('Form responses 1'!$A$2:$A1000 &lt;= DATE(2024, 1, 31)))), 2), "-")
</f>
        <v>0.77</v>
      </c>
      <c r="D74" s="2">
        <f>IFERROR(ROUND(Data!B66/(SUMPRODUCT(('Form responses 1'!$B$2:$B1000 = A74) * ('Form responses 1'!$A$2:$A1000 &lt;= DATE(2024, 2, 29)))
+ SUMPRODUCT(('Form responses 1'!$C$2:$C1000 = A74) * ('Form responses 1'!$A$2:$A1000 &lt;= DATE(2024, 2, 29)))
+ SUMPRODUCT(('Form responses 1'!$D$2:$D1000 = A74) * ('Form responses 1'!$A$2:$A1000 &lt;= DATE(2024, 2, 29)))
+ SUMPRODUCT(('Form responses 1'!$E$2:$E1000 = A74) * ('Form responses 1'!$A$2:$A1000 &lt;= DATE(2024, 2, 29)))
+ SUMPRODUCT(('Form responses 1'!$F$2:$F1000 = A74) * ('Form responses 1'!$A$2:$A1000 &lt;= DATE(2024, 2, 29)))
+ SUMPRODUCT(('Form responses 1'!$G$2:$G1000 = A74) * ('Form responses 1'!$A$2:$A1000 &lt;= DATE(2024, 2, 29)))), 2), "-")
</f>
        <v>0.77</v>
      </c>
      <c r="E74" s="2">
        <f>IFERROR(ROUND(Data!B66/(SUMPRODUCT(('Form responses 1'!$B$2:$B1000 = A74) * ('Form responses 1'!$A$2:$A1000 &lt;= DATE(2024, 3, 31)))
+ SUMPRODUCT(('Form responses 1'!$C$2:$C1000 = A74) * ('Form responses 1'!$A$2:$A1000 &lt;= DATE(2024, 3, 31)))
+ SUMPRODUCT(('Form responses 1'!$D$2:$D1000 = A74) * ('Form responses 1'!$A$2:$A1000 &lt;= DATE(2024, 3, 31)))
+ SUMPRODUCT(('Form responses 1'!$E$2:$E1000 = A74) * ('Form responses 1'!$A$2:$A1000 &lt;= DATE(2024, 3, 31)))
+ SUMPRODUCT(('Form responses 1'!$F$2:$F1000 = A74) * ('Form responses 1'!$A$2:$A1000 &lt;= DATE(2024, 3, 31)))
+ SUMPRODUCT(('Form responses 1'!$G$2:$G1000 = A74) * ('Form responses 1'!$A$2:$A1000 &lt;= DATE(2024, 3, 31)))), 2), "-")
</f>
        <v>0.77</v>
      </c>
      <c r="F74" s="2">
        <f>IFERROR(ROUND(Data!B66/(SUMPRODUCT(('Form responses 1'!$B$2:$B1000 = A74) * ('Form responses 1'!$A$2:$A1000 &lt;= DATE(2024, 4, 30)))
+ SUMPRODUCT(('Form responses 1'!$C$2:$C1000 = A74) * ('Form responses 1'!$A$2:$A1000 &lt;= DATE(2024, 4, 30)))
+ SUMPRODUCT(('Form responses 1'!$D$2:$D1000 = A74) * ('Form responses 1'!$A$2:$A1000 &lt;= DATE(2024, 4, 30)))
+ SUMPRODUCT(('Form responses 1'!$E$2:$E1000 = A74) * ('Form responses 1'!$A$2:$A1000 &lt;= DATE(2024, 4, 30)))
+ SUMPRODUCT(('Form responses 1'!$F$2:$F1000 = A74) * ('Form responses 1'!$A$2:$A1000 &lt;= DATE(2024, 4, 30)))
+ SUMPRODUCT(('Form responses 1'!$G$2:$G1000 = A74) * ('Form responses 1'!$A$2:$A1000 &lt;= DATE(2024, 4, 30)))), 2), "-")
</f>
        <v>0.77</v>
      </c>
      <c r="G74" s="2">
        <f>IFERROR(ROUND(Data!B66/(SUMPRODUCT(('Form responses 1'!$B$2:$B1000 = A74) * ('Form responses 1'!$A$2:$A1000 &lt;= DATE(2024, 5, 31)))
+ SUMPRODUCT(('Form responses 1'!$C$2:$C1000 = A74) * ('Form responses 1'!$A$2:$A1000 &lt;= DATE(2024, 5, 31)))
+ SUMPRODUCT(('Form responses 1'!$D$2:$D1000 = A74) * ('Form responses 1'!$A$2:$A1000 &lt;= DATE(2024, 5, 31)))
+ SUMPRODUCT(('Form responses 1'!$E$2:$E1000 = A74) * ('Form responses 1'!$A$2:$A1000 &lt;= DATE(2024, 5, 31)))
+ SUMPRODUCT(('Form responses 1'!$F$2:$F1000 = A74) * ('Form responses 1'!$A$2:$A1000 &lt;= DATE(2024, 5, 31)))
+ SUMPRODUCT(('Form responses 1'!$G$2:$G1000 = A74) * ('Form responses 1'!$A$2:$A1000 &lt;= DATE(2024, 5, 31)))), 2), "-")
</f>
        <v>0.77</v>
      </c>
      <c r="H74" s="2">
        <f>IFERROR(ROUND(Data!B66/(SUMPRODUCT(('Form responses 1'!$B$2:$B1000 = A74) * ('Form responses 1'!$A$2:$A1000 &lt;= DATE(2024, 6, 30)))
+ SUMPRODUCT(('Form responses 1'!$C$2:$C1000 = A74) * ('Form responses 1'!$A$2:$A1000 &lt;= DATE(2024, 6, 30)))
+ SUMPRODUCT(('Form responses 1'!$D$2:$D1000 = A74) * ('Form responses 1'!$A$2:$A1000 &lt;= DATE(2024, 6, 30)))
+ SUMPRODUCT(('Form responses 1'!$E$2:$E1000 = A74) * ('Form responses 1'!$A$2:$A1000 &lt;= DATE(2024, 6, 30)))
+ SUMPRODUCT(('Form responses 1'!$F$2:$F1000 = A74) * ('Form responses 1'!$A$2:$A1000 &lt;= DATE(2024, 6, 30)))
+ SUMPRODUCT(('Form responses 1'!$G$2:$G1000 = A74) * ('Form responses 1'!$A$2:$A1000 &lt;= DATE(2024, 6, 30)))), 2), "-")
</f>
        <v>0.77</v>
      </c>
      <c r="I74" s="2">
        <f>IFERROR(ROUND(Data!B66/(SUMPRODUCT(('Form responses 1'!$B$2:$B1000 = A74) * ('Form responses 1'!$A$2:$A1000 &lt;= DATE(2024, 7, 31)))
+ SUMPRODUCT(('Form responses 1'!$C$2:$C1000 = A74) * ('Form responses 1'!$A$2:$A1000 &lt;= DATE(2024, 7, 31)))
+ SUMPRODUCT(('Form responses 1'!$D$2:$D1000 = A74) * ('Form responses 1'!$A$2:$A1000 &lt;= DATE(2024, 7, 31)))
+ SUMPRODUCT(('Form responses 1'!$E$2:$E1000 = A74) * ('Form responses 1'!$A$2:$A1000 &lt;= DATE(2024, 7, 31)))
+ SUMPRODUCT(('Form responses 1'!$F$2:$F1000 = A74) * ('Form responses 1'!$A$2:$A1000 &lt;= DATE(2024, 7, 31)))
+ SUMPRODUCT(('Form responses 1'!$G$2:$G1000 = A74) * ('Form responses 1'!$A$2:$A1000 &lt;= DATE(2024, 7, 31)))), 2), "-")
</f>
        <v>0.77</v>
      </c>
      <c r="J74" s="2">
        <f>IFERROR(ROUND(Data!B66/(SUMPRODUCT(('Form responses 1'!$B$2:$B1000 = A74) * ('Form responses 1'!$A$2:$A1000 &lt;= DATE(2024, 8, 31)))
+ SUMPRODUCT(('Form responses 1'!$C$2:$C1000 = A74) * ('Form responses 1'!$A$2:$A1000 &lt;= DATE(2024, 8, 31)))
+ SUMPRODUCT(('Form responses 1'!$D$2:$D1000 = A74) * ('Form responses 1'!$A$2:$A1000 &lt;= DATE(2024, 8, 31)))
+ SUMPRODUCT(('Form responses 1'!$E$2:$E1000 = A74) * ('Form responses 1'!$A$2:$A1000 &lt;= DATE(2024, 8, 31)))
+ SUMPRODUCT(('Form responses 1'!$F$2:$F1000 = A74) * ('Form responses 1'!$A$2:$A1000 &lt;= DATE(2024, 8, 31)))
+ SUMPRODUCT(('Form responses 1'!$G$2:$G1000 = A74) * ('Form responses 1'!$A$2:$A1000 &lt;= DATE(2024, 8, 31)))), 2), "-")
</f>
        <v>0.77</v>
      </c>
      <c r="K74" s="2">
        <f>IFERROR(ROUND(Data!B66/(SUMPRODUCT(('Form responses 1'!$B$2:$B1000 = A74) * ('Form responses 1'!$A$2:$A1000 &lt;= DATE(2024, 9, 30)))
+ SUMPRODUCT(('Form responses 1'!$C$2:$C1000 = A74) * ('Form responses 1'!$A$2:$A1000 &lt;= DATE(2024, 9, 30)))
+ SUMPRODUCT(('Form responses 1'!$D$2:$D1000 = A74) * ('Form responses 1'!$A$2:$A1000 &lt;= DATE(2024, 9, 30)))
+ SUMPRODUCT(('Form responses 1'!$E$2:$E1000 = A74) * ('Form responses 1'!$A$2:$A1000 &lt;= DATE(2024, 9, 30)))
+ SUMPRODUCT(('Form responses 1'!$F$2:$F1000 = A74) * ('Form responses 1'!$A$2:$A1000 &lt;= DATE(2024, 9, 30)))
+ SUMPRODUCT(('Form responses 1'!$G$2:$G1000 = A74) * ('Form responses 1'!$A$2:$A1000 &lt;= DATE(2024, 9, 30)))), 2), "-")
</f>
        <v>0.77</v>
      </c>
      <c r="L74" s="2">
        <f>IFERROR(ROUND(Data!B66/(SUMPRODUCT(('Form responses 1'!$B$2:$B1000 = A74) * ('Form responses 1'!$A$2:$A1000 &lt;= DATE(2024, 10, 31)))
+ SUMPRODUCT(('Form responses 1'!$C$2:$C1000 = A74) * ('Form responses 1'!$A$2:$A1000 &lt;= DATE(2024, 10, 31)))
+ SUMPRODUCT(('Form responses 1'!$D$2:$D1000 = A74) * ('Form responses 1'!$A$2:$A1000 &lt;= DATE(2024, 10, 31)))
+ SUMPRODUCT(('Form responses 1'!$E$2:$E1000 = A74) * ('Form responses 1'!$A$2:$A1000 &lt;= DATE(2024, 10, 31)))
+ SUMPRODUCT(('Form responses 1'!$F$2:$F1000 = A74) * ('Form responses 1'!$A$2:$A1000 &lt;= DATE(2024, 10, 31)))
+ SUMPRODUCT(('Form responses 1'!$G$2:$G1000 = A74) * ('Form responses 1'!$A$2:$A1000 &lt;= DATE(2024, 10, 31)))), 2), "-")
</f>
        <v>0.77</v>
      </c>
      <c r="M74" s="2">
        <f>IFERROR(ROUND(Data!B66/(SUMPRODUCT(('Form responses 1'!$B$2:$B1000 = A74) * ('Form responses 1'!$A$2:$A1000 &lt;= DATE(2024, 11, 30)))
+ SUMPRODUCT(('Form responses 1'!$C$2:$C1000 = A74) * ('Form responses 1'!$A$2:$A1000 &lt;= DATE(2024, 11, 30)))
+ SUMPRODUCT(('Form responses 1'!$D$2:$D1000 = A74) * ('Form responses 1'!$A$2:$A1000 &lt;= DATE(2024, 11, 30)))
+ SUMPRODUCT(('Form responses 1'!$E$2:$E1000 = A74) * ('Form responses 1'!$A$2:$A1000 &lt;= DATE(2024, 11, 30)))
+ SUMPRODUCT(('Form responses 1'!$F$2:$F1000 = A74) * ('Form responses 1'!$A$2:$A1000 &lt;= DATE(2024, 11, 30)))
+ SUMPRODUCT(('Form responses 1'!$G$2:$G1000 = A74) * ('Form responses 1'!$A$2:$A1000 &lt;= DATE(2024, 11, 30)))), 2), "-")
</f>
        <v>0.77</v>
      </c>
      <c r="N74" s="2">
        <f>IFERROR(ROUND(Data!B66/(SUMPRODUCT(('Form responses 1'!$B$2:$B1000 = A74) * ('Form responses 1'!$A$2:$A1000 &lt;= DATE(2024, 12, 31)))
+ SUMPRODUCT(('Form responses 1'!$C$2:$C1000 = A74) * ('Form responses 1'!$A$2:$A1000 &lt;= DATE(2024, 12, 31)))
+ SUMPRODUCT(('Form responses 1'!$D$2:$D1000 = A74) * ('Form responses 1'!$A$2:$A1000 &lt;= DATE(2024, 12, 31)))
+ SUMPRODUCT(('Form responses 1'!$E$2:$E1000 = A74) * ('Form responses 1'!$A$2:$A1000 &lt;= DATE(2024, 12, 31)))
+ SUMPRODUCT(('Form responses 1'!$F$2:$F1000 = A74) * ('Form responses 1'!$A$2:$A1000 &lt;= DATE(2024, 12, 31)))
+ SUMPRODUCT(('Form responses 1'!$G$2:$G1000 = A74) * ('Form responses 1'!$A$2:$A1000 &lt;= DATE(2024, 12, 31)))), 2), "-")
</f>
        <v>0.77</v>
      </c>
      <c r="O74" s="2">
        <f>IFERROR(ROUND(Data!B66/(SUMPRODUCT(('Form responses 1'!$B$2:$B1000 = A74) * ('Form responses 1'!$A$2:$A1000 &lt;= DATE(2025, 1, 31)))
+ SUMPRODUCT(('Form responses 1'!$C$2:$C1000 = A74) * ('Form responses 1'!$A$2:$A1000 &lt;= DATE(2025, 1, 31)))
+ SUMPRODUCT(('Form responses 1'!$D$2:$D1000 = A74) * ('Form responses 1'!$A$2:$A1000 &lt;= DATE(2025, 1, 31)))
+ SUMPRODUCT(('Form responses 1'!$E$2:$E1000 = A74) * ('Form responses 1'!$A$2:$A1000 &lt;= DATE(2025, 1, 31)))
+ SUMPRODUCT(('Form responses 1'!$F$2:$F1000 = A74) * ('Form responses 1'!$A$2:$A1000 &lt;= DATE(2025, 1, 31)))
+ SUMPRODUCT(('Form responses 1'!$G$2:$G1000 = A74) * ('Form responses 1'!$A$2:$A1000 &lt;= DATE(2025, 1, 31)))), 2), "-")
</f>
        <v>0.77</v>
      </c>
      <c r="P74" s="2">
        <f>IFERROR(ROUND(Data!B66/(SUMPRODUCT(('Form responses 1'!$B$2:$B1000 = A74) * ('Form responses 1'!$A$2:$A1000 &lt;= DATE(2025, 2, 28)))
+ SUMPRODUCT(('Form responses 1'!$C$2:$C1000 = A74) * ('Form responses 1'!$A$2:$A1000 &lt;= DATE(2025, 2, 28)))
+ SUMPRODUCT(('Form responses 1'!$D$2:$D1000 = A74) * ('Form responses 1'!$A$2:$A1000 &lt;= DATE(2025, 2, 28)))
+ SUMPRODUCT(('Form responses 1'!$E$2:$E1000 = A74) * ('Form responses 1'!$A$2:$A1000 &lt;= DATE(2025, 2, 28)))
+ SUMPRODUCT(('Form responses 1'!$F$2:$F1000 = A74) * ('Form responses 1'!$A$2:$A1000 &lt;= DATE(2025, 2, 28)))
+ SUMPRODUCT(('Form responses 1'!$G$2:$G1000 = A74) * ('Form responses 1'!$A$2:$A1000 &lt;= DATE(2025, 2, 28)))), 2), "-")
</f>
        <v>0.77</v>
      </c>
      <c r="Q74" s="2">
        <f>IFERROR(ROUND(Data!B66/(SUMPRODUCT(('Form responses 1'!$B$2:$B1000 = A74) * ('Form responses 1'!$A$2:$A1000 &lt;= DATE(2025, 3, 31)))
+ SUMPRODUCT(('Form responses 1'!$C$2:$C1000 = A74) * ('Form responses 1'!$A$2:$A1000 &lt;= DATE(2025, 3, 31)))
+ SUMPRODUCT(('Form responses 1'!$D$2:$D1000 = A74) * ('Form responses 1'!$A$2:$A1000 &lt;= DATE(2025, 3, 31)))
+ SUMPRODUCT(('Form responses 1'!$E$2:$E1000 = A74) * ('Form responses 1'!$A$2:$A1000 &lt;= DATE(2025, 3, 31)))
+ SUMPRODUCT(('Form responses 1'!$F$2:$F1000 = A74) * ('Form responses 1'!$A$2:$A1000 &lt;= DATE(2025, 3, 31)))
+ SUMPRODUCT(('Form responses 1'!$G$2:$G1000 = A74) * ('Form responses 1'!$A$2:$A1000 &lt;= DATE(2025, 3, 31)))),2),"-")</f>
        <v>0.77</v>
      </c>
      <c r="R74" s="2">
        <f>IFERROR(ROUND(Data!B66/(SUMPRODUCT(('Form responses 1'!$B$2:$B1000 = A74) * ('Form responses 1'!$A$2:$A1000 &lt;= DATE(2025, 4, 30)))
+ SUMPRODUCT(('Form responses 1'!$C$2:$C1000 = A74) * ('Form responses 1'!$A$2:$A1000 &lt;= DATE(2025, 4, 30)))
+ SUMPRODUCT(('Form responses 1'!$D$2:$D1000 = A74) * ('Form responses 1'!$A$2:$A1000 &lt;= DATE(2025, 4, 30)))
+ SUMPRODUCT(('Form responses 1'!$E$2:$E1000 = A74) * ('Form responses 1'!$A$2:$A1000 &lt;= DATE(2025, 4, 30)))
+ SUMPRODUCT(('Form responses 1'!$F$2:$F1000 = A74) * ('Form responses 1'!$A$2:$A1000 &lt;= DATE(2025, 4, 30)))
+ SUMPRODUCT(('Form responses 1'!$G$2:$G1000 = A74) * ('Form responses 1'!$A$2:$A1000 &lt;= DATE(2025, 4, 30)))), 2), "-")
</f>
        <v>0.77</v>
      </c>
      <c r="S74" s="2">
        <f>IFERROR(ROUND(Data!B66/(SUMPRODUCT(('Form responses 1'!$B$2:$B1000 = A74) * ('Form responses 1'!$A$2:$A1000 &lt;= DATE(2025, 5, 31)))
+ SUMPRODUCT(('Form responses 1'!$C$2:$C1000 = A74) * ('Form responses 1'!$A$2:$A1000 &lt;= DATE(2025, 5, 31)))
+ SUMPRODUCT(('Form responses 1'!$D$2:$D1000 = A74) * ('Form responses 1'!$A$2:$A1000 &lt;= DATE(2025, 5, 31)))
+ SUMPRODUCT(('Form responses 1'!$E$2:$E1000 = A74) * ('Form responses 1'!$A$2:$A1000 &lt;= DATE(2025, 5, 31)))
+ SUMPRODUCT(('Form responses 1'!$F$2:$F1000 = A74) * ('Form responses 1'!$A$2:$A1000 &lt;= DATE(2025, 5, 31)))
+ SUMPRODUCT(('Form responses 1'!$G$2:$G1000 = A74) * ('Form responses 1'!$A$2:$A1000 &lt;= DATE(2025, 5, 31)))), 2), "-")
</f>
        <v>0.77</v>
      </c>
      <c r="T74" s="2">
        <f>IFERROR(ROUND(Data!B66/(SUMPRODUCT(('Form responses 1'!$B$2:$B1000 = A74) * ('Form responses 1'!$A$2:$A1000 &lt;= DATE(2025, 6, 30)))
+ SUMPRODUCT(('Form responses 1'!$C$2:$C1000 = A74) * ('Form responses 1'!$A$2:$A1000 &lt;= DATE(2025, 6, 30)))
+ SUMPRODUCT(('Form responses 1'!$D$2:$D1000 = A74) * ('Form responses 1'!$A$2:$A1000 &lt;= DATE(2025, 6, 30)))
+ SUMPRODUCT(('Form responses 1'!$E$2:$E1000 = A74) * ('Form responses 1'!$A$2:$A1000 &lt;= DATE(2025, 6, 30)))
+ SUMPRODUCT(('Form responses 1'!$F$2:$F1000 = A74) * ('Form responses 1'!$A$2:$A1000 &lt;= DATE(2025, 6, 30)))
+ SUMPRODUCT(('Form responses 1'!$G$2:$G1000 = A74) * ('Form responses 1'!$A$2:$A1000 &lt;= DATE(2025, 6, 30)))), 2), "-")
</f>
        <v>0.77</v>
      </c>
      <c r="U74" s="2">
        <f>IFERROR(ROUND(Data!B66/(SUMPRODUCT(('Form responses 1'!$B$2:$B1000 = A74) * ('Form responses 1'!$A$2:$A1000 &lt;= DATE(2025, 7, 31)))
+ SUMPRODUCT(('Form responses 1'!$C$2:$C1000 = A74) * ('Form responses 1'!$A$2:$A1000 &lt;= DATE(2025, 7, 31)))
+ SUMPRODUCT(('Form responses 1'!$D$2:$D1000 = A74) * ('Form responses 1'!$A$2:$A1000 &lt;= DATE(2025, 7, 31)))
+ SUMPRODUCT(('Form responses 1'!$E$2:$E1000 = A74) * ('Form responses 1'!$A$2:$A1000 &lt;= DATE(2025, 7, 31)))
+ SUMPRODUCT(('Form responses 1'!$F$2:$F1000 = A74) * ('Form responses 1'!$A$2:$A1000 &lt;= DATE(2025, 7, 31)))
+ SUMPRODUCT(('Form responses 1'!$G$2:$G1000 = A74) * ('Form responses 1'!$A$2:$A1000 &lt;= DATE(2025, 7, 31)))), 2), "-")
</f>
        <v>0.77</v>
      </c>
      <c r="V74" s="2">
        <f>IFERROR(ROUND(Data!B66/(SUMPRODUCT(('Form responses 1'!$B$2:$B1000 = A74) * ('Form responses 1'!$A$2:$A1000 &lt;= DATE(2025, 8, 31)))
+ SUMPRODUCT(('Form responses 1'!$C$2:$C1000 = A74) * ('Form responses 1'!$A$2:$A1000 &lt;= DATE(2025, 8, 31)))
+ SUMPRODUCT(('Form responses 1'!$D$2:$D1000 = A74) * ('Form responses 1'!$A$2:$A1000 &lt;= DATE(2025, 8, 31)))
+ SUMPRODUCT(('Form responses 1'!$E$2:$E1000 = A74) * ('Form responses 1'!$A$2:$A1000 &lt;= DATE(2025, 8, 31)))
+ SUMPRODUCT(('Form responses 1'!$F$2:$F1000 = A74) * ('Form responses 1'!$A$2:$A1000 &lt;= DATE(2025, 8, 31)))
+ SUMPRODUCT(('Form responses 1'!$G$2:$G1000 = A74) * ('Form responses 1'!$A$2:$A1000 &lt;= DATE(2025, 8, 31)))), 2), "-")
</f>
        <v>0.77</v>
      </c>
      <c r="W74" s="2">
        <f>IFERROR(ROUND(Data!B66/(SUMPRODUCT(('Form responses 1'!$B$2:$B1000 = A74) * ('Form responses 1'!$A$2:$A1000 &lt;= DATE(2025, 9, 30)))
+ SUMPRODUCT(('Form responses 1'!$C$2:$C1000 = A74) * ('Form responses 1'!$A$2:$A1000 &lt;= DATE(2025, 9, 30)))
+ SUMPRODUCT(('Form responses 1'!$D$2:$D1000 = A74) * ('Form responses 1'!$A$2:$A1000 &lt;= DATE(2025, 9, 30)))
+ SUMPRODUCT(('Form responses 1'!$E$2:$E1000 = A74) * ('Form responses 1'!$A$2:$A1000 &lt;= DATE(2025, 9, 30)))
+ SUMPRODUCT(('Form responses 1'!$F$2:$F1000 = A74) * ('Form responses 1'!$A$2:$A1000 &lt;= DATE(2025, 9, 30)))
+ SUMPRODUCT(('Form responses 1'!$G$2:$G1000 = A74) * ('Form responses 1'!$A$2:$A1000 &lt;= DATE(2025, 9, 30)))), 2), "-")
</f>
        <v>0.77</v>
      </c>
      <c r="X74" s="2">
        <f>IFERROR(ROUND(Data!B66/(SUMPRODUCT(('Form responses 1'!$B$2:$B1000 = A74) * ('Form responses 1'!$A$2:$A1000 &lt;= DATE(2025, 10, 31)))
+ SUMPRODUCT(('Form responses 1'!$C$2:$C1000 = A74) * ('Form responses 1'!$A$2:$A1000 &lt;= DATE(2025, 10, 31)))
+ SUMPRODUCT(('Form responses 1'!$D$2:$D1000 = A74) * ('Form responses 1'!$A$2:$A1000 &lt;= DATE(2025, 10, 31)))
+ SUMPRODUCT(('Form responses 1'!$E$2:$E1000 = A74) * ('Form responses 1'!$A$2:$A1000 &lt;= DATE(2025, 10, 31)))
+ SUMPRODUCT(('Form responses 1'!$F$2:$F1000 = A74) * ('Form responses 1'!$A$2:$A1000 &lt;= DATE(2025, 10, 31)))
+ SUMPRODUCT(('Form responses 1'!$G$2:$G1000 = A74) * ('Form responses 1'!$A$2:$A1000 &lt;= DATE(2025, 10, 31)))), 2), "-")
</f>
        <v>0.77</v>
      </c>
      <c r="Y74" s="2">
        <f>IFERROR(ROUND(Data!B66/(SUMPRODUCT(('Form responses 1'!$B$2:$B1000 = A74) * ('Form responses 1'!$A$2:$A1000 &lt;= DATE(2025, 11, 30)))
+ SUMPRODUCT(('Form responses 1'!$C$2:$C1000 = A74) * ('Form responses 1'!$A$2:$A1000 &lt;= DATE(2025, 11, 30)))
+ SUMPRODUCT(('Form responses 1'!$D$2:$D1000 = A74) * ('Form responses 1'!$A$2:$A1000 &lt;= DATE(2025, 11, 30)))
+ SUMPRODUCT(('Form responses 1'!$E$2:$E1000 = A74) * ('Form responses 1'!$A$2:$A1000 &lt;= DATE(2025, 11, 30)))
+ SUMPRODUCT(('Form responses 1'!$F$2:$F1000 = A74) * ('Form responses 1'!$A$2:$A1000 &lt;= DATE(2025, 11, 30)))
+ SUMPRODUCT(('Form responses 1'!$G$2:$G1000 = A74) * ('Form responses 1'!$A$2:$A1000 &lt;= DATE(2025, 11, 30)))), 2), "-")
</f>
        <v>0.77</v>
      </c>
      <c r="Z74" s="2">
        <f>IFERROR(ROUND(Data!B66/(SUMPRODUCT(('Form responses 1'!$B$2:$B1000 = A74) * ('Form responses 1'!$A$2:$A1000 &lt;= DATE(2025, 12, 31)))
+ SUMPRODUCT(('Form responses 1'!$C$2:$C1000 = A74) * ('Form responses 1'!$A$2:$A1000 &lt;= DATE(2025, 12, 31)))
+ SUMPRODUCT(('Form responses 1'!$D$2:$D1000 = A74) * ('Form responses 1'!$A$2:$A1000 &lt;= DATE(2025, 12, 31)))
+ SUMPRODUCT(('Form responses 1'!$E$2:$E1000 = A74) * ('Form responses 1'!$A$2:$A1000 &lt;= DATE(2025, 12, 31)))
+ SUMPRODUCT(('Form responses 1'!$F$2:$F1000 = A74) * ('Form responses 1'!$A$2:$A1000 &lt;= DATE(2025, 12, 31)))
+ SUMPRODUCT(('Form responses 1'!$G$2:$G1000 = A74) * ('Form responses 1'!$A$2:$A1000 &lt;= DATE(2025, 12, 31)))), 2), "-")
</f>
        <v>0.77</v>
      </c>
      <c r="AA74" s="2">
        <f>IFERROR(ROUND(Data!$B74/(
  SUMPRODUCT(('Form responses 1'!$B$2:$B1000=$A74)*('Form responses 1'!$A$2:$A1000&lt;=EOMONTH(DATEVALUE("1 "&amp;AA$1),0)))+
  SUMPRODUCT(('Form responses 1'!$C$2:$C1000=$A74)*('Form responses 1'!$A$2:$A1000&lt;=EOMONTH(DATEVALUE("1 "&amp;AA$1),0)))+
  SUMPRODUCT(('Form responses 1'!$D$2:$D1000=$A74)*('Form responses 1'!$A$2:$A1000&lt;=EOMONTH(DATEVALUE("1 "&amp;AA$1),0)))+
  SUMPRODUCT(('Form responses 1'!$E$2:$E1000=$A74)*('Form responses 1'!$A$2:$A1000&lt;=EOMONTH(DATEVALUE("1 "&amp;AA$1),0)))+
  SUMPRODUCT(('Form responses 1'!$F$2:$F1000=$A74)*('Form responses 1'!$A$2:$A1000&lt;=EOMONTH(DATEVALUE("1 "&amp;AA$1),0)))+
  SUMPRODUCT(('Form responses 1'!$G$2:$G1000=$A74)*('Form responses 1'!$A$2:$A1000&lt;=EOMONTH(DATEVALUE("1 "&amp;AA$1),0)))
),2),"-")</f>
        <v>0.87</v>
      </c>
      <c r="AB74" s="2">
        <f>IFERROR(ROUND(Data!$B74/(
  SUMPRODUCT(('Form responses 1'!$B$2:$B1000=$A74)*('Form responses 1'!$A$2:$A1000&lt;=EOMONTH(DATEVALUE("1 "&amp;AB$1),0)))+
  SUMPRODUCT(('Form responses 1'!$C$2:$C1000=$A74)*('Form responses 1'!$A$2:$A1000&lt;=EOMONTH(DATEVALUE("1 "&amp;AB$1),0)))+
  SUMPRODUCT(('Form responses 1'!$D$2:$D1000=$A74)*('Form responses 1'!$A$2:$A1000&lt;=EOMONTH(DATEVALUE("1 "&amp;AB$1),0)))+
  SUMPRODUCT(('Form responses 1'!$E$2:$E1000=$A74)*('Form responses 1'!$A$2:$A1000&lt;=EOMONTH(DATEVALUE("1 "&amp;AB$1),0)))+
  SUMPRODUCT(('Form responses 1'!$F$2:$F1000=$A74)*('Form responses 1'!$A$2:$A1000&lt;=EOMONTH(DATEVALUE("1 "&amp;AB$1),0)))+
  SUMPRODUCT(('Form responses 1'!$G$2:$G1000=$A74)*('Form responses 1'!$A$2:$A1000&lt;=EOMONTH(DATEVALUE("1 "&amp;AB$1),0)))
),2),"-")</f>
        <v>0.87</v>
      </c>
      <c r="AC74" s="2">
        <f>IFERROR(ROUND(Data!$B74/(
  SUMPRODUCT(('Form responses 1'!$B$2:$B1000=$A74)*('Form responses 1'!$A$2:$A1000&lt;=EOMONTH(DATEVALUE("1 "&amp;AC$1),0)))+
  SUMPRODUCT(('Form responses 1'!$C$2:$C1000=$A74)*('Form responses 1'!$A$2:$A1000&lt;=EOMONTH(DATEVALUE("1 "&amp;AC$1),0)))+
  SUMPRODUCT(('Form responses 1'!$D$2:$D1000=$A74)*('Form responses 1'!$A$2:$A1000&lt;=EOMONTH(DATEVALUE("1 "&amp;AC$1),0)))+
  SUMPRODUCT(('Form responses 1'!$E$2:$E1000=$A74)*('Form responses 1'!$A$2:$A1000&lt;=EOMONTH(DATEVALUE("1 "&amp;AC$1),0)))+
  SUMPRODUCT(('Form responses 1'!$F$2:$F1000=$A74)*('Form responses 1'!$A$2:$A1000&lt;=EOMONTH(DATEVALUE("1 "&amp;AC$1),0)))+
  SUMPRODUCT(('Form responses 1'!$G$2:$G1000=$A74)*('Form responses 1'!$A$2:$A1000&lt;=EOMONTH(DATEVALUE("1 "&amp;AC$1),0)))
),2),"-")</f>
        <v>0.87</v>
      </c>
      <c r="AD74" s="2" t="str">
        <f>IFERROR(ROUND(Data!$B74/(
  SUMPRODUCT(('Form responses 1'!$B$2:$B1000=$A74)*('Form responses 1'!$A$2:$A1000&lt;=EOMONTH(DATEVALUE("1 "&amp;AD$1),0)))+
  SUMPRODUCT(('Form responses 1'!$C$2:$C1000=$A74)*('Form responses 1'!$A$2:$A1000&lt;=EOMONTH(DATEVALUE("1 "&amp;AD$1),0)))+
  SUMPRODUCT(('Form responses 1'!$D$2:$D1000=$A74)*('Form responses 1'!$A$2:$A1000&lt;=EOMONTH(DATEVALUE("1 "&amp;AD$1),0)))+
  SUMPRODUCT(('Form responses 1'!$E$2:$E1000=$A74)*('Form responses 1'!$A$2:$A1000&lt;=EOMONTH(DATEVALUE("1 "&amp;AD$1),0)))+
  SUMPRODUCT(('Form responses 1'!$F$2:$F1000=$A74)*('Form responses 1'!$A$2:$A1000&lt;=EOMONTH(DATEVALUE("1 "&amp;AD$1),0)))+
  SUMPRODUCT(('Form responses 1'!$G$2:$G1000=$A74)*('Form responses 1'!$A$2:$A1000&lt;=EOMONTH(DATEVALUE("1 "&amp;AD$1),0)))
),2),"-")</f>
        <v>-</v>
      </c>
      <c r="AE74" s="2" t="str">
        <f>IFERROR(ROUND(Data!$B74/(
  SUMPRODUCT(('Form responses 1'!$B$2:$B1000=$A74)*('Form responses 1'!$A$2:$A1000&lt;=EOMONTH(DATEVALUE("1 "&amp;AE$1),0)))+
  SUMPRODUCT(('Form responses 1'!$C$2:$C1000=$A74)*('Form responses 1'!$A$2:$A1000&lt;=EOMONTH(DATEVALUE("1 "&amp;AE$1),0)))+
  SUMPRODUCT(('Form responses 1'!$D$2:$D1000=$A74)*('Form responses 1'!$A$2:$A1000&lt;=EOMONTH(DATEVALUE("1 "&amp;AE$1),0)))+
  SUMPRODUCT(('Form responses 1'!$E$2:$E1000=$A74)*('Form responses 1'!$A$2:$A1000&lt;=EOMONTH(DATEVALUE("1 "&amp;AE$1),0)))+
  SUMPRODUCT(('Form responses 1'!$F$2:$F1000=$A74)*('Form responses 1'!$A$2:$A1000&lt;=EOMONTH(DATEVALUE("1 "&amp;AE$1),0)))+
  SUMPRODUCT(('Form responses 1'!$G$2:$G1000=$A74)*('Form responses 1'!$A$2:$A1000&lt;=EOMONTH(DATEVALUE("1 "&amp;AE$1),0)))
),2),"-")</f>
        <v>-</v>
      </c>
      <c r="AF74" s="2" t="str">
        <f>IFERROR(ROUND(Data!$B74/(
  SUMPRODUCT(('Form responses 1'!$B$2:$B1000=$A74)*('Form responses 1'!$A$2:$A1000&lt;=EOMONTH(DATEVALUE("1 "&amp;AF$1),0)))+
  SUMPRODUCT(('Form responses 1'!$C$2:$C1000=$A74)*('Form responses 1'!$A$2:$A1000&lt;=EOMONTH(DATEVALUE("1 "&amp;AF$1),0)))+
  SUMPRODUCT(('Form responses 1'!$D$2:$D1000=$A74)*('Form responses 1'!$A$2:$A1000&lt;=EOMONTH(DATEVALUE("1 "&amp;AF$1),0)))+
  SUMPRODUCT(('Form responses 1'!$E$2:$E1000=$A74)*('Form responses 1'!$A$2:$A1000&lt;=EOMONTH(DATEVALUE("1 "&amp;AF$1),0)))+
  SUMPRODUCT(('Form responses 1'!$F$2:$F1000=$A74)*('Form responses 1'!$A$2:$A1000&lt;=EOMONTH(DATEVALUE("1 "&amp;AF$1),0)))+
  SUMPRODUCT(('Form responses 1'!$G$2:$G1000=$A74)*('Form responses 1'!$A$2:$A1000&lt;=EOMONTH(DATEVALUE("1 "&amp;AF$1),0)))
),2),"-")</f>
        <v>-</v>
      </c>
      <c r="AG74" s="2" t="str">
        <f>IFERROR(ROUND(Data!$B74/(
  SUMPRODUCT(('Form responses 1'!$B$2:$B1000=$A74)*('Form responses 1'!$A$2:$A1000&lt;=EOMONTH(DATEVALUE("1 "&amp;AG$1),0)))+
  SUMPRODUCT(('Form responses 1'!$C$2:$C1000=$A74)*('Form responses 1'!$A$2:$A1000&lt;=EOMONTH(DATEVALUE("1 "&amp;AG$1),0)))+
  SUMPRODUCT(('Form responses 1'!$D$2:$D1000=$A74)*('Form responses 1'!$A$2:$A1000&lt;=EOMONTH(DATEVALUE("1 "&amp;AG$1),0)))+
  SUMPRODUCT(('Form responses 1'!$E$2:$E1000=$A74)*('Form responses 1'!$A$2:$A1000&lt;=EOMONTH(DATEVALUE("1 "&amp;AG$1),0)))+
  SUMPRODUCT(('Form responses 1'!$F$2:$F1000=$A74)*('Form responses 1'!$A$2:$A1000&lt;=EOMONTH(DATEVALUE("1 "&amp;AG$1),0)))+
  SUMPRODUCT(('Form responses 1'!$G$2:$G1000=$A74)*('Form responses 1'!$A$2:$A1000&lt;=EOMONTH(DATEVALUE("1 "&amp;AG$1),0)))
),2),"-")</f>
        <v>-</v>
      </c>
      <c r="AH74" s="2" t="str">
        <f>IFERROR(ROUND(Data!$B74/(
  SUMPRODUCT(('Form responses 1'!$B$2:$B1000=$A74)*('Form responses 1'!$A$2:$A1000&lt;=EOMONTH(DATEVALUE("1 "&amp;AH$1),0)))+
  SUMPRODUCT(('Form responses 1'!$C$2:$C1000=$A74)*('Form responses 1'!$A$2:$A1000&lt;=EOMONTH(DATEVALUE("1 "&amp;AH$1),0)))+
  SUMPRODUCT(('Form responses 1'!$D$2:$D1000=$A74)*('Form responses 1'!$A$2:$A1000&lt;=EOMONTH(DATEVALUE("1 "&amp;AH$1),0)))+
  SUMPRODUCT(('Form responses 1'!$E$2:$E1000=$A74)*('Form responses 1'!$A$2:$A1000&lt;=EOMONTH(DATEVALUE("1 "&amp;AH$1),0)))+
  SUMPRODUCT(('Form responses 1'!$F$2:$F1000=$A74)*('Form responses 1'!$A$2:$A1000&lt;=EOMONTH(DATEVALUE("1 "&amp;AH$1),0)))+
  SUMPRODUCT(('Form responses 1'!$G$2:$G1000=$A74)*('Form responses 1'!$A$2:$A1000&lt;=EOMONTH(DATEVALUE("1 "&amp;AH$1),0)))
),2),"-")</f>
        <v>-</v>
      </c>
      <c r="AI74" s="2" t="str">
        <f>IFERROR(ROUND(Data!$B74/(
  SUMPRODUCT(('Form responses 1'!$B$2:$B1000=$A74)*('Form responses 1'!$A$2:$A1000&lt;=EOMONTH(DATEVALUE("1 "&amp;AI$1),0)))+
  SUMPRODUCT(('Form responses 1'!$C$2:$C1000=$A74)*('Form responses 1'!$A$2:$A1000&lt;=EOMONTH(DATEVALUE("1 "&amp;AI$1),0)))+
  SUMPRODUCT(('Form responses 1'!$D$2:$D1000=$A74)*('Form responses 1'!$A$2:$A1000&lt;=EOMONTH(DATEVALUE("1 "&amp;AI$1),0)))+
  SUMPRODUCT(('Form responses 1'!$E$2:$E1000=$A74)*('Form responses 1'!$A$2:$A1000&lt;=EOMONTH(DATEVALUE("1 "&amp;AI$1),0)))+
  SUMPRODUCT(('Form responses 1'!$F$2:$F1000=$A74)*('Form responses 1'!$A$2:$A1000&lt;=EOMONTH(DATEVALUE("1 "&amp;AI$1),0)))+
  SUMPRODUCT(('Form responses 1'!$G$2:$G1000=$A74)*('Form responses 1'!$A$2:$A1000&lt;=EOMONTH(DATEVALUE("1 "&amp;AI$1),0)))
),2),"-")</f>
        <v>-</v>
      </c>
      <c r="AJ74" s="2" t="str">
        <f>IFERROR(ROUND(Data!$B74/(
  SUMPRODUCT(('Form responses 1'!$B$2:$B1000=$A74)*('Form responses 1'!$A$2:$A1000&lt;=EOMONTH(DATEVALUE("1 "&amp;AJ$1),0)))+
  SUMPRODUCT(('Form responses 1'!$C$2:$C1000=$A74)*('Form responses 1'!$A$2:$A1000&lt;=EOMONTH(DATEVALUE("1 "&amp;AJ$1),0)))+
  SUMPRODUCT(('Form responses 1'!$D$2:$D1000=$A74)*('Form responses 1'!$A$2:$A1000&lt;=EOMONTH(DATEVALUE("1 "&amp;AJ$1),0)))+
  SUMPRODUCT(('Form responses 1'!$E$2:$E1000=$A74)*('Form responses 1'!$A$2:$A1000&lt;=EOMONTH(DATEVALUE("1 "&amp;AJ$1),0)))+
  SUMPRODUCT(('Form responses 1'!$F$2:$F1000=$A74)*('Form responses 1'!$A$2:$A1000&lt;=EOMONTH(DATEVALUE("1 "&amp;AJ$1),0)))+
  SUMPRODUCT(('Form responses 1'!$G$2:$G1000=$A74)*('Form responses 1'!$A$2:$A1000&lt;=EOMONTH(DATEVALUE("1 "&amp;AJ$1),0)))
),2),"-")</f>
        <v>-</v>
      </c>
      <c r="AK74" s="2" t="str">
        <f>IFERROR(ROUND(Data!$B74/(
  SUMPRODUCT(('Form responses 1'!$B$2:$B1000=$A74)*('Form responses 1'!$A$2:$A1000&lt;=EOMONTH(DATEVALUE("1 "&amp;AK$1),0)))+
  SUMPRODUCT(('Form responses 1'!$C$2:$C1000=$A74)*('Form responses 1'!$A$2:$A1000&lt;=EOMONTH(DATEVALUE("1 "&amp;AK$1),0)))+
  SUMPRODUCT(('Form responses 1'!$D$2:$D1000=$A74)*('Form responses 1'!$A$2:$A1000&lt;=EOMONTH(DATEVALUE("1 "&amp;AK$1),0)))+
  SUMPRODUCT(('Form responses 1'!$E$2:$E1000=$A74)*('Form responses 1'!$A$2:$A1000&lt;=EOMONTH(DATEVALUE("1 "&amp;AK$1),0)))+
  SUMPRODUCT(('Form responses 1'!$F$2:$F1000=$A74)*('Form responses 1'!$A$2:$A1000&lt;=EOMONTH(DATEVALUE("1 "&amp;AK$1),0)))+
  SUMPRODUCT(('Form responses 1'!$G$2:$G1000=$A74)*('Form responses 1'!$A$2:$A1000&lt;=EOMONTH(DATEVALUE("1 "&amp;AK$1),0)))
),2),"-")</f>
        <v>-</v>
      </c>
      <c r="AL74" s="2" t="str">
        <f>IFERROR(ROUND(Data!$B74/(
  SUMPRODUCT(('Form responses 1'!$B$2:$B1000=$A74)*('Form responses 1'!$A$2:$A1000&lt;=EOMONTH(DATEVALUE("1 "&amp;AL$1),0)))+
  SUMPRODUCT(('Form responses 1'!$C$2:$C1000=$A74)*('Form responses 1'!$A$2:$A1000&lt;=EOMONTH(DATEVALUE("1 "&amp;AL$1),0)))+
  SUMPRODUCT(('Form responses 1'!$D$2:$D1000=$A74)*('Form responses 1'!$A$2:$A1000&lt;=EOMONTH(DATEVALUE("1 "&amp;AL$1),0)))+
  SUMPRODUCT(('Form responses 1'!$E$2:$E1000=$A74)*('Form responses 1'!$A$2:$A1000&lt;=EOMONTH(DATEVALUE("1 "&amp;AL$1),0)))+
  SUMPRODUCT(('Form responses 1'!$F$2:$F1000=$A74)*('Form responses 1'!$A$2:$A1000&lt;=EOMONTH(DATEVALUE("1 "&amp;AL$1),0)))+
  SUMPRODUCT(('Form responses 1'!$G$2:$G1000=$A74)*('Form responses 1'!$A$2:$A1000&lt;=EOMONTH(DATEVALUE("1 "&amp;AL$1),0)))
),2),"-")</f>
        <v>-</v>
      </c>
    </row>
    <row r="75">
      <c r="A75" s="3" t="str">
        <f>IFERROR(__xludf.DUMMYFUNCTION("""COMPUTED_VALUE"""),"Groene vintage leren jas")</f>
        <v>Groene vintage leren jas</v>
      </c>
      <c r="B75" s="2">
        <f>Data!F67:F1000</f>
        <v>0.84</v>
      </c>
      <c r="C75" s="2" t="str">
        <f>IFERROR(ROUND(Data!B67/(SUMPRODUCT(('Form responses 1'!$B$2:$B1000 = A75) * ('Form responses 1'!$A$2:$A1000 &lt;= DATE(2024, 1, 31)))
+ SUMPRODUCT(('Form responses 1'!$C$2:$C1000 = A75) * ('Form responses 1'!$A$2:$A1000 &lt;= DATE(2024, 1, 31)))
+ SUMPRODUCT(('Form responses 1'!$D$2:$D1000 = A75) * ('Form responses 1'!$A$2:$A1000 &lt;= DATE(2024, 1, 31)))
+ SUMPRODUCT(('Form responses 1'!$E$2:$E1000 = A75) * ('Form responses 1'!$A$2:$A1000 &lt;= DATE(2024, 1, 31)))
+ SUMPRODUCT(('Form responses 1'!$F$2:$F1000 = A75) * ('Form responses 1'!$A$2:$A1000 &lt;= DATE(2024, 1, 31)))
+ SUMPRODUCT(('Form responses 1'!$G$2:$G1000 = A75) * ('Form responses 1'!$A$2:$A1000 &lt;= DATE(2024, 1, 31)))), 2), "-")
</f>
        <v>-</v>
      </c>
      <c r="D75" s="2" t="str">
        <f>IFERROR(ROUND(Data!B67/(SUMPRODUCT(('Form responses 1'!$B$2:$B1000 = A75) * ('Form responses 1'!$A$2:$A1000 &lt;= DATE(2024, 2, 29)))
+ SUMPRODUCT(('Form responses 1'!$C$2:$C1000 = A75) * ('Form responses 1'!$A$2:$A1000 &lt;= DATE(2024, 2, 29)))
+ SUMPRODUCT(('Form responses 1'!$D$2:$D1000 = A75) * ('Form responses 1'!$A$2:$A1000 &lt;= DATE(2024, 2, 29)))
+ SUMPRODUCT(('Form responses 1'!$E$2:$E1000 = A75) * ('Form responses 1'!$A$2:$A1000 &lt;= DATE(2024, 2, 29)))
+ SUMPRODUCT(('Form responses 1'!$F$2:$F1000 = A75) * ('Form responses 1'!$A$2:$A1000 &lt;= DATE(2024, 2, 29)))
+ SUMPRODUCT(('Form responses 1'!$G$2:$G1000 = A75) * ('Form responses 1'!$A$2:$A1000 &lt;= DATE(2024, 2, 29)))), 2), "-")
</f>
        <v>-</v>
      </c>
      <c r="E75" s="2" t="str">
        <f>IFERROR(ROUND(Data!B67/(SUMPRODUCT(('Form responses 1'!$B$2:$B1000 = A75) * ('Form responses 1'!$A$2:$A1000 &lt;= DATE(2024, 3, 31)))
+ SUMPRODUCT(('Form responses 1'!$C$2:$C1000 = A75) * ('Form responses 1'!$A$2:$A1000 &lt;= DATE(2024, 3, 31)))
+ SUMPRODUCT(('Form responses 1'!$D$2:$D1000 = A75) * ('Form responses 1'!$A$2:$A1000 &lt;= DATE(2024, 3, 31)))
+ SUMPRODUCT(('Form responses 1'!$E$2:$E1000 = A75) * ('Form responses 1'!$A$2:$A1000 &lt;= DATE(2024, 3, 31)))
+ SUMPRODUCT(('Form responses 1'!$F$2:$F1000 = A75) * ('Form responses 1'!$A$2:$A1000 &lt;= DATE(2024, 3, 31)))
+ SUMPRODUCT(('Form responses 1'!$G$2:$G1000 = A75) * ('Form responses 1'!$A$2:$A1000 &lt;= DATE(2024, 3, 31)))), 2), "-")
</f>
        <v>-</v>
      </c>
      <c r="F75" s="2" t="str">
        <f>IFERROR(ROUND(Data!B67/(SUMPRODUCT(('Form responses 1'!$B$2:$B1000 = A75) * ('Form responses 1'!$A$2:$A1000 &lt;= DATE(2024, 4, 30)))
+ SUMPRODUCT(('Form responses 1'!$C$2:$C1000 = A75) * ('Form responses 1'!$A$2:$A1000 &lt;= DATE(2024, 4, 30)))
+ SUMPRODUCT(('Form responses 1'!$D$2:$D1000 = A75) * ('Form responses 1'!$A$2:$A1000 &lt;= DATE(2024, 4, 30)))
+ SUMPRODUCT(('Form responses 1'!$E$2:$E1000 = A75) * ('Form responses 1'!$A$2:$A1000 &lt;= DATE(2024, 4, 30)))
+ SUMPRODUCT(('Form responses 1'!$F$2:$F1000 = A75) * ('Form responses 1'!$A$2:$A1000 &lt;= DATE(2024, 4, 30)))
+ SUMPRODUCT(('Form responses 1'!$G$2:$G1000 = A75) * ('Form responses 1'!$A$2:$A1000 &lt;= DATE(2024, 4, 30)))), 2), "-")
</f>
        <v>-</v>
      </c>
      <c r="G75" s="2" t="str">
        <f>IFERROR(ROUND(Data!B67/(SUMPRODUCT(('Form responses 1'!$B$2:$B1000 = A75) * ('Form responses 1'!$A$2:$A1000 &lt;= DATE(2024, 5, 31)))
+ SUMPRODUCT(('Form responses 1'!$C$2:$C1000 = A75) * ('Form responses 1'!$A$2:$A1000 &lt;= DATE(2024, 5, 31)))
+ SUMPRODUCT(('Form responses 1'!$D$2:$D1000 = A75) * ('Form responses 1'!$A$2:$A1000 &lt;= DATE(2024, 5, 31)))
+ SUMPRODUCT(('Form responses 1'!$E$2:$E1000 = A75) * ('Form responses 1'!$A$2:$A1000 &lt;= DATE(2024, 5, 31)))
+ SUMPRODUCT(('Form responses 1'!$F$2:$F1000 = A75) * ('Form responses 1'!$A$2:$A1000 &lt;= DATE(2024, 5, 31)))
+ SUMPRODUCT(('Form responses 1'!$G$2:$G1000 = A75) * ('Form responses 1'!$A$2:$A1000 &lt;= DATE(2024, 5, 31)))), 2), "-")
</f>
        <v>-</v>
      </c>
      <c r="H75" s="2" t="str">
        <f>IFERROR(ROUND(Data!B67/(SUMPRODUCT(('Form responses 1'!$B$2:$B1000 = A75) * ('Form responses 1'!$A$2:$A1000 &lt;= DATE(2024, 6, 30)))
+ SUMPRODUCT(('Form responses 1'!$C$2:$C1000 = A75) * ('Form responses 1'!$A$2:$A1000 &lt;= DATE(2024, 6, 30)))
+ SUMPRODUCT(('Form responses 1'!$D$2:$D1000 = A75) * ('Form responses 1'!$A$2:$A1000 &lt;= DATE(2024, 6, 30)))
+ SUMPRODUCT(('Form responses 1'!$E$2:$E1000 = A75) * ('Form responses 1'!$A$2:$A1000 &lt;= DATE(2024, 6, 30)))
+ SUMPRODUCT(('Form responses 1'!$F$2:$F1000 = A75) * ('Form responses 1'!$A$2:$A1000 &lt;= DATE(2024, 6, 30)))
+ SUMPRODUCT(('Form responses 1'!$G$2:$G1000 = A75) * ('Form responses 1'!$A$2:$A1000 &lt;= DATE(2024, 6, 30)))), 2), "-")
</f>
        <v>-</v>
      </c>
      <c r="I75" s="2" t="str">
        <f>IFERROR(ROUND(Data!B67/(SUMPRODUCT(('Form responses 1'!$B$2:$B1000 = A75) * ('Form responses 1'!$A$2:$A1000 &lt;= DATE(2024, 7, 31)))
+ SUMPRODUCT(('Form responses 1'!$C$2:$C1000 = A75) * ('Form responses 1'!$A$2:$A1000 &lt;= DATE(2024, 7, 31)))
+ SUMPRODUCT(('Form responses 1'!$D$2:$D1000 = A75) * ('Form responses 1'!$A$2:$A1000 &lt;= DATE(2024, 7, 31)))
+ SUMPRODUCT(('Form responses 1'!$E$2:$E1000 = A75) * ('Form responses 1'!$A$2:$A1000 &lt;= DATE(2024, 7, 31)))
+ SUMPRODUCT(('Form responses 1'!$F$2:$F1000 = A75) * ('Form responses 1'!$A$2:$A1000 &lt;= DATE(2024, 7, 31)))
+ SUMPRODUCT(('Form responses 1'!$G$2:$G1000 = A75) * ('Form responses 1'!$A$2:$A1000 &lt;= DATE(2024, 7, 31)))), 2), "-")
</f>
        <v>-</v>
      </c>
      <c r="J75" s="2" t="str">
        <f>IFERROR(ROUND(Data!B67/(SUMPRODUCT(('Form responses 1'!$B$2:$B1000 = A75) * ('Form responses 1'!$A$2:$A1000 &lt;= DATE(2024, 8, 31)))
+ SUMPRODUCT(('Form responses 1'!$C$2:$C1000 = A75) * ('Form responses 1'!$A$2:$A1000 &lt;= DATE(2024, 8, 31)))
+ SUMPRODUCT(('Form responses 1'!$D$2:$D1000 = A75) * ('Form responses 1'!$A$2:$A1000 &lt;= DATE(2024, 8, 31)))
+ SUMPRODUCT(('Form responses 1'!$E$2:$E1000 = A75) * ('Form responses 1'!$A$2:$A1000 &lt;= DATE(2024, 8, 31)))
+ SUMPRODUCT(('Form responses 1'!$F$2:$F1000 = A75) * ('Form responses 1'!$A$2:$A1000 &lt;= DATE(2024, 8, 31)))
+ SUMPRODUCT(('Form responses 1'!$G$2:$G1000 = A75) * ('Form responses 1'!$A$2:$A1000 &lt;= DATE(2024, 8, 31)))), 2), "-")
</f>
        <v>-</v>
      </c>
      <c r="K75" s="2" t="str">
        <f>IFERROR(ROUND(Data!B67/(SUMPRODUCT(('Form responses 1'!$B$2:$B1000 = A75) * ('Form responses 1'!$A$2:$A1000 &lt;= DATE(2024, 9, 30)))
+ SUMPRODUCT(('Form responses 1'!$C$2:$C1000 = A75) * ('Form responses 1'!$A$2:$A1000 &lt;= DATE(2024, 9, 30)))
+ SUMPRODUCT(('Form responses 1'!$D$2:$D1000 = A75) * ('Form responses 1'!$A$2:$A1000 &lt;= DATE(2024, 9, 30)))
+ SUMPRODUCT(('Form responses 1'!$E$2:$E1000 = A75) * ('Form responses 1'!$A$2:$A1000 &lt;= DATE(2024, 9, 30)))
+ SUMPRODUCT(('Form responses 1'!$F$2:$F1000 = A75) * ('Form responses 1'!$A$2:$A1000 &lt;= DATE(2024, 9, 30)))
+ SUMPRODUCT(('Form responses 1'!$G$2:$G1000 = A75) * ('Form responses 1'!$A$2:$A1000 &lt;= DATE(2024, 9, 30)))), 2), "-")
</f>
        <v>-</v>
      </c>
      <c r="L75" s="2" t="str">
        <f>IFERROR(ROUND(Data!B67/(SUMPRODUCT(('Form responses 1'!$B$2:$B1000 = A75) * ('Form responses 1'!$A$2:$A1000 &lt;= DATE(2024, 10, 31)))
+ SUMPRODUCT(('Form responses 1'!$C$2:$C1000 = A75) * ('Form responses 1'!$A$2:$A1000 &lt;= DATE(2024, 10, 31)))
+ SUMPRODUCT(('Form responses 1'!$D$2:$D1000 = A75) * ('Form responses 1'!$A$2:$A1000 &lt;= DATE(2024, 10, 31)))
+ SUMPRODUCT(('Form responses 1'!$E$2:$E1000 = A75) * ('Form responses 1'!$A$2:$A1000 &lt;= DATE(2024, 10, 31)))
+ SUMPRODUCT(('Form responses 1'!$F$2:$F1000 = A75) * ('Form responses 1'!$A$2:$A1000 &lt;= DATE(2024, 10, 31)))
+ SUMPRODUCT(('Form responses 1'!$G$2:$G1000 = A75) * ('Form responses 1'!$A$2:$A1000 &lt;= DATE(2024, 10, 31)))), 2), "-")
</f>
        <v>-</v>
      </c>
      <c r="M75" s="2" t="str">
        <f>IFERROR(ROUND(Data!B67/(SUMPRODUCT(('Form responses 1'!$B$2:$B1000 = A75) * ('Form responses 1'!$A$2:$A1000 &lt;= DATE(2024, 11, 30)))
+ SUMPRODUCT(('Form responses 1'!$C$2:$C1000 = A75) * ('Form responses 1'!$A$2:$A1000 &lt;= DATE(2024, 11, 30)))
+ SUMPRODUCT(('Form responses 1'!$D$2:$D1000 = A75) * ('Form responses 1'!$A$2:$A1000 &lt;= DATE(2024, 11, 30)))
+ SUMPRODUCT(('Form responses 1'!$E$2:$E1000 = A75) * ('Form responses 1'!$A$2:$A1000 &lt;= DATE(2024, 11, 30)))
+ SUMPRODUCT(('Form responses 1'!$F$2:$F1000 = A75) * ('Form responses 1'!$A$2:$A1000 &lt;= DATE(2024, 11, 30)))
+ SUMPRODUCT(('Form responses 1'!$G$2:$G1000 = A75) * ('Form responses 1'!$A$2:$A1000 &lt;= DATE(2024, 11, 30)))), 2), "-")
</f>
        <v>-</v>
      </c>
      <c r="N75" s="2" t="str">
        <f>IFERROR(ROUND(Data!B67/(SUMPRODUCT(('Form responses 1'!$B$2:$B1000 = A75) * ('Form responses 1'!$A$2:$A1000 &lt;= DATE(2024, 12, 31)))
+ SUMPRODUCT(('Form responses 1'!$C$2:$C1000 = A75) * ('Form responses 1'!$A$2:$A1000 &lt;= DATE(2024, 12, 31)))
+ SUMPRODUCT(('Form responses 1'!$D$2:$D1000 = A75) * ('Form responses 1'!$A$2:$A1000 &lt;= DATE(2024, 12, 31)))
+ SUMPRODUCT(('Form responses 1'!$E$2:$E1000 = A75) * ('Form responses 1'!$A$2:$A1000 &lt;= DATE(2024, 12, 31)))
+ SUMPRODUCT(('Form responses 1'!$F$2:$F1000 = A75) * ('Form responses 1'!$A$2:$A1000 &lt;= DATE(2024, 12, 31)))
+ SUMPRODUCT(('Form responses 1'!$G$2:$G1000 = A75) * ('Form responses 1'!$A$2:$A1000 &lt;= DATE(2024, 12, 31)))), 2), "-")
</f>
        <v>-</v>
      </c>
      <c r="O75" s="2" t="str">
        <f>IFERROR(ROUND(Data!B67/(SUMPRODUCT(('Form responses 1'!$B$2:$B1000 = A75) * ('Form responses 1'!$A$2:$A1000 &lt;= DATE(2025, 1, 31)))
+ SUMPRODUCT(('Form responses 1'!$C$2:$C1000 = A75) * ('Form responses 1'!$A$2:$A1000 &lt;= DATE(2025, 1, 31)))
+ SUMPRODUCT(('Form responses 1'!$D$2:$D1000 = A75) * ('Form responses 1'!$A$2:$A1000 &lt;= DATE(2025, 1, 31)))
+ SUMPRODUCT(('Form responses 1'!$E$2:$E1000 = A75) * ('Form responses 1'!$A$2:$A1000 &lt;= DATE(2025, 1, 31)))
+ SUMPRODUCT(('Form responses 1'!$F$2:$F1000 = A75) * ('Form responses 1'!$A$2:$A1000 &lt;= DATE(2025, 1, 31)))
+ SUMPRODUCT(('Form responses 1'!$G$2:$G1000 = A75) * ('Form responses 1'!$A$2:$A1000 &lt;= DATE(2025, 1, 31)))), 2), "-")
</f>
        <v>-</v>
      </c>
      <c r="P75" s="2" t="str">
        <f>IFERROR(ROUND(Data!B67/(SUMPRODUCT(('Form responses 1'!$B$2:$B1000 = A75) * ('Form responses 1'!$A$2:$A1000 &lt;= DATE(2025, 2, 28)))
+ SUMPRODUCT(('Form responses 1'!$C$2:$C1000 = A75) * ('Form responses 1'!$A$2:$A1000 &lt;= DATE(2025, 2, 28)))
+ SUMPRODUCT(('Form responses 1'!$D$2:$D1000 = A75) * ('Form responses 1'!$A$2:$A1000 &lt;= DATE(2025, 2, 28)))
+ SUMPRODUCT(('Form responses 1'!$E$2:$E1000 = A75) * ('Form responses 1'!$A$2:$A1000 &lt;= DATE(2025, 2, 28)))
+ SUMPRODUCT(('Form responses 1'!$F$2:$F1000 = A75) * ('Form responses 1'!$A$2:$A1000 &lt;= DATE(2025, 2, 28)))
+ SUMPRODUCT(('Form responses 1'!$G$2:$G1000 = A75) * ('Form responses 1'!$A$2:$A1000 &lt;= DATE(2025, 2, 28)))), 2), "-")
</f>
        <v>-</v>
      </c>
      <c r="Q75" s="2">
        <f>IFERROR(ROUND(Data!B67/(SUMPRODUCT(('Form responses 1'!$B$2:$B1000 = A75) * ('Form responses 1'!$A$2:$A1000 &lt;= DATE(2025, 3, 31)))
+ SUMPRODUCT(('Form responses 1'!$C$2:$C1000 = A75) * ('Form responses 1'!$A$2:$A1000 &lt;= DATE(2025, 3, 31)))
+ SUMPRODUCT(('Form responses 1'!$D$2:$D1000 = A75) * ('Form responses 1'!$A$2:$A1000 &lt;= DATE(2025, 3, 31)))
+ SUMPRODUCT(('Form responses 1'!$E$2:$E1000 = A75) * ('Form responses 1'!$A$2:$A1000 &lt;= DATE(2025, 3, 31)))
+ SUMPRODUCT(('Form responses 1'!$F$2:$F1000 = A75) * ('Form responses 1'!$A$2:$A1000 &lt;= DATE(2025, 3, 31)))
+ SUMPRODUCT(('Form responses 1'!$G$2:$G1000 = A75) * ('Form responses 1'!$A$2:$A1000 &lt;= DATE(2025, 3, 31)))),2),"-")</f>
        <v>0</v>
      </c>
      <c r="R75" s="2">
        <f>IFERROR(ROUND(Data!B67/(SUMPRODUCT(('Form responses 1'!$B$2:$B1000 = A75) * ('Form responses 1'!$A$2:$A1000 &lt;= DATE(2025, 4, 30)))
+ SUMPRODUCT(('Form responses 1'!$C$2:$C1000 = A75) * ('Form responses 1'!$A$2:$A1000 &lt;= DATE(2025, 4, 30)))
+ SUMPRODUCT(('Form responses 1'!$D$2:$D1000 = A75) * ('Form responses 1'!$A$2:$A1000 &lt;= DATE(2025, 4, 30)))
+ SUMPRODUCT(('Form responses 1'!$E$2:$E1000 = A75) * ('Form responses 1'!$A$2:$A1000 &lt;= DATE(2025, 4, 30)))
+ SUMPRODUCT(('Form responses 1'!$F$2:$F1000 = A75) * ('Form responses 1'!$A$2:$A1000 &lt;= DATE(2025, 4, 30)))
+ SUMPRODUCT(('Form responses 1'!$G$2:$G1000 = A75) * ('Form responses 1'!$A$2:$A1000 &lt;= DATE(2025, 4, 30)))), 2), "-")
</f>
        <v>0</v>
      </c>
      <c r="S75" s="2">
        <f>IFERROR(ROUND(Data!B67/(SUMPRODUCT(('Form responses 1'!$B$2:$B1000 = A75) * ('Form responses 1'!$A$2:$A1000 &lt;= DATE(2025, 5, 31)))
+ SUMPRODUCT(('Form responses 1'!$C$2:$C1000 = A75) * ('Form responses 1'!$A$2:$A1000 &lt;= DATE(2025, 5, 31)))
+ SUMPRODUCT(('Form responses 1'!$D$2:$D1000 = A75) * ('Form responses 1'!$A$2:$A1000 &lt;= DATE(2025, 5, 31)))
+ SUMPRODUCT(('Form responses 1'!$E$2:$E1000 = A75) * ('Form responses 1'!$A$2:$A1000 &lt;= DATE(2025, 5, 31)))
+ SUMPRODUCT(('Form responses 1'!$F$2:$F1000 = A75) * ('Form responses 1'!$A$2:$A1000 &lt;= DATE(2025, 5, 31)))
+ SUMPRODUCT(('Form responses 1'!$G$2:$G1000 = A75) * ('Form responses 1'!$A$2:$A1000 &lt;= DATE(2025, 5, 31)))), 2), "-")
</f>
        <v>0</v>
      </c>
      <c r="T75" s="2">
        <f>IFERROR(ROUND(Data!B67/(SUMPRODUCT(('Form responses 1'!$B$2:$B1000 = A75) * ('Form responses 1'!$A$2:$A1000 &lt;= DATE(2025, 6, 30)))
+ SUMPRODUCT(('Form responses 1'!$C$2:$C1000 = A75) * ('Form responses 1'!$A$2:$A1000 &lt;= DATE(2025, 6, 30)))
+ SUMPRODUCT(('Form responses 1'!$D$2:$D1000 = A75) * ('Form responses 1'!$A$2:$A1000 &lt;= DATE(2025, 6, 30)))
+ SUMPRODUCT(('Form responses 1'!$E$2:$E1000 = A75) * ('Form responses 1'!$A$2:$A1000 &lt;= DATE(2025, 6, 30)))
+ SUMPRODUCT(('Form responses 1'!$F$2:$F1000 = A75) * ('Form responses 1'!$A$2:$A1000 &lt;= DATE(2025, 6, 30)))
+ SUMPRODUCT(('Form responses 1'!$G$2:$G1000 = A75) * ('Form responses 1'!$A$2:$A1000 &lt;= DATE(2025, 6, 30)))), 2), "-")
</f>
        <v>0</v>
      </c>
      <c r="U75" s="2">
        <f>IFERROR(ROUND(Data!B67/(SUMPRODUCT(('Form responses 1'!$B$2:$B1000 = A75) * ('Form responses 1'!$A$2:$A1000 &lt;= DATE(2025, 7, 31)))
+ SUMPRODUCT(('Form responses 1'!$C$2:$C1000 = A75) * ('Form responses 1'!$A$2:$A1000 &lt;= DATE(2025, 7, 31)))
+ SUMPRODUCT(('Form responses 1'!$D$2:$D1000 = A75) * ('Form responses 1'!$A$2:$A1000 &lt;= DATE(2025, 7, 31)))
+ SUMPRODUCT(('Form responses 1'!$E$2:$E1000 = A75) * ('Form responses 1'!$A$2:$A1000 &lt;= DATE(2025, 7, 31)))
+ SUMPRODUCT(('Form responses 1'!$F$2:$F1000 = A75) * ('Form responses 1'!$A$2:$A1000 &lt;= DATE(2025, 7, 31)))
+ SUMPRODUCT(('Form responses 1'!$G$2:$G1000 = A75) * ('Form responses 1'!$A$2:$A1000 &lt;= DATE(2025, 7, 31)))), 2), "-")
</f>
        <v>0</v>
      </c>
      <c r="V75" s="2">
        <f>IFERROR(ROUND(Data!B67/(SUMPRODUCT(('Form responses 1'!$B$2:$B1000 = A75) * ('Form responses 1'!$A$2:$A1000 &lt;= DATE(2025, 8, 31)))
+ SUMPRODUCT(('Form responses 1'!$C$2:$C1000 = A75) * ('Form responses 1'!$A$2:$A1000 &lt;= DATE(2025, 8, 31)))
+ SUMPRODUCT(('Form responses 1'!$D$2:$D1000 = A75) * ('Form responses 1'!$A$2:$A1000 &lt;= DATE(2025, 8, 31)))
+ SUMPRODUCT(('Form responses 1'!$E$2:$E1000 = A75) * ('Form responses 1'!$A$2:$A1000 &lt;= DATE(2025, 8, 31)))
+ SUMPRODUCT(('Form responses 1'!$F$2:$F1000 = A75) * ('Form responses 1'!$A$2:$A1000 &lt;= DATE(2025, 8, 31)))
+ SUMPRODUCT(('Form responses 1'!$G$2:$G1000 = A75) * ('Form responses 1'!$A$2:$A1000 &lt;= DATE(2025, 8, 31)))), 2), "-")
</f>
        <v>0</v>
      </c>
      <c r="W75" s="2">
        <f>IFERROR(ROUND(Data!B67/(SUMPRODUCT(('Form responses 1'!$B$2:$B1000 = A75) * ('Form responses 1'!$A$2:$A1000 &lt;= DATE(2025, 9, 30)))
+ SUMPRODUCT(('Form responses 1'!$C$2:$C1000 = A75) * ('Form responses 1'!$A$2:$A1000 &lt;= DATE(2025, 9, 30)))
+ SUMPRODUCT(('Form responses 1'!$D$2:$D1000 = A75) * ('Form responses 1'!$A$2:$A1000 &lt;= DATE(2025, 9, 30)))
+ SUMPRODUCT(('Form responses 1'!$E$2:$E1000 = A75) * ('Form responses 1'!$A$2:$A1000 &lt;= DATE(2025, 9, 30)))
+ SUMPRODUCT(('Form responses 1'!$F$2:$F1000 = A75) * ('Form responses 1'!$A$2:$A1000 &lt;= DATE(2025, 9, 30)))
+ SUMPRODUCT(('Form responses 1'!$G$2:$G1000 = A75) * ('Form responses 1'!$A$2:$A1000 &lt;= DATE(2025, 9, 30)))), 2), "-")
</f>
        <v>0</v>
      </c>
      <c r="X75" s="2">
        <f>IFERROR(ROUND(Data!B67/(SUMPRODUCT(('Form responses 1'!$B$2:$B1000 = A75) * ('Form responses 1'!$A$2:$A1000 &lt;= DATE(2025, 10, 31)))
+ SUMPRODUCT(('Form responses 1'!$C$2:$C1000 = A75) * ('Form responses 1'!$A$2:$A1000 &lt;= DATE(2025, 10, 31)))
+ SUMPRODUCT(('Form responses 1'!$D$2:$D1000 = A75) * ('Form responses 1'!$A$2:$A1000 &lt;= DATE(2025, 10, 31)))
+ SUMPRODUCT(('Form responses 1'!$E$2:$E1000 = A75) * ('Form responses 1'!$A$2:$A1000 &lt;= DATE(2025, 10, 31)))
+ SUMPRODUCT(('Form responses 1'!$F$2:$F1000 = A75) * ('Form responses 1'!$A$2:$A1000 &lt;= DATE(2025, 10, 31)))
+ SUMPRODUCT(('Form responses 1'!$G$2:$G1000 = A75) * ('Form responses 1'!$A$2:$A1000 &lt;= DATE(2025, 10, 31)))), 2), "-")
</f>
        <v>0</v>
      </c>
      <c r="Y75" s="2">
        <f>IFERROR(ROUND(Data!B67/(SUMPRODUCT(('Form responses 1'!$B$2:$B1000 = A75) * ('Form responses 1'!$A$2:$A1000 &lt;= DATE(2025, 11, 30)))
+ SUMPRODUCT(('Form responses 1'!$C$2:$C1000 = A75) * ('Form responses 1'!$A$2:$A1000 &lt;= DATE(2025, 11, 30)))
+ SUMPRODUCT(('Form responses 1'!$D$2:$D1000 = A75) * ('Form responses 1'!$A$2:$A1000 &lt;= DATE(2025, 11, 30)))
+ SUMPRODUCT(('Form responses 1'!$E$2:$E1000 = A75) * ('Form responses 1'!$A$2:$A1000 &lt;= DATE(2025, 11, 30)))
+ SUMPRODUCT(('Form responses 1'!$F$2:$F1000 = A75) * ('Form responses 1'!$A$2:$A1000 &lt;= DATE(2025, 11, 30)))
+ SUMPRODUCT(('Form responses 1'!$G$2:$G1000 = A75) * ('Form responses 1'!$A$2:$A1000 &lt;= DATE(2025, 11, 30)))), 2), "-")
</f>
        <v>0</v>
      </c>
      <c r="Z75" s="2">
        <f>IFERROR(ROUND(Data!B67/(SUMPRODUCT(('Form responses 1'!$B$2:$B1000 = A75) * ('Form responses 1'!$A$2:$A1000 &lt;= DATE(2025, 12, 31)))
+ SUMPRODUCT(('Form responses 1'!$C$2:$C1000 = A75) * ('Form responses 1'!$A$2:$A1000 &lt;= DATE(2025, 12, 31)))
+ SUMPRODUCT(('Form responses 1'!$D$2:$D1000 = A75) * ('Form responses 1'!$A$2:$A1000 &lt;= DATE(2025, 12, 31)))
+ SUMPRODUCT(('Form responses 1'!$E$2:$E1000 = A75) * ('Form responses 1'!$A$2:$A1000 &lt;= DATE(2025, 12, 31)))
+ SUMPRODUCT(('Form responses 1'!$F$2:$F1000 = A75) * ('Form responses 1'!$A$2:$A1000 &lt;= DATE(2025, 12, 31)))
+ SUMPRODUCT(('Form responses 1'!$G$2:$G1000 = A75) * ('Form responses 1'!$A$2:$A1000 &lt;= DATE(2025, 12, 31)))), 2), "-")
</f>
        <v>0</v>
      </c>
      <c r="AA75" s="2">
        <f>IFERROR(ROUND(Data!$B75/(
  SUMPRODUCT(('Form responses 1'!$B$2:$B1000=$A75)*('Form responses 1'!$A$2:$A1000&lt;=EOMONTH(DATEVALUE("1 "&amp;AA$1),0)))+
  SUMPRODUCT(('Form responses 1'!$C$2:$C1000=$A75)*('Form responses 1'!$A$2:$A1000&lt;=EOMONTH(DATEVALUE("1 "&amp;AA$1),0)))+
  SUMPRODUCT(('Form responses 1'!$D$2:$D1000=$A75)*('Form responses 1'!$A$2:$A1000&lt;=EOMONTH(DATEVALUE("1 "&amp;AA$1),0)))+
  SUMPRODUCT(('Form responses 1'!$E$2:$E1000=$A75)*('Form responses 1'!$A$2:$A1000&lt;=EOMONTH(DATEVALUE("1 "&amp;AA$1),0)))+
  SUMPRODUCT(('Form responses 1'!$F$2:$F1000=$A75)*('Form responses 1'!$A$2:$A1000&lt;=EOMONTH(DATEVALUE("1 "&amp;AA$1),0)))+
  SUMPRODUCT(('Form responses 1'!$G$2:$G1000=$A75)*('Form responses 1'!$A$2:$A1000&lt;=EOMONTH(DATEVALUE("1 "&amp;AA$1),0)))
),2),"-")</f>
        <v>1.14</v>
      </c>
      <c r="AB75" s="2">
        <f>IFERROR(ROUND(Data!$B75/(
  SUMPRODUCT(('Form responses 1'!$B$2:$B1000=$A75)*('Form responses 1'!$A$2:$A1000&lt;=EOMONTH(DATEVALUE("1 "&amp;AB$1),0)))+
  SUMPRODUCT(('Form responses 1'!$C$2:$C1000=$A75)*('Form responses 1'!$A$2:$A1000&lt;=EOMONTH(DATEVALUE("1 "&amp;AB$1),0)))+
  SUMPRODUCT(('Form responses 1'!$D$2:$D1000=$A75)*('Form responses 1'!$A$2:$A1000&lt;=EOMONTH(DATEVALUE("1 "&amp;AB$1),0)))+
  SUMPRODUCT(('Form responses 1'!$E$2:$E1000=$A75)*('Form responses 1'!$A$2:$A1000&lt;=EOMONTH(DATEVALUE("1 "&amp;AB$1),0)))+
  SUMPRODUCT(('Form responses 1'!$F$2:$F1000=$A75)*('Form responses 1'!$A$2:$A1000&lt;=EOMONTH(DATEVALUE("1 "&amp;AB$1),0)))+
  SUMPRODUCT(('Form responses 1'!$G$2:$G1000=$A75)*('Form responses 1'!$A$2:$A1000&lt;=EOMONTH(DATEVALUE("1 "&amp;AB$1),0)))
),2),"-")</f>
        <v>1.12</v>
      </c>
      <c r="AC75" s="2">
        <f>IFERROR(ROUND(Data!$B75/(
  SUMPRODUCT(('Form responses 1'!$B$2:$B1000=$A75)*('Form responses 1'!$A$2:$A1000&lt;=EOMONTH(DATEVALUE("1 "&amp;AC$1),0)))+
  SUMPRODUCT(('Form responses 1'!$C$2:$C1000=$A75)*('Form responses 1'!$A$2:$A1000&lt;=EOMONTH(DATEVALUE("1 "&amp;AC$1),0)))+
  SUMPRODUCT(('Form responses 1'!$D$2:$D1000=$A75)*('Form responses 1'!$A$2:$A1000&lt;=EOMONTH(DATEVALUE("1 "&amp;AC$1),0)))+
  SUMPRODUCT(('Form responses 1'!$E$2:$E1000=$A75)*('Form responses 1'!$A$2:$A1000&lt;=EOMONTH(DATEVALUE("1 "&amp;AC$1),0)))+
  SUMPRODUCT(('Form responses 1'!$F$2:$F1000=$A75)*('Form responses 1'!$A$2:$A1000&lt;=EOMONTH(DATEVALUE("1 "&amp;AC$1),0)))+
  SUMPRODUCT(('Form responses 1'!$G$2:$G1000=$A75)*('Form responses 1'!$A$2:$A1000&lt;=EOMONTH(DATEVALUE("1 "&amp;AC$1),0)))
),2),"-")</f>
        <v>1.05</v>
      </c>
      <c r="AD75" s="2" t="str">
        <f>IFERROR(ROUND(Data!$B75/(
  SUMPRODUCT(('Form responses 1'!$B$2:$B1000=$A75)*('Form responses 1'!$A$2:$A1000&lt;=EOMONTH(DATEVALUE("1 "&amp;AD$1),0)))+
  SUMPRODUCT(('Form responses 1'!$C$2:$C1000=$A75)*('Form responses 1'!$A$2:$A1000&lt;=EOMONTH(DATEVALUE("1 "&amp;AD$1),0)))+
  SUMPRODUCT(('Form responses 1'!$D$2:$D1000=$A75)*('Form responses 1'!$A$2:$A1000&lt;=EOMONTH(DATEVALUE("1 "&amp;AD$1),0)))+
  SUMPRODUCT(('Form responses 1'!$E$2:$E1000=$A75)*('Form responses 1'!$A$2:$A1000&lt;=EOMONTH(DATEVALUE("1 "&amp;AD$1),0)))+
  SUMPRODUCT(('Form responses 1'!$F$2:$F1000=$A75)*('Form responses 1'!$A$2:$A1000&lt;=EOMONTH(DATEVALUE("1 "&amp;AD$1),0)))+
  SUMPRODUCT(('Form responses 1'!$G$2:$G1000=$A75)*('Form responses 1'!$A$2:$A1000&lt;=EOMONTH(DATEVALUE("1 "&amp;AD$1),0)))
),2),"-")</f>
        <v>-</v>
      </c>
      <c r="AE75" s="2" t="str">
        <f>IFERROR(ROUND(Data!$B75/(
  SUMPRODUCT(('Form responses 1'!$B$2:$B1000=$A75)*('Form responses 1'!$A$2:$A1000&lt;=EOMONTH(DATEVALUE("1 "&amp;AE$1),0)))+
  SUMPRODUCT(('Form responses 1'!$C$2:$C1000=$A75)*('Form responses 1'!$A$2:$A1000&lt;=EOMONTH(DATEVALUE("1 "&amp;AE$1),0)))+
  SUMPRODUCT(('Form responses 1'!$D$2:$D1000=$A75)*('Form responses 1'!$A$2:$A1000&lt;=EOMONTH(DATEVALUE("1 "&amp;AE$1),0)))+
  SUMPRODUCT(('Form responses 1'!$E$2:$E1000=$A75)*('Form responses 1'!$A$2:$A1000&lt;=EOMONTH(DATEVALUE("1 "&amp;AE$1),0)))+
  SUMPRODUCT(('Form responses 1'!$F$2:$F1000=$A75)*('Form responses 1'!$A$2:$A1000&lt;=EOMONTH(DATEVALUE("1 "&amp;AE$1),0)))+
  SUMPRODUCT(('Form responses 1'!$G$2:$G1000=$A75)*('Form responses 1'!$A$2:$A1000&lt;=EOMONTH(DATEVALUE("1 "&amp;AE$1),0)))
),2),"-")</f>
        <v>-</v>
      </c>
      <c r="AF75" s="2" t="str">
        <f>IFERROR(ROUND(Data!$B75/(
  SUMPRODUCT(('Form responses 1'!$B$2:$B1000=$A75)*('Form responses 1'!$A$2:$A1000&lt;=EOMONTH(DATEVALUE("1 "&amp;AF$1),0)))+
  SUMPRODUCT(('Form responses 1'!$C$2:$C1000=$A75)*('Form responses 1'!$A$2:$A1000&lt;=EOMONTH(DATEVALUE("1 "&amp;AF$1),0)))+
  SUMPRODUCT(('Form responses 1'!$D$2:$D1000=$A75)*('Form responses 1'!$A$2:$A1000&lt;=EOMONTH(DATEVALUE("1 "&amp;AF$1),0)))+
  SUMPRODUCT(('Form responses 1'!$E$2:$E1000=$A75)*('Form responses 1'!$A$2:$A1000&lt;=EOMONTH(DATEVALUE("1 "&amp;AF$1),0)))+
  SUMPRODUCT(('Form responses 1'!$F$2:$F1000=$A75)*('Form responses 1'!$A$2:$A1000&lt;=EOMONTH(DATEVALUE("1 "&amp;AF$1),0)))+
  SUMPRODUCT(('Form responses 1'!$G$2:$G1000=$A75)*('Form responses 1'!$A$2:$A1000&lt;=EOMONTH(DATEVALUE("1 "&amp;AF$1),0)))
),2),"-")</f>
        <v>-</v>
      </c>
      <c r="AG75" s="2" t="str">
        <f>IFERROR(ROUND(Data!$B75/(
  SUMPRODUCT(('Form responses 1'!$B$2:$B1000=$A75)*('Form responses 1'!$A$2:$A1000&lt;=EOMONTH(DATEVALUE("1 "&amp;AG$1),0)))+
  SUMPRODUCT(('Form responses 1'!$C$2:$C1000=$A75)*('Form responses 1'!$A$2:$A1000&lt;=EOMONTH(DATEVALUE("1 "&amp;AG$1),0)))+
  SUMPRODUCT(('Form responses 1'!$D$2:$D1000=$A75)*('Form responses 1'!$A$2:$A1000&lt;=EOMONTH(DATEVALUE("1 "&amp;AG$1),0)))+
  SUMPRODUCT(('Form responses 1'!$E$2:$E1000=$A75)*('Form responses 1'!$A$2:$A1000&lt;=EOMONTH(DATEVALUE("1 "&amp;AG$1),0)))+
  SUMPRODUCT(('Form responses 1'!$F$2:$F1000=$A75)*('Form responses 1'!$A$2:$A1000&lt;=EOMONTH(DATEVALUE("1 "&amp;AG$1),0)))+
  SUMPRODUCT(('Form responses 1'!$G$2:$G1000=$A75)*('Form responses 1'!$A$2:$A1000&lt;=EOMONTH(DATEVALUE("1 "&amp;AG$1),0)))
),2),"-")</f>
        <v>-</v>
      </c>
      <c r="AH75" s="2" t="str">
        <f>IFERROR(ROUND(Data!$B75/(
  SUMPRODUCT(('Form responses 1'!$B$2:$B1000=$A75)*('Form responses 1'!$A$2:$A1000&lt;=EOMONTH(DATEVALUE("1 "&amp;AH$1),0)))+
  SUMPRODUCT(('Form responses 1'!$C$2:$C1000=$A75)*('Form responses 1'!$A$2:$A1000&lt;=EOMONTH(DATEVALUE("1 "&amp;AH$1),0)))+
  SUMPRODUCT(('Form responses 1'!$D$2:$D1000=$A75)*('Form responses 1'!$A$2:$A1000&lt;=EOMONTH(DATEVALUE("1 "&amp;AH$1),0)))+
  SUMPRODUCT(('Form responses 1'!$E$2:$E1000=$A75)*('Form responses 1'!$A$2:$A1000&lt;=EOMONTH(DATEVALUE("1 "&amp;AH$1),0)))+
  SUMPRODUCT(('Form responses 1'!$F$2:$F1000=$A75)*('Form responses 1'!$A$2:$A1000&lt;=EOMONTH(DATEVALUE("1 "&amp;AH$1),0)))+
  SUMPRODUCT(('Form responses 1'!$G$2:$G1000=$A75)*('Form responses 1'!$A$2:$A1000&lt;=EOMONTH(DATEVALUE("1 "&amp;AH$1),0)))
),2),"-")</f>
        <v>-</v>
      </c>
      <c r="AI75" s="2" t="str">
        <f>IFERROR(ROUND(Data!$B75/(
  SUMPRODUCT(('Form responses 1'!$B$2:$B1000=$A75)*('Form responses 1'!$A$2:$A1000&lt;=EOMONTH(DATEVALUE("1 "&amp;AI$1),0)))+
  SUMPRODUCT(('Form responses 1'!$C$2:$C1000=$A75)*('Form responses 1'!$A$2:$A1000&lt;=EOMONTH(DATEVALUE("1 "&amp;AI$1),0)))+
  SUMPRODUCT(('Form responses 1'!$D$2:$D1000=$A75)*('Form responses 1'!$A$2:$A1000&lt;=EOMONTH(DATEVALUE("1 "&amp;AI$1),0)))+
  SUMPRODUCT(('Form responses 1'!$E$2:$E1000=$A75)*('Form responses 1'!$A$2:$A1000&lt;=EOMONTH(DATEVALUE("1 "&amp;AI$1),0)))+
  SUMPRODUCT(('Form responses 1'!$F$2:$F1000=$A75)*('Form responses 1'!$A$2:$A1000&lt;=EOMONTH(DATEVALUE("1 "&amp;AI$1),0)))+
  SUMPRODUCT(('Form responses 1'!$G$2:$G1000=$A75)*('Form responses 1'!$A$2:$A1000&lt;=EOMONTH(DATEVALUE("1 "&amp;AI$1),0)))
),2),"-")</f>
        <v>-</v>
      </c>
      <c r="AJ75" s="2" t="str">
        <f>IFERROR(ROUND(Data!$B75/(
  SUMPRODUCT(('Form responses 1'!$B$2:$B1000=$A75)*('Form responses 1'!$A$2:$A1000&lt;=EOMONTH(DATEVALUE("1 "&amp;AJ$1),0)))+
  SUMPRODUCT(('Form responses 1'!$C$2:$C1000=$A75)*('Form responses 1'!$A$2:$A1000&lt;=EOMONTH(DATEVALUE("1 "&amp;AJ$1),0)))+
  SUMPRODUCT(('Form responses 1'!$D$2:$D1000=$A75)*('Form responses 1'!$A$2:$A1000&lt;=EOMONTH(DATEVALUE("1 "&amp;AJ$1),0)))+
  SUMPRODUCT(('Form responses 1'!$E$2:$E1000=$A75)*('Form responses 1'!$A$2:$A1000&lt;=EOMONTH(DATEVALUE("1 "&amp;AJ$1),0)))+
  SUMPRODUCT(('Form responses 1'!$F$2:$F1000=$A75)*('Form responses 1'!$A$2:$A1000&lt;=EOMONTH(DATEVALUE("1 "&amp;AJ$1),0)))+
  SUMPRODUCT(('Form responses 1'!$G$2:$G1000=$A75)*('Form responses 1'!$A$2:$A1000&lt;=EOMONTH(DATEVALUE("1 "&amp;AJ$1),0)))
),2),"-")</f>
        <v>-</v>
      </c>
      <c r="AK75" s="2" t="str">
        <f>IFERROR(ROUND(Data!$B75/(
  SUMPRODUCT(('Form responses 1'!$B$2:$B1000=$A75)*('Form responses 1'!$A$2:$A1000&lt;=EOMONTH(DATEVALUE("1 "&amp;AK$1),0)))+
  SUMPRODUCT(('Form responses 1'!$C$2:$C1000=$A75)*('Form responses 1'!$A$2:$A1000&lt;=EOMONTH(DATEVALUE("1 "&amp;AK$1),0)))+
  SUMPRODUCT(('Form responses 1'!$D$2:$D1000=$A75)*('Form responses 1'!$A$2:$A1000&lt;=EOMONTH(DATEVALUE("1 "&amp;AK$1),0)))+
  SUMPRODUCT(('Form responses 1'!$E$2:$E1000=$A75)*('Form responses 1'!$A$2:$A1000&lt;=EOMONTH(DATEVALUE("1 "&amp;AK$1),0)))+
  SUMPRODUCT(('Form responses 1'!$F$2:$F1000=$A75)*('Form responses 1'!$A$2:$A1000&lt;=EOMONTH(DATEVALUE("1 "&amp;AK$1),0)))+
  SUMPRODUCT(('Form responses 1'!$G$2:$G1000=$A75)*('Form responses 1'!$A$2:$A1000&lt;=EOMONTH(DATEVALUE("1 "&amp;AK$1),0)))
),2),"-")</f>
        <v>-</v>
      </c>
      <c r="AL75" s="2" t="str">
        <f>IFERROR(ROUND(Data!$B75/(
  SUMPRODUCT(('Form responses 1'!$B$2:$B1000=$A75)*('Form responses 1'!$A$2:$A1000&lt;=EOMONTH(DATEVALUE("1 "&amp;AL$1),0)))+
  SUMPRODUCT(('Form responses 1'!$C$2:$C1000=$A75)*('Form responses 1'!$A$2:$A1000&lt;=EOMONTH(DATEVALUE("1 "&amp;AL$1),0)))+
  SUMPRODUCT(('Form responses 1'!$D$2:$D1000=$A75)*('Form responses 1'!$A$2:$A1000&lt;=EOMONTH(DATEVALUE("1 "&amp;AL$1),0)))+
  SUMPRODUCT(('Form responses 1'!$E$2:$E1000=$A75)*('Form responses 1'!$A$2:$A1000&lt;=EOMONTH(DATEVALUE("1 "&amp;AL$1),0)))+
  SUMPRODUCT(('Form responses 1'!$F$2:$F1000=$A75)*('Form responses 1'!$A$2:$A1000&lt;=EOMONTH(DATEVALUE("1 "&amp;AL$1),0)))+
  SUMPRODUCT(('Form responses 1'!$G$2:$G1000=$A75)*('Form responses 1'!$A$2:$A1000&lt;=EOMONTH(DATEVALUE("1 "&amp;AL$1),0)))
),2),"-")</f>
        <v>-</v>
      </c>
    </row>
    <row r="76">
      <c r="A76" s="3" t="str">
        <f>IFERROR(__xludf.DUMMYFUNCTION("""COMPUTED_VALUE"""),"Blauwe oud")</f>
        <v>Blauwe oud</v>
      </c>
      <c r="B76" s="2">
        <f>Data!F68:F1000</f>
        <v>0.32</v>
      </c>
      <c r="C76" s="2">
        <f>IFERROR(ROUND(Data!B68/(SUMPRODUCT(('Form responses 1'!$B$2:$B1000 = A76) * ('Form responses 1'!$A$2:$A1000 &lt;= DATE(2024, 1, 31)))
+ SUMPRODUCT(('Form responses 1'!$C$2:$C1000 = A76) * ('Form responses 1'!$A$2:$A1000 &lt;= DATE(2024, 1, 31)))
+ SUMPRODUCT(('Form responses 1'!$D$2:$D1000 = A76) * ('Form responses 1'!$A$2:$A1000 &lt;= DATE(2024, 1, 31)))
+ SUMPRODUCT(('Form responses 1'!$E$2:$E1000 = A76) * ('Form responses 1'!$A$2:$A1000 &lt;= DATE(2024, 1, 31)))
+ SUMPRODUCT(('Form responses 1'!$F$2:$F1000 = A76) * ('Form responses 1'!$A$2:$A1000 &lt;= DATE(2024, 1, 31)))
+ SUMPRODUCT(('Form responses 1'!$G$2:$G1000 = A76) * ('Form responses 1'!$A$2:$A1000 &lt;= DATE(2024, 1, 31)))), 2), "-")
</f>
        <v>0.38</v>
      </c>
      <c r="D76" s="2">
        <f>IFERROR(ROUND(Data!B68/(SUMPRODUCT(('Form responses 1'!$B$2:$B1000 = A76) * ('Form responses 1'!$A$2:$A1000 &lt;= DATE(2024, 2, 29)))
+ SUMPRODUCT(('Form responses 1'!$C$2:$C1000 = A76) * ('Form responses 1'!$A$2:$A1000 &lt;= DATE(2024, 2, 29)))
+ SUMPRODUCT(('Form responses 1'!$D$2:$D1000 = A76) * ('Form responses 1'!$A$2:$A1000 &lt;= DATE(2024, 2, 29)))
+ SUMPRODUCT(('Form responses 1'!$E$2:$E1000 = A76) * ('Form responses 1'!$A$2:$A1000 &lt;= DATE(2024, 2, 29)))
+ SUMPRODUCT(('Form responses 1'!$F$2:$F1000 = A76) * ('Form responses 1'!$A$2:$A1000 &lt;= DATE(2024, 2, 29)))
+ SUMPRODUCT(('Form responses 1'!$G$2:$G1000 = A76) * ('Form responses 1'!$A$2:$A1000 &lt;= DATE(2024, 2, 29)))), 2), "-")
</f>
        <v>0.38</v>
      </c>
      <c r="E76" s="2">
        <f>IFERROR(ROUND(Data!B68/(SUMPRODUCT(('Form responses 1'!$B$2:$B1000 = A76) * ('Form responses 1'!$A$2:$A1000 &lt;= DATE(2024, 3, 31)))
+ SUMPRODUCT(('Form responses 1'!$C$2:$C1000 = A76) * ('Form responses 1'!$A$2:$A1000 &lt;= DATE(2024, 3, 31)))
+ SUMPRODUCT(('Form responses 1'!$D$2:$D1000 = A76) * ('Form responses 1'!$A$2:$A1000 &lt;= DATE(2024, 3, 31)))
+ SUMPRODUCT(('Form responses 1'!$E$2:$E1000 = A76) * ('Form responses 1'!$A$2:$A1000 &lt;= DATE(2024, 3, 31)))
+ SUMPRODUCT(('Form responses 1'!$F$2:$F1000 = A76) * ('Form responses 1'!$A$2:$A1000 &lt;= DATE(2024, 3, 31)))
+ SUMPRODUCT(('Form responses 1'!$G$2:$G1000 = A76) * ('Form responses 1'!$A$2:$A1000 &lt;= DATE(2024, 3, 31)))), 2), "-")
</f>
        <v>0.38</v>
      </c>
      <c r="F76" s="2">
        <f>IFERROR(ROUND(Data!B68/(SUMPRODUCT(('Form responses 1'!$B$2:$B1000 = A76) * ('Form responses 1'!$A$2:$A1000 &lt;= DATE(2024, 4, 30)))
+ SUMPRODUCT(('Form responses 1'!$C$2:$C1000 = A76) * ('Form responses 1'!$A$2:$A1000 &lt;= DATE(2024, 4, 30)))
+ SUMPRODUCT(('Form responses 1'!$D$2:$D1000 = A76) * ('Form responses 1'!$A$2:$A1000 &lt;= DATE(2024, 4, 30)))
+ SUMPRODUCT(('Form responses 1'!$E$2:$E1000 = A76) * ('Form responses 1'!$A$2:$A1000 &lt;= DATE(2024, 4, 30)))
+ SUMPRODUCT(('Form responses 1'!$F$2:$F1000 = A76) * ('Form responses 1'!$A$2:$A1000 &lt;= DATE(2024, 4, 30)))
+ SUMPRODUCT(('Form responses 1'!$G$2:$G1000 = A76) * ('Form responses 1'!$A$2:$A1000 &lt;= DATE(2024, 4, 30)))), 2), "-")
</f>
        <v>0.38</v>
      </c>
      <c r="G76" s="2">
        <f>IFERROR(ROUND(Data!B68/(SUMPRODUCT(('Form responses 1'!$B$2:$B1000 = A76) * ('Form responses 1'!$A$2:$A1000 &lt;= DATE(2024, 5, 31)))
+ SUMPRODUCT(('Form responses 1'!$C$2:$C1000 = A76) * ('Form responses 1'!$A$2:$A1000 &lt;= DATE(2024, 5, 31)))
+ SUMPRODUCT(('Form responses 1'!$D$2:$D1000 = A76) * ('Form responses 1'!$A$2:$A1000 &lt;= DATE(2024, 5, 31)))
+ SUMPRODUCT(('Form responses 1'!$E$2:$E1000 = A76) * ('Form responses 1'!$A$2:$A1000 &lt;= DATE(2024, 5, 31)))
+ SUMPRODUCT(('Form responses 1'!$F$2:$F1000 = A76) * ('Form responses 1'!$A$2:$A1000 &lt;= DATE(2024, 5, 31)))
+ SUMPRODUCT(('Form responses 1'!$G$2:$G1000 = A76) * ('Form responses 1'!$A$2:$A1000 &lt;= DATE(2024, 5, 31)))), 2), "-")
</f>
        <v>0.38</v>
      </c>
      <c r="H76" s="2">
        <f>IFERROR(ROUND(Data!B68/(SUMPRODUCT(('Form responses 1'!$B$2:$B1000 = A76) * ('Form responses 1'!$A$2:$A1000 &lt;= DATE(2024, 6, 30)))
+ SUMPRODUCT(('Form responses 1'!$C$2:$C1000 = A76) * ('Form responses 1'!$A$2:$A1000 &lt;= DATE(2024, 6, 30)))
+ SUMPRODUCT(('Form responses 1'!$D$2:$D1000 = A76) * ('Form responses 1'!$A$2:$A1000 &lt;= DATE(2024, 6, 30)))
+ SUMPRODUCT(('Form responses 1'!$E$2:$E1000 = A76) * ('Form responses 1'!$A$2:$A1000 &lt;= DATE(2024, 6, 30)))
+ SUMPRODUCT(('Form responses 1'!$F$2:$F1000 = A76) * ('Form responses 1'!$A$2:$A1000 &lt;= DATE(2024, 6, 30)))
+ SUMPRODUCT(('Form responses 1'!$G$2:$G1000 = A76) * ('Form responses 1'!$A$2:$A1000 &lt;= DATE(2024, 6, 30)))), 2), "-")
</f>
        <v>0.38</v>
      </c>
      <c r="I76" s="2">
        <f>IFERROR(ROUND(Data!B68/(SUMPRODUCT(('Form responses 1'!$B$2:$B1000 = A76) * ('Form responses 1'!$A$2:$A1000 &lt;= DATE(2024, 7, 31)))
+ SUMPRODUCT(('Form responses 1'!$C$2:$C1000 = A76) * ('Form responses 1'!$A$2:$A1000 &lt;= DATE(2024, 7, 31)))
+ SUMPRODUCT(('Form responses 1'!$D$2:$D1000 = A76) * ('Form responses 1'!$A$2:$A1000 &lt;= DATE(2024, 7, 31)))
+ SUMPRODUCT(('Form responses 1'!$E$2:$E1000 = A76) * ('Form responses 1'!$A$2:$A1000 &lt;= DATE(2024, 7, 31)))
+ SUMPRODUCT(('Form responses 1'!$F$2:$F1000 = A76) * ('Form responses 1'!$A$2:$A1000 &lt;= DATE(2024, 7, 31)))
+ SUMPRODUCT(('Form responses 1'!$G$2:$G1000 = A76) * ('Form responses 1'!$A$2:$A1000 &lt;= DATE(2024, 7, 31)))), 2), "-")
</f>
        <v>0.38</v>
      </c>
      <c r="J76" s="2">
        <f>IFERROR(ROUND(Data!B68/(SUMPRODUCT(('Form responses 1'!$B$2:$B1000 = A76) * ('Form responses 1'!$A$2:$A1000 &lt;= DATE(2024, 8, 31)))
+ SUMPRODUCT(('Form responses 1'!$C$2:$C1000 = A76) * ('Form responses 1'!$A$2:$A1000 &lt;= DATE(2024, 8, 31)))
+ SUMPRODUCT(('Form responses 1'!$D$2:$D1000 = A76) * ('Form responses 1'!$A$2:$A1000 &lt;= DATE(2024, 8, 31)))
+ SUMPRODUCT(('Form responses 1'!$E$2:$E1000 = A76) * ('Form responses 1'!$A$2:$A1000 &lt;= DATE(2024, 8, 31)))
+ SUMPRODUCT(('Form responses 1'!$F$2:$F1000 = A76) * ('Form responses 1'!$A$2:$A1000 &lt;= DATE(2024, 8, 31)))
+ SUMPRODUCT(('Form responses 1'!$G$2:$G1000 = A76) * ('Form responses 1'!$A$2:$A1000 &lt;= DATE(2024, 8, 31)))), 2), "-")
</f>
        <v>0.38</v>
      </c>
      <c r="K76" s="2">
        <f>IFERROR(ROUND(Data!B68/(SUMPRODUCT(('Form responses 1'!$B$2:$B1000 = A76) * ('Form responses 1'!$A$2:$A1000 &lt;= DATE(2024, 9, 30)))
+ SUMPRODUCT(('Form responses 1'!$C$2:$C1000 = A76) * ('Form responses 1'!$A$2:$A1000 &lt;= DATE(2024, 9, 30)))
+ SUMPRODUCT(('Form responses 1'!$D$2:$D1000 = A76) * ('Form responses 1'!$A$2:$A1000 &lt;= DATE(2024, 9, 30)))
+ SUMPRODUCT(('Form responses 1'!$E$2:$E1000 = A76) * ('Form responses 1'!$A$2:$A1000 &lt;= DATE(2024, 9, 30)))
+ SUMPRODUCT(('Form responses 1'!$F$2:$F1000 = A76) * ('Form responses 1'!$A$2:$A1000 &lt;= DATE(2024, 9, 30)))
+ SUMPRODUCT(('Form responses 1'!$G$2:$G1000 = A76) * ('Form responses 1'!$A$2:$A1000 &lt;= DATE(2024, 9, 30)))), 2), "-")
</f>
        <v>0.38</v>
      </c>
      <c r="L76" s="2">
        <f>IFERROR(ROUND(Data!B68/(SUMPRODUCT(('Form responses 1'!$B$2:$B1000 = A76) * ('Form responses 1'!$A$2:$A1000 &lt;= DATE(2024, 10, 31)))
+ SUMPRODUCT(('Form responses 1'!$C$2:$C1000 = A76) * ('Form responses 1'!$A$2:$A1000 &lt;= DATE(2024, 10, 31)))
+ SUMPRODUCT(('Form responses 1'!$D$2:$D1000 = A76) * ('Form responses 1'!$A$2:$A1000 &lt;= DATE(2024, 10, 31)))
+ SUMPRODUCT(('Form responses 1'!$E$2:$E1000 = A76) * ('Form responses 1'!$A$2:$A1000 &lt;= DATE(2024, 10, 31)))
+ SUMPRODUCT(('Form responses 1'!$F$2:$F1000 = A76) * ('Form responses 1'!$A$2:$A1000 &lt;= DATE(2024, 10, 31)))
+ SUMPRODUCT(('Form responses 1'!$G$2:$G1000 = A76) * ('Form responses 1'!$A$2:$A1000 &lt;= DATE(2024, 10, 31)))), 2), "-")
</f>
        <v>0.38</v>
      </c>
      <c r="M76" s="2">
        <f>IFERROR(ROUND(Data!B68/(SUMPRODUCT(('Form responses 1'!$B$2:$B1000 = A76) * ('Form responses 1'!$A$2:$A1000 &lt;= DATE(2024, 11, 30)))
+ SUMPRODUCT(('Form responses 1'!$C$2:$C1000 = A76) * ('Form responses 1'!$A$2:$A1000 &lt;= DATE(2024, 11, 30)))
+ SUMPRODUCT(('Form responses 1'!$D$2:$D1000 = A76) * ('Form responses 1'!$A$2:$A1000 &lt;= DATE(2024, 11, 30)))
+ SUMPRODUCT(('Form responses 1'!$E$2:$E1000 = A76) * ('Form responses 1'!$A$2:$A1000 &lt;= DATE(2024, 11, 30)))
+ SUMPRODUCT(('Form responses 1'!$F$2:$F1000 = A76) * ('Form responses 1'!$A$2:$A1000 &lt;= DATE(2024, 11, 30)))
+ SUMPRODUCT(('Form responses 1'!$G$2:$G1000 = A76) * ('Form responses 1'!$A$2:$A1000 &lt;= DATE(2024, 11, 30)))), 2), "-")
</f>
        <v>0.38</v>
      </c>
      <c r="N76" s="2">
        <f>IFERROR(ROUND(Data!B68/(SUMPRODUCT(('Form responses 1'!$B$2:$B1000 = A76) * ('Form responses 1'!$A$2:$A1000 &lt;= DATE(2024, 12, 31)))
+ SUMPRODUCT(('Form responses 1'!$C$2:$C1000 = A76) * ('Form responses 1'!$A$2:$A1000 &lt;= DATE(2024, 12, 31)))
+ SUMPRODUCT(('Form responses 1'!$D$2:$D1000 = A76) * ('Form responses 1'!$A$2:$A1000 &lt;= DATE(2024, 12, 31)))
+ SUMPRODUCT(('Form responses 1'!$E$2:$E1000 = A76) * ('Form responses 1'!$A$2:$A1000 &lt;= DATE(2024, 12, 31)))
+ SUMPRODUCT(('Form responses 1'!$F$2:$F1000 = A76) * ('Form responses 1'!$A$2:$A1000 &lt;= DATE(2024, 12, 31)))
+ SUMPRODUCT(('Form responses 1'!$G$2:$G1000 = A76) * ('Form responses 1'!$A$2:$A1000 &lt;= DATE(2024, 12, 31)))), 2), "-")
</f>
        <v>0.38</v>
      </c>
      <c r="O76" s="2">
        <f>IFERROR(ROUND(Data!B68/(SUMPRODUCT(('Form responses 1'!$B$2:$B1000 = A76) * ('Form responses 1'!$A$2:$A1000 &lt;= DATE(2025, 1, 31)))
+ SUMPRODUCT(('Form responses 1'!$C$2:$C1000 = A76) * ('Form responses 1'!$A$2:$A1000 &lt;= DATE(2025, 1, 31)))
+ SUMPRODUCT(('Form responses 1'!$D$2:$D1000 = A76) * ('Form responses 1'!$A$2:$A1000 &lt;= DATE(2025, 1, 31)))
+ SUMPRODUCT(('Form responses 1'!$E$2:$E1000 = A76) * ('Form responses 1'!$A$2:$A1000 &lt;= DATE(2025, 1, 31)))
+ SUMPRODUCT(('Form responses 1'!$F$2:$F1000 = A76) * ('Form responses 1'!$A$2:$A1000 &lt;= DATE(2025, 1, 31)))
+ SUMPRODUCT(('Form responses 1'!$G$2:$G1000 = A76) * ('Form responses 1'!$A$2:$A1000 &lt;= DATE(2025, 1, 31)))), 2), "-")
</f>
        <v>0.38</v>
      </c>
      <c r="P76" s="2">
        <f>IFERROR(ROUND(Data!B68/(SUMPRODUCT(('Form responses 1'!$B$2:$B1000 = A76) * ('Form responses 1'!$A$2:$A1000 &lt;= DATE(2025, 2, 28)))
+ SUMPRODUCT(('Form responses 1'!$C$2:$C1000 = A76) * ('Form responses 1'!$A$2:$A1000 &lt;= DATE(2025, 2, 28)))
+ SUMPRODUCT(('Form responses 1'!$D$2:$D1000 = A76) * ('Form responses 1'!$A$2:$A1000 &lt;= DATE(2025, 2, 28)))
+ SUMPRODUCT(('Form responses 1'!$E$2:$E1000 = A76) * ('Form responses 1'!$A$2:$A1000 &lt;= DATE(2025, 2, 28)))
+ SUMPRODUCT(('Form responses 1'!$F$2:$F1000 = A76) * ('Form responses 1'!$A$2:$A1000 &lt;= DATE(2025, 2, 28)))
+ SUMPRODUCT(('Form responses 1'!$G$2:$G1000 = A76) * ('Form responses 1'!$A$2:$A1000 &lt;= DATE(2025, 2, 28)))), 2), "-")
</f>
        <v>0.38</v>
      </c>
      <c r="Q76" s="2">
        <f>IFERROR(ROUND(Data!B68/(SUMPRODUCT(('Form responses 1'!$B$2:$B1000 = A76) * ('Form responses 1'!$A$2:$A1000 &lt;= DATE(2025, 3, 31)))
+ SUMPRODUCT(('Form responses 1'!$C$2:$C1000 = A76) * ('Form responses 1'!$A$2:$A1000 &lt;= DATE(2025, 3, 31)))
+ SUMPRODUCT(('Form responses 1'!$D$2:$D1000 = A76) * ('Form responses 1'!$A$2:$A1000 &lt;= DATE(2025, 3, 31)))
+ SUMPRODUCT(('Form responses 1'!$E$2:$E1000 = A76) * ('Form responses 1'!$A$2:$A1000 &lt;= DATE(2025, 3, 31)))
+ SUMPRODUCT(('Form responses 1'!$F$2:$F1000 = A76) * ('Form responses 1'!$A$2:$A1000 &lt;= DATE(2025, 3, 31)))
+ SUMPRODUCT(('Form responses 1'!$G$2:$G1000 = A76) * ('Form responses 1'!$A$2:$A1000 &lt;= DATE(2025, 3, 31)))),2),"-")</f>
        <v>0.38</v>
      </c>
      <c r="R76" s="2">
        <f>IFERROR(ROUND(Data!B68/(SUMPRODUCT(('Form responses 1'!$B$2:$B1000 = A76) * ('Form responses 1'!$A$2:$A1000 &lt;= DATE(2025, 4, 30)))
+ SUMPRODUCT(('Form responses 1'!$C$2:$C1000 = A76) * ('Form responses 1'!$A$2:$A1000 &lt;= DATE(2025, 4, 30)))
+ SUMPRODUCT(('Form responses 1'!$D$2:$D1000 = A76) * ('Form responses 1'!$A$2:$A1000 &lt;= DATE(2025, 4, 30)))
+ SUMPRODUCT(('Form responses 1'!$E$2:$E1000 = A76) * ('Form responses 1'!$A$2:$A1000 &lt;= DATE(2025, 4, 30)))
+ SUMPRODUCT(('Form responses 1'!$F$2:$F1000 = A76) * ('Form responses 1'!$A$2:$A1000 &lt;= DATE(2025, 4, 30)))
+ SUMPRODUCT(('Form responses 1'!$G$2:$G1000 = A76) * ('Form responses 1'!$A$2:$A1000 &lt;= DATE(2025, 4, 30)))), 2), "-")
</f>
        <v>0.38</v>
      </c>
      <c r="S76" s="2">
        <f>IFERROR(ROUND(Data!B68/(SUMPRODUCT(('Form responses 1'!$B$2:$B1000 = A76) * ('Form responses 1'!$A$2:$A1000 &lt;= DATE(2025, 5, 31)))
+ SUMPRODUCT(('Form responses 1'!$C$2:$C1000 = A76) * ('Form responses 1'!$A$2:$A1000 &lt;= DATE(2025, 5, 31)))
+ SUMPRODUCT(('Form responses 1'!$D$2:$D1000 = A76) * ('Form responses 1'!$A$2:$A1000 &lt;= DATE(2025, 5, 31)))
+ SUMPRODUCT(('Form responses 1'!$E$2:$E1000 = A76) * ('Form responses 1'!$A$2:$A1000 &lt;= DATE(2025, 5, 31)))
+ SUMPRODUCT(('Form responses 1'!$F$2:$F1000 = A76) * ('Form responses 1'!$A$2:$A1000 &lt;= DATE(2025, 5, 31)))
+ SUMPRODUCT(('Form responses 1'!$G$2:$G1000 = A76) * ('Form responses 1'!$A$2:$A1000 &lt;= DATE(2025, 5, 31)))), 2), "-")
</f>
        <v>0.38</v>
      </c>
      <c r="T76" s="2">
        <f>IFERROR(ROUND(Data!B68/(SUMPRODUCT(('Form responses 1'!$B$2:$B1000 = A76) * ('Form responses 1'!$A$2:$A1000 &lt;= DATE(2025, 6, 30)))
+ SUMPRODUCT(('Form responses 1'!$C$2:$C1000 = A76) * ('Form responses 1'!$A$2:$A1000 &lt;= DATE(2025, 6, 30)))
+ SUMPRODUCT(('Form responses 1'!$D$2:$D1000 = A76) * ('Form responses 1'!$A$2:$A1000 &lt;= DATE(2025, 6, 30)))
+ SUMPRODUCT(('Form responses 1'!$E$2:$E1000 = A76) * ('Form responses 1'!$A$2:$A1000 &lt;= DATE(2025, 6, 30)))
+ SUMPRODUCT(('Form responses 1'!$F$2:$F1000 = A76) * ('Form responses 1'!$A$2:$A1000 &lt;= DATE(2025, 6, 30)))
+ SUMPRODUCT(('Form responses 1'!$G$2:$G1000 = A76) * ('Form responses 1'!$A$2:$A1000 &lt;= DATE(2025, 6, 30)))), 2), "-")
</f>
        <v>0.38</v>
      </c>
      <c r="U76" s="2">
        <f>IFERROR(ROUND(Data!B68/(SUMPRODUCT(('Form responses 1'!$B$2:$B1000 = A76) * ('Form responses 1'!$A$2:$A1000 &lt;= DATE(2025, 7, 31)))
+ SUMPRODUCT(('Form responses 1'!$C$2:$C1000 = A76) * ('Form responses 1'!$A$2:$A1000 &lt;= DATE(2025, 7, 31)))
+ SUMPRODUCT(('Form responses 1'!$D$2:$D1000 = A76) * ('Form responses 1'!$A$2:$A1000 &lt;= DATE(2025, 7, 31)))
+ SUMPRODUCT(('Form responses 1'!$E$2:$E1000 = A76) * ('Form responses 1'!$A$2:$A1000 &lt;= DATE(2025, 7, 31)))
+ SUMPRODUCT(('Form responses 1'!$F$2:$F1000 = A76) * ('Form responses 1'!$A$2:$A1000 &lt;= DATE(2025, 7, 31)))
+ SUMPRODUCT(('Form responses 1'!$G$2:$G1000 = A76) * ('Form responses 1'!$A$2:$A1000 &lt;= DATE(2025, 7, 31)))), 2), "-")
</f>
        <v>0.38</v>
      </c>
      <c r="V76" s="2">
        <f>IFERROR(ROUND(Data!B68/(SUMPRODUCT(('Form responses 1'!$B$2:$B1000 = A76) * ('Form responses 1'!$A$2:$A1000 &lt;= DATE(2025, 8, 31)))
+ SUMPRODUCT(('Form responses 1'!$C$2:$C1000 = A76) * ('Form responses 1'!$A$2:$A1000 &lt;= DATE(2025, 8, 31)))
+ SUMPRODUCT(('Form responses 1'!$D$2:$D1000 = A76) * ('Form responses 1'!$A$2:$A1000 &lt;= DATE(2025, 8, 31)))
+ SUMPRODUCT(('Form responses 1'!$E$2:$E1000 = A76) * ('Form responses 1'!$A$2:$A1000 &lt;= DATE(2025, 8, 31)))
+ SUMPRODUCT(('Form responses 1'!$F$2:$F1000 = A76) * ('Form responses 1'!$A$2:$A1000 &lt;= DATE(2025, 8, 31)))
+ SUMPRODUCT(('Form responses 1'!$G$2:$G1000 = A76) * ('Form responses 1'!$A$2:$A1000 &lt;= DATE(2025, 8, 31)))), 2), "-")
</f>
        <v>0.38</v>
      </c>
      <c r="W76" s="2">
        <f>IFERROR(ROUND(Data!B68/(SUMPRODUCT(('Form responses 1'!$B$2:$B1000 = A76) * ('Form responses 1'!$A$2:$A1000 &lt;= DATE(2025, 9, 30)))
+ SUMPRODUCT(('Form responses 1'!$C$2:$C1000 = A76) * ('Form responses 1'!$A$2:$A1000 &lt;= DATE(2025, 9, 30)))
+ SUMPRODUCT(('Form responses 1'!$D$2:$D1000 = A76) * ('Form responses 1'!$A$2:$A1000 &lt;= DATE(2025, 9, 30)))
+ SUMPRODUCT(('Form responses 1'!$E$2:$E1000 = A76) * ('Form responses 1'!$A$2:$A1000 &lt;= DATE(2025, 9, 30)))
+ SUMPRODUCT(('Form responses 1'!$F$2:$F1000 = A76) * ('Form responses 1'!$A$2:$A1000 &lt;= DATE(2025, 9, 30)))
+ SUMPRODUCT(('Form responses 1'!$G$2:$G1000 = A76) * ('Form responses 1'!$A$2:$A1000 &lt;= DATE(2025, 9, 30)))), 2), "-")
</f>
        <v>0.38</v>
      </c>
      <c r="X76" s="2">
        <f>IFERROR(ROUND(Data!B68/(SUMPRODUCT(('Form responses 1'!$B$2:$B1000 = A76) * ('Form responses 1'!$A$2:$A1000 &lt;= DATE(2025, 10, 31)))
+ SUMPRODUCT(('Form responses 1'!$C$2:$C1000 = A76) * ('Form responses 1'!$A$2:$A1000 &lt;= DATE(2025, 10, 31)))
+ SUMPRODUCT(('Form responses 1'!$D$2:$D1000 = A76) * ('Form responses 1'!$A$2:$A1000 &lt;= DATE(2025, 10, 31)))
+ SUMPRODUCT(('Form responses 1'!$E$2:$E1000 = A76) * ('Form responses 1'!$A$2:$A1000 &lt;= DATE(2025, 10, 31)))
+ SUMPRODUCT(('Form responses 1'!$F$2:$F1000 = A76) * ('Form responses 1'!$A$2:$A1000 &lt;= DATE(2025, 10, 31)))
+ SUMPRODUCT(('Form responses 1'!$G$2:$G1000 = A76) * ('Form responses 1'!$A$2:$A1000 &lt;= DATE(2025, 10, 31)))), 2), "-")
</f>
        <v>0.38</v>
      </c>
      <c r="Y76" s="2">
        <f>IFERROR(ROUND(Data!B68/(SUMPRODUCT(('Form responses 1'!$B$2:$B1000 = A76) * ('Form responses 1'!$A$2:$A1000 &lt;= DATE(2025, 11, 30)))
+ SUMPRODUCT(('Form responses 1'!$C$2:$C1000 = A76) * ('Form responses 1'!$A$2:$A1000 &lt;= DATE(2025, 11, 30)))
+ SUMPRODUCT(('Form responses 1'!$D$2:$D1000 = A76) * ('Form responses 1'!$A$2:$A1000 &lt;= DATE(2025, 11, 30)))
+ SUMPRODUCT(('Form responses 1'!$E$2:$E1000 = A76) * ('Form responses 1'!$A$2:$A1000 &lt;= DATE(2025, 11, 30)))
+ SUMPRODUCT(('Form responses 1'!$F$2:$F1000 = A76) * ('Form responses 1'!$A$2:$A1000 &lt;= DATE(2025, 11, 30)))
+ SUMPRODUCT(('Form responses 1'!$G$2:$G1000 = A76) * ('Form responses 1'!$A$2:$A1000 &lt;= DATE(2025, 11, 30)))), 2), "-")
</f>
        <v>0.38</v>
      </c>
      <c r="Z76" s="2">
        <f>IFERROR(ROUND(Data!B68/(SUMPRODUCT(('Form responses 1'!$B$2:$B1000 = A76) * ('Form responses 1'!$A$2:$A1000 &lt;= DATE(2025, 12, 31)))
+ SUMPRODUCT(('Form responses 1'!$C$2:$C1000 = A76) * ('Form responses 1'!$A$2:$A1000 &lt;= DATE(2025, 12, 31)))
+ SUMPRODUCT(('Form responses 1'!$D$2:$D1000 = A76) * ('Form responses 1'!$A$2:$A1000 &lt;= DATE(2025, 12, 31)))
+ SUMPRODUCT(('Form responses 1'!$E$2:$E1000 = A76) * ('Form responses 1'!$A$2:$A1000 &lt;= DATE(2025, 12, 31)))
+ SUMPRODUCT(('Form responses 1'!$F$2:$F1000 = A76) * ('Form responses 1'!$A$2:$A1000 &lt;= DATE(2025, 12, 31)))
+ SUMPRODUCT(('Form responses 1'!$G$2:$G1000 = A76) * ('Form responses 1'!$A$2:$A1000 &lt;= DATE(2025, 12, 31)))), 2), "-")
</f>
        <v>0.38</v>
      </c>
      <c r="AA76" s="2">
        <f>IFERROR(ROUND(Data!$B76/(
  SUMPRODUCT(('Form responses 1'!$B$2:$B1000=$A76)*('Form responses 1'!$A$2:$A1000&lt;=EOMONTH(DATEVALUE("1 "&amp;AA$1),0)))+
  SUMPRODUCT(('Form responses 1'!$C$2:$C1000=$A76)*('Form responses 1'!$A$2:$A1000&lt;=EOMONTH(DATEVALUE("1 "&amp;AA$1),0)))+
  SUMPRODUCT(('Form responses 1'!$D$2:$D1000=$A76)*('Form responses 1'!$A$2:$A1000&lt;=EOMONTH(DATEVALUE("1 "&amp;AA$1),0)))+
  SUMPRODUCT(('Form responses 1'!$E$2:$E1000=$A76)*('Form responses 1'!$A$2:$A1000&lt;=EOMONTH(DATEVALUE("1 "&amp;AA$1),0)))+
  SUMPRODUCT(('Form responses 1'!$F$2:$F1000=$A76)*('Form responses 1'!$A$2:$A1000&lt;=EOMONTH(DATEVALUE("1 "&amp;AA$1),0)))+
  SUMPRODUCT(('Form responses 1'!$G$2:$G1000=$A76)*('Form responses 1'!$A$2:$A1000&lt;=EOMONTH(DATEVALUE("1 "&amp;AA$1),0)))
),2),"-")</f>
        <v>0.32</v>
      </c>
      <c r="AB76" s="2">
        <f>IFERROR(ROUND(Data!$B76/(
  SUMPRODUCT(('Form responses 1'!$B$2:$B1000=$A76)*('Form responses 1'!$A$2:$A1000&lt;=EOMONTH(DATEVALUE("1 "&amp;AB$1),0)))+
  SUMPRODUCT(('Form responses 1'!$C$2:$C1000=$A76)*('Form responses 1'!$A$2:$A1000&lt;=EOMONTH(DATEVALUE("1 "&amp;AB$1),0)))+
  SUMPRODUCT(('Form responses 1'!$D$2:$D1000=$A76)*('Form responses 1'!$A$2:$A1000&lt;=EOMONTH(DATEVALUE("1 "&amp;AB$1),0)))+
  SUMPRODUCT(('Form responses 1'!$E$2:$E1000=$A76)*('Form responses 1'!$A$2:$A1000&lt;=EOMONTH(DATEVALUE("1 "&amp;AB$1),0)))+
  SUMPRODUCT(('Form responses 1'!$F$2:$F1000=$A76)*('Form responses 1'!$A$2:$A1000&lt;=EOMONTH(DATEVALUE("1 "&amp;AB$1),0)))+
  SUMPRODUCT(('Form responses 1'!$G$2:$G1000=$A76)*('Form responses 1'!$A$2:$A1000&lt;=EOMONTH(DATEVALUE("1 "&amp;AB$1),0)))
),2),"-")</f>
        <v>0.32</v>
      </c>
      <c r="AC76" s="2">
        <f>IFERROR(ROUND(Data!$B76/(
  SUMPRODUCT(('Form responses 1'!$B$2:$B1000=$A76)*('Form responses 1'!$A$2:$A1000&lt;=EOMONTH(DATEVALUE("1 "&amp;AC$1),0)))+
  SUMPRODUCT(('Form responses 1'!$C$2:$C1000=$A76)*('Form responses 1'!$A$2:$A1000&lt;=EOMONTH(DATEVALUE("1 "&amp;AC$1),0)))+
  SUMPRODUCT(('Form responses 1'!$D$2:$D1000=$A76)*('Form responses 1'!$A$2:$A1000&lt;=EOMONTH(DATEVALUE("1 "&amp;AC$1),0)))+
  SUMPRODUCT(('Form responses 1'!$E$2:$E1000=$A76)*('Form responses 1'!$A$2:$A1000&lt;=EOMONTH(DATEVALUE("1 "&amp;AC$1),0)))+
  SUMPRODUCT(('Form responses 1'!$F$2:$F1000=$A76)*('Form responses 1'!$A$2:$A1000&lt;=EOMONTH(DATEVALUE("1 "&amp;AC$1),0)))+
  SUMPRODUCT(('Form responses 1'!$G$2:$G1000=$A76)*('Form responses 1'!$A$2:$A1000&lt;=EOMONTH(DATEVALUE("1 "&amp;AC$1),0)))
),2),"-")</f>
        <v>0.32</v>
      </c>
      <c r="AD76" s="2" t="str">
        <f>IFERROR(ROUND(Data!$B76/(
  SUMPRODUCT(('Form responses 1'!$B$2:$B1000=$A76)*('Form responses 1'!$A$2:$A1000&lt;=EOMONTH(DATEVALUE("1 "&amp;AD$1),0)))+
  SUMPRODUCT(('Form responses 1'!$C$2:$C1000=$A76)*('Form responses 1'!$A$2:$A1000&lt;=EOMONTH(DATEVALUE("1 "&amp;AD$1),0)))+
  SUMPRODUCT(('Form responses 1'!$D$2:$D1000=$A76)*('Form responses 1'!$A$2:$A1000&lt;=EOMONTH(DATEVALUE("1 "&amp;AD$1),0)))+
  SUMPRODUCT(('Form responses 1'!$E$2:$E1000=$A76)*('Form responses 1'!$A$2:$A1000&lt;=EOMONTH(DATEVALUE("1 "&amp;AD$1),0)))+
  SUMPRODUCT(('Form responses 1'!$F$2:$F1000=$A76)*('Form responses 1'!$A$2:$A1000&lt;=EOMONTH(DATEVALUE("1 "&amp;AD$1),0)))+
  SUMPRODUCT(('Form responses 1'!$G$2:$G1000=$A76)*('Form responses 1'!$A$2:$A1000&lt;=EOMONTH(DATEVALUE("1 "&amp;AD$1),0)))
),2),"-")</f>
        <v>-</v>
      </c>
      <c r="AE76" s="2" t="str">
        <f>IFERROR(ROUND(Data!$B76/(
  SUMPRODUCT(('Form responses 1'!$B$2:$B1000=$A76)*('Form responses 1'!$A$2:$A1000&lt;=EOMONTH(DATEVALUE("1 "&amp;AE$1),0)))+
  SUMPRODUCT(('Form responses 1'!$C$2:$C1000=$A76)*('Form responses 1'!$A$2:$A1000&lt;=EOMONTH(DATEVALUE("1 "&amp;AE$1),0)))+
  SUMPRODUCT(('Form responses 1'!$D$2:$D1000=$A76)*('Form responses 1'!$A$2:$A1000&lt;=EOMONTH(DATEVALUE("1 "&amp;AE$1),0)))+
  SUMPRODUCT(('Form responses 1'!$E$2:$E1000=$A76)*('Form responses 1'!$A$2:$A1000&lt;=EOMONTH(DATEVALUE("1 "&amp;AE$1),0)))+
  SUMPRODUCT(('Form responses 1'!$F$2:$F1000=$A76)*('Form responses 1'!$A$2:$A1000&lt;=EOMONTH(DATEVALUE("1 "&amp;AE$1),0)))+
  SUMPRODUCT(('Form responses 1'!$G$2:$G1000=$A76)*('Form responses 1'!$A$2:$A1000&lt;=EOMONTH(DATEVALUE("1 "&amp;AE$1),0)))
),2),"-")</f>
        <v>-</v>
      </c>
      <c r="AF76" s="2" t="str">
        <f>IFERROR(ROUND(Data!$B76/(
  SUMPRODUCT(('Form responses 1'!$B$2:$B1000=$A76)*('Form responses 1'!$A$2:$A1000&lt;=EOMONTH(DATEVALUE("1 "&amp;AF$1),0)))+
  SUMPRODUCT(('Form responses 1'!$C$2:$C1000=$A76)*('Form responses 1'!$A$2:$A1000&lt;=EOMONTH(DATEVALUE("1 "&amp;AF$1),0)))+
  SUMPRODUCT(('Form responses 1'!$D$2:$D1000=$A76)*('Form responses 1'!$A$2:$A1000&lt;=EOMONTH(DATEVALUE("1 "&amp;AF$1),0)))+
  SUMPRODUCT(('Form responses 1'!$E$2:$E1000=$A76)*('Form responses 1'!$A$2:$A1000&lt;=EOMONTH(DATEVALUE("1 "&amp;AF$1),0)))+
  SUMPRODUCT(('Form responses 1'!$F$2:$F1000=$A76)*('Form responses 1'!$A$2:$A1000&lt;=EOMONTH(DATEVALUE("1 "&amp;AF$1),0)))+
  SUMPRODUCT(('Form responses 1'!$G$2:$G1000=$A76)*('Form responses 1'!$A$2:$A1000&lt;=EOMONTH(DATEVALUE("1 "&amp;AF$1),0)))
),2),"-")</f>
        <v>-</v>
      </c>
      <c r="AG76" s="2" t="str">
        <f>IFERROR(ROUND(Data!$B76/(
  SUMPRODUCT(('Form responses 1'!$B$2:$B1000=$A76)*('Form responses 1'!$A$2:$A1000&lt;=EOMONTH(DATEVALUE("1 "&amp;AG$1),0)))+
  SUMPRODUCT(('Form responses 1'!$C$2:$C1000=$A76)*('Form responses 1'!$A$2:$A1000&lt;=EOMONTH(DATEVALUE("1 "&amp;AG$1),0)))+
  SUMPRODUCT(('Form responses 1'!$D$2:$D1000=$A76)*('Form responses 1'!$A$2:$A1000&lt;=EOMONTH(DATEVALUE("1 "&amp;AG$1),0)))+
  SUMPRODUCT(('Form responses 1'!$E$2:$E1000=$A76)*('Form responses 1'!$A$2:$A1000&lt;=EOMONTH(DATEVALUE("1 "&amp;AG$1),0)))+
  SUMPRODUCT(('Form responses 1'!$F$2:$F1000=$A76)*('Form responses 1'!$A$2:$A1000&lt;=EOMONTH(DATEVALUE("1 "&amp;AG$1),0)))+
  SUMPRODUCT(('Form responses 1'!$G$2:$G1000=$A76)*('Form responses 1'!$A$2:$A1000&lt;=EOMONTH(DATEVALUE("1 "&amp;AG$1),0)))
),2),"-")</f>
        <v>-</v>
      </c>
      <c r="AH76" s="2" t="str">
        <f>IFERROR(ROUND(Data!$B76/(
  SUMPRODUCT(('Form responses 1'!$B$2:$B1000=$A76)*('Form responses 1'!$A$2:$A1000&lt;=EOMONTH(DATEVALUE("1 "&amp;AH$1),0)))+
  SUMPRODUCT(('Form responses 1'!$C$2:$C1000=$A76)*('Form responses 1'!$A$2:$A1000&lt;=EOMONTH(DATEVALUE("1 "&amp;AH$1),0)))+
  SUMPRODUCT(('Form responses 1'!$D$2:$D1000=$A76)*('Form responses 1'!$A$2:$A1000&lt;=EOMONTH(DATEVALUE("1 "&amp;AH$1),0)))+
  SUMPRODUCT(('Form responses 1'!$E$2:$E1000=$A76)*('Form responses 1'!$A$2:$A1000&lt;=EOMONTH(DATEVALUE("1 "&amp;AH$1),0)))+
  SUMPRODUCT(('Form responses 1'!$F$2:$F1000=$A76)*('Form responses 1'!$A$2:$A1000&lt;=EOMONTH(DATEVALUE("1 "&amp;AH$1),0)))+
  SUMPRODUCT(('Form responses 1'!$G$2:$G1000=$A76)*('Form responses 1'!$A$2:$A1000&lt;=EOMONTH(DATEVALUE("1 "&amp;AH$1),0)))
),2),"-")</f>
        <v>-</v>
      </c>
      <c r="AI76" s="2" t="str">
        <f>IFERROR(ROUND(Data!$B76/(
  SUMPRODUCT(('Form responses 1'!$B$2:$B1000=$A76)*('Form responses 1'!$A$2:$A1000&lt;=EOMONTH(DATEVALUE("1 "&amp;AI$1),0)))+
  SUMPRODUCT(('Form responses 1'!$C$2:$C1000=$A76)*('Form responses 1'!$A$2:$A1000&lt;=EOMONTH(DATEVALUE("1 "&amp;AI$1),0)))+
  SUMPRODUCT(('Form responses 1'!$D$2:$D1000=$A76)*('Form responses 1'!$A$2:$A1000&lt;=EOMONTH(DATEVALUE("1 "&amp;AI$1),0)))+
  SUMPRODUCT(('Form responses 1'!$E$2:$E1000=$A76)*('Form responses 1'!$A$2:$A1000&lt;=EOMONTH(DATEVALUE("1 "&amp;AI$1),0)))+
  SUMPRODUCT(('Form responses 1'!$F$2:$F1000=$A76)*('Form responses 1'!$A$2:$A1000&lt;=EOMONTH(DATEVALUE("1 "&amp;AI$1),0)))+
  SUMPRODUCT(('Form responses 1'!$G$2:$G1000=$A76)*('Form responses 1'!$A$2:$A1000&lt;=EOMONTH(DATEVALUE("1 "&amp;AI$1),0)))
),2),"-")</f>
        <v>-</v>
      </c>
      <c r="AJ76" s="2" t="str">
        <f>IFERROR(ROUND(Data!$B76/(
  SUMPRODUCT(('Form responses 1'!$B$2:$B1000=$A76)*('Form responses 1'!$A$2:$A1000&lt;=EOMONTH(DATEVALUE("1 "&amp;AJ$1),0)))+
  SUMPRODUCT(('Form responses 1'!$C$2:$C1000=$A76)*('Form responses 1'!$A$2:$A1000&lt;=EOMONTH(DATEVALUE("1 "&amp;AJ$1),0)))+
  SUMPRODUCT(('Form responses 1'!$D$2:$D1000=$A76)*('Form responses 1'!$A$2:$A1000&lt;=EOMONTH(DATEVALUE("1 "&amp;AJ$1),0)))+
  SUMPRODUCT(('Form responses 1'!$E$2:$E1000=$A76)*('Form responses 1'!$A$2:$A1000&lt;=EOMONTH(DATEVALUE("1 "&amp;AJ$1),0)))+
  SUMPRODUCT(('Form responses 1'!$F$2:$F1000=$A76)*('Form responses 1'!$A$2:$A1000&lt;=EOMONTH(DATEVALUE("1 "&amp;AJ$1),0)))+
  SUMPRODUCT(('Form responses 1'!$G$2:$G1000=$A76)*('Form responses 1'!$A$2:$A1000&lt;=EOMONTH(DATEVALUE("1 "&amp;AJ$1),0)))
),2),"-")</f>
        <v>-</v>
      </c>
      <c r="AK76" s="2" t="str">
        <f>IFERROR(ROUND(Data!$B76/(
  SUMPRODUCT(('Form responses 1'!$B$2:$B1000=$A76)*('Form responses 1'!$A$2:$A1000&lt;=EOMONTH(DATEVALUE("1 "&amp;AK$1),0)))+
  SUMPRODUCT(('Form responses 1'!$C$2:$C1000=$A76)*('Form responses 1'!$A$2:$A1000&lt;=EOMONTH(DATEVALUE("1 "&amp;AK$1),0)))+
  SUMPRODUCT(('Form responses 1'!$D$2:$D1000=$A76)*('Form responses 1'!$A$2:$A1000&lt;=EOMONTH(DATEVALUE("1 "&amp;AK$1),0)))+
  SUMPRODUCT(('Form responses 1'!$E$2:$E1000=$A76)*('Form responses 1'!$A$2:$A1000&lt;=EOMONTH(DATEVALUE("1 "&amp;AK$1),0)))+
  SUMPRODUCT(('Form responses 1'!$F$2:$F1000=$A76)*('Form responses 1'!$A$2:$A1000&lt;=EOMONTH(DATEVALUE("1 "&amp;AK$1),0)))+
  SUMPRODUCT(('Form responses 1'!$G$2:$G1000=$A76)*('Form responses 1'!$A$2:$A1000&lt;=EOMONTH(DATEVALUE("1 "&amp;AK$1),0)))
),2),"-")</f>
        <v>-</v>
      </c>
      <c r="AL76" s="2" t="str">
        <f>IFERROR(ROUND(Data!$B76/(
  SUMPRODUCT(('Form responses 1'!$B$2:$B1000=$A76)*('Form responses 1'!$A$2:$A1000&lt;=EOMONTH(DATEVALUE("1 "&amp;AL$1),0)))+
  SUMPRODUCT(('Form responses 1'!$C$2:$C1000=$A76)*('Form responses 1'!$A$2:$A1000&lt;=EOMONTH(DATEVALUE("1 "&amp;AL$1),0)))+
  SUMPRODUCT(('Form responses 1'!$D$2:$D1000=$A76)*('Form responses 1'!$A$2:$A1000&lt;=EOMONTH(DATEVALUE("1 "&amp;AL$1),0)))+
  SUMPRODUCT(('Form responses 1'!$E$2:$E1000=$A76)*('Form responses 1'!$A$2:$A1000&lt;=EOMONTH(DATEVALUE("1 "&amp;AL$1),0)))+
  SUMPRODUCT(('Form responses 1'!$F$2:$F1000=$A76)*('Form responses 1'!$A$2:$A1000&lt;=EOMONTH(DATEVALUE("1 "&amp;AL$1),0)))+
  SUMPRODUCT(('Form responses 1'!$G$2:$G1000=$A76)*('Form responses 1'!$A$2:$A1000&lt;=EOMONTH(DATEVALUE("1 "&amp;AL$1),0)))
),2),"-")</f>
        <v>-</v>
      </c>
    </row>
    <row r="77">
      <c r="A77" s="3" t="str">
        <f>IFERROR(__xludf.DUMMYFUNCTION("""COMPUTED_VALUE"""),"Bruine nette")</f>
        <v>Bruine nette</v>
      </c>
      <c r="B77" s="2">
        <f>Data!F69:F1000</f>
        <v>0.77</v>
      </c>
      <c r="C77" s="2">
        <f>IFERROR(ROUND(Data!B69/(SUMPRODUCT(('Form responses 1'!$B$2:$B1000 = A77) * ('Form responses 1'!$A$2:$A1000 &lt;= DATE(2024, 1, 31)))
+ SUMPRODUCT(('Form responses 1'!$C$2:$C1000 = A77) * ('Form responses 1'!$A$2:$A1000 &lt;= DATE(2024, 1, 31)))
+ SUMPRODUCT(('Form responses 1'!$D$2:$D1000 = A77) * ('Form responses 1'!$A$2:$A1000 &lt;= DATE(2024, 1, 31)))
+ SUMPRODUCT(('Form responses 1'!$E$2:$E1000 = A77) * ('Form responses 1'!$A$2:$A1000 &lt;= DATE(2024, 1, 31)))
+ SUMPRODUCT(('Form responses 1'!$F$2:$F1000 = A77) * ('Form responses 1'!$A$2:$A1000 &lt;= DATE(2024, 1, 31)))
+ SUMPRODUCT(('Form responses 1'!$G$2:$G1000 = A77) * ('Form responses 1'!$A$2:$A1000 &lt;= DATE(2024, 1, 31)))), 2), "-")
</f>
        <v>0.16</v>
      </c>
      <c r="D77" s="2">
        <f>IFERROR(ROUND(Data!B69/(SUMPRODUCT(('Form responses 1'!$B$2:$B1000 = A77) * ('Form responses 1'!$A$2:$A1000 &lt;= DATE(2024, 2, 29)))
+ SUMPRODUCT(('Form responses 1'!$C$2:$C1000 = A77) * ('Form responses 1'!$A$2:$A1000 &lt;= DATE(2024, 2, 29)))
+ SUMPRODUCT(('Form responses 1'!$D$2:$D1000 = A77) * ('Form responses 1'!$A$2:$A1000 &lt;= DATE(2024, 2, 29)))
+ SUMPRODUCT(('Form responses 1'!$E$2:$E1000 = A77) * ('Form responses 1'!$A$2:$A1000 &lt;= DATE(2024, 2, 29)))
+ SUMPRODUCT(('Form responses 1'!$F$2:$F1000 = A77) * ('Form responses 1'!$A$2:$A1000 &lt;= DATE(2024, 2, 29)))
+ SUMPRODUCT(('Form responses 1'!$G$2:$G1000 = A77) * ('Form responses 1'!$A$2:$A1000 &lt;= DATE(2024, 2, 29)))), 2), "-")
</f>
        <v>0.16</v>
      </c>
      <c r="E77" s="2">
        <f>IFERROR(ROUND(Data!B69/(SUMPRODUCT(('Form responses 1'!$B$2:$B1000 = A77) * ('Form responses 1'!$A$2:$A1000 &lt;= DATE(2024, 3, 31)))
+ SUMPRODUCT(('Form responses 1'!$C$2:$C1000 = A77) * ('Form responses 1'!$A$2:$A1000 &lt;= DATE(2024, 3, 31)))
+ SUMPRODUCT(('Form responses 1'!$D$2:$D1000 = A77) * ('Form responses 1'!$A$2:$A1000 &lt;= DATE(2024, 3, 31)))
+ SUMPRODUCT(('Form responses 1'!$E$2:$E1000 = A77) * ('Form responses 1'!$A$2:$A1000 &lt;= DATE(2024, 3, 31)))
+ SUMPRODUCT(('Form responses 1'!$F$2:$F1000 = A77) * ('Form responses 1'!$A$2:$A1000 &lt;= DATE(2024, 3, 31)))
+ SUMPRODUCT(('Form responses 1'!$G$2:$G1000 = A77) * ('Form responses 1'!$A$2:$A1000 &lt;= DATE(2024, 3, 31)))), 2), "-")
</f>
        <v>0.16</v>
      </c>
      <c r="F77" s="2">
        <f>IFERROR(ROUND(Data!B69/(SUMPRODUCT(('Form responses 1'!$B$2:$B1000 = A77) * ('Form responses 1'!$A$2:$A1000 &lt;= DATE(2024, 4, 30)))
+ SUMPRODUCT(('Form responses 1'!$C$2:$C1000 = A77) * ('Form responses 1'!$A$2:$A1000 &lt;= DATE(2024, 4, 30)))
+ SUMPRODUCT(('Form responses 1'!$D$2:$D1000 = A77) * ('Form responses 1'!$A$2:$A1000 &lt;= DATE(2024, 4, 30)))
+ SUMPRODUCT(('Form responses 1'!$E$2:$E1000 = A77) * ('Form responses 1'!$A$2:$A1000 &lt;= DATE(2024, 4, 30)))
+ SUMPRODUCT(('Form responses 1'!$F$2:$F1000 = A77) * ('Form responses 1'!$A$2:$A1000 &lt;= DATE(2024, 4, 30)))
+ SUMPRODUCT(('Form responses 1'!$G$2:$G1000 = A77) * ('Form responses 1'!$A$2:$A1000 &lt;= DATE(2024, 4, 30)))), 2), "-")
</f>
        <v>0.15</v>
      </c>
      <c r="G77" s="2">
        <f>IFERROR(ROUND(Data!B69/(SUMPRODUCT(('Form responses 1'!$B$2:$B1000 = A77) * ('Form responses 1'!$A$2:$A1000 &lt;= DATE(2024, 5, 31)))
+ SUMPRODUCT(('Form responses 1'!$C$2:$C1000 = A77) * ('Form responses 1'!$A$2:$A1000 &lt;= DATE(2024, 5, 31)))
+ SUMPRODUCT(('Form responses 1'!$D$2:$D1000 = A77) * ('Form responses 1'!$A$2:$A1000 &lt;= DATE(2024, 5, 31)))
+ SUMPRODUCT(('Form responses 1'!$E$2:$E1000 = A77) * ('Form responses 1'!$A$2:$A1000 &lt;= DATE(2024, 5, 31)))
+ SUMPRODUCT(('Form responses 1'!$F$2:$F1000 = A77) * ('Form responses 1'!$A$2:$A1000 &lt;= DATE(2024, 5, 31)))
+ SUMPRODUCT(('Form responses 1'!$G$2:$G1000 = A77) * ('Form responses 1'!$A$2:$A1000 &lt;= DATE(2024, 5, 31)))), 2), "-")
</f>
        <v>0.15</v>
      </c>
      <c r="H77" s="2">
        <f>IFERROR(ROUND(Data!B69/(SUMPRODUCT(('Form responses 1'!$B$2:$B1000 = A77) * ('Form responses 1'!$A$2:$A1000 &lt;= DATE(2024, 6, 30)))
+ SUMPRODUCT(('Form responses 1'!$C$2:$C1000 = A77) * ('Form responses 1'!$A$2:$A1000 &lt;= DATE(2024, 6, 30)))
+ SUMPRODUCT(('Form responses 1'!$D$2:$D1000 = A77) * ('Form responses 1'!$A$2:$A1000 &lt;= DATE(2024, 6, 30)))
+ SUMPRODUCT(('Form responses 1'!$E$2:$E1000 = A77) * ('Form responses 1'!$A$2:$A1000 &lt;= DATE(2024, 6, 30)))
+ SUMPRODUCT(('Form responses 1'!$F$2:$F1000 = A77) * ('Form responses 1'!$A$2:$A1000 &lt;= DATE(2024, 6, 30)))
+ SUMPRODUCT(('Form responses 1'!$G$2:$G1000 = A77) * ('Form responses 1'!$A$2:$A1000 &lt;= DATE(2024, 6, 30)))), 2), "-")
</f>
        <v>0.14</v>
      </c>
      <c r="I77" s="2">
        <f>IFERROR(ROUND(Data!B69/(SUMPRODUCT(('Form responses 1'!$B$2:$B1000 = A77) * ('Form responses 1'!$A$2:$A1000 &lt;= DATE(2024, 7, 31)))
+ SUMPRODUCT(('Form responses 1'!$C$2:$C1000 = A77) * ('Form responses 1'!$A$2:$A1000 &lt;= DATE(2024, 7, 31)))
+ SUMPRODUCT(('Form responses 1'!$D$2:$D1000 = A77) * ('Form responses 1'!$A$2:$A1000 &lt;= DATE(2024, 7, 31)))
+ SUMPRODUCT(('Form responses 1'!$E$2:$E1000 = A77) * ('Form responses 1'!$A$2:$A1000 &lt;= DATE(2024, 7, 31)))
+ SUMPRODUCT(('Form responses 1'!$F$2:$F1000 = A77) * ('Form responses 1'!$A$2:$A1000 &lt;= DATE(2024, 7, 31)))
+ SUMPRODUCT(('Form responses 1'!$G$2:$G1000 = A77) * ('Form responses 1'!$A$2:$A1000 &lt;= DATE(2024, 7, 31)))), 2), "-")
</f>
        <v>0.14</v>
      </c>
      <c r="J77" s="2">
        <f>IFERROR(ROUND(Data!B69/(SUMPRODUCT(('Form responses 1'!$B$2:$B1000 = A77) * ('Form responses 1'!$A$2:$A1000 &lt;= DATE(2024, 8, 31)))
+ SUMPRODUCT(('Form responses 1'!$C$2:$C1000 = A77) * ('Form responses 1'!$A$2:$A1000 &lt;= DATE(2024, 8, 31)))
+ SUMPRODUCT(('Form responses 1'!$D$2:$D1000 = A77) * ('Form responses 1'!$A$2:$A1000 &lt;= DATE(2024, 8, 31)))
+ SUMPRODUCT(('Form responses 1'!$E$2:$E1000 = A77) * ('Form responses 1'!$A$2:$A1000 &lt;= DATE(2024, 8, 31)))
+ SUMPRODUCT(('Form responses 1'!$F$2:$F1000 = A77) * ('Form responses 1'!$A$2:$A1000 &lt;= DATE(2024, 8, 31)))
+ SUMPRODUCT(('Form responses 1'!$G$2:$G1000 = A77) * ('Form responses 1'!$A$2:$A1000 &lt;= DATE(2024, 8, 31)))), 2), "-")
</f>
        <v>0.14</v>
      </c>
      <c r="K77" s="2">
        <f>IFERROR(ROUND(Data!B69/(SUMPRODUCT(('Form responses 1'!$B$2:$B1000 = A77) * ('Form responses 1'!$A$2:$A1000 &lt;= DATE(2024, 9, 30)))
+ SUMPRODUCT(('Form responses 1'!$C$2:$C1000 = A77) * ('Form responses 1'!$A$2:$A1000 &lt;= DATE(2024, 9, 30)))
+ SUMPRODUCT(('Form responses 1'!$D$2:$D1000 = A77) * ('Form responses 1'!$A$2:$A1000 &lt;= DATE(2024, 9, 30)))
+ SUMPRODUCT(('Form responses 1'!$E$2:$E1000 = A77) * ('Form responses 1'!$A$2:$A1000 &lt;= DATE(2024, 9, 30)))
+ SUMPRODUCT(('Form responses 1'!$F$2:$F1000 = A77) * ('Form responses 1'!$A$2:$A1000 &lt;= DATE(2024, 9, 30)))
+ SUMPRODUCT(('Form responses 1'!$G$2:$G1000 = A77) * ('Form responses 1'!$A$2:$A1000 &lt;= DATE(2024, 9, 30)))), 2), "-")
</f>
        <v>0.14</v>
      </c>
      <c r="L77" s="2">
        <f>IFERROR(ROUND(Data!B69/(SUMPRODUCT(('Form responses 1'!$B$2:$B1000 = A77) * ('Form responses 1'!$A$2:$A1000 &lt;= DATE(2024, 10, 31)))
+ SUMPRODUCT(('Form responses 1'!$C$2:$C1000 = A77) * ('Form responses 1'!$A$2:$A1000 &lt;= DATE(2024, 10, 31)))
+ SUMPRODUCT(('Form responses 1'!$D$2:$D1000 = A77) * ('Form responses 1'!$A$2:$A1000 &lt;= DATE(2024, 10, 31)))
+ SUMPRODUCT(('Form responses 1'!$E$2:$E1000 = A77) * ('Form responses 1'!$A$2:$A1000 &lt;= DATE(2024, 10, 31)))
+ SUMPRODUCT(('Form responses 1'!$F$2:$F1000 = A77) * ('Form responses 1'!$A$2:$A1000 &lt;= DATE(2024, 10, 31)))
+ SUMPRODUCT(('Form responses 1'!$G$2:$G1000 = A77) * ('Form responses 1'!$A$2:$A1000 &lt;= DATE(2024, 10, 31)))), 2), "-")
</f>
        <v>0.13</v>
      </c>
      <c r="M77" s="2">
        <f>IFERROR(ROUND(Data!B69/(SUMPRODUCT(('Form responses 1'!$B$2:$B1000 = A77) * ('Form responses 1'!$A$2:$A1000 &lt;= DATE(2024, 11, 30)))
+ SUMPRODUCT(('Form responses 1'!$C$2:$C1000 = A77) * ('Form responses 1'!$A$2:$A1000 &lt;= DATE(2024, 11, 30)))
+ SUMPRODUCT(('Form responses 1'!$D$2:$D1000 = A77) * ('Form responses 1'!$A$2:$A1000 &lt;= DATE(2024, 11, 30)))
+ SUMPRODUCT(('Form responses 1'!$E$2:$E1000 = A77) * ('Form responses 1'!$A$2:$A1000 &lt;= DATE(2024, 11, 30)))
+ SUMPRODUCT(('Form responses 1'!$F$2:$F1000 = A77) * ('Form responses 1'!$A$2:$A1000 &lt;= DATE(2024, 11, 30)))
+ SUMPRODUCT(('Form responses 1'!$G$2:$G1000 = A77) * ('Form responses 1'!$A$2:$A1000 &lt;= DATE(2024, 11, 30)))), 2), "-")
</f>
        <v>0.13</v>
      </c>
      <c r="N77" s="2">
        <f>IFERROR(ROUND(Data!B69/(SUMPRODUCT(('Form responses 1'!$B$2:$B1000 = A77) * ('Form responses 1'!$A$2:$A1000 &lt;= DATE(2024, 12, 31)))
+ SUMPRODUCT(('Form responses 1'!$C$2:$C1000 = A77) * ('Form responses 1'!$A$2:$A1000 &lt;= DATE(2024, 12, 31)))
+ SUMPRODUCT(('Form responses 1'!$D$2:$D1000 = A77) * ('Form responses 1'!$A$2:$A1000 &lt;= DATE(2024, 12, 31)))
+ SUMPRODUCT(('Form responses 1'!$E$2:$E1000 = A77) * ('Form responses 1'!$A$2:$A1000 &lt;= DATE(2024, 12, 31)))
+ SUMPRODUCT(('Form responses 1'!$F$2:$F1000 = A77) * ('Form responses 1'!$A$2:$A1000 &lt;= DATE(2024, 12, 31)))
+ SUMPRODUCT(('Form responses 1'!$G$2:$G1000 = A77) * ('Form responses 1'!$A$2:$A1000 &lt;= DATE(2024, 12, 31)))), 2), "-")
</f>
        <v>0.13</v>
      </c>
      <c r="O77" s="2">
        <f>IFERROR(ROUND(Data!B69/(SUMPRODUCT(('Form responses 1'!$B$2:$B1000 = A77) * ('Form responses 1'!$A$2:$A1000 &lt;= DATE(2025, 1, 31)))
+ SUMPRODUCT(('Form responses 1'!$C$2:$C1000 = A77) * ('Form responses 1'!$A$2:$A1000 &lt;= DATE(2025, 1, 31)))
+ SUMPRODUCT(('Form responses 1'!$D$2:$D1000 = A77) * ('Form responses 1'!$A$2:$A1000 &lt;= DATE(2025, 1, 31)))
+ SUMPRODUCT(('Form responses 1'!$E$2:$E1000 = A77) * ('Form responses 1'!$A$2:$A1000 &lt;= DATE(2025, 1, 31)))
+ SUMPRODUCT(('Form responses 1'!$F$2:$F1000 = A77) * ('Form responses 1'!$A$2:$A1000 &lt;= DATE(2025, 1, 31)))
+ SUMPRODUCT(('Form responses 1'!$G$2:$G1000 = A77) * ('Form responses 1'!$A$2:$A1000 &lt;= DATE(2025, 1, 31)))), 2), "-")
</f>
        <v>0.12</v>
      </c>
      <c r="P77" s="2">
        <f>IFERROR(ROUND(Data!B69/(SUMPRODUCT(('Form responses 1'!$B$2:$B1000 = A77) * ('Form responses 1'!$A$2:$A1000 &lt;= DATE(2025, 2, 28)))
+ SUMPRODUCT(('Form responses 1'!$C$2:$C1000 = A77) * ('Form responses 1'!$A$2:$A1000 &lt;= DATE(2025, 2, 28)))
+ SUMPRODUCT(('Form responses 1'!$D$2:$D1000 = A77) * ('Form responses 1'!$A$2:$A1000 &lt;= DATE(2025, 2, 28)))
+ SUMPRODUCT(('Form responses 1'!$E$2:$E1000 = A77) * ('Form responses 1'!$A$2:$A1000 &lt;= DATE(2025, 2, 28)))
+ SUMPRODUCT(('Form responses 1'!$F$2:$F1000 = A77) * ('Form responses 1'!$A$2:$A1000 &lt;= DATE(2025, 2, 28)))
+ SUMPRODUCT(('Form responses 1'!$G$2:$G1000 = A77) * ('Form responses 1'!$A$2:$A1000 &lt;= DATE(2025, 2, 28)))), 2), "-")
</f>
        <v>0.12</v>
      </c>
      <c r="Q77" s="2">
        <f>IFERROR(ROUND(Data!B69/(SUMPRODUCT(('Form responses 1'!$B$2:$B1000 = A77) * ('Form responses 1'!$A$2:$A1000 &lt;= DATE(2025, 3, 31)))
+ SUMPRODUCT(('Form responses 1'!$C$2:$C1000 = A77) * ('Form responses 1'!$A$2:$A1000 &lt;= DATE(2025, 3, 31)))
+ SUMPRODUCT(('Form responses 1'!$D$2:$D1000 = A77) * ('Form responses 1'!$A$2:$A1000 &lt;= DATE(2025, 3, 31)))
+ SUMPRODUCT(('Form responses 1'!$E$2:$E1000 = A77) * ('Form responses 1'!$A$2:$A1000 &lt;= DATE(2025, 3, 31)))
+ SUMPRODUCT(('Form responses 1'!$F$2:$F1000 = A77) * ('Form responses 1'!$A$2:$A1000 &lt;= DATE(2025, 3, 31)))
+ SUMPRODUCT(('Form responses 1'!$G$2:$G1000 = A77) * ('Form responses 1'!$A$2:$A1000 &lt;= DATE(2025, 3, 31)))),2),"-")</f>
        <v>0.12</v>
      </c>
      <c r="R77" s="2">
        <f>IFERROR(ROUND(Data!B69/(SUMPRODUCT(('Form responses 1'!$B$2:$B1000 = A77) * ('Form responses 1'!$A$2:$A1000 &lt;= DATE(2025, 4, 30)))
+ SUMPRODUCT(('Form responses 1'!$C$2:$C1000 = A77) * ('Form responses 1'!$A$2:$A1000 &lt;= DATE(2025, 4, 30)))
+ SUMPRODUCT(('Form responses 1'!$D$2:$D1000 = A77) * ('Form responses 1'!$A$2:$A1000 &lt;= DATE(2025, 4, 30)))
+ SUMPRODUCT(('Form responses 1'!$E$2:$E1000 = A77) * ('Form responses 1'!$A$2:$A1000 &lt;= DATE(2025, 4, 30)))
+ SUMPRODUCT(('Form responses 1'!$F$2:$F1000 = A77) * ('Form responses 1'!$A$2:$A1000 &lt;= DATE(2025, 4, 30)))
+ SUMPRODUCT(('Form responses 1'!$G$2:$G1000 = A77) * ('Form responses 1'!$A$2:$A1000 &lt;= DATE(2025, 4, 30)))), 2), "-")
</f>
        <v>0.12</v>
      </c>
      <c r="S77" s="2">
        <f>IFERROR(ROUND(Data!B69/(SUMPRODUCT(('Form responses 1'!$B$2:$B1000 = A77) * ('Form responses 1'!$A$2:$A1000 &lt;= DATE(2025, 5, 31)))
+ SUMPRODUCT(('Form responses 1'!$C$2:$C1000 = A77) * ('Form responses 1'!$A$2:$A1000 &lt;= DATE(2025, 5, 31)))
+ SUMPRODUCT(('Form responses 1'!$D$2:$D1000 = A77) * ('Form responses 1'!$A$2:$A1000 &lt;= DATE(2025, 5, 31)))
+ SUMPRODUCT(('Form responses 1'!$E$2:$E1000 = A77) * ('Form responses 1'!$A$2:$A1000 &lt;= DATE(2025, 5, 31)))
+ SUMPRODUCT(('Form responses 1'!$F$2:$F1000 = A77) * ('Form responses 1'!$A$2:$A1000 &lt;= DATE(2025, 5, 31)))
+ SUMPRODUCT(('Form responses 1'!$G$2:$G1000 = A77) * ('Form responses 1'!$A$2:$A1000 &lt;= DATE(2025, 5, 31)))), 2), "-")
</f>
        <v>0.12</v>
      </c>
      <c r="T77" s="2">
        <f>IFERROR(ROUND(Data!B69/(SUMPRODUCT(('Form responses 1'!$B$2:$B1000 = A77) * ('Form responses 1'!$A$2:$A1000 &lt;= DATE(2025, 6, 30)))
+ SUMPRODUCT(('Form responses 1'!$C$2:$C1000 = A77) * ('Form responses 1'!$A$2:$A1000 &lt;= DATE(2025, 6, 30)))
+ SUMPRODUCT(('Form responses 1'!$D$2:$D1000 = A77) * ('Form responses 1'!$A$2:$A1000 &lt;= DATE(2025, 6, 30)))
+ SUMPRODUCT(('Form responses 1'!$E$2:$E1000 = A77) * ('Form responses 1'!$A$2:$A1000 &lt;= DATE(2025, 6, 30)))
+ SUMPRODUCT(('Form responses 1'!$F$2:$F1000 = A77) * ('Form responses 1'!$A$2:$A1000 &lt;= DATE(2025, 6, 30)))
+ SUMPRODUCT(('Form responses 1'!$G$2:$G1000 = A77) * ('Form responses 1'!$A$2:$A1000 &lt;= DATE(2025, 6, 30)))), 2), "-")
</f>
        <v>0.12</v>
      </c>
      <c r="U77" s="2">
        <f>IFERROR(ROUND(Data!B69/(SUMPRODUCT(('Form responses 1'!$B$2:$B1000 = A77) * ('Form responses 1'!$A$2:$A1000 &lt;= DATE(2025, 7, 31)))
+ SUMPRODUCT(('Form responses 1'!$C$2:$C1000 = A77) * ('Form responses 1'!$A$2:$A1000 &lt;= DATE(2025, 7, 31)))
+ SUMPRODUCT(('Form responses 1'!$D$2:$D1000 = A77) * ('Form responses 1'!$A$2:$A1000 &lt;= DATE(2025, 7, 31)))
+ SUMPRODUCT(('Form responses 1'!$E$2:$E1000 = A77) * ('Form responses 1'!$A$2:$A1000 &lt;= DATE(2025, 7, 31)))
+ SUMPRODUCT(('Form responses 1'!$F$2:$F1000 = A77) * ('Form responses 1'!$A$2:$A1000 &lt;= DATE(2025, 7, 31)))
+ SUMPRODUCT(('Form responses 1'!$G$2:$G1000 = A77) * ('Form responses 1'!$A$2:$A1000 &lt;= DATE(2025, 7, 31)))), 2), "-")
</f>
        <v>0.12</v>
      </c>
      <c r="V77" s="2">
        <f>IFERROR(ROUND(Data!B69/(SUMPRODUCT(('Form responses 1'!$B$2:$B1000 = A77) * ('Form responses 1'!$A$2:$A1000 &lt;= DATE(2025, 8, 31)))
+ SUMPRODUCT(('Form responses 1'!$C$2:$C1000 = A77) * ('Form responses 1'!$A$2:$A1000 &lt;= DATE(2025, 8, 31)))
+ SUMPRODUCT(('Form responses 1'!$D$2:$D1000 = A77) * ('Form responses 1'!$A$2:$A1000 &lt;= DATE(2025, 8, 31)))
+ SUMPRODUCT(('Form responses 1'!$E$2:$E1000 = A77) * ('Form responses 1'!$A$2:$A1000 &lt;= DATE(2025, 8, 31)))
+ SUMPRODUCT(('Form responses 1'!$F$2:$F1000 = A77) * ('Form responses 1'!$A$2:$A1000 &lt;= DATE(2025, 8, 31)))
+ SUMPRODUCT(('Form responses 1'!$G$2:$G1000 = A77) * ('Form responses 1'!$A$2:$A1000 &lt;= DATE(2025, 8, 31)))), 2), "-")
</f>
        <v>0.12</v>
      </c>
      <c r="W77" s="2">
        <f>IFERROR(ROUND(Data!B69/(SUMPRODUCT(('Form responses 1'!$B$2:$B1000 = A77) * ('Form responses 1'!$A$2:$A1000 &lt;= DATE(2025, 9, 30)))
+ SUMPRODUCT(('Form responses 1'!$C$2:$C1000 = A77) * ('Form responses 1'!$A$2:$A1000 &lt;= DATE(2025, 9, 30)))
+ SUMPRODUCT(('Form responses 1'!$D$2:$D1000 = A77) * ('Form responses 1'!$A$2:$A1000 &lt;= DATE(2025, 9, 30)))
+ SUMPRODUCT(('Form responses 1'!$E$2:$E1000 = A77) * ('Form responses 1'!$A$2:$A1000 &lt;= DATE(2025, 9, 30)))
+ SUMPRODUCT(('Form responses 1'!$F$2:$F1000 = A77) * ('Form responses 1'!$A$2:$A1000 &lt;= DATE(2025, 9, 30)))
+ SUMPRODUCT(('Form responses 1'!$G$2:$G1000 = A77) * ('Form responses 1'!$A$2:$A1000 &lt;= DATE(2025, 9, 30)))), 2), "-")
</f>
        <v>0.12</v>
      </c>
      <c r="X77" s="2">
        <f>IFERROR(ROUND(Data!B69/(SUMPRODUCT(('Form responses 1'!$B$2:$B1000 = A77) * ('Form responses 1'!$A$2:$A1000 &lt;= DATE(2025, 10, 31)))
+ SUMPRODUCT(('Form responses 1'!$C$2:$C1000 = A77) * ('Form responses 1'!$A$2:$A1000 &lt;= DATE(2025, 10, 31)))
+ SUMPRODUCT(('Form responses 1'!$D$2:$D1000 = A77) * ('Form responses 1'!$A$2:$A1000 &lt;= DATE(2025, 10, 31)))
+ SUMPRODUCT(('Form responses 1'!$E$2:$E1000 = A77) * ('Form responses 1'!$A$2:$A1000 &lt;= DATE(2025, 10, 31)))
+ SUMPRODUCT(('Form responses 1'!$F$2:$F1000 = A77) * ('Form responses 1'!$A$2:$A1000 &lt;= DATE(2025, 10, 31)))
+ SUMPRODUCT(('Form responses 1'!$G$2:$G1000 = A77) * ('Form responses 1'!$A$2:$A1000 &lt;= DATE(2025, 10, 31)))), 2), "-")
</f>
        <v>0.12</v>
      </c>
      <c r="Y77" s="2">
        <f>IFERROR(ROUND(Data!B69/(SUMPRODUCT(('Form responses 1'!$B$2:$B1000 = A77) * ('Form responses 1'!$A$2:$A1000 &lt;= DATE(2025, 11, 30)))
+ SUMPRODUCT(('Form responses 1'!$C$2:$C1000 = A77) * ('Form responses 1'!$A$2:$A1000 &lt;= DATE(2025, 11, 30)))
+ SUMPRODUCT(('Form responses 1'!$D$2:$D1000 = A77) * ('Form responses 1'!$A$2:$A1000 &lt;= DATE(2025, 11, 30)))
+ SUMPRODUCT(('Form responses 1'!$E$2:$E1000 = A77) * ('Form responses 1'!$A$2:$A1000 &lt;= DATE(2025, 11, 30)))
+ SUMPRODUCT(('Form responses 1'!$F$2:$F1000 = A77) * ('Form responses 1'!$A$2:$A1000 &lt;= DATE(2025, 11, 30)))
+ SUMPRODUCT(('Form responses 1'!$G$2:$G1000 = A77) * ('Form responses 1'!$A$2:$A1000 &lt;= DATE(2025, 11, 30)))), 2), "-")
</f>
        <v>0.12</v>
      </c>
      <c r="Z77" s="2">
        <f>IFERROR(ROUND(Data!B69/(SUMPRODUCT(('Form responses 1'!$B$2:$B1000 = A77) * ('Form responses 1'!$A$2:$A1000 &lt;= DATE(2025, 12, 31)))
+ SUMPRODUCT(('Form responses 1'!$C$2:$C1000 = A77) * ('Form responses 1'!$A$2:$A1000 &lt;= DATE(2025, 12, 31)))
+ SUMPRODUCT(('Form responses 1'!$D$2:$D1000 = A77) * ('Form responses 1'!$A$2:$A1000 &lt;= DATE(2025, 12, 31)))
+ SUMPRODUCT(('Form responses 1'!$E$2:$E1000 = A77) * ('Form responses 1'!$A$2:$A1000 &lt;= DATE(2025, 12, 31)))
+ SUMPRODUCT(('Form responses 1'!$F$2:$F1000 = A77) * ('Form responses 1'!$A$2:$A1000 &lt;= DATE(2025, 12, 31)))
+ SUMPRODUCT(('Form responses 1'!$G$2:$G1000 = A77) * ('Form responses 1'!$A$2:$A1000 &lt;= DATE(2025, 12, 31)))), 2), "-")
</f>
        <v>0.12</v>
      </c>
      <c r="AA77" s="2">
        <f>IFERROR(ROUND(Data!$B77/(
  SUMPRODUCT(('Form responses 1'!$B$2:$B1000=$A77)*('Form responses 1'!$A$2:$A1000&lt;=EOMONTH(DATEVALUE("1 "&amp;AA$1),0)))+
  SUMPRODUCT(('Form responses 1'!$C$2:$C1000=$A77)*('Form responses 1'!$A$2:$A1000&lt;=EOMONTH(DATEVALUE("1 "&amp;AA$1),0)))+
  SUMPRODUCT(('Form responses 1'!$D$2:$D1000=$A77)*('Form responses 1'!$A$2:$A1000&lt;=EOMONTH(DATEVALUE("1 "&amp;AA$1),0)))+
  SUMPRODUCT(('Form responses 1'!$E$2:$E1000=$A77)*('Form responses 1'!$A$2:$A1000&lt;=EOMONTH(DATEVALUE("1 "&amp;AA$1),0)))+
  SUMPRODUCT(('Form responses 1'!$F$2:$F1000=$A77)*('Form responses 1'!$A$2:$A1000&lt;=EOMONTH(DATEVALUE("1 "&amp;AA$1),0)))+
  SUMPRODUCT(('Form responses 1'!$G$2:$G1000=$A77)*('Form responses 1'!$A$2:$A1000&lt;=EOMONTH(DATEVALUE("1 "&amp;AA$1),0)))
),2),"-")</f>
        <v>0.77</v>
      </c>
      <c r="AB77" s="2">
        <f>IFERROR(ROUND(Data!$B77/(
  SUMPRODUCT(('Form responses 1'!$B$2:$B1000=$A77)*('Form responses 1'!$A$2:$A1000&lt;=EOMONTH(DATEVALUE("1 "&amp;AB$1),0)))+
  SUMPRODUCT(('Form responses 1'!$C$2:$C1000=$A77)*('Form responses 1'!$A$2:$A1000&lt;=EOMONTH(DATEVALUE("1 "&amp;AB$1),0)))+
  SUMPRODUCT(('Form responses 1'!$D$2:$D1000=$A77)*('Form responses 1'!$A$2:$A1000&lt;=EOMONTH(DATEVALUE("1 "&amp;AB$1),0)))+
  SUMPRODUCT(('Form responses 1'!$E$2:$E1000=$A77)*('Form responses 1'!$A$2:$A1000&lt;=EOMONTH(DATEVALUE("1 "&amp;AB$1),0)))+
  SUMPRODUCT(('Form responses 1'!$F$2:$F1000=$A77)*('Form responses 1'!$A$2:$A1000&lt;=EOMONTH(DATEVALUE("1 "&amp;AB$1),0)))+
  SUMPRODUCT(('Form responses 1'!$G$2:$G1000=$A77)*('Form responses 1'!$A$2:$A1000&lt;=EOMONTH(DATEVALUE("1 "&amp;AB$1),0)))
),2),"-")</f>
        <v>0.77</v>
      </c>
      <c r="AC77" s="2">
        <f>IFERROR(ROUND(Data!$B77/(
  SUMPRODUCT(('Form responses 1'!$B$2:$B1000=$A77)*('Form responses 1'!$A$2:$A1000&lt;=EOMONTH(DATEVALUE("1 "&amp;AC$1),0)))+
  SUMPRODUCT(('Form responses 1'!$C$2:$C1000=$A77)*('Form responses 1'!$A$2:$A1000&lt;=EOMONTH(DATEVALUE("1 "&amp;AC$1),0)))+
  SUMPRODUCT(('Form responses 1'!$D$2:$D1000=$A77)*('Form responses 1'!$A$2:$A1000&lt;=EOMONTH(DATEVALUE("1 "&amp;AC$1),0)))+
  SUMPRODUCT(('Form responses 1'!$E$2:$E1000=$A77)*('Form responses 1'!$A$2:$A1000&lt;=EOMONTH(DATEVALUE("1 "&amp;AC$1),0)))+
  SUMPRODUCT(('Form responses 1'!$F$2:$F1000=$A77)*('Form responses 1'!$A$2:$A1000&lt;=EOMONTH(DATEVALUE("1 "&amp;AC$1),0)))+
  SUMPRODUCT(('Form responses 1'!$G$2:$G1000=$A77)*('Form responses 1'!$A$2:$A1000&lt;=EOMONTH(DATEVALUE("1 "&amp;AC$1),0)))
),2),"-")</f>
        <v>0.77</v>
      </c>
      <c r="AD77" s="2" t="str">
        <f>IFERROR(ROUND(Data!$B77/(
  SUMPRODUCT(('Form responses 1'!$B$2:$B1000=$A77)*('Form responses 1'!$A$2:$A1000&lt;=EOMONTH(DATEVALUE("1 "&amp;AD$1),0)))+
  SUMPRODUCT(('Form responses 1'!$C$2:$C1000=$A77)*('Form responses 1'!$A$2:$A1000&lt;=EOMONTH(DATEVALUE("1 "&amp;AD$1),0)))+
  SUMPRODUCT(('Form responses 1'!$D$2:$D1000=$A77)*('Form responses 1'!$A$2:$A1000&lt;=EOMONTH(DATEVALUE("1 "&amp;AD$1),0)))+
  SUMPRODUCT(('Form responses 1'!$E$2:$E1000=$A77)*('Form responses 1'!$A$2:$A1000&lt;=EOMONTH(DATEVALUE("1 "&amp;AD$1),0)))+
  SUMPRODUCT(('Form responses 1'!$F$2:$F1000=$A77)*('Form responses 1'!$A$2:$A1000&lt;=EOMONTH(DATEVALUE("1 "&amp;AD$1),0)))+
  SUMPRODUCT(('Form responses 1'!$G$2:$G1000=$A77)*('Form responses 1'!$A$2:$A1000&lt;=EOMONTH(DATEVALUE("1 "&amp;AD$1),0)))
),2),"-")</f>
        <v>-</v>
      </c>
      <c r="AE77" s="2" t="str">
        <f>IFERROR(ROUND(Data!$B77/(
  SUMPRODUCT(('Form responses 1'!$B$2:$B1000=$A77)*('Form responses 1'!$A$2:$A1000&lt;=EOMONTH(DATEVALUE("1 "&amp;AE$1),0)))+
  SUMPRODUCT(('Form responses 1'!$C$2:$C1000=$A77)*('Form responses 1'!$A$2:$A1000&lt;=EOMONTH(DATEVALUE("1 "&amp;AE$1),0)))+
  SUMPRODUCT(('Form responses 1'!$D$2:$D1000=$A77)*('Form responses 1'!$A$2:$A1000&lt;=EOMONTH(DATEVALUE("1 "&amp;AE$1),0)))+
  SUMPRODUCT(('Form responses 1'!$E$2:$E1000=$A77)*('Form responses 1'!$A$2:$A1000&lt;=EOMONTH(DATEVALUE("1 "&amp;AE$1),0)))+
  SUMPRODUCT(('Form responses 1'!$F$2:$F1000=$A77)*('Form responses 1'!$A$2:$A1000&lt;=EOMONTH(DATEVALUE("1 "&amp;AE$1),0)))+
  SUMPRODUCT(('Form responses 1'!$G$2:$G1000=$A77)*('Form responses 1'!$A$2:$A1000&lt;=EOMONTH(DATEVALUE("1 "&amp;AE$1),0)))
),2),"-")</f>
        <v>-</v>
      </c>
      <c r="AF77" s="2" t="str">
        <f>IFERROR(ROUND(Data!$B77/(
  SUMPRODUCT(('Form responses 1'!$B$2:$B1000=$A77)*('Form responses 1'!$A$2:$A1000&lt;=EOMONTH(DATEVALUE("1 "&amp;AF$1),0)))+
  SUMPRODUCT(('Form responses 1'!$C$2:$C1000=$A77)*('Form responses 1'!$A$2:$A1000&lt;=EOMONTH(DATEVALUE("1 "&amp;AF$1),0)))+
  SUMPRODUCT(('Form responses 1'!$D$2:$D1000=$A77)*('Form responses 1'!$A$2:$A1000&lt;=EOMONTH(DATEVALUE("1 "&amp;AF$1),0)))+
  SUMPRODUCT(('Form responses 1'!$E$2:$E1000=$A77)*('Form responses 1'!$A$2:$A1000&lt;=EOMONTH(DATEVALUE("1 "&amp;AF$1),0)))+
  SUMPRODUCT(('Form responses 1'!$F$2:$F1000=$A77)*('Form responses 1'!$A$2:$A1000&lt;=EOMONTH(DATEVALUE("1 "&amp;AF$1),0)))+
  SUMPRODUCT(('Form responses 1'!$G$2:$G1000=$A77)*('Form responses 1'!$A$2:$A1000&lt;=EOMONTH(DATEVALUE("1 "&amp;AF$1),0)))
),2),"-")</f>
        <v>-</v>
      </c>
      <c r="AG77" s="2" t="str">
        <f>IFERROR(ROUND(Data!$B77/(
  SUMPRODUCT(('Form responses 1'!$B$2:$B1000=$A77)*('Form responses 1'!$A$2:$A1000&lt;=EOMONTH(DATEVALUE("1 "&amp;AG$1),0)))+
  SUMPRODUCT(('Form responses 1'!$C$2:$C1000=$A77)*('Form responses 1'!$A$2:$A1000&lt;=EOMONTH(DATEVALUE("1 "&amp;AG$1),0)))+
  SUMPRODUCT(('Form responses 1'!$D$2:$D1000=$A77)*('Form responses 1'!$A$2:$A1000&lt;=EOMONTH(DATEVALUE("1 "&amp;AG$1),0)))+
  SUMPRODUCT(('Form responses 1'!$E$2:$E1000=$A77)*('Form responses 1'!$A$2:$A1000&lt;=EOMONTH(DATEVALUE("1 "&amp;AG$1),0)))+
  SUMPRODUCT(('Form responses 1'!$F$2:$F1000=$A77)*('Form responses 1'!$A$2:$A1000&lt;=EOMONTH(DATEVALUE("1 "&amp;AG$1),0)))+
  SUMPRODUCT(('Form responses 1'!$G$2:$G1000=$A77)*('Form responses 1'!$A$2:$A1000&lt;=EOMONTH(DATEVALUE("1 "&amp;AG$1),0)))
),2),"-")</f>
        <v>-</v>
      </c>
      <c r="AH77" s="2" t="str">
        <f>IFERROR(ROUND(Data!$B77/(
  SUMPRODUCT(('Form responses 1'!$B$2:$B1000=$A77)*('Form responses 1'!$A$2:$A1000&lt;=EOMONTH(DATEVALUE("1 "&amp;AH$1),0)))+
  SUMPRODUCT(('Form responses 1'!$C$2:$C1000=$A77)*('Form responses 1'!$A$2:$A1000&lt;=EOMONTH(DATEVALUE("1 "&amp;AH$1),0)))+
  SUMPRODUCT(('Form responses 1'!$D$2:$D1000=$A77)*('Form responses 1'!$A$2:$A1000&lt;=EOMONTH(DATEVALUE("1 "&amp;AH$1),0)))+
  SUMPRODUCT(('Form responses 1'!$E$2:$E1000=$A77)*('Form responses 1'!$A$2:$A1000&lt;=EOMONTH(DATEVALUE("1 "&amp;AH$1),0)))+
  SUMPRODUCT(('Form responses 1'!$F$2:$F1000=$A77)*('Form responses 1'!$A$2:$A1000&lt;=EOMONTH(DATEVALUE("1 "&amp;AH$1),0)))+
  SUMPRODUCT(('Form responses 1'!$G$2:$G1000=$A77)*('Form responses 1'!$A$2:$A1000&lt;=EOMONTH(DATEVALUE("1 "&amp;AH$1),0)))
),2),"-")</f>
        <v>-</v>
      </c>
      <c r="AI77" s="2" t="str">
        <f>IFERROR(ROUND(Data!$B77/(
  SUMPRODUCT(('Form responses 1'!$B$2:$B1000=$A77)*('Form responses 1'!$A$2:$A1000&lt;=EOMONTH(DATEVALUE("1 "&amp;AI$1),0)))+
  SUMPRODUCT(('Form responses 1'!$C$2:$C1000=$A77)*('Form responses 1'!$A$2:$A1000&lt;=EOMONTH(DATEVALUE("1 "&amp;AI$1),0)))+
  SUMPRODUCT(('Form responses 1'!$D$2:$D1000=$A77)*('Form responses 1'!$A$2:$A1000&lt;=EOMONTH(DATEVALUE("1 "&amp;AI$1),0)))+
  SUMPRODUCT(('Form responses 1'!$E$2:$E1000=$A77)*('Form responses 1'!$A$2:$A1000&lt;=EOMONTH(DATEVALUE("1 "&amp;AI$1),0)))+
  SUMPRODUCT(('Form responses 1'!$F$2:$F1000=$A77)*('Form responses 1'!$A$2:$A1000&lt;=EOMONTH(DATEVALUE("1 "&amp;AI$1),0)))+
  SUMPRODUCT(('Form responses 1'!$G$2:$G1000=$A77)*('Form responses 1'!$A$2:$A1000&lt;=EOMONTH(DATEVALUE("1 "&amp;AI$1),0)))
),2),"-")</f>
        <v>-</v>
      </c>
      <c r="AJ77" s="2" t="str">
        <f>IFERROR(ROUND(Data!$B77/(
  SUMPRODUCT(('Form responses 1'!$B$2:$B1000=$A77)*('Form responses 1'!$A$2:$A1000&lt;=EOMONTH(DATEVALUE("1 "&amp;AJ$1),0)))+
  SUMPRODUCT(('Form responses 1'!$C$2:$C1000=$A77)*('Form responses 1'!$A$2:$A1000&lt;=EOMONTH(DATEVALUE("1 "&amp;AJ$1),0)))+
  SUMPRODUCT(('Form responses 1'!$D$2:$D1000=$A77)*('Form responses 1'!$A$2:$A1000&lt;=EOMONTH(DATEVALUE("1 "&amp;AJ$1),0)))+
  SUMPRODUCT(('Form responses 1'!$E$2:$E1000=$A77)*('Form responses 1'!$A$2:$A1000&lt;=EOMONTH(DATEVALUE("1 "&amp;AJ$1),0)))+
  SUMPRODUCT(('Form responses 1'!$F$2:$F1000=$A77)*('Form responses 1'!$A$2:$A1000&lt;=EOMONTH(DATEVALUE("1 "&amp;AJ$1),0)))+
  SUMPRODUCT(('Form responses 1'!$G$2:$G1000=$A77)*('Form responses 1'!$A$2:$A1000&lt;=EOMONTH(DATEVALUE("1 "&amp;AJ$1),0)))
),2),"-")</f>
        <v>-</v>
      </c>
      <c r="AK77" s="2" t="str">
        <f>IFERROR(ROUND(Data!$B77/(
  SUMPRODUCT(('Form responses 1'!$B$2:$B1000=$A77)*('Form responses 1'!$A$2:$A1000&lt;=EOMONTH(DATEVALUE("1 "&amp;AK$1),0)))+
  SUMPRODUCT(('Form responses 1'!$C$2:$C1000=$A77)*('Form responses 1'!$A$2:$A1000&lt;=EOMONTH(DATEVALUE("1 "&amp;AK$1),0)))+
  SUMPRODUCT(('Form responses 1'!$D$2:$D1000=$A77)*('Form responses 1'!$A$2:$A1000&lt;=EOMONTH(DATEVALUE("1 "&amp;AK$1),0)))+
  SUMPRODUCT(('Form responses 1'!$E$2:$E1000=$A77)*('Form responses 1'!$A$2:$A1000&lt;=EOMONTH(DATEVALUE("1 "&amp;AK$1),0)))+
  SUMPRODUCT(('Form responses 1'!$F$2:$F1000=$A77)*('Form responses 1'!$A$2:$A1000&lt;=EOMONTH(DATEVALUE("1 "&amp;AK$1),0)))+
  SUMPRODUCT(('Form responses 1'!$G$2:$G1000=$A77)*('Form responses 1'!$A$2:$A1000&lt;=EOMONTH(DATEVALUE("1 "&amp;AK$1),0)))
),2),"-")</f>
        <v>-</v>
      </c>
      <c r="AL77" s="2" t="str">
        <f>IFERROR(ROUND(Data!$B77/(
  SUMPRODUCT(('Form responses 1'!$B$2:$B1000=$A77)*('Form responses 1'!$A$2:$A1000&lt;=EOMONTH(DATEVALUE("1 "&amp;AL$1),0)))+
  SUMPRODUCT(('Form responses 1'!$C$2:$C1000=$A77)*('Form responses 1'!$A$2:$A1000&lt;=EOMONTH(DATEVALUE("1 "&amp;AL$1),0)))+
  SUMPRODUCT(('Form responses 1'!$D$2:$D1000=$A77)*('Form responses 1'!$A$2:$A1000&lt;=EOMONTH(DATEVALUE("1 "&amp;AL$1),0)))+
  SUMPRODUCT(('Form responses 1'!$E$2:$E1000=$A77)*('Form responses 1'!$A$2:$A1000&lt;=EOMONTH(DATEVALUE("1 "&amp;AL$1),0)))+
  SUMPRODUCT(('Form responses 1'!$F$2:$F1000=$A77)*('Form responses 1'!$A$2:$A1000&lt;=EOMONTH(DATEVALUE("1 "&amp;AL$1),0)))+
  SUMPRODUCT(('Form responses 1'!$G$2:$G1000=$A77)*('Form responses 1'!$A$2:$A1000&lt;=EOMONTH(DATEVALUE("1 "&amp;AL$1),0)))
),2),"-")</f>
        <v>-</v>
      </c>
    </row>
    <row r="78">
      <c r="A78" s="3" t="str">
        <f>IFERROR(__xludf.DUMMYFUNCTION("""COMPUTED_VALUE"""),"Zwarte Clarks loafers")</f>
        <v>Zwarte Clarks loafers</v>
      </c>
      <c r="B78" s="2">
        <f>Data!F70:F1000</f>
        <v>0.62</v>
      </c>
      <c r="C78" s="2">
        <f>IFERROR(ROUND(Data!B70/(SUMPRODUCT(('Form responses 1'!$B$2:$B1000 = A78) * ('Form responses 1'!$A$2:$A1000 &lt;= DATE(2024, 1, 31)))
+ SUMPRODUCT(('Form responses 1'!$C$2:$C1000 = A78) * ('Form responses 1'!$A$2:$A1000 &lt;= DATE(2024, 1, 31)))
+ SUMPRODUCT(('Form responses 1'!$D$2:$D1000 = A78) * ('Form responses 1'!$A$2:$A1000 &lt;= DATE(2024, 1, 31)))
+ SUMPRODUCT(('Form responses 1'!$E$2:$E1000 = A78) * ('Form responses 1'!$A$2:$A1000 &lt;= DATE(2024, 1, 31)))
+ SUMPRODUCT(('Form responses 1'!$F$2:$F1000 = A78) * ('Form responses 1'!$A$2:$A1000 &lt;= DATE(2024, 1, 31)))
+ SUMPRODUCT(('Form responses 1'!$G$2:$G1000 = A78) * ('Form responses 1'!$A$2:$A1000 &lt;= DATE(2024, 1, 31)))), 2), "-")
</f>
        <v>9.88</v>
      </c>
      <c r="D78" s="2">
        <f>IFERROR(ROUND(Data!B70/(SUMPRODUCT(('Form responses 1'!$B$2:$B1000 = A78) * ('Form responses 1'!$A$2:$A1000 &lt;= DATE(2024, 2, 29)))
+ SUMPRODUCT(('Form responses 1'!$C$2:$C1000 = A78) * ('Form responses 1'!$A$2:$A1000 &lt;= DATE(2024, 2, 29)))
+ SUMPRODUCT(('Form responses 1'!$D$2:$D1000 = A78) * ('Form responses 1'!$A$2:$A1000 &lt;= DATE(2024, 2, 29)))
+ SUMPRODUCT(('Form responses 1'!$E$2:$E1000 = A78) * ('Form responses 1'!$A$2:$A1000 &lt;= DATE(2024, 2, 29)))
+ SUMPRODUCT(('Form responses 1'!$F$2:$F1000 = A78) * ('Form responses 1'!$A$2:$A1000 &lt;= DATE(2024, 2, 29)))
+ SUMPRODUCT(('Form responses 1'!$G$2:$G1000 = A78) * ('Form responses 1'!$A$2:$A1000 &lt;= DATE(2024, 2, 29)))), 2), "-")
</f>
        <v>7.31</v>
      </c>
      <c r="E78" s="2">
        <f>IFERROR(ROUND(Data!B70/(SUMPRODUCT(('Form responses 1'!$B$2:$B1000 = A78) * ('Form responses 1'!$A$2:$A1000 &lt;= DATE(2024, 3, 31)))
+ SUMPRODUCT(('Form responses 1'!$C$2:$C1000 = A78) * ('Form responses 1'!$A$2:$A1000 &lt;= DATE(2024, 3, 31)))
+ SUMPRODUCT(('Form responses 1'!$D$2:$D1000 = A78) * ('Form responses 1'!$A$2:$A1000 &lt;= DATE(2024, 3, 31)))
+ SUMPRODUCT(('Form responses 1'!$E$2:$E1000 = A78) * ('Form responses 1'!$A$2:$A1000 &lt;= DATE(2024, 3, 31)))
+ SUMPRODUCT(('Form responses 1'!$F$2:$F1000 = A78) * ('Form responses 1'!$A$2:$A1000 &lt;= DATE(2024, 3, 31)))
+ SUMPRODUCT(('Form responses 1'!$G$2:$G1000 = A78) * ('Form responses 1'!$A$2:$A1000 &lt;= DATE(2024, 3, 31)))), 2), "-")
</f>
        <v>4.59</v>
      </c>
      <c r="F78" s="2">
        <f>IFERROR(ROUND(Data!B70/(SUMPRODUCT(('Form responses 1'!$B$2:$B1000 = A78) * ('Form responses 1'!$A$2:$A1000 &lt;= DATE(2024, 4, 30)))
+ SUMPRODUCT(('Form responses 1'!$C$2:$C1000 = A78) * ('Form responses 1'!$A$2:$A1000 &lt;= DATE(2024, 4, 30)))
+ SUMPRODUCT(('Form responses 1'!$D$2:$D1000 = A78) * ('Form responses 1'!$A$2:$A1000 &lt;= DATE(2024, 4, 30)))
+ SUMPRODUCT(('Form responses 1'!$E$2:$E1000 = A78) * ('Form responses 1'!$A$2:$A1000 &lt;= DATE(2024, 4, 30)))
+ SUMPRODUCT(('Form responses 1'!$F$2:$F1000 = A78) * ('Form responses 1'!$A$2:$A1000 &lt;= DATE(2024, 4, 30)))
+ SUMPRODUCT(('Form responses 1'!$G$2:$G1000 = A78) * ('Form responses 1'!$A$2:$A1000 &lt;= DATE(2024, 4, 30)))), 2), "-")
</f>
        <v>3.87</v>
      </c>
      <c r="G78" s="2">
        <f>IFERROR(ROUND(Data!B70/(SUMPRODUCT(('Form responses 1'!$B$2:$B1000 = A78) * ('Form responses 1'!$A$2:$A1000 &lt;= DATE(2024, 5, 31)))
+ SUMPRODUCT(('Form responses 1'!$C$2:$C1000 = A78) * ('Form responses 1'!$A$2:$A1000 &lt;= DATE(2024, 5, 31)))
+ SUMPRODUCT(('Form responses 1'!$D$2:$D1000 = A78) * ('Form responses 1'!$A$2:$A1000 &lt;= DATE(2024, 5, 31)))
+ SUMPRODUCT(('Form responses 1'!$E$2:$E1000 = A78) * ('Form responses 1'!$A$2:$A1000 &lt;= DATE(2024, 5, 31)))
+ SUMPRODUCT(('Form responses 1'!$F$2:$F1000 = A78) * ('Form responses 1'!$A$2:$A1000 &lt;= DATE(2024, 5, 31)))
+ SUMPRODUCT(('Form responses 1'!$G$2:$G1000 = A78) * ('Form responses 1'!$A$2:$A1000 &lt;= DATE(2024, 5, 31)))), 2), "-")
</f>
        <v>3.46</v>
      </c>
      <c r="H78" s="2">
        <f>IFERROR(ROUND(Data!B70/(SUMPRODUCT(('Form responses 1'!$B$2:$B1000 = A78) * ('Form responses 1'!$A$2:$A1000 &lt;= DATE(2024, 6, 30)))
+ SUMPRODUCT(('Form responses 1'!$C$2:$C1000 = A78) * ('Form responses 1'!$A$2:$A1000 &lt;= DATE(2024, 6, 30)))
+ SUMPRODUCT(('Form responses 1'!$D$2:$D1000 = A78) * ('Form responses 1'!$A$2:$A1000 &lt;= DATE(2024, 6, 30)))
+ SUMPRODUCT(('Form responses 1'!$E$2:$E1000 = A78) * ('Form responses 1'!$A$2:$A1000 &lt;= DATE(2024, 6, 30)))
+ SUMPRODUCT(('Form responses 1'!$F$2:$F1000 = A78) * ('Form responses 1'!$A$2:$A1000 &lt;= DATE(2024, 6, 30)))
+ SUMPRODUCT(('Form responses 1'!$G$2:$G1000 = A78) * ('Form responses 1'!$A$2:$A1000 &lt;= DATE(2024, 6, 30)))), 2), "-")
</f>
        <v>2.78</v>
      </c>
      <c r="I78" s="2">
        <f>IFERROR(ROUND(Data!B70/(SUMPRODUCT(('Form responses 1'!$B$2:$B1000 = A78) * ('Form responses 1'!$A$2:$A1000 &lt;= DATE(2024, 7, 31)))
+ SUMPRODUCT(('Form responses 1'!$C$2:$C1000 = A78) * ('Form responses 1'!$A$2:$A1000 &lt;= DATE(2024, 7, 31)))
+ SUMPRODUCT(('Form responses 1'!$D$2:$D1000 = A78) * ('Form responses 1'!$A$2:$A1000 &lt;= DATE(2024, 7, 31)))
+ SUMPRODUCT(('Form responses 1'!$E$2:$E1000 = A78) * ('Form responses 1'!$A$2:$A1000 &lt;= DATE(2024, 7, 31)))
+ SUMPRODUCT(('Form responses 1'!$F$2:$F1000 = A78) * ('Form responses 1'!$A$2:$A1000 &lt;= DATE(2024, 7, 31)))
+ SUMPRODUCT(('Form responses 1'!$G$2:$G1000 = A78) * ('Form responses 1'!$A$2:$A1000 &lt;= DATE(2024, 7, 31)))), 2), "-")
</f>
        <v>2.56</v>
      </c>
      <c r="J78" s="2">
        <f>IFERROR(ROUND(Data!B70/(SUMPRODUCT(('Form responses 1'!$B$2:$B1000 = A78) * ('Form responses 1'!$A$2:$A1000 &lt;= DATE(2024, 8, 31)))
+ SUMPRODUCT(('Form responses 1'!$C$2:$C1000 = A78) * ('Form responses 1'!$A$2:$A1000 &lt;= DATE(2024, 8, 31)))
+ SUMPRODUCT(('Form responses 1'!$D$2:$D1000 = A78) * ('Form responses 1'!$A$2:$A1000 &lt;= DATE(2024, 8, 31)))
+ SUMPRODUCT(('Form responses 1'!$E$2:$E1000 = A78) * ('Form responses 1'!$A$2:$A1000 &lt;= DATE(2024, 8, 31)))
+ SUMPRODUCT(('Form responses 1'!$F$2:$F1000 = A78) * ('Form responses 1'!$A$2:$A1000 &lt;= DATE(2024, 8, 31)))
+ SUMPRODUCT(('Form responses 1'!$G$2:$G1000 = A78) * ('Form responses 1'!$A$2:$A1000 &lt;= DATE(2024, 8, 31)))), 2), "-")
</f>
        <v>2.41</v>
      </c>
      <c r="K78" s="2">
        <f>IFERROR(ROUND(Data!B70/(SUMPRODUCT(('Form responses 1'!$B$2:$B1000 = A78) * ('Form responses 1'!$A$2:$A1000 &lt;= DATE(2024, 9, 30)))
+ SUMPRODUCT(('Form responses 1'!$C$2:$C1000 = A78) * ('Form responses 1'!$A$2:$A1000 &lt;= DATE(2024, 9, 30)))
+ SUMPRODUCT(('Form responses 1'!$D$2:$D1000 = A78) * ('Form responses 1'!$A$2:$A1000 &lt;= DATE(2024, 9, 30)))
+ SUMPRODUCT(('Form responses 1'!$E$2:$E1000 = A78) * ('Form responses 1'!$A$2:$A1000 &lt;= DATE(2024, 9, 30)))
+ SUMPRODUCT(('Form responses 1'!$F$2:$F1000 = A78) * ('Form responses 1'!$A$2:$A1000 &lt;= DATE(2024, 9, 30)))
+ SUMPRODUCT(('Form responses 1'!$G$2:$G1000 = A78) * ('Form responses 1'!$A$2:$A1000 &lt;= DATE(2024, 9, 30)))), 2), "-")
</f>
        <v>2.27</v>
      </c>
      <c r="L78" s="2">
        <f>IFERROR(ROUND(Data!B70/(SUMPRODUCT(('Form responses 1'!$B$2:$B1000 = A78) * ('Form responses 1'!$A$2:$A1000 &lt;= DATE(2024, 10, 31)))
+ SUMPRODUCT(('Form responses 1'!$C$2:$C1000 = A78) * ('Form responses 1'!$A$2:$A1000 &lt;= DATE(2024, 10, 31)))
+ SUMPRODUCT(('Form responses 1'!$D$2:$D1000 = A78) * ('Form responses 1'!$A$2:$A1000 &lt;= DATE(2024, 10, 31)))
+ SUMPRODUCT(('Form responses 1'!$E$2:$E1000 = A78) * ('Form responses 1'!$A$2:$A1000 &lt;= DATE(2024, 10, 31)))
+ SUMPRODUCT(('Form responses 1'!$F$2:$F1000 = A78) * ('Form responses 1'!$A$2:$A1000 &lt;= DATE(2024, 10, 31)))
+ SUMPRODUCT(('Form responses 1'!$G$2:$G1000 = A78) * ('Form responses 1'!$A$2:$A1000 &lt;= DATE(2024, 10, 31)))), 2), "-")
</f>
        <v>2.22</v>
      </c>
      <c r="M78" s="2">
        <f>IFERROR(ROUND(Data!B70/(SUMPRODUCT(('Form responses 1'!$B$2:$B1000 = A78) * ('Form responses 1'!$A$2:$A1000 &lt;= DATE(2024, 11, 30)))
+ SUMPRODUCT(('Form responses 1'!$C$2:$C1000 = A78) * ('Form responses 1'!$A$2:$A1000 &lt;= DATE(2024, 11, 30)))
+ SUMPRODUCT(('Form responses 1'!$D$2:$D1000 = A78) * ('Form responses 1'!$A$2:$A1000 &lt;= DATE(2024, 11, 30)))
+ SUMPRODUCT(('Form responses 1'!$E$2:$E1000 = A78) * ('Form responses 1'!$A$2:$A1000 &lt;= DATE(2024, 11, 30)))
+ SUMPRODUCT(('Form responses 1'!$F$2:$F1000 = A78) * ('Form responses 1'!$A$2:$A1000 &lt;= DATE(2024, 11, 30)))
+ SUMPRODUCT(('Form responses 1'!$G$2:$G1000 = A78) * ('Form responses 1'!$A$2:$A1000 &lt;= DATE(2024, 11, 30)))), 2), "-")
</f>
        <v>2.1</v>
      </c>
      <c r="N78" s="2">
        <f>IFERROR(ROUND(Data!B70/(SUMPRODUCT(('Form responses 1'!$B$2:$B1000 = A78) * ('Form responses 1'!$A$2:$A1000 &lt;= DATE(2024, 12, 31)))
+ SUMPRODUCT(('Form responses 1'!$C$2:$C1000 = A78) * ('Form responses 1'!$A$2:$A1000 &lt;= DATE(2024, 12, 31)))
+ SUMPRODUCT(('Form responses 1'!$D$2:$D1000 = A78) * ('Form responses 1'!$A$2:$A1000 &lt;= DATE(2024, 12, 31)))
+ SUMPRODUCT(('Form responses 1'!$E$2:$E1000 = A78) * ('Form responses 1'!$A$2:$A1000 &lt;= DATE(2024, 12, 31)))
+ SUMPRODUCT(('Form responses 1'!$F$2:$F1000 = A78) * ('Form responses 1'!$A$2:$A1000 &lt;= DATE(2024, 12, 31)))
+ SUMPRODUCT(('Form responses 1'!$G$2:$G1000 = A78) * ('Form responses 1'!$A$2:$A1000 &lt;= DATE(2024, 12, 31)))), 2), "-")
</f>
        <v>1.98</v>
      </c>
      <c r="O78" s="2">
        <f>IFERROR(ROUND(Data!B70/(SUMPRODUCT(('Form responses 1'!$B$2:$B1000 = A78) * ('Form responses 1'!$A$2:$A1000 &lt;= DATE(2025, 1, 31)))
+ SUMPRODUCT(('Form responses 1'!$C$2:$C1000 = A78) * ('Form responses 1'!$A$2:$A1000 &lt;= DATE(2025, 1, 31)))
+ SUMPRODUCT(('Form responses 1'!$D$2:$D1000 = A78) * ('Form responses 1'!$A$2:$A1000 &lt;= DATE(2025, 1, 31)))
+ SUMPRODUCT(('Form responses 1'!$E$2:$E1000 = A78) * ('Form responses 1'!$A$2:$A1000 &lt;= DATE(2025, 1, 31)))
+ SUMPRODUCT(('Form responses 1'!$F$2:$F1000 = A78) * ('Form responses 1'!$A$2:$A1000 &lt;= DATE(2025, 1, 31)))
+ SUMPRODUCT(('Form responses 1'!$G$2:$G1000 = A78) * ('Form responses 1'!$A$2:$A1000 &lt;= DATE(2025, 1, 31)))), 2), "-")
</f>
        <v>1.92</v>
      </c>
      <c r="P78" s="2">
        <f>IFERROR(ROUND(Data!B70/(SUMPRODUCT(('Form responses 1'!$B$2:$B1000 = A78) * ('Form responses 1'!$A$2:$A1000 &lt;= DATE(2025, 2, 28)))
+ SUMPRODUCT(('Form responses 1'!$C$2:$C1000 = A78) * ('Form responses 1'!$A$2:$A1000 &lt;= DATE(2025, 2, 28)))
+ SUMPRODUCT(('Form responses 1'!$D$2:$D1000 = A78) * ('Form responses 1'!$A$2:$A1000 &lt;= DATE(2025, 2, 28)))
+ SUMPRODUCT(('Form responses 1'!$E$2:$E1000 = A78) * ('Form responses 1'!$A$2:$A1000 &lt;= DATE(2025, 2, 28)))
+ SUMPRODUCT(('Form responses 1'!$F$2:$F1000 = A78) * ('Form responses 1'!$A$2:$A1000 &lt;= DATE(2025, 2, 28)))
+ SUMPRODUCT(('Form responses 1'!$G$2:$G1000 = A78) * ('Form responses 1'!$A$2:$A1000 &lt;= DATE(2025, 2, 28)))), 2), "-")
</f>
        <v>1.78</v>
      </c>
      <c r="Q78" s="2">
        <f>IFERROR(ROUND(Data!B70/(SUMPRODUCT(('Form responses 1'!$B$2:$B1000 = A78) * ('Form responses 1'!$A$2:$A1000 &lt;= DATE(2025, 3, 31)))
+ SUMPRODUCT(('Form responses 1'!$C$2:$C1000 = A78) * ('Form responses 1'!$A$2:$A1000 &lt;= DATE(2025, 3, 31)))
+ SUMPRODUCT(('Form responses 1'!$D$2:$D1000 = A78) * ('Form responses 1'!$A$2:$A1000 &lt;= DATE(2025, 3, 31)))
+ SUMPRODUCT(('Form responses 1'!$E$2:$E1000 = A78) * ('Form responses 1'!$A$2:$A1000 &lt;= DATE(2025, 3, 31)))
+ SUMPRODUCT(('Form responses 1'!$F$2:$F1000 = A78) * ('Form responses 1'!$A$2:$A1000 &lt;= DATE(2025, 3, 31)))
+ SUMPRODUCT(('Form responses 1'!$G$2:$G1000 = A78) * ('Form responses 1'!$A$2:$A1000 &lt;= DATE(2025, 3, 31)))),2),"-")</f>
        <v>1.73</v>
      </c>
      <c r="R78" s="2">
        <f>IFERROR(ROUND(Data!B70/(SUMPRODUCT(('Form responses 1'!$B$2:$B1000 = A78) * ('Form responses 1'!$A$2:$A1000 &lt;= DATE(2025, 4, 30)))
+ SUMPRODUCT(('Form responses 1'!$C$2:$C1000 = A78) * ('Form responses 1'!$A$2:$A1000 &lt;= DATE(2025, 4, 30)))
+ SUMPRODUCT(('Form responses 1'!$D$2:$D1000 = A78) * ('Form responses 1'!$A$2:$A1000 &lt;= DATE(2025, 4, 30)))
+ SUMPRODUCT(('Form responses 1'!$E$2:$E1000 = A78) * ('Form responses 1'!$A$2:$A1000 &lt;= DATE(2025, 4, 30)))
+ SUMPRODUCT(('Form responses 1'!$F$2:$F1000 = A78) * ('Form responses 1'!$A$2:$A1000 &lt;= DATE(2025, 4, 30)))
+ SUMPRODUCT(('Form responses 1'!$G$2:$G1000 = A78) * ('Form responses 1'!$A$2:$A1000 &lt;= DATE(2025, 4, 30)))), 2), "-")
</f>
        <v>1.7</v>
      </c>
      <c r="S78" s="2">
        <f>IFERROR(ROUND(Data!B70/(SUMPRODUCT(('Form responses 1'!$B$2:$B1000 = A78) * ('Form responses 1'!$A$2:$A1000 &lt;= DATE(2025, 5, 31)))
+ SUMPRODUCT(('Form responses 1'!$C$2:$C1000 = A78) * ('Form responses 1'!$A$2:$A1000 &lt;= DATE(2025, 5, 31)))
+ SUMPRODUCT(('Form responses 1'!$D$2:$D1000 = A78) * ('Form responses 1'!$A$2:$A1000 &lt;= DATE(2025, 5, 31)))
+ SUMPRODUCT(('Form responses 1'!$E$2:$E1000 = A78) * ('Form responses 1'!$A$2:$A1000 &lt;= DATE(2025, 5, 31)))
+ SUMPRODUCT(('Form responses 1'!$F$2:$F1000 = A78) * ('Form responses 1'!$A$2:$A1000 &lt;= DATE(2025, 5, 31)))
+ SUMPRODUCT(('Form responses 1'!$G$2:$G1000 = A78) * ('Form responses 1'!$A$2:$A1000 &lt;= DATE(2025, 5, 31)))), 2), "-")
</f>
        <v>1.65</v>
      </c>
      <c r="T78" s="2">
        <f>IFERROR(ROUND(Data!B70/(SUMPRODUCT(('Form responses 1'!$B$2:$B1000 = A78) * ('Form responses 1'!$A$2:$A1000 &lt;= DATE(2025, 6, 30)))
+ SUMPRODUCT(('Form responses 1'!$C$2:$C1000 = A78) * ('Form responses 1'!$A$2:$A1000 &lt;= DATE(2025, 6, 30)))
+ SUMPRODUCT(('Form responses 1'!$D$2:$D1000 = A78) * ('Form responses 1'!$A$2:$A1000 &lt;= DATE(2025, 6, 30)))
+ SUMPRODUCT(('Form responses 1'!$E$2:$E1000 = A78) * ('Form responses 1'!$A$2:$A1000 &lt;= DATE(2025, 6, 30)))
+ SUMPRODUCT(('Form responses 1'!$F$2:$F1000 = A78) * ('Form responses 1'!$A$2:$A1000 &lt;= DATE(2025, 6, 30)))
+ SUMPRODUCT(('Form responses 1'!$G$2:$G1000 = A78) * ('Form responses 1'!$A$2:$A1000 &lt;= DATE(2025, 6, 30)))), 2), "-")
</f>
        <v>1.65</v>
      </c>
      <c r="U78" s="2">
        <f>IFERROR(ROUND(Data!B70/(SUMPRODUCT(('Form responses 1'!$B$2:$B1000 = A78) * ('Form responses 1'!$A$2:$A1000 &lt;= DATE(2025, 7, 31)))
+ SUMPRODUCT(('Form responses 1'!$C$2:$C1000 = A78) * ('Form responses 1'!$A$2:$A1000 &lt;= DATE(2025, 7, 31)))
+ SUMPRODUCT(('Form responses 1'!$D$2:$D1000 = A78) * ('Form responses 1'!$A$2:$A1000 &lt;= DATE(2025, 7, 31)))
+ SUMPRODUCT(('Form responses 1'!$E$2:$E1000 = A78) * ('Form responses 1'!$A$2:$A1000 &lt;= DATE(2025, 7, 31)))
+ SUMPRODUCT(('Form responses 1'!$F$2:$F1000 = A78) * ('Form responses 1'!$A$2:$A1000 &lt;= DATE(2025, 7, 31)))
+ SUMPRODUCT(('Form responses 1'!$G$2:$G1000 = A78) * ('Form responses 1'!$A$2:$A1000 &lt;= DATE(2025, 7, 31)))), 2), "-")
</f>
        <v>1.65</v>
      </c>
      <c r="V78" s="2">
        <f>IFERROR(ROUND(Data!B70/(SUMPRODUCT(('Form responses 1'!$B$2:$B1000 = A78) * ('Form responses 1'!$A$2:$A1000 &lt;= DATE(2025, 8, 31)))
+ SUMPRODUCT(('Form responses 1'!$C$2:$C1000 = A78) * ('Form responses 1'!$A$2:$A1000 &lt;= DATE(2025, 8, 31)))
+ SUMPRODUCT(('Form responses 1'!$D$2:$D1000 = A78) * ('Form responses 1'!$A$2:$A1000 &lt;= DATE(2025, 8, 31)))
+ SUMPRODUCT(('Form responses 1'!$E$2:$E1000 = A78) * ('Form responses 1'!$A$2:$A1000 &lt;= DATE(2025, 8, 31)))
+ SUMPRODUCT(('Form responses 1'!$F$2:$F1000 = A78) * ('Form responses 1'!$A$2:$A1000 &lt;= DATE(2025, 8, 31)))
+ SUMPRODUCT(('Form responses 1'!$G$2:$G1000 = A78) * ('Form responses 1'!$A$2:$A1000 &lt;= DATE(2025, 8, 31)))), 2), "-")
</f>
        <v>1.62</v>
      </c>
      <c r="W78" s="2">
        <f>IFERROR(ROUND(Data!B70/(SUMPRODUCT(('Form responses 1'!$B$2:$B1000 = A78) * ('Form responses 1'!$A$2:$A1000 &lt;= DATE(2025, 9, 30)))
+ SUMPRODUCT(('Form responses 1'!$C$2:$C1000 = A78) * ('Form responses 1'!$A$2:$A1000 &lt;= DATE(2025, 9, 30)))
+ SUMPRODUCT(('Form responses 1'!$D$2:$D1000 = A78) * ('Form responses 1'!$A$2:$A1000 &lt;= DATE(2025, 9, 30)))
+ SUMPRODUCT(('Form responses 1'!$E$2:$E1000 = A78) * ('Form responses 1'!$A$2:$A1000 &lt;= DATE(2025, 9, 30)))
+ SUMPRODUCT(('Form responses 1'!$F$2:$F1000 = A78) * ('Form responses 1'!$A$2:$A1000 &lt;= DATE(2025, 9, 30)))
+ SUMPRODUCT(('Form responses 1'!$G$2:$G1000 = A78) * ('Form responses 1'!$A$2:$A1000 &lt;= DATE(2025, 9, 30)))), 2), "-")
</f>
        <v>1.61</v>
      </c>
      <c r="X78" s="2">
        <f>IFERROR(ROUND(Data!B70/(SUMPRODUCT(('Form responses 1'!$B$2:$B1000 = A78) * ('Form responses 1'!$A$2:$A1000 &lt;= DATE(2025, 10, 31)))
+ SUMPRODUCT(('Form responses 1'!$C$2:$C1000 = A78) * ('Form responses 1'!$A$2:$A1000 &lt;= DATE(2025, 10, 31)))
+ SUMPRODUCT(('Form responses 1'!$D$2:$D1000 = A78) * ('Form responses 1'!$A$2:$A1000 &lt;= DATE(2025, 10, 31)))
+ SUMPRODUCT(('Form responses 1'!$E$2:$E1000 = A78) * ('Form responses 1'!$A$2:$A1000 &lt;= DATE(2025, 10, 31)))
+ SUMPRODUCT(('Form responses 1'!$F$2:$F1000 = A78) * ('Form responses 1'!$A$2:$A1000 &lt;= DATE(2025, 10, 31)))
+ SUMPRODUCT(('Form responses 1'!$G$2:$G1000 = A78) * ('Form responses 1'!$A$2:$A1000 &lt;= DATE(2025, 10, 31)))), 2), "-")
</f>
        <v>1.58</v>
      </c>
      <c r="Y78" s="2">
        <f>IFERROR(ROUND(Data!B70/(SUMPRODUCT(('Form responses 1'!$B$2:$B1000 = A78) * ('Form responses 1'!$A$2:$A1000 &lt;= DATE(2025, 11, 30)))
+ SUMPRODUCT(('Form responses 1'!$C$2:$C1000 = A78) * ('Form responses 1'!$A$2:$A1000 &lt;= DATE(2025, 11, 30)))
+ SUMPRODUCT(('Form responses 1'!$D$2:$D1000 = A78) * ('Form responses 1'!$A$2:$A1000 &lt;= DATE(2025, 11, 30)))
+ SUMPRODUCT(('Form responses 1'!$E$2:$E1000 = A78) * ('Form responses 1'!$A$2:$A1000 &lt;= DATE(2025, 11, 30)))
+ SUMPRODUCT(('Form responses 1'!$F$2:$F1000 = A78) * ('Form responses 1'!$A$2:$A1000 &lt;= DATE(2025, 11, 30)))
+ SUMPRODUCT(('Form responses 1'!$G$2:$G1000 = A78) * ('Form responses 1'!$A$2:$A1000 &lt;= DATE(2025, 11, 30)))), 2), "-")
</f>
        <v>1.54</v>
      </c>
      <c r="Z78" s="2">
        <f>IFERROR(ROUND(Data!B70/(SUMPRODUCT(('Form responses 1'!$B$2:$B1000 = A78) * ('Form responses 1'!$A$2:$A1000 &lt;= DATE(2025, 12, 31)))
+ SUMPRODUCT(('Form responses 1'!$C$2:$C1000 = A78) * ('Form responses 1'!$A$2:$A1000 &lt;= DATE(2025, 12, 31)))
+ SUMPRODUCT(('Form responses 1'!$D$2:$D1000 = A78) * ('Form responses 1'!$A$2:$A1000 &lt;= DATE(2025, 12, 31)))
+ SUMPRODUCT(('Form responses 1'!$E$2:$E1000 = A78) * ('Form responses 1'!$A$2:$A1000 &lt;= DATE(2025, 12, 31)))
+ SUMPRODUCT(('Form responses 1'!$F$2:$F1000 = A78) * ('Form responses 1'!$A$2:$A1000 &lt;= DATE(2025, 12, 31)))
+ SUMPRODUCT(('Form responses 1'!$G$2:$G1000 = A78) * ('Form responses 1'!$A$2:$A1000 &lt;= DATE(2025, 12, 31)))), 2), "-")
</f>
        <v>1.51</v>
      </c>
      <c r="AA78" s="2">
        <f>IFERROR(ROUND(Data!$B78/(
  SUMPRODUCT(('Form responses 1'!$B$2:$B1000=$A78)*('Form responses 1'!$A$2:$A1000&lt;=EOMONTH(DATEVALUE("1 "&amp;AA$1),0)))+
  SUMPRODUCT(('Form responses 1'!$C$2:$C1000=$A78)*('Form responses 1'!$A$2:$A1000&lt;=EOMONTH(DATEVALUE("1 "&amp;AA$1),0)))+
  SUMPRODUCT(('Form responses 1'!$D$2:$D1000=$A78)*('Form responses 1'!$A$2:$A1000&lt;=EOMONTH(DATEVALUE("1 "&amp;AA$1),0)))+
  SUMPRODUCT(('Form responses 1'!$E$2:$E1000=$A78)*('Form responses 1'!$A$2:$A1000&lt;=EOMONTH(DATEVALUE("1 "&amp;AA$1),0)))+
  SUMPRODUCT(('Form responses 1'!$F$2:$F1000=$A78)*('Form responses 1'!$A$2:$A1000&lt;=EOMONTH(DATEVALUE("1 "&amp;AA$1),0)))+
  SUMPRODUCT(('Form responses 1'!$G$2:$G1000=$A78)*('Form responses 1'!$A$2:$A1000&lt;=EOMONTH(DATEVALUE("1 "&amp;AA$1),0)))
),2),"-")</f>
        <v>0.76</v>
      </c>
      <c r="AB78" s="2">
        <f>IFERROR(ROUND(Data!$B78/(
  SUMPRODUCT(('Form responses 1'!$B$2:$B1000=$A78)*('Form responses 1'!$A$2:$A1000&lt;=EOMONTH(DATEVALUE("1 "&amp;AB$1),0)))+
  SUMPRODUCT(('Form responses 1'!$C$2:$C1000=$A78)*('Form responses 1'!$A$2:$A1000&lt;=EOMONTH(DATEVALUE("1 "&amp;AB$1),0)))+
  SUMPRODUCT(('Form responses 1'!$D$2:$D1000=$A78)*('Form responses 1'!$A$2:$A1000&lt;=EOMONTH(DATEVALUE("1 "&amp;AB$1),0)))+
  SUMPRODUCT(('Form responses 1'!$E$2:$E1000=$A78)*('Form responses 1'!$A$2:$A1000&lt;=EOMONTH(DATEVALUE("1 "&amp;AB$1),0)))+
  SUMPRODUCT(('Form responses 1'!$F$2:$F1000=$A78)*('Form responses 1'!$A$2:$A1000&lt;=EOMONTH(DATEVALUE("1 "&amp;AB$1),0)))+
  SUMPRODUCT(('Form responses 1'!$G$2:$G1000=$A78)*('Form responses 1'!$A$2:$A1000&lt;=EOMONTH(DATEVALUE("1 "&amp;AB$1),0)))
),2),"-")</f>
        <v>0.76</v>
      </c>
      <c r="AC78" s="2">
        <f>IFERROR(ROUND(Data!$B78/(
  SUMPRODUCT(('Form responses 1'!$B$2:$B1000=$A78)*('Form responses 1'!$A$2:$A1000&lt;=EOMONTH(DATEVALUE("1 "&amp;AC$1),0)))+
  SUMPRODUCT(('Form responses 1'!$C$2:$C1000=$A78)*('Form responses 1'!$A$2:$A1000&lt;=EOMONTH(DATEVALUE("1 "&amp;AC$1),0)))+
  SUMPRODUCT(('Form responses 1'!$D$2:$D1000=$A78)*('Form responses 1'!$A$2:$A1000&lt;=EOMONTH(DATEVALUE("1 "&amp;AC$1),0)))+
  SUMPRODUCT(('Form responses 1'!$E$2:$E1000=$A78)*('Form responses 1'!$A$2:$A1000&lt;=EOMONTH(DATEVALUE("1 "&amp;AC$1),0)))+
  SUMPRODUCT(('Form responses 1'!$F$2:$F1000=$A78)*('Form responses 1'!$A$2:$A1000&lt;=EOMONTH(DATEVALUE("1 "&amp;AC$1),0)))+
  SUMPRODUCT(('Form responses 1'!$G$2:$G1000=$A78)*('Form responses 1'!$A$2:$A1000&lt;=EOMONTH(DATEVALUE("1 "&amp;AC$1),0)))
),2),"-")</f>
        <v>0.73</v>
      </c>
      <c r="AD78" s="2" t="str">
        <f>IFERROR(ROUND(Data!$B78/(
  SUMPRODUCT(('Form responses 1'!$B$2:$B1000=$A78)*('Form responses 1'!$A$2:$A1000&lt;=EOMONTH(DATEVALUE("1 "&amp;AD$1),0)))+
  SUMPRODUCT(('Form responses 1'!$C$2:$C1000=$A78)*('Form responses 1'!$A$2:$A1000&lt;=EOMONTH(DATEVALUE("1 "&amp;AD$1),0)))+
  SUMPRODUCT(('Form responses 1'!$D$2:$D1000=$A78)*('Form responses 1'!$A$2:$A1000&lt;=EOMONTH(DATEVALUE("1 "&amp;AD$1),0)))+
  SUMPRODUCT(('Form responses 1'!$E$2:$E1000=$A78)*('Form responses 1'!$A$2:$A1000&lt;=EOMONTH(DATEVALUE("1 "&amp;AD$1),0)))+
  SUMPRODUCT(('Form responses 1'!$F$2:$F1000=$A78)*('Form responses 1'!$A$2:$A1000&lt;=EOMONTH(DATEVALUE("1 "&amp;AD$1),0)))+
  SUMPRODUCT(('Form responses 1'!$G$2:$G1000=$A78)*('Form responses 1'!$A$2:$A1000&lt;=EOMONTH(DATEVALUE("1 "&amp;AD$1),0)))
),2),"-")</f>
        <v>-</v>
      </c>
      <c r="AE78" s="2" t="str">
        <f>IFERROR(ROUND(Data!$B78/(
  SUMPRODUCT(('Form responses 1'!$B$2:$B1000=$A78)*('Form responses 1'!$A$2:$A1000&lt;=EOMONTH(DATEVALUE("1 "&amp;AE$1),0)))+
  SUMPRODUCT(('Form responses 1'!$C$2:$C1000=$A78)*('Form responses 1'!$A$2:$A1000&lt;=EOMONTH(DATEVALUE("1 "&amp;AE$1),0)))+
  SUMPRODUCT(('Form responses 1'!$D$2:$D1000=$A78)*('Form responses 1'!$A$2:$A1000&lt;=EOMONTH(DATEVALUE("1 "&amp;AE$1),0)))+
  SUMPRODUCT(('Form responses 1'!$E$2:$E1000=$A78)*('Form responses 1'!$A$2:$A1000&lt;=EOMONTH(DATEVALUE("1 "&amp;AE$1),0)))+
  SUMPRODUCT(('Form responses 1'!$F$2:$F1000=$A78)*('Form responses 1'!$A$2:$A1000&lt;=EOMONTH(DATEVALUE("1 "&amp;AE$1),0)))+
  SUMPRODUCT(('Form responses 1'!$G$2:$G1000=$A78)*('Form responses 1'!$A$2:$A1000&lt;=EOMONTH(DATEVALUE("1 "&amp;AE$1),0)))
),2),"-")</f>
        <v>-</v>
      </c>
      <c r="AF78" s="2" t="str">
        <f>IFERROR(ROUND(Data!$B78/(
  SUMPRODUCT(('Form responses 1'!$B$2:$B1000=$A78)*('Form responses 1'!$A$2:$A1000&lt;=EOMONTH(DATEVALUE("1 "&amp;AF$1),0)))+
  SUMPRODUCT(('Form responses 1'!$C$2:$C1000=$A78)*('Form responses 1'!$A$2:$A1000&lt;=EOMONTH(DATEVALUE("1 "&amp;AF$1),0)))+
  SUMPRODUCT(('Form responses 1'!$D$2:$D1000=$A78)*('Form responses 1'!$A$2:$A1000&lt;=EOMONTH(DATEVALUE("1 "&amp;AF$1),0)))+
  SUMPRODUCT(('Form responses 1'!$E$2:$E1000=$A78)*('Form responses 1'!$A$2:$A1000&lt;=EOMONTH(DATEVALUE("1 "&amp;AF$1),0)))+
  SUMPRODUCT(('Form responses 1'!$F$2:$F1000=$A78)*('Form responses 1'!$A$2:$A1000&lt;=EOMONTH(DATEVALUE("1 "&amp;AF$1),0)))+
  SUMPRODUCT(('Form responses 1'!$G$2:$G1000=$A78)*('Form responses 1'!$A$2:$A1000&lt;=EOMONTH(DATEVALUE("1 "&amp;AF$1),0)))
),2),"-")</f>
        <v>-</v>
      </c>
      <c r="AG78" s="2" t="str">
        <f>IFERROR(ROUND(Data!$B78/(
  SUMPRODUCT(('Form responses 1'!$B$2:$B1000=$A78)*('Form responses 1'!$A$2:$A1000&lt;=EOMONTH(DATEVALUE("1 "&amp;AG$1),0)))+
  SUMPRODUCT(('Form responses 1'!$C$2:$C1000=$A78)*('Form responses 1'!$A$2:$A1000&lt;=EOMONTH(DATEVALUE("1 "&amp;AG$1),0)))+
  SUMPRODUCT(('Form responses 1'!$D$2:$D1000=$A78)*('Form responses 1'!$A$2:$A1000&lt;=EOMONTH(DATEVALUE("1 "&amp;AG$1),0)))+
  SUMPRODUCT(('Form responses 1'!$E$2:$E1000=$A78)*('Form responses 1'!$A$2:$A1000&lt;=EOMONTH(DATEVALUE("1 "&amp;AG$1),0)))+
  SUMPRODUCT(('Form responses 1'!$F$2:$F1000=$A78)*('Form responses 1'!$A$2:$A1000&lt;=EOMONTH(DATEVALUE("1 "&amp;AG$1),0)))+
  SUMPRODUCT(('Form responses 1'!$G$2:$G1000=$A78)*('Form responses 1'!$A$2:$A1000&lt;=EOMONTH(DATEVALUE("1 "&amp;AG$1),0)))
),2),"-")</f>
        <v>-</v>
      </c>
      <c r="AH78" s="2" t="str">
        <f>IFERROR(ROUND(Data!$B78/(
  SUMPRODUCT(('Form responses 1'!$B$2:$B1000=$A78)*('Form responses 1'!$A$2:$A1000&lt;=EOMONTH(DATEVALUE("1 "&amp;AH$1),0)))+
  SUMPRODUCT(('Form responses 1'!$C$2:$C1000=$A78)*('Form responses 1'!$A$2:$A1000&lt;=EOMONTH(DATEVALUE("1 "&amp;AH$1),0)))+
  SUMPRODUCT(('Form responses 1'!$D$2:$D1000=$A78)*('Form responses 1'!$A$2:$A1000&lt;=EOMONTH(DATEVALUE("1 "&amp;AH$1),0)))+
  SUMPRODUCT(('Form responses 1'!$E$2:$E1000=$A78)*('Form responses 1'!$A$2:$A1000&lt;=EOMONTH(DATEVALUE("1 "&amp;AH$1),0)))+
  SUMPRODUCT(('Form responses 1'!$F$2:$F1000=$A78)*('Form responses 1'!$A$2:$A1000&lt;=EOMONTH(DATEVALUE("1 "&amp;AH$1),0)))+
  SUMPRODUCT(('Form responses 1'!$G$2:$G1000=$A78)*('Form responses 1'!$A$2:$A1000&lt;=EOMONTH(DATEVALUE("1 "&amp;AH$1),0)))
),2),"-")</f>
        <v>-</v>
      </c>
      <c r="AI78" s="2" t="str">
        <f>IFERROR(ROUND(Data!$B78/(
  SUMPRODUCT(('Form responses 1'!$B$2:$B1000=$A78)*('Form responses 1'!$A$2:$A1000&lt;=EOMONTH(DATEVALUE("1 "&amp;AI$1),0)))+
  SUMPRODUCT(('Form responses 1'!$C$2:$C1000=$A78)*('Form responses 1'!$A$2:$A1000&lt;=EOMONTH(DATEVALUE("1 "&amp;AI$1),0)))+
  SUMPRODUCT(('Form responses 1'!$D$2:$D1000=$A78)*('Form responses 1'!$A$2:$A1000&lt;=EOMONTH(DATEVALUE("1 "&amp;AI$1),0)))+
  SUMPRODUCT(('Form responses 1'!$E$2:$E1000=$A78)*('Form responses 1'!$A$2:$A1000&lt;=EOMONTH(DATEVALUE("1 "&amp;AI$1),0)))+
  SUMPRODUCT(('Form responses 1'!$F$2:$F1000=$A78)*('Form responses 1'!$A$2:$A1000&lt;=EOMONTH(DATEVALUE("1 "&amp;AI$1),0)))+
  SUMPRODUCT(('Form responses 1'!$G$2:$G1000=$A78)*('Form responses 1'!$A$2:$A1000&lt;=EOMONTH(DATEVALUE("1 "&amp;AI$1),0)))
),2),"-")</f>
        <v>-</v>
      </c>
      <c r="AJ78" s="2" t="str">
        <f>IFERROR(ROUND(Data!$B78/(
  SUMPRODUCT(('Form responses 1'!$B$2:$B1000=$A78)*('Form responses 1'!$A$2:$A1000&lt;=EOMONTH(DATEVALUE("1 "&amp;AJ$1),0)))+
  SUMPRODUCT(('Form responses 1'!$C$2:$C1000=$A78)*('Form responses 1'!$A$2:$A1000&lt;=EOMONTH(DATEVALUE("1 "&amp;AJ$1),0)))+
  SUMPRODUCT(('Form responses 1'!$D$2:$D1000=$A78)*('Form responses 1'!$A$2:$A1000&lt;=EOMONTH(DATEVALUE("1 "&amp;AJ$1),0)))+
  SUMPRODUCT(('Form responses 1'!$E$2:$E1000=$A78)*('Form responses 1'!$A$2:$A1000&lt;=EOMONTH(DATEVALUE("1 "&amp;AJ$1),0)))+
  SUMPRODUCT(('Form responses 1'!$F$2:$F1000=$A78)*('Form responses 1'!$A$2:$A1000&lt;=EOMONTH(DATEVALUE("1 "&amp;AJ$1),0)))+
  SUMPRODUCT(('Form responses 1'!$G$2:$G1000=$A78)*('Form responses 1'!$A$2:$A1000&lt;=EOMONTH(DATEVALUE("1 "&amp;AJ$1),0)))
),2),"-")</f>
        <v>-</v>
      </c>
      <c r="AK78" s="2" t="str">
        <f>IFERROR(ROUND(Data!$B78/(
  SUMPRODUCT(('Form responses 1'!$B$2:$B1000=$A78)*('Form responses 1'!$A$2:$A1000&lt;=EOMONTH(DATEVALUE("1 "&amp;AK$1),0)))+
  SUMPRODUCT(('Form responses 1'!$C$2:$C1000=$A78)*('Form responses 1'!$A$2:$A1000&lt;=EOMONTH(DATEVALUE("1 "&amp;AK$1),0)))+
  SUMPRODUCT(('Form responses 1'!$D$2:$D1000=$A78)*('Form responses 1'!$A$2:$A1000&lt;=EOMONTH(DATEVALUE("1 "&amp;AK$1),0)))+
  SUMPRODUCT(('Form responses 1'!$E$2:$E1000=$A78)*('Form responses 1'!$A$2:$A1000&lt;=EOMONTH(DATEVALUE("1 "&amp;AK$1),0)))+
  SUMPRODUCT(('Form responses 1'!$F$2:$F1000=$A78)*('Form responses 1'!$A$2:$A1000&lt;=EOMONTH(DATEVALUE("1 "&amp;AK$1),0)))+
  SUMPRODUCT(('Form responses 1'!$G$2:$G1000=$A78)*('Form responses 1'!$A$2:$A1000&lt;=EOMONTH(DATEVALUE("1 "&amp;AK$1),0)))
),2),"-")</f>
        <v>-</v>
      </c>
      <c r="AL78" s="2" t="str">
        <f>IFERROR(ROUND(Data!$B78/(
  SUMPRODUCT(('Form responses 1'!$B$2:$B1000=$A78)*('Form responses 1'!$A$2:$A1000&lt;=EOMONTH(DATEVALUE("1 "&amp;AL$1),0)))+
  SUMPRODUCT(('Form responses 1'!$C$2:$C1000=$A78)*('Form responses 1'!$A$2:$A1000&lt;=EOMONTH(DATEVALUE("1 "&amp;AL$1),0)))+
  SUMPRODUCT(('Form responses 1'!$D$2:$D1000=$A78)*('Form responses 1'!$A$2:$A1000&lt;=EOMONTH(DATEVALUE("1 "&amp;AL$1),0)))+
  SUMPRODUCT(('Form responses 1'!$E$2:$E1000=$A78)*('Form responses 1'!$A$2:$A1000&lt;=EOMONTH(DATEVALUE("1 "&amp;AL$1),0)))+
  SUMPRODUCT(('Form responses 1'!$F$2:$F1000=$A78)*('Form responses 1'!$A$2:$A1000&lt;=EOMONTH(DATEVALUE("1 "&amp;AL$1),0)))+
  SUMPRODUCT(('Form responses 1'!$G$2:$G1000=$A78)*('Form responses 1'!$A$2:$A1000&lt;=EOMONTH(DATEVALUE("1 "&amp;AL$1),0)))
),2),"-")</f>
        <v>-</v>
      </c>
    </row>
    <row r="79">
      <c r="A79" s="3" t="str">
        <f>IFERROR(__xludf.DUMMYFUNCTION("""COMPUTED_VALUE"""),"Witte gympen")</f>
        <v>Witte gympen</v>
      </c>
      <c r="B79" s="2">
        <f>Data!F71:F1000</f>
        <v>0.11</v>
      </c>
      <c r="C79" s="2">
        <f>IFERROR(ROUND(Data!B71/(SUMPRODUCT(('Form responses 1'!$B$2:$B1000 = A79) * ('Form responses 1'!$A$2:$A1000 &lt;= DATE(2024, 1, 31)))
+ SUMPRODUCT(('Form responses 1'!$C$2:$C1000 = A79) * ('Form responses 1'!$A$2:$A1000 &lt;= DATE(2024, 1, 31)))
+ SUMPRODUCT(('Form responses 1'!$D$2:$D1000 = A79) * ('Form responses 1'!$A$2:$A1000 &lt;= DATE(2024, 1, 31)))
+ SUMPRODUCT(('Form responses 1'!$E$2:$E1000 = A79) * ('Form responses 1'!$A$2:$A1000 &lt;= DATE(2024, 1, 31)))
+ SUMPRODUCT(('Form responses 1'!$F$2:$F1000 = A79) * ('Form responses 1'!$A$2:$A1000 &lt;= DATE(2024, 1, 31)))
+ SUMPRODUCT(('Form responses 1'!$G$2:$G1000 = A79) * ('Form responses 1'!$A$2:$A1000 &lt;= DATE(2024, 1, 31)))), 2), "-")
</f>
        <v>1.23</v>
      </c>
      <c r="D79" s="2">
        <f>IFERROR(ROUND(Data!B71/(SUMPRODUCT(('Form responses 1'!$B$2:$B1000 = A79) * ('Form responses 1'!$A$2:$A1000 &lt;= DATE(2024, 2, 29)))
+ SUMPRODUCT(('Form responses 1'!$C$2:$C1000 = A79) * ('Form responses 1'!$A$2:$A1000 &lt;= DATE(2024, 2, 29)))
+ SUMPRODUCT(('Form responses 1'!$D$2:$D1000 = A79) * ('Form responses 1'!$A$2:$A1000 &lt;= DATE(2024, 2, 29)))
+ SUMPRODUCT(('Form responses 1'!$E$2:$E1000 = A79) * ('Form responses 1'!$A$2:$A1000 &lt;= DATE(2024, 2, 29)))
+ SUMPRODUCT(('Form responses 1'!$F$2:$F1000 = A79) * ('Form responses 1'!$A$2:$A1000 &lt;= DATE(2024, 2, 29)))
+ SUMPRODUCT(('Form responses 1'!$G$2:$G1000 = A79) * ('Form responses 1'!$A$2:$A1000 &lt;= DATE(2024, 2, 29)))), 2), "-")
</f>
        <v>1.23</v>
      </c>
      <c r="E79" s="2">
        <f>IFERROR(ROUND(Data!B71/(SUMPRODUCT(('Form responses 1'!$B$2:$B1000 = A79) * ('Form responses 1'!$A$2:$A1000 &lt;= DATE(2024, 3, 31)))
+ SUMPRODUCT(('Form responses 1'!$C$2:$C1000 = A79) * ('Form responses 1'!$A$2:$A1000 &lt;= DATE(2024, 3, 31)))
+ SUMPRODUCT(('Form responses 1'!$D$2:$D1000 = A79) * ('Form responses 1'!$A$2:$A1000 &lt;= DATE(2024, 3, 31)))
+ SUMPRODUCT(('Form responses 1'!$E$2:$E1000 = A79) * ('Form responses 1'!$A$2:$A1000 &lt;= DATE(2024, 3, 31)))
+ SUMPRODUCT(('Form responses 1'!$F$2:$F1000 = A79) * ('Form responses 1'!$A$2:$A1000 &lt;= DATE(2024, 3, 31)))
+ SUMPRODUCT(('Form responses 1'!$G$2:$G1000 = A79) * ('Form responses 1'!$A$2:$A1000 &lt;= DATE(2024, 3, 31)))), 2), "-")
</f>
        <v>1.23</v>
      </c>
      <c r="F79" s="2">
        <f>IFERROR(ROUND(Data!B71/(SUMPRODUCT(('Form responses 1'!$B$2:$B1000 = A79) * ('Form responses 1'!$A$2:$A1000 &lt;= DATE(2024, 4, 30)))
+ SUMPRODUCT(('Form responses 1'!$C$2:$C1000 = A79) * ('Form responses 1'!$A$2:$A1000 &lt;= DATE(2024, 4, 30)))
+ SUMPRODUCT(('Form responses 1'!$D$2:$D1000 = A79) * ('Form responses 1'!$A$2:$A1000 &lt;= DATE(2024, 4, 30)))
+ SUMPRODUCT(('Form responses 1'!$E$2:$E1000 = A79) * ('Form responses 1'!$A$2:$A1000 &lt;= DATE(2024, 4, 30)))
+ SUMPRODUCT(('Form responses 1'!$F$2:$F1000 = A79) * ('Form responses 1'!$A$2:$A1000 &lt;= DATE(2024, 4, 30)))
+ SUMPRODUCT(('Form responses 1'!$G$2:$G1000 = A79) * ('Form responses 1'!$A$2:$A1000 &lt;= DATE(2024, 4, 30)))), 2), "-")
</f>
        <v>1.23</v>
      </c>
      <c r="G79" s="2">
        <f>IFERROR(ROUND(Data!B71/(SUMPRODUCT(('Form responses 1'!$B$2:$B1000 = A79) * ('Form responses 1'!$A$2:$A1000 &lt;= DATE(2024, 5, 31)))
+ SUMPRODUCT(('Form responses 1'!$C$2:$C1000 = A79) * ('Form responses 1'!$A$2:$A1000 &lt;= DATE(2024, 5, 31)))
+ SUMPRODUCT(('Form responses 1'!$D$2:$D1000 = A79) * ('Form responses 1'!$A$2:$A1000 &lt;= DATE(2024, 5, 31)))
+ SUMPRODUCT(('Form responses 1'!$E$2:$E1000 = A79) * ('Form responses 1'!$A$2:$A1000 &lt;= DATE(2024, 5, 31)))
+ SUMPRODUCT(('Form responses 1'!$F$2:$F1000 = A79) * ('Form responses 1'!$A$2:$A1000 &lt;= DATE(2024, 5, 31)))
+ SUMPRODUCT(('Form responses 1'!$G$2:$G1000 = A79) * ('Form responses 1'!$A$2:$A1000 &lt;= DATE(2024, 5, 31)))), 2), "-")
</f>
        <v>1.23</v>
      </c>
      <c r="H79" s="2">
        <f>IFERROR(ROUND(Data!B71/(SUMPRODUCT(('Form responses 1'!$B$2:$B1000 = A79) * ('Form responses 1'!$A$2:$A1000 &lt;= DATE(2024, 6, 30)))
+ SUMPRODUCT(('Form responses 1'!$C$2:$C1000 = A79) * ('Form responses 1'!$A$2:$A1000 &lt;= DATE(2024, 6, 30)))
+ SUMPRODUCT(('Form responses 1'!$D$2:$D1000 = A79) * ('Form responses 1'!$A$2:$A1000 &lt;= DATE(2024, 6, 30)))
+ SUMPRODUCT(('Form responses 1'!$E$2:$E1000 = A79) * ('Form responses 1'!$A$2:$A1000 &lt;= DATE(2024, 6, 30)))
+ SUMPRODUCT(('Form responses 1'!$F$2:$F1000 = A79) * ('Form responses 1'!$A$2:$A1000 &lt;= DATE(2024, 6, 30)))
+ SUMPRODUCT(('Form responses 1'!$G$2:$G1000 = A79) * ('Form responses 1'!$A$2:$A1000 &lt;= DATE(2024, 6, 30)))), 2), "-")
</f>
        <v>1.23</v>
      </c>
      <c r="I79" s="2">
        <f>IFERROR(ROUND(Data!B71/(SUMPRODUCT(('Form responses 1'!$B$2:$B1000 = A79) * ('Form responses 1'!$A$2:$A1000 &lt;= DATE(2024, 7, 31)))
+ SUMPRODUCT(('Form responses 1'!$C$2:$C1000 = A79) * ('Form responses 1'!$A$2:$A1000 &lt;= DATE(2024, 7, 31)))
+ SUMPRODUCT(('Form responses 1'!$D$2:$D1000 = A79) * ('Form responses 1'!$A$2:$A1000 &lt;= DATE(2024, 7, 31)))
+ SUMPRODUCT(('Form responses 1'!$E$2:$E1000 = A79) * ('Form responses 1'!$A$2:$A1000 &lt;= DATE(2024, 7, 31)))
+ SUMPRODUCT(('Form responses 1'!$F$2:$F1000 = A79) * ('Form responses 1'!$A$2:$A1000 &lt;= DATE(2024, 7, 31)))
+ SUMPRODUCT(('Form responses 1'!$G$2:$G1000 = A79) * ('Form responses 1'!$A$2:$A1000 &lt;= DATE(2024, 7, 31)))), 2), "-")
</f>
        <v>1.23</v>
      </c>
      <c r="J79" s="2">
        <f>IFERROR(ROUND(Data!B71/(SUMPRODUCT(('Form responses 1'!$B$2:$B1000 = A79) * ('Form responses 1'!$A$2:$A1000 &lt;= DATE(2024, 8, 31)))
+ SUMPRODUCT(('Form responses 1'!$C$2:$C1000 = A79) * ('Form responses 1'!$A$2:$A1000 &lt;= DATE(2024, 8, 31)))
+ SUMPRODUCT(('Form responses 1'!$D$2:$D1000 = A79) * ('Form responses 1'!$A$2:$A1000 &lt;= DATE(2024, 8, 31)))
+ SUMPRODUCT(('Form responses 1'!$E$2:$E1000 = A79) * ('Form responses 1'!$A$2:$A1000 &lt;= DATE(2024, 8, 31)))
+ SUMPRODUCT(('Form responses 1'!$F$2:$F1000 = A79) * ('Form responses 1'!$A$2:$A1000 &lt;= DATE(2024, 8, 31)))
+ SUMPRODUCT(('Form responses 1'!$G$2:$G1000 = A79) * ('Form responses 1'!$A$2:$A1000 &lt;= DATE(2024, 8, 31)))), 2), "-")
</f>
        <v>1.23</v>
      </c>
      <c r="K79" s="2">
        <f>IFERROR(ROUND(Data!B71/(SUMPRODUCT(('Form responses 1'!$B$2:$B1000 = A79) * ('Form responses 1'!$A$2:$A1000 &lt;= DATE(2024, 9, 30)))
+ SUMPRODUCT(('Form responses 1'!$C$2:$C1000 = A79) * ('Form responses 1'!$A$2:$A1000 &lt;= DATE(2024, 9, 30)))
+ SUMPRODUCT(('Form responses 1'!$D$2:$D1000 = A79) * ('Form responses 1'!$A$2:$A1000 &lt;= DATE(2024, 9, 30)))
+ SUMPRODUCT(('Form responses 1'!$E$2:$E1000 = A79) * ('Form responses 1'!$A$2:$A1000 &lt;= DATE(2024, 9, 30)))
+ SUMPRODUCT(('Form responses 1'!$F$2:$F1000 = A79) * ('Form responses 1'!$A$2:$A1000 &lt;= DATE(2024, 9, 30)))
+ SUMPRODUCT(('Form responses 1'!$G$2:$G1000 = A79) * ('Form responses 1'!$A$2:$A1000 &lt;= DATE(2024, 9, 30)))), 2), "-")
</f>
        <v>1.23</v>
      </c>
      <c r="L79" s="2">
        <f>IFERROR(ROUND(Data!B71/(SUMPRODUCT(('Form responses 1'!$B$2:$B1000 = A79) * ('Form responses 1'!$A$2:$A1000 &lt;= DATE(2024, 10, 31)))
+ SUMPRODUCT(('Form responses 1'!$C$2:$C1000 = A79) * ('Form responses 1'!$A$2:$A1000 &lt;= DATE(2024, 10, 31)))
+ SUMPRODUCT(('Form responses 1'!$D$2:$D1000 = A79) * ('Form responses 1'!$A$2:$A1000 &lt;= DATE(2024, 10, 31)))
+ SUMPRODUCT(('Form responses 1'!$E$2:$E1000 = A79) * ('Form responses 1'!$A$2:$A1000 &lt;= DATE(2024, 10, 31)))
+ SUMPRODUCT(('Form responses 1'!$F$2:$F1000 = A79) * ('Form responses 1'!$A$2:$A1000 &lt;= DATE(2024, 10, 31)))
+ SUMPRODUCT(('Form responses 1'!$G$2:$G1000 = A79) * ('Form responses 1'!$A$2:$A1000 &lt;= DATE(2024, 10, 31)))), 2), "-")
</f>
        <v>1.23</v>
      </c>
      <c r="M79" s="2">
        <f>IFERROR(ROUND(Data!B71/(SUMPRODUCT(('Form responses 1'!$B$2:$B1000 = A79) * ('Form responses 1'!$A$2:$A1000 &lt;= DATE(2024, 11, 30)))
+ SUMPRODUCT(('Form responses 1'!$C$2:$C1000 = A79) * ('Form responses 1'!$A$2:$A1000 &lt;= DATE(2024, 11, 30)))
+ SUMPRODUCT(('Form responses 1'!$D$2:$D1000 = A79) * ('Form responses 1'!$A$2:$A1000 &lt;= DATE(2024, 11, 30)))
+ SUMPRODUCT(('Form responses 1'!$E$2:$E1000 = A79) * ('Form responses 1'!$A$2:$A1000 &lt;= DATE(2024, 11, 30)))
+ SUMPRODUCT(('Form responses 1'!$F$2:$F1000 = A79) * ('Form responses 1'!$A$2:$A1000 &lt;= DATE(2024, 11, 30)))
+ SUMPRODUCT(('Form responses 1'!$G$2:$G1000 = A79) * ('Form responses 1'!$A$2:$A1000 &lt;= DATE(2024, 11, 30)))), 2), "-")
</f>
        <v>1.23</v>
      </c>
      <c r="N79" s="2">
        <f>IFERROR(ROUND(Data!B71/(SUMPRODUCT(('Form responses 1'!$B$2:$B1000 = A79) * ('Form responses 1'!$A$2:$A1000 &lt;= DATE(2024, 12, 31)))
+ SUMPRODUCT(('Form responses 1'!$C$2:$C1000 = A79) * ('Form responses 1'!$A$2:$A1000 &lt;= DATE(2024, 12, 31)))
+ SUMPRODUCT(('Form responses 1'!$D$2:$D1000 = A79) * ('Form responses 1'!$A$2:$A1000 &lt;= DATE(2024, 12, 31)))
+ SUMPRODUCT(('Form responses 1'!$E$2:$E1000 = A79) * ('Form responses 1'!$A$2:$A1000 &lt;= DATE(2024, 12, 31)))
+ SUMPRODUCT(('Form responses 1'!$F$2:$F1000 = A79) * ('Form responses 1'!$A$2:$A1000 &lt;= DATE(2024, 12, 31)))
+ SUMPRODUCT(('Form responses 1'!$G$2:$G1000 = A79) * ('Form responses 1'!$A$2:$A1000 &lt;= DATE(2024, 12, 31)))), 2), "-")
</f>
        <v>1.23</v>
      </c>
      <c r="O79" s="2">
        <f>IFERROR(ROUND(Data!B71/(SUMPRODUCT(('Form responses 1'!$B$2:$B1000 = A79) * ('Form responses 1'!$A$2:$A1000 &lt;= DATE(2025, 1, 31)))
+ SUMPRODUCT(('Form responses 1'!$C$2:$C1000 = A79) * ('Form responses 1'!$A$2:$A1000 &lt;= DATE(2025, 1, 31)))
+ SUMPRODUCT(('Form responses 1'!$D$2:$D1000 = A79) * ('Form responses 1'!$A$2:$A1000 &lt;= DATE(2025, 1, 31)))
+ SUMPRODUCT(('Form responses 1'!$E$2:$E1000 = A79) * ('Form responses 1'!$A$2:$A1000 &lt;= DATE(2025, 1, 31)))
+ SUMPRODUCT(('Form responses 1'!$F$2:$F1000 = A79) * ('Form responses 1'!$A$2:$A1000 &lt;= DATE(2025, 1, 31)))
+ SUMPRODUCT(('Form responses 1'!$G$2:$G1000 = A79) * ('Form responses 1'!$A$2:$A1000 &lt;= DATE(2025, 1, 31)))), 2), "-")
</f>
        <v>1.23</v>
      </c>
      <c r="P79" s="2">
        <f>IFERROR(ROUND(Data!B71/(SUMPRODUCT(('Form responses 1'!$B$2:$B1000 = A79) * ('Form responses 1'!$A$2:$A1000 &lt;= DATE(2025, 2, 28)))
+ SUMPRODUCT(('Form responses 1'!$C$2:$C1000 = A79) * ('Form responses 1'!$A$2:$A1000 &lt;= DATE(2025, 2, 28)))
+ SUMPRODUCT(('Form responses 1'!$D$2:$D1000 = A79) * ('Form responses 1'!$A$2:$A1000 &lt;= DATE(2025, 2, 28)))
+ SUMPRODUCT(('Form responses 1'!$E$2:$E1000 = A79) * ('Form responses 1'!$A$2:$A1000 &lt;= DATE(2025, 2, 28)))
+ SUMPRODUCT(('Form responses 1'!$F$2:$F1000 = A79) * ('Form responses 1'!$A$2:$A1000 &lt;= DATE(2025, 2, 28)))
+ SUMPRODUCT(('Form responses 1'!$G$2:$G1000 = A79) * ('Form responses 1'!$A$2:$A1000 &lt;= DATE(2025, 2, 28)))), 2), "-")
</f>
        <v>1.23</v>
      </c>
      <c r="Q79" s="2">
        <f>IFERROR(ROUND(Data!B71/(SUMPRODUCT(('Form responses 1'!$B$2:$B1000 = A79) * ('Form responses 1'!$A$2:$A1000 &lt;= DATE(2025, 3, 31)))
+ SUMPRODUCT(('Form responses 1'!$C$2:$C1000 = A79) * ('Form responses 1'!$A$2:$A1000 &lt;= DATE(2025, 3, 31)))
+ SUMPRODUCT(('Form responses 1'!$D$2:$D1000 = A79) * ('Form responses 1'!$A$2:$A1000 &lt;= DATE(2025, 3, 31)))
+ SUMPRODUCT(('Form responses 1'!$E$2:$E1000 = A79) * ('Form responses 1'!$A$2:$A1000 &lt;= DATE(2025, 3, 31)))
+ SUMPRODUCT(('Form responses 1'!$F$2:$F1000 = A79) * ('Form responses 1'!$A$2:$A1000 &lt;= DATE(2025, 3, 31)))
+ SUMPRODUCT(('Form responses 1'!$G$2:$G1000 = A79) * ('Form responses 1'!$A$2:$A1000 &lt;= DATE(2025, 3, 31)))),2),"-")</f>
        <v>1.23</v>
      </c>
      <c r="R79" s="2">
        <f>IFERROR(ROUND(Data!B71/(SUMPRODUCT(('Form responses 1'!$B$2:$B1000 = A79) * ('Form responses 1'!$A$2:$A1000 &lt;= DATE(2025, 4, 30)))
+ SUMPRODUCT(('Form responses 1'!$C$2:$C1000 = A79) * ('Form responses 1'!$A$2:$A1000 &lt;= DATE(2025, 4, 30)))
+ SUMPRODUCT(('Form responses 1'!$D$2:$D1000 = A79) * ('Form responses 1'!$A$2:$A1000 &lt;= DATE(2025, 4, 30)))
+ SUMPRODUCT(('Form responses 1'!$E$2:$E1000 = A79) * ('Form responses 1'!$A$2:$A1000 &lt;= DATE(2025, 4, 30)))
+ SUMPRODUCT(('Form responses 1'!$F$2:$F1000 = A79) * ('Form responses 1'!$A$2:$A1000 &lt;= DATE(2025, 4, 30)))
+ SUMPRODUCT(('Form responses 1'!$G$2:$G1000 = A79) * ('Form responses 1'!$A$2:$A1000 &lt;= DATE(2025, 4, 30)))), 2), "-")
</f>
        <v>1.23</v>
      </c>
      <c r="S79" s="2">
        <f>IFERROR(ROUND(Data!B71/(SUMPRODUCT(('Form responses 1'!$B$2:$B1000 = A79) * ('Form responses 1'!$A$2:$A1000 &lt;= DATE(2025, 5, 31)))
+ SUMPRODUCT(('Form responses 1'!$C$2:$C1000 = A79) * ('Form responses 1'!$A$2:$A1000 &lt;= DATE(2025, 5, 31)))
+ SUMPRODUCT(('Form responses 1'!$D$2:$D1000 = A79) * ('Form responses 1'!$A$2:$A1000 &lt;= DATE(2025, 5, 31)))
+ SUMPRODUCT(('Form responses 1'!$E$2:$E1000 = A79) * ('Form responses 1'!$A$2:$A1000 &lt;= DATE(2025, 5, 31)))
+ SUMPRODUCT(('Form responses 1'!$F$2:$F1000 = A79) * ('Form responses 1'!$A$2:$A1000 &lt;= DATE(2025, 5, 31)))
+ SUMPRODUCT(('Form responses 1'!$G$2:$G1000 = A79) * ('Form responses 1'!$A$2:$A1000 &lt;= DATE(2025, 5, 31)))), 2), "-")
</f>
        <v>1.23</v>
      </c>
      <c r="T79" s="2">
        <f>IFERROR(ROUND(Data!B71/(SUMPRODUCT(('Form responses 1'!$B$2:$B1000 = A79) * ('Form responses 1'!$A$2:$A1000 &lt;= DATE(2025, 6, 30)))
+ SUMPRODUCT(('Form responses 1'!$C$2:$C1000 = A79) * ('Form responses 1'!$A$2:$A1000 &lt;= DATE(2025, 6, 30)))
+ SUMPRODUCT(('Form responses 1'!$D$2:$D1000 = A79) * ('Form responses 1'!$A$2:$A1000 &lt;= DATE(2025, 6, 30)))
+ SUMPRODUCT(('Form responses 1'!$E$2:$E1000 = A79) * ('Form responses 1'!$A$2:$A1000 &lt;= DATE(2025, 6, 30)))
+ SUMPRODUCT(('Form responses 1'!$F$2:$F1000 = A79) * ('Form responses 1'!$A$2:$A1000 &lt;= DATE(2025, 6, 30)))
+ SUMPRODUCT(('Form responses 1'!$G$2:$G1000 = A79) * ('Form responses 1'!$A$2:$A1000 &lt;= DATE(2025, 6, 30)))), 2), "-")
</f>
        <v>1.23</v>
      </c>
      <c r="U79" s="2">
        <f>IFERROR(ROUND(Data!B71/(SUMPRODUCT(('Form responses 1'!$B$2:$B1000 = A79) * ('Form responses 1'!$A$2:$A1000 &lt;= DATE(2025, 7, 31)))
+ SUMPRODUCT(('Form responses 1'!$C$2:$C1000 = A79) * ('Form responses 1'!$A$2:$A1000 &lt;= DATE(2025, 7, 31)))
+ SUMPRODUCT(('Form responses 1'!$D$2:$D1000 = A79) * ('Form responses 1'!$A$2:$A1000 &lt;= DATE(2025, 7, 31)))
+ SUMPRODUCT(('Form responses 1'!$E$2:$E1000 = A79) * ('Form responses 1'!$A$2:$A1000 &lt;= DATE(2025, 7, 31)))
+ SUMPRODUCT(('Form responses 1'!$F$2:$F1000 = A79) * ('Form responses 1'!$A$2:$A1000 &lt;= DATE(2025, 7, 31)))
+ SUMPRODUCT(('Form responses 1'!$G$2:$G1000 = A79) * ('Form responses 1'!$A$2:$A1000 &lt;= DATE(2025, 7, 31)))), 2), "-")
</f>
        <v>1.23</v>
      </c>
      <c r="V79" s="2">
        <f>IFERROR(ROUND(Data!B71/(SUMPRODUCT(('Form responses 1'!$B$2:$B1000 = A79) * ('Form responses 1'!$A$2:$A1000 &lt;= DATE(2025, 8, 31)))
+ SUMPRODUCT(('Form responses 1'!$C$2:$C1000 = A79) * ('Form responses 1'!$A$2:$A1000 &lt;= DATE(2025, 8, 31)))
+ SUMPRODUCT(('Form responses 1'!$D$2:$D1000 = A79) * ('Form responses 1'!$A$2:$A1000 &lt;= DATE(2025, 8, 31)))
+ SUMPRODUCT(('Form responses 1'!$E$2:$E1000 = A79) * ('Form responses 1'!$A$2:$A1000 &lt;= DATE(2025, 8, 31)))
+ SUMPRODUCT(('Form responses 1'!$F$2:$F1000 = A79) * ('Form responses 1'!$A$2:$A1000 &lt;= DATE(2025, 8, 31)))
+ SUMPRODUCT(('Form responses 1'!$G$2:$G1000 = A79) * ('Form responses 1'!$A$2:$A1000 &lt;= DATE(2025, 8, 31)))), 2), "-")
</f>
        <v>1.23</v>
      </c>
      <c r="W79" s="2">
        <f>IFERROR(ROUND(Data!B71/(SUMPRODUCT(('Form responses 1'!$B$2:$B1000 = A79) * ('Form responses 1'!$A$2:$A1000 &lt;= DATE(2025, 9, 30)))
+ SUMPRODUCT(('Form responses 1'!$C$2:$C1000 = A79) * ('Form responses 1'!$A$2:$A1000 &lt;= DATE(2025, 9, 30)))
+ SUMPRODUCT(('Form responses 1'!$D$2:$D1000 = A79) * ('Form responses 1'!$A$2:$A1000 &lt;= DATE(2025, 9, 30)))
+ SUMPRODUCT(('Form responses 1'!$E$2:$E1000 = A79) * ('Form responses 1'!$A$2:$A1000 &lt;= DATE(2025, 9, 30)))
+ SUMPRODUCT(('Form responses 1'!$F$2:$F1000 = A79) * ('Form responses 1'!$A$2:$A1000 &lt;= DATE(2025, 9, 30)))
+ SUMPRODUCT(('Form responses 1'!$G$2:$G1000 = A79) * ('Form responses 1'!$A$2:$A1000 &lt;= DATE(2025, 9, 30)))), 2), "-")
</f>
        <v>1.23</v>
      </c>
      <c r="X79" s="2">
        <f>IFERROR(ROUND(Data!B71/(SUMPRODUCT(('Form responses 1'!$B$2:$B1000 = A79) * ('Form responses 1'!$A$2:$A1000 &lt;= DATE(2025, 10, 31)))
+ SUMPRODUCT(('Form responses 1'!$C$2:$C1000 = A79) * ('Form responses 1'!$A$2:$A1000 &lt;= DATE(2025, 10, 31)))
+ SUMPRODUCT(('Form responses 1'!$D$2:$D1000 = A79) * ('Form responses 1'!$A$2:$A1000 &lt;= DATE(2025, 10, 31)))
+ SUMPRODUCT(('Form responses 1'!$E$2:$E1000 = A79) * ('Form responses 1'!$A$2:$A1000 &lt;= DATE(2025, 10, 31)))
+ SUMPRODUCT(('Form responses 1'!$F$2:$F1000 = A79) * ('Form responses 1'!$A$2:$A1000 &lt;= DATE(2025, 10, 31)))
+ SUMPRODUCT(('Form responses 1'!$G$2:$G1000 = A79) * ('Form responses 1'!$A$2:$A1000 &lt;= DATE(2025, 10, 31)))), 2), "-")
</f>
        <v>1.23</v>
      </c>
      <c r="Y79" s="2">
        <f>IFERROR(ROUND(Data!B71/(SUMPRODUCT(('Form responses 1'!$B$2:$B1000 = A79) * ('Form responses 1'!$A$2:$A1000 &lt;= DATE(2025, 11, 30)))
+ SUMPRODUCT(('Form responses 1'!$C$2:$C1000 = A79) * ('Form responses 1'!$A$2:$A1000 &lt;= DATE(2025, 11, 30)))
+ SUMPRODUCT(('Form responses 1'!$D$2:$D1000 = A79) * ('Form responses 1'!$A$2:$A1000 &lt;= DATE(2025, 11, 30)))
+ SUMPRODUCT(('Form responses 1'!$E$2:$E1000 = A79) * ('Form responses 1'!$A$2:$A1000 &lt;= DATE(2025, 11, 30)))
+ SUMPRODUCT(('Form responses 1'!$F$2:$F1000 = A79) * ('Form responses 1'!$A$2:$A1000 &lt;= DATE(2025, 11, 30)))
+ SUMPRODUCT(('Form responses 1'!$G$2:$G1000 = A79) * ('Form responses 1'!$A$2:$A1000 &lt;= DATE(2025, 11, 30)))), 2), "-")
</f>
        <v>1.23</v>
      </c>
      <c r="Z79" s="2">
        <f>IFERROR(ROUND(Data!B71/(SUMPRODUCT(('Form responses 1'!$B$2:$B1000 = A79) * ('Form responses 1'!$A$2:$A1000 &lt;= DATE(2025, 12, 31)))
+ SUMPRODUCT(('Form responses 1'!$C$2:$C1000 = A79) * ('Form responses 1'!$A$2:$A1000 &lt;= DATE(2025, 12, 31)))
+ SUMPRODUCT(('Form responses 1'!$D$2:$D1000 = A79) * ('Form responses 1'!$A$2:$A1000 &lt;= DATE(2025, 12, 31)))
+ SUMPRODUCT(('Form responses 1'!$E$2:$E1000 = A79) * ('Form responses 1'!$A$2:$A1000 &lt;= DATE(2025, 12, 31)))
+ SUMPRODUCT(('Form responses 1'!$F$2:$F1000 = A79) * ('Form responses 1'!$A$2:$A1000 &lt;= DATE(2025, 12, 31)))
+ SUMPRODUCT(('Form responses 1'!$G$2:$G1000 = A79) * ('Form responses 1'!$A$2:$A1000 &lt;= DATE(2025, 12, 31)))), 2), "-")
</f>
        <v>1.23</v>
      </c>
      <c r="AA79" s="2">
        <f>IFERROR(ROUND(Data!$B79/(
  SUMPRODUCT(('Form responses 1'!$B$2:$B1000=$A79)*('Form responses 1'!$A$2:$A1000&lt;=EOMONTH(DATEVALUE("1 "&amp;AA$1),0)))+
  SUMPRODUCT(('Form responses 1'!$C$2:$C1000=$A79)*('Form responses 1'!$A$2:$A1000&lt;=EOMONTH(DATEVALUE("1 "&amp;AA$1),0)))+
  SUMPRODUCT(('Form responses 1'!$D$2:$D1000=$A79)*('Form responses 1'!$A$2:$A1000&lt;=EOMONTH(DATEVALUE("1 "&amp;AA$1),0)))+
  SUMPRODUCT(('Form responses 1'!$E$2:$E1000=$A79)*('Form responses 1'!$A$2:$A1000&lt;=EOMONTH(DATEVALUE("1 "&amp;AA$1),0)))+
  SUMPRODUCT(('Form responses 1'!$F$2:$F1000=$A79)*('Form responses 1'!$A$2:$A1000&lt;=EOMONTH(DATEVALUE("1 "&amp;AA$1),0)))+
  SUMPRODUCT(('Form responses 1'!$G$2:$G1000=$A79)*('Form responses 1'!$A$2:$A1000&lt;=EOMONTH(DATEVALUE("1 "&amp;AA$1),0)))
),2),"-")</f>
        <v>0.11</v>
      </c>
      <c r="AB79" s="2">
        <f>IFERROR(ROUND(Data!$B79/(
  SUMPRODUCT(('Form responses 1'!$B$2:$B1000=$A79)*('Form responses 1'!$A$2:$A1000&lt;=EOMONTH(DATEVALUE("1 "&amp;AB$1),0)))+
  SUMPRODUCT(('Form responses 1'!$C$2:$C1000=$A79)*('Form responses 1'!$A$2:$A1000&lt;=EOMONTH(DATEVALUE("1 "&amp;AB$1),0)))+
  SUMPRODUCT(('Form responses 1'!$D$2:$D1000=$A79)*('Form responses 1'!$A$2:$A1000&lt;=EOMONTH(DATEVALUE("1 "&amp;AB$1),0)))+
  SUMPRODUCT(('Form responses 1'!$E$2:$E1000=$A79)*('Form responses 1'!$A$2:$A1000&lt;=EOMONTH(DATEVALUE("1 "&amp;AB$1),0)))+
  SUMPRODUCT(('Form responses 1'!$F$2:$F1000=$A79)*('Form responses 1'!$A$2:$A1000&lt;=EOMONTH(DATEVALUE("1 "&amp;AB$1),0)))+
  SUMPRODUCT(('Form responses 1'!$G$2:$G1000=$A79)*('Form responses 1'!$A$2:$A1000&lt;=EOMONTH(DATEVALUE("1 "&amp;AB$1),0)))
),2),"-")</f>
        <v>0.11</v>
      </c>
      <c r="AC79" s="2">
        <f>IFERROR(ROUND(Data!$B79/(
  SUMPRODUCT(('Form responses 1'!$B$2:$B1000=$A79)*('Form responses 1'!$A$2:$A1000&lt;=EOMONTH(DATEVALUE("1 "&amp;AC$1),0)))+
  SUMPRODUCT(('Form responses 1'!$C$2:$C1000=$A79)*('Form responses 1'!$A$2:$A1000&lt;=EOMONTH(DATEVALUE("1 "&amp;AC$1),0)))+
  SUMPRODUCT(('Form responses 1'!$D$2:$D1000=$A79)*('Form responses 1'!$A$2:$A1000&lt;=EOMONTH(DATEVALUE("1 "&amp;AC$1),0)))+
  SUMPRODUCT(('Form responses 1'!$E$2:$E1000=$A79)*('Form responses 1'!$A$2:$A1000&lt;=EOMONTH(DATEVALUE("1 "&amp;AC$1),0)))+
  SUMPRODUCT(('Form responses 1'!$F$2:$F1000=$A79)*('Form responses 1'!$A$2:$A1000&lt;=EOMONTH(DATEVALUE("1 "&amp;AC$1),0)))+
  SUMPRODUCT(('Form responses 1'!$G$2:$G1000=$A79)*('Form responses 1'!$A$2:$A1000&lt;=EOMONTH(DATEVALUE("1 "&amp;AC$1),0)))
),2),"-")</f>
        <v>0.11</v>
      </c>
      <c r="AD79" s="2" t="str">
        <f>IFERROR(ROUND(Data!$B79/(
  SUMPRODUCT(('Form responses 1'!$B$2:$B1000=$A79)*('Form responses 1'!$A$2:$A1000&lt;=EOMONTH(DATEVALUE("1 "&amp;AD$1),0)))+
  SUMPRODUCT(('Form responses 1'!$C$2:$C1000=$A79)*('Form responses 1'!$A$2:$A1000&lt;=EOMONTH(DATEVALUE("1 "&amp;AD$1),0)))+
  SUMPRODUCT(('Form responses 1'!$D$2:$D1000=$A79)*('Form responses 1'!$A$2:$A1000&lt;=EOMONTH(DATEVALUE("1 "&amp;AD$1),0)))+
  SUMPRODUCT(('Form responses 1'!$E$2:$E1000=$A79)*('Form responses 1'!$A$2:$A1000&lt;=EOMONTH(DATEVALUE("1 "&amp;AD$1),0)))+
  SUMPRODUCT(('Form responses 1'!$F$2:$F1000=$A79)*('Form responses 1'!$A$2:$A1000&lt;=EOMONTH(DATEVALUE("1 "&amp;AD$1),0)))+
  SUMPRODUCT(('Form responses 1'!$G$2:$G1000=$A79)*('Form responses 1'!$A$2:$A1000&lt;=EOMONTH(DATEVALUE("1 "&amp;AD$1),0)))
),2),"-")</f>
        <v>-</v>
      </c>
      <c r="AE79" s="2" t="str">
        <f>IFERROR(ROUND(Data!$B79/(
  SUMPRODUCT(('Form responses 1'!$B$2:$B1000=$A79)*('Form responses 1'!$A$2:$A1000&lt;=EOMONTH(DATEVALUE("1 "&amp;AE$1),0)))+
  SUMPRODUCT(('Form responses 1'!$C$2:$C1000=$A79)*('Form responses 1'!$A$2:$A1000&lt;=EOMONTH(DATEVALUE("1 "&amp;AE$1),0)))+
  SUMPRODUCT(('Form responses 1'!$D$2:$D1000=$A79)*('Form responses 1'!$A$2:$A1000&lt;=EOMONTH(DATEVALUE("1 "&amp;AE$1),0)))+
  SUMPRODUCT(('Form responses 1'!$E$2:$E1000=$A79)*('Form responses 1'!$A$2:$A1000&lt;=EOMONTH(DATEVALUE("1 "&amp;AE$1),0)))+
  SUMPRODUCT(('Form responses 1'!$F$2:$F1000=$A79)*('Form responses 1'!$A$2:$A1000&lt;=EOMONTH(DATEVALUE("1 "&amp;AE$1),0)))+
  SUMPRODUCT(('Form responses 1'!$G$2:$G1000=$A79)*('Form responses 1'!$A$2:$A1000&lt;=EOMONTH(DATEVALUE("1 "&amp;AE$1),0)))
),2),"-")</f>
        <v>-</v>
      </c>
      <c r="AF79" s="2" t="str">
        <f>IFERROR(ROUND(Data!$B79/(
  SUMPRODUCT(('Form responses 1'!$B$2:$B1000=$A79)*('Form responses 1'!$A$2:$A1000&lt;=EOMONTH(DATEVALUE("1 "&amp;AF$1),0)))+
  SUMPRODUCT(('Form responses 1'!$C$2:$C1000=$A79)*('Form responses 1'!$A$2:$A1000&lt;=EOMONTH(DATEVALUE("1 "&amp;AF$1),0)))+
  SUMPRODUCT(('Form responses 1'!$D$2:$D1000=$A79)*('Form responses 1'!$A$2:$A1000&lt;=EOMONTH(DATEVALUE("1 "&amp;AF$1),0)))+
  SUMPRODUCT(('Form responses 1'!$E$2:$E1000=$A79)*('Form responses 1'!$A$2:$A1000&lt;=EOMONTH(DATEVALUE("1 "&amp;AF$1),0)))+
  SUMPRODUCT(('Form responses 1'!$F$2:$F1000=$A79)*('Form responses 1'!$A$2:$A1000&lt;=EOMONTH(DATEVALUE("1 "&amp;AF$1),0)))+
  SUMPRODUCT(('Form responses 1'!$G$2:$G1000=$A79)*('Form responses 1'!$A$2:$A1000&lt;=EOMONTH(DATEVALUE("1 "&amp;AF$1),0)))
),2),"-")</f>
        <v>-</v>
      </c>
      <c r="AG79" s="2" t="str">
        <f>IFERROR(ROUND(Data!$B79/(
  SUMPRODUCT(('Form responses 1'!$B$2:$B1000=$A79)*('Form responses 1'!$A$2:$A1000&lt;=EOMONTH(DATEVALUE("1 "&amp;AG$1),0)))+
  SUMPRODUCT(('Form responses 1'!$C$2:$C1000=$A79)*('Form responses 1'!$A$2:$A1000&lt;=EOMONTH(DATEVALUE("1 "&amp;AG$1),0)))+
  SUMPRODUCT(('Form responses 1'!$D$2:$D1000=$A79)*('Form responses 1'!$A$2:$A1000&lt;=EOMONTH(DATEVALUE("1 "&amp;AG$1),0)))+
  SUMPRODUCT(('Form responses 1'!$E$2:$E1000=$A79)*('Form responses 1'!$A$2:$A1000&lt;=EOMONTH(DATEVALUE("1 "&amp;AG$1),0)))+
  SUMPRODUCT(('Form responses 1'!$F$2:$F1000=$A79)*('Form responses 1'!$A$2:$A1000&lt;=EOMONTH(DATEVALUE("1 "&amp;AG$1),0)))+
  SUMPRODUCT(('Form responses 1'!$G$2:$G1000=$A79)*('Form responses 1'!$A$2:$A1000&lt;=EOMONTH(DATEVALUE("1 "&amp;AG$1),0)))
),2),"-")</f>
        <v>-</v>
      </c>
      <c r="AH79" s="2" t="str">
        <f>IFERROR(ROUND(Data!$B79/(
  SUMPRODUCT(('Form responses 1'!$B$2:$B1000=$A79)*('Form responses 1'!$A$2:$A1000&lt;=EOMONTH(DATEVALUE("1 "&amp;AH$1),0)))+
  SUMPRODUCT(('Form responses 1'!$C$2:$C1000=$A79)*('Form responses 1'!$A$2:$A1000&lt;=EOMONTH(DATEVALUE("1 "&amp;AH$1),0)))+
  SUMPRODUCT(('Form responses 1'!$D$2:$D1000=$A79)*('Form responses 1'!$A$2:$A1000&lt;=EOMONTH(DATEVALUE("1 "&amp;AH$1),0)))+
  SUMPRODUCT(('Form responses 1'!$E$2:$E1000=$A79)*('Form responses 1'!$A$2:$A1000&lt;=EOMONTH(DATEVALUE("1 "&amp;AH$1),0)))+
  SUMPRODUCT(('Form responses 1'!$F$2:$F1000=$A79)*('Form responses 1'!$A$2:$A1000&lt;=EOMONTH(DATEVALUE("1 "&amp;AH$1),0)))+
  SUMPRODUCT(('Form responses 1'!$G$2:$G1000=$A79)*('Form responses 1'!$A$2:$A1000&lt;=EOMONTH(DATEVALUE("1 "&amp;AH$1),0)))
),2),"-")</f>
        <v>-</v>
      </c>
      <c r="AI79" s="2" t="str">
        <f>IFERROR(ROUND(Data!$B79/(
  SUMPRODUCT(('Form responses 1'!$B$2:$B1000=$A79)*('Form responses 1'!$A$2:$A1000&lt;=EOMONTH(DATEVALUE("1 "&amp;AI$1),0)))+
  SUMPRODUCT(('Form responses 1'!$C$2:$C1000=$A79)*('Form responses 1'!$A$2:$A1000&lt;=EOMONTH(DATEVALUE("1 "&amp;AI$1),0)))+
  SUMPRODUCT(('Form responses 1'!$D$2:$D1000=$A79)*('Form responses 1'!$A$2:$A1000&lt;=EOMONTH(DATEVALUE("1 "&amp;AI$1),0)))+
  SUMPRODUCT(('Form responses 1'!$E$2:$E1000=$A79)*('Form responses 1'!$A$2:$A1000&lt;=EOMONTH(DATEVALUE("1 "&amp;AI$1),0)))+
  SUMPRODUCT(('Form responses 1'!$F$2:$F1000=$A79)*('Form responses 1'!$A$2:$A1000&lt;=EOMONTH(DATEVALUE("1 "&amp;AI$1),0)))+
  SUMPRODUCT(('Form responses 1'!$G$2:$G1000=$A79)*('Form responses 1'!$A$2:$A1000&lt;=EOMONTH(DATEVALUE("1 "&amp;AI$1),0)))
),2),"-")</f>
        <v>-</v>
      </c>
      <c r="AJ79" s="2" t="str">
        <f>IFERROR(ROUND(Data!$B79/(
  SUMPRODUCT(('Form responses 1'!$B$2:$B1000=$A79)*('Form responses 1'!$A$2:$A1000&lt;=EOMONTH(DATEVALUE("1 "&amp;AJ$1),0)))+
  SUMPRODUCT(('Form responses 1'!$C$2:$C1000=$A79)*('Form responses 1'!$A$2:$A1000&lt;=EOMONTH(DATEVALUE("1 "&amp;AJ$1),0)))+
  SUMPRODUCT(('Form responses 1'!$D$2:$D1000=$A79)*('Form responses 1'!$A$2:$A1000&lt;=EOMONTH(DATEVALUE("1 "&amp;AJ$1),0)))+
  SUMPRODUCT(('Form responses 1'!$E$2:$E1000=$A79)*('Form responses 1'!$A$2:$A1000&lt;=EOMONTH(DATEVALUE("1 "&amp;AJ$1),0)))+
  SUMPRODUCT(('Form responses 1'!$F$2:$F1000=$A79)*('Form responses 1'!$A$2:$A1000&lt;=EOMONTH(DATEVALUE("1 "&amp;AJ$1),0)))+
  SUMPRODUCT(('Form responses 1'!$G$2:$G1000=$A79)*('Form responses 1'!$A$2:$A1000&lt;=EOMONTH(DATEVALUE("1 "&amp;AJ$1),0)))
),2),"-")</f>
        <v>-</v>
      </c>
      <c r="AK79" s="2" t="str">
        <f>IFERROR(ROUND(Data!$B79/(
  SUMPRODUCT(('Form responses 1'!$B$2:$B1000=$A79)*('Form responses 1'!$A$2:$A1000&lt;=EOMONTH(DATEVALUE("1 "&amp;AK$1),0)))+
  SUMPRODUCT(('Form responses 1'!$C$2:$C1000=$A79)*('Form responses 1'!$A$2:$A1000&lt;=EOMONTH(DATEVALUE("1 "&amp;AK$1),0)))+
  SUMPRODUCT(('Form responses 1'!$D$2:$D1000=$A79)*('Form responses 1'!$A$2:$A1000&lt;=EOMONTH(DATEVALUE("1 "&amp;AK$1),0)))+
  SUMPRODUCT(('Form responses 1'!$E$2:$E1000=$A79)*('Form responses 1'!$A$2:$A1000&lt;=EOMONTH(DATEVALUE("1 "&amp;AK$1),0)))+
  SUMPRODUCT(('Form responses 1'!$F$2:$F1000=$A79)*('Form responses 1'!$A$2:$A1000&lt;=EOMONTH(DATEVALUE("1 "&amp;AK$1),0)))+
  SUMPRODUCT(('Form responses 1'!$G$2:$G1000=$A79)*('Form responses 1'!$A$2:$A1000&lt;=EOMONTH(DATEVALUE("1 "&amp;AK$1),0)))
),2),"-")</f>
        <v>-</v>
      </c>
      <c r="AL79" s="2" t="str">
        <f>IFERROR(ROUND(Data!$B79/(
  SUMPRODUCT(('Form responses 1'!$B$2:$B1000=$A79)*('Form responses 1'!$A$2:$A1000&lt;=EOMONTH(DATEVALUE("1 "&amp;AL$1),0)))+
  SUMPRODUCT(('Form responses 1'!$C$2:$C1000=$A79)*('Form responses 1'!$A$2:$A1000&lt;=EOMONTH(DATEVALUE("1 "&amp;AL$1),0)))+
  SUMPRODUCT(('Form responses 1'!$D$2:$D1000=$A79)*('Form responses 1'!$A$2:$A1000&lt;=EOMONTH(DATEVALUE("1 "&amp;AL$1),0)))+
  SUMPRODUCT(('Form responses 1'!$E$2:$E1000=$A79)*('Form responses 1'!$A$2:$A1000&lt;=EOMONTH(DATEVALUE("1 "&amp;AL$1),0)))+
  SUMPRODUCT(('Form responses 1'!$F$2:$F1000=$A79)*('Form responses 1'!$A$2:$A1000&lt;=EOMONTH(DATEVALUE("1 "&amp;AL$1),0)))+
  SUMPRODUCT(('Form responses 1'!$G$2:$G1000=$A79)*('Form responses 1'!$A$2:$A1000&lt;=EOMONTH(DATEVALUE("1 "&amp;AL$1),0)))
),2),"-")</f>
        <v>-</v>
      </c>
    </row>
    <row r="80">
      <c r="A80" s="3" t="str">
        <f>IFERROR(__xludf.DUMMYFUNCTION("""COMPUTED_VALUE"""),"Witte fila schoenen")</f>
        <v>Witte fila schoenen</v>
      </c>
      <c r="B80" s="2">
        <f>Data!F72:F1000</f>
        <v>3.64</v>
      </c>
      <c r="C80" s="2">
        <f>IFERROR(ROUND(Data!B72/(SUMPRODUCT(('Form responses 1'!$B$2:$B1000 = A80) * ('Form responses 1'!$A$2:$A1000 &lt;= DATE(2024, 1, 31)))
+ SUMPRODUCT(('Form responses 1'!$C$2:$C1000 = A80) * ('Form responses 1'!$A$2:$A1000 &lt;= DATE(2024, 1, 31)))
+ SUMPRODUCT(('Form responses 1'!$D$2:$D1000 = A80) * ('Form responses 1'!$A$2:$A1000 &lt;= DATE(2024, 1, 31)))
+ SUMPRODUCT(('Form responses 1'!$E$2:$E1000 = A80) * ('Form responses 1'!$A$2:$A1000 &lt;= DATE(2024, 1, 31)))
+ SUMPRODUCT(('Form responses 1'!$F$2:$F1000 = A80) * ('Form responses 1'!$A$2:$A1000 &lt;= DATE(2024, 1, 31)))
+ SUMPRODUCT(('Form responses 1'!$G$2:$G1000 = A80) * ('Form responses 1'!$A$2:$A1000 &lt;= DATE(2024, 1, 31)))), 2), "-")
</f>
        <v>4.55</v>
      </c>
      <c r="D80" s="2">
        <f>IFERROR(ROUND(Data!B72/(SUMPRODUCT(('Form responses 1'!$B$2:$B1000 = A80) * ('Form responses 1'!$A$2:$A1000 &lt;= DATE(2024, 2, 29)))
+ SUMPRODUCT(('Form responses 1'!$C$2:$C1000 = A80) * ('Form responses 1'!$A$2:$A1000 &lt;= DATE(2024, 2, 29)))
+ SUMPRODUCT(('Form responses 1'!$D$2:$D1000 = A80) * ('Form responses 1'!$A$2:$A1000 &lt;= DATE(2024, 2, 29)))
+ SUMPRODUCT(('Form responses 1'!$E$2:$E1000 = A80) * ('Form responses 1'!$A$2:$A1000 &lt;= DATE(2024, 2, 29)))
+ SUMPRODUCT(('Form responses 1'!$F$2:$F1000 = A80) * ('Form responses 1'!$A$2:$A1000 &lt;= DATE(2024, 2, 29)))
+ SUMPRODUCT(('Form responses 1'!$G$2:$G1000 = A80) * ('Form responses 1'!$A$2:$A1000 &lt;= DATE(2024, 2, 29)))), 2), "-")
</f>
        <v>4.55</v>
      </c>
      <c r="E80" s="2">
        <f>IFERROR(ROUND(Data!B72/(SUMPRODUCT(('Form responses 1'!$B$2:$B1000 = A80) * ('Form responses 1'!$A$2:$A1000 &lt;= DATE(2024, 3, 31)))
+ SUMPRODUCT(('Form responses 1'!$C$2:$C1000 = A80) * ('Form responses 1'!$A$2:$A1000 &lt;= DATE(2024, 3, 31)))
+ SUMPRODUCT(('Form responses 1'!$D$2:$D1000 = A80) * ('Form responses 1'!$A$2:$A1000 &lt;= DATE(2024, 3, 31)))
+ SUMPRODUCT(('Form responses 1'!$E$2:$E1000 = A80) * ('Form responses 1'!$A$2:$A1000 &lt;= DATE(2024, 3, 31)))
+ SUMPRODUCT(('Form responses 1'!$F$2:$F1000 = A80) * ('Form responses 1'!$A$2:$A1000 &lt;= DATE(2024, 3, 31)))
+ SUMPRODUCT(('Form responses 1'!$G$2:$G1000 = A80) * ('Form responses 1'!$A$2:$A1000 &lt;= DATE(2024, 3, 31)))), 2), "-")
</f>
        <v>4.55</v>
      </c>
      <c r="F80" s="2">
        <f>IFERROR(ROUND(Data!B72/(SUMPRODUCT(('Form responses 1'!$B$2:$B1000 = A80) * ('Form responses 1'!$A$2:$A1000 &lt;= DATE(2024, 4, 30)))
+ SUMPRODUCT(('Form responses 1'!$C$2:$C1000 = A80) * ('Form responses 1'!$A$2:$A1000 &lt;= DATE(2024, 4, 30)))
+ SUMPRODUCT(('Form responses 1'!$D$2:$D1000 = A80) * ('Form responses 1'!$A$2:$A1000 &lt;= DATE(2024, 4, 30)))
+ SUMPRODUCT(('Form responses 1'!$E$2:$E1000 = A80) * ('Form responses 1'!$A$2:$A1000 &lt;= DATE(2024, 4, 30)))
+ SUMPRODUCT(('Form responses 1'!$F$2:$F1000 = A80) * ('Form responses 1'!$A$2:$A1000 &lt;= DATE(2024, 4, 30)))
+ SUMPRODUCT(('Form responses 1'!$G$2:$G1000 = A80) * ('Form responses 1'!$A$2:$A1000 &lt;= DATE(2024, 4, 30)))), 2), "-")
</f>
        <v>4.55</v>
      </c>
      <c r="G80" s="2">
        <f>IFERROR(ROUND(Data!B72/(SUMPRODUCT(('Form responses 1'!$B$2:$B1000 = A80) * ('Form responses 1'!$A$2:$A1000 &lt;= DATE(2024, 5, 31)))
+ SUMPRODUCT(('Form responses 1'!$C$2:$C1000 = A80) * ('Form responses 1'!$A$2:$A1000 &lt;= DATE(2024, 5, 31)))
+ SUMPRODUCT(('Form responses 1'!$D$2:$D1000 = A80) * ('Form responses 1'!$A$2:$A1000 &lt;= DATE(2024, 5, 31)))
+ SUMPRODUCT(('Form responses 1'!$E$2:$E1000 = A80) * ('Form responses 1'!$A$2:$A1000 &lt;= DATE(2024, 5, 31)))
+ SUMPRODUCT(('Form responses 1'!$F$2:$F1000 = A80) * ('Form responses 1'!$A$2:$A1000 &lt;= DATE(2024, 5, 31)))
+ SUMPRODUCT(('Form responses 1'!$G$2:$G1000 = A80) * ('Form responses 1'!$A$2:$A1000 &lt;= DATE(2024, 5, 31)))), 2), "-")
</f>
        <v>4.55</v>
      </c>
      <c r="H80" s="2">
        <f>IFERROR(ROUND(Data!B72/(SUMPRODUCT(('Form responses 1'!$B$2:$B1000 = A80) * ('Form responses 1'!$A$2:$A1000 &lt;= DATE(2024, 6, 30)))
+ SUMPRODUCT(('Form responses 1'!$C$2:$C1000 = A80) * ('Form responses 1'!$A$2:$A1000 &lt;= DATE(2024, 6, 30)))
+ SUMPRODUCT(('Form responses 1'!$D$2:$D1000 = A80) * ('Form responses 1'!$A$2:$A1000 &lt;= DATE(2024, 6, 30)))
+ SUMPRODUCT(('Form responses 1'!$E$2:$E1000 = A80) * ('Form responses 1'!$A$2:$A1000 &lt;= DATE(2024, 6, 30)))
+ SUMPRODUCT(('Form responses 1'!$F$2:$F1000 = A80) * ('Form responses 1'!$A$2:$A1000 &lt;= DATE(2024, 6, 30)))
+ SUMPRODUCT(('Form responses 1'!$G$2:$G1000 = A80) * ('Form responses 1'!$A$2:$A1000 &lt;= DATE(2024, 6, 30)))), 2), "-")
</f>
        <v>4.55</v>
      </c>
      <c r="I80" s="2">
        <f>IFERROR(ROUND(Data!B72/(SUMPRODUCT(('Form responses 1'!$B$2:$B1000 = A80) * ('Form responses 1'!$A$2:$A1000 &lt;= DATE(2024, 7, 31)))
+ SUMPRODUCT(('Form responses 1'!$C$2:$C1000 = A80) * ('Form responses 1'!$A$2:$A1000 &lt;= DATE(2024, 7, 31)))
+ SUMPRODUCT(('Form responses 1'!$D$2:$D1000 = A80) * ('Form responses 1'!$A$2:$A1000 &lt;= DATE(2024, 7, 31)))
+ SUMPRODUCT(('Form responses 1'!$E$2:$E1000 = A80) * ('Form responses 1'!$A$2:$A1000 &lt;= DATE(2024, 7, 31)))
+ SUMPRODUCT(('Form responses 1'!$F$2:$F1000 = A80) * ('Form responses 1'!$A$2:$A1000 &lt;= DATE(2024, 7, 31)))
+ SUMPRODUCT(('Form responses 1'!$G$2:$G1000 = A80) * ('Form responses 1'!$A$2:$A1000 &lt;= DATE(2024, 7, 31)))), 2), "-")
</f>
        <v>4.55</v>
      </c>
      <c r="J80" s="2">
        <f>IFERROR(ROUND(Data!B72/(SUMPRODUCT(('Form responses 1'!$B$2:$B1000 = A80) * ('Form responses 1'!$A$2:$A1000 &lt;= DATE(2024, 8, 31)))
+ SUMPRODUCT(('Form responses 1'!$C$2:$C1000 = A80) * ('Form responses 1'!$A$2:$A1000 &lt;= DATE(2024, 8, 31)))
+ SUMPRODUCT(('Form responses 1'!$D$2:$D1000 = A80) * ('Form responses 1'!$A$2:$A1000 &lt;= DATE(2024, 8, 31)))
+ SUMPRODUCT(('Form responses 1'!$E$2:$E1000 = A80) * ('Form responses 1'!$A$2:$A1000 &lt;= DATE(2024, 8, 31)))
+ SUMPRODUCT(('Form responses 1'!$F$2:$F1000 = A80) * ('Form responses 1'!$A$2:$A1000 &lt;= DATE(2024, 8, 31)))
+ SUMPRODUCT(('Form responses 1'!$G$2:$G1000 = A80) * ('Form responses 1'!$A$2:$A1000 &lt;= DATE(2024, 8, 31)))), 2), "-")
</f>
        <v>4.55</v>
      </c>
      <c r="K80" s="2">
        <f>IFERROR(ROUND(Data!B72/(SUMPRODUCT(('Form responses 1'!$B$2:$B1000 = A80) * ('Form responses 1'!$A$2:$A1000 &lt;= DATE(2024, 9, 30)))
+ SUMPRODUCT(('Form responses 1'!$C$2:$C1000 = A80) * ('Form responses 1'!$A$2:$A1000 &lt;= DATE(2024, 9, 30)))
+ SUMPRODUCT(('Form responses 1'!$D$2:$D1000 = A80) * ('Form responses 1'!$A$2:$A1000 &lt;= DATE(2024, 9, 30)))
+ SUMPRODUCT(('Form responses 1'!$E$2:$E1000 = A80) * ('Form responses 1'!$A$2:$A1000 &lt;= DATE(2024, 9, 30)))
+ SUMPRODUCT(('Form responses 1'!$F$2:$F1000 = A80) * ('Form responses 1'!$A$2:$A1000 &lt;= DATE(2024, 9, 30)))
+ SUMPRODUCT(('Form responses 1'!$G$2:$G1000 = A80) * ('Form responses 1'!$A$2:$A1000 &lt;= DATE(2024, 9, 30)))), 2), "-")
</f>
        <v>4.55</v>
      </c>
      <c r="L80" s="2">
        <f>IFERROR(ROUND(Data!B72/(SUMPRODUCT(('Form responses 1'!$B$2:$B1000 = A80) * ('Form responses 1'!$A$2:$A1000 &lt;= DATE(2024, 10, 31)))
+ SUMPRODUCT(('Form responses 1'!$C$2:$C1000 = A80) * ('Form responses 1'!$A$2:$A1000 &lt;= DATE(2024, 10, 31)))
+ SUMPRODUCT(('Form responses 1'!$D$2:$D1000 = A80) * ('Form responses 1'!$A$2:$A1000 &lt;= DATE(2024, 10, 31)))
+ SUMPRODUCT(('Form responses 1'!$E$2:$E1000 = A80) * ('Form responses 1'!$A$2:$A1000 &lt;= DATE(2024, 10, 31)))
+ SUMPRODUCT(('Form responses 1'!$F$2:$F1000 = A80) * ('Form responses 1'!$A$2:$A1000 &lt;= DATE(2024, 10, 31)))
+ SUMPRODUCT(('Form responses 1'!$G$2:$G1000 = A80) * ('Form responses 1'!$A$2:$A1000 &lt;= DATE(2024, 10, 31)))), 2), "-")
</f>
        <v>4.55</v>
      </c>
      <c r="M80" s="2">
        <f>IFERROR(ROUND(Data!B72/(SUMPRODUCT(('Form responses 1'!$B$2:$B1000 = A80) * ('Form responses 1'!$A$2:$A1000 &lt;= DATE(2024, 11, 30)))
+ SUMPRODUCT(('Form responses 1'!$C$2:$C1000 = A80) * ('Form responses 1'!$A$2:$A1000 &lt;= DATE(2024, 11, 30)))
+ SUMPRODUCT(('Form responses 1'!$D$2:$D1000 = A80) * ('Form responses 1'!$A$2:$A1000 &lt;= DATE(2024, 11, 30)))
+ SUMPRODUCT(('Form responses 1'!$E$2:$E1000 = A80) * ('Form responses 1'!$A$2:$A1000 &lt;= DATE(2024, 11, 30)))
+ SUMPRODUCT(('Form responses 1'!$F$2:$F1000 = A80) * ('Form responses 1'!$A$2:$A1000 &lt;= DATE(2024, 11, 30)))
+ SUMPRODUCT(('Form responses 1'!$G$2:$G1000 = A80) * ('Form responses 1'!$A$2:$A1000 &lt;= DATE(2024, 11, 30)))), 2), "-")
</f>
        <v>4.55</v>
      </c>
      <c r="N80" s="2">
        <f>IFERROR(ROUND(Data!B72/(SUMPRODUCT(('Form responses 1'!$B$2:$B1000 = A80) * ('Form responses 1'!$A$2:$A1000 &lt;= DATE(2024, 12, 31)))
+ SUMPRODUCT(('Form responses 1'!$C$2:$C1000 = A80) * ('Form responses 1'!$A$2:$A1000 &lt;= DATE(2024, 12, 31)))
+ SUMPRODUCT(('Form responses 1'!$D$2:$D1000 = A80) * ('Form responses 1'!$A$2:$A1000 &lt;= DATE(2024, 12, 31)))
+ SUMPRODUCT(('Form responses 1'!$E$2:$E1000 = A80) * ('Form responses 1'!$A$2:$A1000 &lt;= DATE(2024, 12, 31)))
+ SUMPRODUCT(('Form responses 1'!$F$2:$F1000 = A80) * ('Form responses 1'!$A$2:$A1000 &lt;= DATE(2024, 12, 31)))
+ SUMPRODUCT(('Form responses 1'!$G$2:$G1000 = A80) * ('Form responses 1'!$A$2:$A1000 &lt;= DATE(2024, 12, 31)))), 2), "-")
</f>
        <v>4.55</v>
      </c>
      <c r="O80" s="2">
        <f>IFERROR(ROUND(Data!B72/(SUMPRODUCT(('Form responses 1'!$B$2:$B1000 = A80) * ('Form responses 1'!$A$2:$A1000 &lt;= DATE(2025, 1, 31)))
+ SUMPRODUCT(('Form responses 1'!$C$2:$C1000 = A80) * ('Form responses 1'!$A$2:$A1000 &lt;= DATE(2025, 1, 31)))
+ SUMPRODUCT(('Form responses 1'!$D$2:$D1000 = A80) * ('Form responses 1'!$A$2:$A1000 &lt;= DATE(2025, 1, 31)))
+ SUMPRODUCT(('Form responses 1'!$E$2:$E1000 = A80) * ('Form responses 1'!$A$2:$A1000 &lt;= DATE(2025, 1, 31)))
+ SUMPRODUCT(('Form responses 1'!$F$2:$F1000 = A80) * ('Form responses 1'!$A$2:$A1000 &lt;= DATE(2025, 1, 31)))
+ SUMPRODUCT(('Form responses 1'!$G$2:$G1000 = A80) * ('Form responses 1'!$A$2:$A1000 &lt;= DATE(2025, 1, 31)))), 2), "-")
</f>
        <v>4.55</v>
      </c>
      <c r="P80" s="2">
        <f>IFERROR(ROUND(Data!B72/(SUMPRODUCT(('Form responses 1'!$B$2:$B1000 = A80) * ('Form responses 1'!$A$2:$A1000 &lt;= DATE(2025, 2, 28)))
+ SUMPRODUCT(('Form responses 1'!$C$2:$C1000 = A80) * ('Form responses 1'!$A$2:$A1000 &lt;= DATE(2025, 2, 28)))
+ SUMPRODUCT(('Form responses 1'!$D$2:$D1000 = A80) * ('Form responses 1'!$A$2:$A1000 &lt;= DATE(2025, 2, 28)))
+ SUMPRODUCT(('Form responses 1'!$E$2:$E1000 = A80) * ('Form responses 1'!$A$2:$A1000 &lt;= DATE(2025, 2, 28)))
+ SUMPRODUCT(('Form responses 1'!$F$2:$F1000 = A80) * ('Form responses 1'!$A$2:$A1000 &lt;= DATE(2025, 2, 28)))
+ SUMPRODUCT(('Form responses 1'!$G$2:$G1000 = A80) * ('Form responses 1'!$A$2:$A1000 &lt;= DATE(2025, 2, 28)))), 2), "-")
</f>
        <v>4.55</v>
      </c>
      <c r="Q80" s="2">
        <f>IFERROR(ROUND(Data!B72/(SUMPRODUCT(('Form responses 1'!$B$2:$B1000 = A80) * ('Form responses 1'!$A$2:$A1000 &lt;= DATE(2025, 3, 31)))
+ SUMPRODUCT(('Form responses 1'!$C$2:$C1000 = A80) * ('Form responses 1'!$A$2:$A1000 &lt;= DATE(2025, 3, 31)))
+ SUMPRODUCT(('Form responses 1'!$D$2:$D1000 = A80) * ('Form responses 1'!$A$2:$A1000 &lt;= DATE(2025, 3, 31)))
+ SUMPRODUCT(('Form responses 1'!$E$2:$E1000 = A80) * ('Form responses 1'!$A$2:$A1000 &lt;= DATE(2025, 3, 31)))
+ SUMPRODUCT(('Form responses 1'!$F$2:$F1000 = A80) * ('Form responses 1'!$A$2:$A1000 &lt;= DATE(2025, 3, 31)))
+ SUMPRODUCT(('Form responses 1'!$G$2:$G1000 = A80) * ('Form responses 1'!$A$2:$A1000 &lt;= DATE(2025, 3, 31)))),2),"-")</f>
        <v>4.55</v>
      </c>
      <c r="R80" s="2">
        <f>IFERROR(ROUND(Data!B72/(SUMPRODUCT(('Form responses 1'!$B$2:$B1000 = A80) * ('Form responses 1'!$A$2:$A1000 &lt;= DATE(2025, 4, 30)))
+ SUMPRODUCT(('Form responses 1'!$C$2:$C1000 = A80) * ('Form responses 1'!$A$2:$A1000 &lt;= DATE(2025, 4, 30)))
+ SUMPRODUCT(('Form responses 1'!$D$2:$D1000 = A80) * ('Form responses 1'!$A$2:$A1000 &lt;= DATE(2025, 4, 30)))
+ SUMPRODUCT(('Form responses 1'!$E$2:$E1000 = A80) * ('Form responses 1'!$A$2:$A1000 &lt;= DATE(2025, 4, 30)))
+ SUMPRODUCT(('Form responses 1'!$F$2:$F1000 = A80) * ('Form responses 1'!$A$2:$A1000 &lt;= DATE(2025, 4, 30)))
+ SUMPRODUCT(('Form responses 1'!$G$2:$G1000 = A80) * ('Form responses 1'!$A$2:$A1000 &lt;= DATE(2025, 4, 30)))), 2), "-")
</f>
        <v>4.55</v>
      </c>
      <c r="S80" s="2">
        <f>IFERROR(ROUND(Data!B72/(SUMPRODUCT(('Form responses 1'!$B$2:$B1000 = A80) * ('Form responses 1'!$A$2:$A1000 &lt;= DATE(2025, 5, 31)))
+ SUMPRODUCT(('Form responses 1'!$C$2:$C1000 = A80) * ('Form responses 1'!$A$2:$A1000 &lt;= DATE(2025, 5, 31)))
+ SUMPRODUCT(('Form responses 1'!$D$2:$D1000 = A80) * ('Form responses 1'!$A$2:$A1000 &lt;= DATE(2025, 5, 31)))
+ SUMPRODUCT(('Form responses 1'!$E$2:$E1000 = A80) * ('Form responses 1'!$A$2:$A1000 &lt;= DATE(2025, 5, 31)))
+ SUMPRODUCT(('Form responses 1'!$F$2:$F1000 = A80) * ('Form responses 1'!$A$2:$A1000 &lt;= DATE(2025, 5, 31)))
+ SUMPRODUCT(('Form responses 1'!$G$2:$G1000 = A80) * ('Form responses 1'!$A$2:$A1000 &lt;= DATE(2025, 5, 31)))), 2), "-")
</f>
        <v>4.55</v>
      </c>
      <c r="T80" s="2">
        <f>IFERROR(ROUND(Data!B72/(SUMPRODUCT(('Form responses 1'!$B$2:$B1000 = A80) * ('Form responses 1'!$A$2:$A1000 &lt;= DATE(2025, 6, 30)))
+ SUMPRODUCT(('Form responses 1'!$C$2:$C1000 = A80) * ('Form responses 1'!$A$2:$A1000 &lt;= DATE(2025, 6, 30)))
+ SUMPRODUCT(('Form responses 1'!$D$2:$D1000 = A80) * ('Form responses 1'!$A$2:$A1000 &lt;= DATE(2025, 6, 30)))
+ SUMPRODUCT(('Form responses 1'!$E$2:$E1000 = A80) * ('Form responses 1'!$A$2:$A1000 &lt;= DATE(2025, 6, 30)))
+ SUMPRODUCT(('Form responses 1'!$F$2:$F1000 = A80) * ('Form responses 1'!$A$2:$A1000 &lt;= DATE(2025, 6, 30)))
+ SUMPRODUCT(('Form responses 1'!$G$2:$G1000 = A80) * ('Form responses 1'!$A$2:$A1000 &lt;= DATE(2025, 6, 30)))), 2), "-")
</f>
        <v>4.55</v>
      </c>
      <c r="U80" s="2">
        <f>IFERROR(ROUND(Data!B72/(SUMPRODUCT(('Form responses 1'!$B$2:$B1000 = A80) * ('Form responses 1'!$A$2:$A1000 &lt;= DATE(2025, 7, 31)))
+ SUMPRODUCT(('Form responses 1'!$C$2:$C1000 = A80) * ('Form responses 1'!$A$2:$A1000 &lt;= DATE(2025, 7, 31)))
+ SUMPRODUCT(('Form responses 1'!$D$2:$D1000 = A80) * ('Form responses 1'!$A$2:$A1000 &lt;= DATE(2025, 7, 31)))
+ SUMPRODUCT(('Form responses 1'!$E$2:$E1000 = A80) * ('Form responses 1'!$A$2:$A1000 &lt;= DATE(2025, 7, 31)))
+ SUMPRODUCT(('Form responses 1'!$F$2:$F1000 = A80) * ('Form responses 1'!$A$2:$A1000 &lt;= DATE(2025, 7, 31)))
+ SUMPRODUCT(('Form responses 1'!$G$2:$G1000 = A80) * ('Form responses 1'!$A$2:$A1000 &lt;= DATE(2025, 7, 31)))), 2), "-")
</f>
        <v>4.55</v>
      </c>
      <c r="V80" s="2">
        <f>IFERROR(ROUND(Data!B72/(SUMPRODUCT(('Form responses 1'!$B$2:$B1000 = A80) * ('Form responses 1'!$A$2:$A1000 &lt;= DATE(2025, 8, 31)))
+ SUMPRODUCT(('Form responses 1'!$C$2:$C1000 = A80) * ('Form responses 1'!$A$2:$A1000 &lt;= DATE(2025, 8, 31)))
+ SUMPRODUCT(('Form responses 1'!$D$2:$D1000 = A80) * ('Form responses 1'!$A$2:$A1000 &lt;= DATE(2025, 8, 31)))
+ SUMPRODUCT(('Form responses 1'!$E$2:$E1000 = A80) * ('Form responses 1'!$A$2:$A1000 &lt;= DATE(2025, 8, 31)))
+ SUMPRODUCT(('Form responses 1'!$F$2:$F1000 = A80) * ('Form responses 1'!$A$2:$A1000 &lt;= DATE(2025, 8, 31)))
+ SUMPRODUCT(('Form responses 1'!$G$2:$G1000 = A80) * ('Form responses 1'!$A$2:$A1000 &lt;= DATE(2025, 8, 31)))), 2), "-")
</f>
        <v>4.55</v>
      </c>
      <c r="W80" s="2">
        <f>IFERROR(ROUND(Data!B72/(SUMPRODUCT(('Form responses 1'!$B$2:$B1000 = A80) * ('Form responses 1'!$A$2:$A1000 &lt;= DATE(2025, 9, 30)))
+ SUMPRODUCT(('Form responses 1'!$C$2:$C1000 = A80) * ('Form responses 1'!$A$2:$A1000 &lt;= DATE(2025, 9, 30)))
+ SUMPRODUCT(('Form responses 1'!$D$2:$D1000 = A80) * ('Form responses 1'!$A$2:$A1000 &lt;= DATE(2025, 9, 30)))
+ SUMPRODUCT(('Form responses 1'!$E$2:$E1000 = A80) * ('Form responses 1'!$A$2:$A1000 &lt;= DATE(2025, 9, 30)))
+ SUMPRODUCT(('Form responses 1'!$F$2:$F1000 = A80) * ('Form responses 1'!$A$2:$A1000 &lt;= DATE(2025, 9, 30)))
+ SUMPRODUCT(('Form responses 1'!$G$2:$G1000 = A80) * ('Form responses 1'!$A$2:$A1000 &lt;= DATE(2025, 9, 30)))), 2), "-")
</f>
        <v>4.55</v>
      </c>
      <c r="X80" s="2">
        <f>IFERROR(ROUND(Data!B72/(SUMPRODUCT(('Form responses 1'!$B$2:$B1000 = A80) * ('Form responses 1'!$A$2:$A1000 &lt;= DATE(2025, 10, 31)))
+ SUMPRODUCT(('Form responses 1'!$C$2:$C1000 = A80) * ('Form responses 1'!$A$2:$A1000 &lt;= DATE(2025, 10, 31)))
+ SUMPRODUCT(('Form responses 1'!$D$2:$D1000 = A80) * ('Form responses 1'!$A$2:$A1000 &lt;= DATE(2025, 10, 31)))
+ SUMPRODUCT(('Form responses 1'!$E$2:$E1000 = A80) * ('Form responses 1'!$A$2:$A1000 &lt;= DATE(2025, 10, 31)))
+ SUMPRODUCT(('Form responses 1'!$F$2:$F1000 = A80) * ('Form responses 1'!$A$2:$A1000 &lt;= DATE(2025, 10, 31)))
+ SUMPRODUCT(('Form responses 1'!$G$2:$G1000 = A80) * ('Form responses 1'!$A$2:$A1000 &lt;= DATE(2025, 10, 31)))), 2), "-")
</f>
        <v>4.55</v>
      </c>
      <c r="Y80" s="2">
        <f>IFERROR(ROUND(Data!B72/(SUMPRODUCT(('Form responses 1'!$B$2:$B1000 = A80) * ('Form responses 1'!$A$2:$A1000 &lt;= DATE(2025, 11, 30)))
+ SUMPRODUCT(('Form responses 1'!$C$2:$C1000 = A80) * ('Form responses 1'!$A$2:$A1000 &lt;= DATE(2025, 11, 30)))
+ SUMPRODUCT(('Form responses 1'!$D$2:$D1000 = A80) * ('Form responses 1'!$A$2:$A1000 &lt;= DATE(2025, 11, 30)))
+ SUMPRODUCT(('Form responses 1'!$E$2:$E1000 = A80) * ('Form responses 1'!$A$2:$A1000 &lt;= DATE(2025, 11, 30)))
+ SUMPRODUCT(('Form responses 1'!$F$2:$F1000 = A80) * ('Form responses 1'!$A$2:$A1000 &lt;= DATE(2025, 11, 30)))
+ SUMPRODUCT(('Form responses 1'!$G$2:$G1000 = A80) * ('Form responses 1'!$A$2:$A1000 &lt;= DATE(2025, 11, 30)))), 2), "-")
</f>
        <v>4.55</v>
      </c>
      <c r="Z80" s="2">
        <f>IFERROR(ROUND(Data!B72/(SUMPRODUCT(('Form responses 1'!$B$2:$B1000 = A80) * ('Form responses 1'!$A$2:$A1000 &lt;= DATE(2025, 12, 31)))
+ SUMPRODUCT(('Form responses 1'!$C$2:$C1000 = A80) * ('Form responses 1'!$A$2:$A1000 &lt;= DATE(2025, 12, 31)))
+ SUMPRODUCT(('Form responses 1'!$D$2:$D1000 = A80) * ('Form responses 1'!$A$2:$A1000 &lt;= DATE(2025, 12, 31)))
+ SUMPRODUCT(('Form responses 1'!$E$2:$E1000 = A80) * ('Form responses 1'!$A$2:$A1000 &lt;= DATE(2025, 12, 31)))
+ SUMPRODUCT(('Form responses 1'!$F$2:$F1000 = A80) * ('Form responses 1'!$A$2:$A1000 &lt;= DATE(2025, 12, 31)))
+ SUMPRODUCT(('Form responses 1'!$G$2:$G1000 = A80) * ('Form responses 1'!$A$2:$A1000 &lt;= DATE(2025, 12, 31)))), 2), "-")
</f>
        <v>4.55</v>
      </c>
      <c r="AA80" s="2">
        <f>IFERROR(ROUND(Data!$B80/(
  SUMPRODUCT(('Form responses 1'!$B$2:$B1000=$A80)*('Form responses 1'!$A$2:$A1000&lt;=EOMONTH(DATEVALUE("1 "&amp;AA$1),0)))+
  SUMPRODUCT(('Form responses 1'!$C$2:$C1000=$A80)*('Form responses 1'!$A$2:$A1000&lt;=EOMONTH(DATEVALUE("1 "&amp;AA$1),0)))+
  SUMPRODUCT(('Form responses 1'!$D$2:$D1000=$A80)*('Form responses 1'!$A$2:$A1000&lt;=EOMONTH(DATEVALUE("1 "&amp;AA$1),0)))+
  SUMPRODUCT(('Form responses 1'!$E$2:$E1000=$A80)*('Form responses 1'!$A$2:$A1000&lt;=EOMONTH(DATEVALUE("1 "&amp;AA$1),0)))+
  SUMPRODUCT(('Form responses 1'!$F$2:$F1000=$A80)*('Form responses 1'!$A$2:$A1000&lt;=EOMONTH(DATEVALUE("1 "&amp;AA$1),0)))+
  SUMPRODUCT(('Form responses 1'!$G$2:$G1000=$A80)*('Form responses 1'!$A$2:$A1000&lt;=EOMONTH(DATEVALUE("1 "&amp;AA$1),0)))
),2),"-")</f>
        <v>3.64</v>
      </c>
      <c r="AB80" s="2">
        <f>IFERROR(ROUND(Data!$B80/(
  SUMPRODUCT(('Form responses 1'!$B$2:$B1000=$A80)*('Form responses 1'!$A$2:$A1000&lt;=EOMONTH(DATEVALUE("1 "&amp;AB$1),0)))+
  SUMPRODUCT(('Form responses 1'!$C$2:$C1000=$A80)*('Form responses 1'!$A$2:$A1000&lt;=EOMONTH(DATEVALUE("1 "&amp;AB$1),0)))+
  SUMPRODUCT(('Form responses 1'!$D$2:$D1000=$A80)*('Form responses 1'!$A$2:$A1000&lt;=EOMONTH(DATEVALUE("1 "&amp;AB$1),0)))+
  SUMPRODUCT(('Form responses 1'!$E$2:$E1000=$A80)*('Form responses 1'!$A$2:$A1000&lt;=EOMONTH(DATEVALUE("1 "&amp;AB$1),0)))+
  SUMPRODUCT(('Form responses 1'!$F$2:$F1000=$A80)*('Form responses 1'!$A$2:$A1000&lt;=EOMONTH(DATEVALUE("1 "&amp;AB$1),0)))+
  SUMPRODUCT(('Form responses 1'!$G$2:$G1000=$A80)*('Form responses 1'!$A$2:$A1000&lt;=EOMONTH(DATEVALUE("1 "&amp;AB$1),0)))
),2),"-")</f>
        <v>3.64</v>
      </c>
      <c r="AC80" s="2">
        <f>IFERROR(ROUND(Data!$B80/(
  SUMPRODUCT(('Form responses 1'!$B$2:$B1000=$A80)*('Form responses 1'!$A$2:$A1000&lt;=EOMONTH(DATEVALUE("1 "&amp;AC$1),0)))+
  SUMPRODUCT(('Form responses 1'!$C$2:$C1000=$A80)*('Form responses 1'!$A$2:$A1000&lt;=EOMONTH(DATEVALUE("1 "&amp;AC$1),0)))+
  SUMPRODUCT(('Form responses 1'!$D$2:$D1000=$A80)*('Form responses 1'!$A$2:$A1000&lt;=EOMONTH(DATEVALUE("1 "&amp;AC$1),0)))+
  SUMPRODUCT(('Form responses 1'!$E$2:$E1000=$A80)*('Form responses 1'!$A$2:$A1000&lt;=EOMONTH(DATEVALUE("1 "&amp;AC$1),0)))+
  SUMPRODUCT(('Form responses 1'!$F$2:$F1000=$A80)*('Form responses 1'!$A$2:$A1000&lt;=EOMONTH(DATEVALUE("1 "&amp;AC$1),0)))+
  SUMPRODUCT(('Form responses 1'!$G$2:$G1000=$A80)*('Form responses 1'!$A$2:$A1000&lt;=EOMONTH(DATEVALUE("1 "&amp;AC$1),0)))
),2),"-")</f>
        <v>3.64</v>
      </c>
      <c r="AD80" s="2" t="str">
        <f>IFERROR(ROUND(Data!$B80/(
  SUMPRODUCT(('Form responses 1'!$B$2:$B1000=$A80)*('Form responses 1'!$A$2:$A1000&lt;=EOMONTH(DATEVALUE("1 "&amp;AD$1),0)))+
  SUMPRODUCT(('Form responses 1'!$C$2:$C1000=$A80)*('Form responses 1'!$A$2:$A1000&lt;=EOMONTH(DATEVALUE("1 "&amp;AD$1),0)))+
  SUMPRODUCT(('Form responses 1'!$D$2:$D1000=$A80)*('Form responses 1'!$A$2:$A1000&lt;=EOMONTH(DATEVALUE("1 "&amp;AD$1),0)))+
  SUMPRODUCT(('Form responses 1'!$E$2:$E1000=$A80)*('Form responses 1'!$A$2:$A1000&lt;=EOMONTH(DATEVALUE("1 "&amp;AD$1),0)))+
  SUMPRODUCT(('Form responses 1'!$F$2:$F1000=$A80)*('Form responses 1'!$A$2:$A1000&lt;=EOMONTH(DATEVALUE("1 "&amp;AD$1),0)))+
  SUMPRODUCT(('Form responses 1'!$G$2:$G1000=$A80)*('Form responses 1'!$A$2:$A1000&lt;=EOMONTH(DATEVALUE("1 "&amp;AD$1),0)))
),2),"-")</f>
        <v>-</v>
      </c>
      <c r="AE80" s="2" t="str">
        <f>IFERROR(ROUND(Data!$B80/(
  SUMPRODUCT(('Form responses 1'!$B$2:$B1000=$A80)*('Form responses 1'!$A$2:$A1000&lt;=EOMONTH(DATEVALUE("1 "&amp;AE$1),0)))+
  SUMPRODUCT(('Form responses 1'!$C$2:$C1000=$A80)*('Form responses 1'!$A$2:$A1000&lt;=EOMONTH(DATEVALUE("1 "&amp;AE$1),0)))+
  SUMPRODUCT(('Form responses 1'!$D$2:$D1000=$A80)*('Form responses 1'!$A$2:$A1000&lt;=EOMONTH(DATEVALUE("1 "&amp;AE$1),0)))+
  SUMPRODUCT(('Form responses 1'!$E$2:$E1000=$A80)*('Form responses 1'!$A$2:$A1000&lt;=EOMONTH(DATEVALUE("1 "&amp;AE$1),0)))+
  SUMPRODUCT(('Form responses 1'!$F$2:$F1000=$A80)*('Form responses 1'!$A$2:$A1000&lt;=EOMONTH(DATEVALUE("1 "&amp;AE$1),0)))+
  SUMPRODUCT(('Form responses 1'!$G$2:$G1000=$A80)*('Form responses 1'!$A$2:$A1000&lt;=EOMONTH(DATEVALUE("1 "&amp;AE$1),0)))
),2),"-")</f>
        <v>-</v>
      </c>
      <c r="AF80" s="2" t="str">
        <f>IFERROR(ROUND(Data!$B80/(
  SUMPRODUCT(('Form responses 1'!$B$2:$B1000=$A80)*('Form responses 1'!$A$2:$A1000&lt;=EOMONTH(DATEVALUE("1 "&amp;AF$1),0)))+
  SUMPRODUCT(('Form responses 1'!$C$2:$C1000=$A80)*('Form responses 1'!$A$2:$A1000&lt;=EOMONTH(DATEVALUE("1 "&amp;AF$1),0)))+
  SUMPRODUCT(('Form responses 1'!$D$2:$D1000=$A80)*('Form responses 1'!$A$2:$A1000&lt;=EOMONTH(DATEVALUE("1 "&amp;AF$1),0)))+
  SUMPRODUCT(('Form responses 1'!$E$2:$E1000=$A80)*('Form responses 1'!$A$2:$A1000&lt;=EOMONTH(DATEVALUE("1 "&amp;AF$1),0)))+
  SUMPRODUCT(('Form responses 1'!$F$2:$F1000=$A80)*('Form responses 1'!$A$2:$A1000&lt;=EOMONTH(DATEVALUE("1 "&amp;AF$1),0)))+
  SUMPRODUCT(('Form responses 1'!$G$2:$G1000=$A80)*('Form responses 1'!$A$2:$A1000&lt;=EOMONTH(DATEVALUE("1 "&amp;AF$1),0)))
),2),"-")</f>
        <v>-</v>
      </c>
      <c r="AG80" s="2" t="str">
        <f>IFERROR(ROUND(Data!$B80/(
  SUMPRODUCT(('Form responses 1'!$B$2:$B1000=$A80)*('Form responses 1'!$A$2:$A1000&lt;=EOMONTH(DATEVALUE("1 "&amp;AG$1),0)))+
  SUMPRODUCT(('Form responses 1'!$C$2:$C1000=$A80)*('Form responses 1'!$A$2:$A1000&lt;=EOMONTH(DATEVALUE("1 "&amp;AG$1),0)))+
  SUMPRODUCT(('Form responses 1'!$D$2:$D1000=$A80)*('Form responses 1'!$A$2:$A1000&lt;=EOMONTH(DATEVALUE("1 "&amp;AG$1),0)))+
  SUMPRODUCT(('Form responses 1'!$E$2:$E1000=$A80)*('Form responses 1'!$A$2:$A1000&lt;=EOMONTH(DATEVALUE("1 "&amp;AG$1),0)))+
  SUMPRODUCT(('Form responses 1'!$F$2:$F1000=$A80)*('Form responses 1'!$A$2:$A1000&lt;=EOMONTH(DATEVALUE("1 "&amp;AG$1),0)))+
  SUMPRODUCT(('Form responses 1'!$G$2:$G1000=$A80)*('Form responses 1'!$A$2:$A1000&lt;=EOMONTH(DATEVALUE("1 "&amp;AG$1),0)))
),2),"-")</f>
        <v>-</v>
      </c>
      <c r="AH80" s="2" t="str">
        <f>IFERROR(ROUND(Data!$B80/(
  SUMPRODUCT(('Form responses 1'!$B$2:$B1000=$A80)*('Form responses 1'!$A$2:$A1000&lt;=EOMONTH(DATEVALUE("1 "&amp;AH$1),0)))+
  SUMPRODUCT(('Form responses 1'!$C$2:$C1000=$A80)*('Form responses 1'!$A$2:$A1000&lt;=EOMONTH(DATEVALUE("1 "&amp;AH$1),0)))+
  SUMPRODUCT(('Form responses 1'!$D$2:$D1000=$A80)*('Form responses 1'!$A$2:$A1000&lt;=EOMONTH(DATEVALUE("1 "&amp;AH$1),0)))+
  SUMPRODUCT(('Form responses 1'!$E$2:$E1000=$A80)*('Form responses 1'!$A$2:$A1000&lt;=EOMONTH(DATEVALUE("1 "&amp;AH$1),0)))+
  SUMPRODUCT(('Form responses 1'!$F$2:$F1000=$A80)*('Form responses 1'!$A$2:$A1000&lt;=EOMONTH(DATEVALUE("1 "&amp;AH$1),0)))+
  SUMPRODUCT(('Form responses 1'!$G$2:$G1000=$A80)*('Form responses 1'!$A$2:$A1000&lt;=EOMONTH(DATEVALUE("1 "&amp;AH$1),0)))
),2),"-")</f>
        <v>-</v>
      </c>
      <c r="AI80" s="2" t="str">
        <f>IFERROR(ROUND(Data!$B80/(
  SUMPRODUCT(('Form responses 1'!$B$2:$B1000=$A80)*('Form responses 1'!$A$2:$A1000&lt;=EOMONTH(DATEVALUE("1 "&amp;AI$1),0)))+
  SUMPRODUCT(('Form responses 1'!$C$2:$C1000=$A80)*('Form responses 1'!$A$2:$A1000&lt;=EOMONTH(DATEVALUE("1 "&amp;AI$1),0)))+
  SUMPRODUCT(('Form responses 1'!$D$2:$D1000=$A80)*('Form responses 1'!$A$2:$A1000&lt;=EOMONTH(DATEVALUE("1 "&amp;AI$1),0)))+
  SUMPRODUCT(('Form responses 1'!$E$2:$E1000=$A80)*('Form responses 1'!$A$2:$A1000&lt;=EOMONTH(DATEVALUE("1 "&amp;AI$1),0)))+
  SUMPRODUCT(('Form responses 1'!$F$2:$F1000=$A80)*('Form responses 1'!$A$2:$A1000&lt;=EOMONTH(DATEVALUE("1 "&amp;AI$1),0)))+
  SUMPRODUCT(('Form responses 1'!$G$2:$G1000=$A80)*('Form responses 1'!$A$2:$A1000&lt;=EOMONTH(DATEVALUE("1 "&amp;AI$1),0)))
),2),"-")</f>
        <v>-</v>
      </c>
      <c r="AJ80" s="2" t="str">
        <f>IFERROR(ROUND(Data!$B80/(
  SUMPRODUCT(('Form responses 1'!$B$2:$B1000=$A80)*('Form responses 1'!$A$2:$A1000&lt;=EOMONTH(DATEVALUE("1 "&amp;AJ$1),0)))+
  SUMPRODUCT(('Form responses 1'!$C$2:$C1000=$A80)*('Form responses 1'!$A$2:$A1000&lt;=EOMONTH(DATEVALUE("1 "&amp;AJ$1),0)))+
  SUMPRODUCT(('Form responses 1'!$D$2:$D1000=$A80)*('Form responses 1'!$A$2:$A1000&lt;=EOMONTH(DATEVALUE("1 "&amp;AJ$1),0)))+
  SUMPRODUCT(('Form responses 1'!$E$2:$E1000=$A80)*('Form responses 1'!$A$2:$A1000&lt;=EOMONTH(DATEVALUE("1 "&amp;AJ$1),0)))+
  SUMPRODUCT(('Form responses 1'!$F$2:$F1000=$A80)*('Form responses 1'!$A$2:$A1000&lt;=EOMONTH(DATEVALUE("1 "&amp;AJ$1),0)))+
  SUMPRODUCT(('Form responses 1'!$G$2:$G1000=$A80)*('Form responses 1'!$A$2:$A1000&lt;=EOMONTH(DATEVALUE("1 "&amp;AJ$1),0)))
),2),"-")</f>
        <v>-</v>
      </c>
      <c r="AK80" s="2" t="str">
        <f>IFERROR(ROUND(Data!$B80/(
  SUMPRODUCT(('Form responses 1'!$B$2:$B1000=$A80)*('Form responses 1'!$A$2:$A1000&lt;=EOMONTH(DATEVALUE("1 "&amp;AK$1),0)))+
  SUMPRODUCT(('Form responses 1'!$C$2:$C1000=$A80)*('Form responses 1'!$A$2:$A1000&lt;=EOMONTH(DATEVALUE("1 "&amp;AK$1),0)))+
  SUMPRODUCT(('Form responses 1'!$D$2:$D1000=$A80)*('Form responses 1'!$A$2:$A1000&lt;=EOMONTH(DATEVALUE("1 "&amp;AK$1),0)))+
  SUMPRODUCT(('Form responses 1'!$E$2:$E1000=$A80)*('Form responses 1'!$A$2:$A1000&lt;=EOMONTH(DATEVALUE("1 "&amp;AK$1),0)))+
  SUMPRODUCT(('Form responses 1'!$F$2:$F1000=$A80)*('Form responses 1'!$A$2:$A1000&lt;=EOMONTH(DATEVALUE("1 "&amp;AK$1),0)))+
  SUMPRODUCT(('Form responses 1'!$G$2:$G1000=$A80)*('Form responses 1'!$A$2:$A1000&lt;=EOMONTH(DATEVALUE("1 "&amp;AK$1),0)))
),2),"-")</f>
        <v>-</v>
      </c>
      <c r="AL80" s="2" t="str">
        <f>IFERROR(ROUND(Data!$B80/(
  SUMPRODUCT(('Form responses 1'!$B$2:$B1000=$A80)*('Form responses 1'!$A$2:$A1000&lt;=EOMONTH(DATEVALUE("1 "&amp;AL$1),0)))+
  SUMPRODUCT(('Form responses 1'!$C$2:$C1000=$A80)*('Form responses 1'!$A$2:$A1000&lt;=EOMONTH(DATEVALUE("1 "&amp;AL$1),0)))+
  SUMPRODUCT(('Form responses 1'!$D$2:$D1000=$A80)*('Form responses 1'!$A$2:$A1000&lt;=EOMONTH(DATEVALUE("1 "&amp;AL$1),0)))+
  SUMPRODUCT(('Form responses 1'!$E$2:$E1000=$A80)*('Form responses 1'!$A$2:$A1000&lt;=EOMONTH(DATEVALUE("1 "&amp;AL$1),0)))+
  SUMPRODUCT(('Form responses 1'!$F$2:$F1000=$A80)*('Form responses 1'!$A$2:$A1000&lt;=EOMONTH(DATEVALUE("1 "&amp;AL$1),0)))+
  SUMPRODUCT(('Form responses 1'!$G$2:$G1000=$A80)*('Form responses 1'!$A$2:$A1000&lt;=EOMONTH(DATEVALUE("1 "&amp;AL$1),0)))
),2),"-")</f>
        <v>-</v>
      </c>
    </row>
    <row r="81">
      <c r="A81" s="3" t="str">
        <f>IFERROR(__xludf.DUMMYFUNCTION("""COMPUTED_VALUE"""),"Beige fila schoenen")</f>
        <v>Beige fila schoenen</v>
      </c>
      <c r="B81" s="2">
        <f>Data!F73:F1000</f>
        <v>0.14</v>
      </c>
      <c r="C81" s="2">
        <f>IFERROR(ROUND(Data!B73/(SUMPRODUCT(('Form responses 1'!$B$2:$B1000 = A81) * ('Form responses 1'!$A$2:$A1000 &lt;= DATE(2024, 1, 31)))
+ SUMPRODUCT(('Form responses 1'!$C$2:$C1000 = A81) * ('Form responses 1'!$A$2:$A1000 &lt;= DATE(2024, 1, 31)))
+ SUMPRODUCT(('Form responses 1'!$D$2:$D1000 = A81) * ('Form responses 1'!$A$2:$A1000 &lt;= DATE(2024, 1, 31)))
+ SUMPRODUCT(('Form responses 1'!$E$2:$E1000 = A81) * ('Form responses 1'!$A$2:$A1000 &lt;= DATE(2024, 1, 31)))
+ SUMPRODUCT(('Form responses 1'!$F$2:$F1000 = A81) * ('Form responses 1'!$A$2:$A1000 &lt;= DATE(2024, 1, 31)))
+ SUMPRODUCT(('Form responses 1'!$G$2:$G1000 = A81) * ('Form responses 1'!$A$2:$A1000 &lt;= DATE(2024, 1, 31)))), 2), "-")
</f>
        <v>0.88</v>
      </c>
      <c r="D81" s="2">
        <f>IFERROR(ROUND(Data!B73/(SUMPRODUCT(('Form responses 1'!$B$2:$B1000 = A81) * ('Form responses 1'!$A$2:$A1000 &lt;= DATE(2024, 2, 29)))
+ SUMPRODUCT(('Form responses 1'!$C$2:$C1000 = A81) * ('Form responses 1'!$A$2:$A1000 &lt;= DATE(2024, 2, 29)))
+ SUMPRODUCT(('Form responses 1'!$D$2:$D1000 = A81) * ('Form responses 1'!$A$2:$A1000 &lt;= DATE(2024, 2, 29)))
+ SUMPRODUCT(('Form responses 1'!$E$2:$E1000 = A81) * ('Form responses 1'!$A$2:$A1000 &lt;= DATE(2024, 2, 29)))
+ SUMPRODUCT(('Form responses 1'!$F$2:$F1000 = A81) * ('Form responses 1'!$A$2:$A1000 &lt;= DATE(2024, 2, 29)))
+ SUMPRODUCT(('Form responses 1'!$G$2:$G1000 = A81) * ('Form responses 1'!$A$2:$A1000 &lt;= DATE(2024, 2, 29)))), 2), "-")
</f>
        <v>0.73</v>
      </c>
      <c r="E81" s="2">
        <f>IFERROR(ROUND(Data!B73/(SUMPRODUCT(('Form responses 1'!$B$2:$B1000 = A81) * ('Form responses 1'!$A$2:$A1000 &lt;= DATE(2024, 3, 31)))
+ SUMPRODUCT(('Form responses 1'!$C$2:$C1000 = A81) * ('Form responses 1'!$A$2:$A1000 &lt;= DATE(2024, 3, 31)))
+ SUMPRODUCT(('Form responses 1'!$D$2:$D1000 = A81) * ('Form responses 1'!$A$2:$A1000 &lt;= DATE(2024, 3, 31)))
+ SUMPRODUCT(('Form responses 1'!$E$2:$E1000 = A81) * ('Form responses 1'!$A$2:$A1000 &lt;= DATE(2024, 3, 31)))
+ SUMPRODUCT(('Form responses 1'!$F$2:$F1000 = A81) * ('Form responses 1'!$A$2:$A1000 &lt;= DATE(2024, 3, 31)))
+ SUMPRODUCT(('Form responses 1'!$G$2:$G1000 = A81) * ('Form responses 1'!$A$2:$A1000 &lt;= DATE(2024, 3, 31)))), 2), "-")
</f>
        <v>0.65</v>
      </c>
      <c r="F81" s="2">
        <f>IFERROR(ROUND(Data!B73/(SUMPRODUCT(('Form responses 1'!$B$2:$B1000 = A81) * ('Form responses 1'!$A$2:$A1000 &lt;= DATE(2024, 4, 30)))
+ SUMPRODUCT(('Form responses 1'!$C$2:$C1000 = A81) * ('Form responses 1'!$A$2:$A1000 &lt;= DATE(2024, 4, 30)))
+ SUMPRODUCT(('Form responses 1'!$D$2:$D1000 = A81) * ('Form responses 1'!$A$2:$A1000 &lt;= DATE(2024, 4, 30)))
+ SUMPRODUCT(('Form responses 1'!$E$2:$E1000 = A81) * ('Form responses 1'!$A$2:$A1000 &lt;= DATE(2024, 4, 30)))
+ SUMPRODUCT(('Form responses 1'!$F$2:$F1000 = A81) * ('Form responses 1'!$A$2:$A1000 &lt;= DATE(2024, 4, 30)))
+ SUMPRODUCT(('Form responses 1'!$G$2:$G1000 = A81) * ('Form responses 1'!$A$2:$A1000 &lt;= DATE(2024, 4, 30)))), 2), "-")
</f>
        <v>0.57</v>
      </c>
      <c r="G81" s="2">
        <f>IFERROR(ROUND(Data!B73/(SUMPRODUCT(('Form responses 1'!$B$2:$B1000 = A81) * ('Form responses 1'!$A$2:$A1000 &lt;= DATE(2024, 5, 31)))
+ SUMPRODUCT(('Form responses 1'!$C$2:$C1000 = A81) * ('Form responses 1'!$A$2:$A1000 &lt;= DATE(2024, 5, 31)))
+ SUMPRODUCT(('Form responses 1'!$D$2:$D1000 = A81) * ('Form responses 1'!$A$2:$A1000 &lt;= DATE(2024, 5, 31)))
+ SUMPRODUCT(('Form responses 1'!$E$2:$E1000 = A81) * ('Form responses 1'!$A$2:$A1000 &lt;= DATE(2024, 5, 31)))
+ SUMPRODUCT(('Form responses 1'!$F$2:$F1000 = A81) * ('Form responses 1'!$A$2:$A1000 &lt;= DATE(2024, 5, 31)))
+ SUMPRODUCT(('Form responses 1'!$G$2:$G1000 = A81) * ('Form responses 1'!$A$2:$A1000 &lt;= DATE(2024, 5, 31)))), 2), "-")
</f>
        <v>0.5</v>
      </c>
      <c r="H81" s="2">
        <f>IFERROR(ROUND(Data!B73/(SUMPRODUCT(('Form responses 1'!$B$2:$B1000 = A81) * ('Form responses 1'!$A$2:$A1000 &lt;= DATE(2024, 6, 30)))
+ SUMPRODUCT(('Form responses 1'!$C$2:$C1000 = A81) * ('Form responses 1'!$A$2:$A1000 &lt;= DATE(2024, 6, 30)))
+ SUMPRODUCT(('Form responses 1'!$D$2:$D1000 = A81) * ('Form responses 1'!$A$2:$A1000 &lt;= DATE(2024, 6, 30)))
+ SUMPRODUCT(('Form responses 1'!$E$2:$E1000 = A81) * ('Form responses 1'!$A$2:$A1000 &lt;= DATE(2024, 6, 30)))
+ SUMPRODUCT(('Form responses 1'!$F$2:$F1000 = A81) * ('Form responses 1'!$A$2:$A1000 &lt;= DATE(2024, 6, 30)))
+ SUMPRODUCT(('Form responses 1'!$G$2:$G1000 = A81) * ('Form responses 1'!$A$2:$A1000 &lt;= DATE(2024, 6, 30)))), 2), "-")
</f>
        <v>0.47</v>
      </c>
      <c r="I81" s="2">
        <f>IFERROR(ROUND(Data!B73/(SUMPRODUCT(('Form responses 1'!$B$2:$B1000 = A81) * ('Form responses 1'!$A$2:$A1000 &lt;= DATE(2024, 7, 31)))
+ SUMPRODUCT(('Form responses 1'!$C$2:$C1000 = A81) * ('Form responses 1'!$A$2:$A1000 &lt;= DATE(2024, 7, 31)))
+ SUMPRODUCT(('Form responses 1'!$D$2:$D1000 = A81) * ('Form responses 1'!$A$2:$A1000 &lt;= DATE(2024, 7, 31)))
+ SUMPRODUCT(('Form responses 1'!$E$2:$E1000 = A81) * ('Form responses 1'!$A$2:$A1000 &lt;= DATE(2024, 7, 31)))
+ SUMPRODUCT(('Form responses 1'!$F$2:$F1000 = A81) * ('Form responses 1'!$A$2:$A1000 &lt;= DATE(2024, 7, 31)))
+ SUMPRODUCT(('Form responses 1'!$G$2:$G1000 = A81) * ('Form responses 1'!$A$2:$A1000 &lt;= DATE(2024, 7, 31)))), 2), "-")
</f>
        <v>0.43</v>
      </c>
      <c r="J81" s="2">
        <f>IFERROR(ROUND(Data!B73/(SUMPRODUCT(('Form responses 1'!$B$2:$B1000 = A81) * ('Form responses 1'!$A$2:$A1000 &lt;= DATE(2024, 8, 31)))
+ SUMPRODUCT(('Form responses 1'!$C$2:$C1000 = A81) * ('Form responses 1'!$A$2:$A1000 &lt;= DATE(2024, 8, 31)))
+ SUMPRODUCT(('Form responses 1'!$D$2:$D1000 = A81) * ('Form responses 1'!$A$2:$A1000 &lt;= DATE(2024, 8, 31)))
+ SUMPRODUCT(('Form responses 1'!$E$2:$E1000 = A81) * ('Form responses 1'!$A$2:$A1000 &lt;= DATE(2024, 8, 31)))
+ SUMPRODUCT(('Form responses 1'!$F$2:$F1000 = A81) * ('Form responses 1'!$A$2:$A1000 &lt;= DATE(2024, 8, 31)))
+ SUMPRODUCT(('Form responses 1'!$G$2:$G1000 = A81) * ('Form responses 1'!$A$2:$A1000 &lt;= DATE(2024, 8, 31)))), 2), "-")
</f>
        <v>0.42</v>
      </c>
      <c r="K81" s="2">
        <f>IFERROR(ROUND(Data!B73/(SUMPRODUCT(('Form responses 1'!$B$2:$B1000 = A81) * ('Form responses 1'!$A$2:$A1000 &lt;= DATE(2024, 9, 30)))
+ SUMPRODUCT(('Form responses 1'!$C$2:$C1000 = A81) * ('Form responses 1'!$A$2:$A1000 &lt;= DATE(2024, 9, 30)))
+ SUMPRODUCT(('Form responses 1'!$D$2:$D1000 = A81) * ('Form responses 1'!$A$2:$A1000 &lt;= DATE(2024, 9, 30)))
+ SUMPRODUCT(('Form responses 1'!$E$2:$E1000 = A81) * ('Form responses 1'!$A$2:$A1000 &lt;= DATE(2024, 9, 30)))
+ SUMPRODUCT(('Form responses 1'!$F$2:$F1000 = A81) * ('Form responses 1'!$A$2:$A1000 &lt;= DATE(2024, 9, 30)))
+ SUMPRODUCT(('Form responses 1'!$G$2:$G1000 = A81) * ('Form responses 1'!$A$2:$A1000 &lt;= DATE(2024, 9, 30)))), 2), "-")
</f>
        <v>0.4</v>
      </c>
      <c r="L81" s="2">
        <f>IFERROR(ROUND(Data!B73/(SUMPRODUCT(('Form responses 1'!$B$2:$B1000 = A81) * ('Form responses 1'!$A$2:$A1000 &lt;= DATE(2024, 10, 31)))
+ SUMPRODUCT(('Form responses 1'!$C$2:$C1000 = A81) * ('Form responses 1'!$A$2:$A1000 &lt;= DATE(2024, 10, 31)))
+ SUMPRODUCT(('Form responses 1'!$D$2:$D1000 = A81) * ('Form responses 1'!$A$2:$A1000 &lt;= DATE(2024, 10, 31)))
+ SUMPRODUCT(('Form responses 1'!$E$2:$E1000 = A81) * ('Form responses 1'!$A$2:$A1000 &lt;= DATE(2024, 10, 31)))
+ SUMPRODUCT(('Form responses 1'!$F$2:$F1000 = A81) * ('Form responses 1'!$A$2:$A1000 &lt;= DATE(2024, 10, 31)))
+ SUMPRODUCT(('Form responses 1'!$G$2:$G1000 = A81) * ('Form responses 1'!$A$2:$A1000 &lt;= DATE(2024, 10, 31)))), 2), "-")
</f>
        <v>0.39</v>
      </c>
      <c r="M81" s="2">
        <f>IFERROR(ROUND(Data!B73/(SUMPRODUCT(('Form responses 1'!$B$2:$B1000 = A81) * ('Form responses 1'!$A$2:$A1000 &lt;= DATE(2024, 11, 30)))
+ SUMPRODUCT(('Form responses 1'!$C$2:$C1000 = A81) * ('Form responses 1'!$A$2:$A1000 &lt;= DATE(2024, 11, 30)))
+ SUMPRODUCT(('Form responses 1'!$D$2:$D1000 = A81) * ('Form responses 1'!$A$2:$A1000 &lt;= DATE(2024, 11, 30)))
+ SUMPRODUCT(('Form responses 1'!$E$2:$E1000 = A81) * ('Form responses 1'!$A$2:$A1000 &lt;= DATE(2024, 11, 30)))
+ SUMPRODUCT(('Form responses 1'!$F$2:$F1000 = A81) * ('Form responses 1'!$A$2:$A1000 &lt;= DATE(2024, 11, 30)))
+ SUMPRODUCT(('Form responses 1'!$G$2:$G1000 = A81) * ('Form responses 1'!$A$2:$A1000 &lt;= DATE(2024, 11, 30)))), 2), "-")
</f>
        <v>0.38</v>
      </c>
      <c r="N81" s="2">
        <f>IFERROR(ROUND(Data!B73/(SUMPRODUCT(('Form responses 1'!$B$2:$B1000 = A81) * ('Form responses 1'!$A$2:$A1000 &lt;= DATE(2024, 12, 31)))
+ SUMPRODUCT(('Form responses 1'!$C$2:$C1000 = A81) * ('Form responses 1'!$A$2:$A1000 &lt;= DATE(2024, 12, 31)))
+ SUMPRODUCT(('Form responses 1'!$D$2:$D1000 = A81) * ('Form responses 1'!$A$2:$A1000 &lt;= DATE(2024, 12, 31)))
+ SUMPRODUCT(('Form responses 1'!$E$2:$E1000 = A81) * ('Form responses 1'!$A$2:$A1000 &lt;= DATE(2024, 12, 31)))
+ SUMPRODUCT(('Form responses 1'!$F$2:$F1000 = A81) * ('Form responses 1'!$A$2:$A1000 &lt;= DATE(2024, 12, 31)))
+ SUMPRODUCT(('Form responses 1'!$G$2:$G1000 = A81) * ('Form responses 1'!$A$2:$A1000 &lt;= DATE(2024, 12, 31)))), 2), "-")
</f>
        <v>0.37</v>
      </c>
      <c r="O81" s="2">
        <f>IFERROR(ROUND(Data!B73/(SUMPRODUCT(('Form responses 1'!$B$2:$B1000 = A81) * ('Form responses 1'!$A$2:$A1000 &lt;= DATE(2025, 1, 31)))
+ SUMPRODUCT(('Form responses 1'!$C$2:$C1000 = A81) * ('Form responses 1'!$A$2:$A1000 &lt;= DATE(2025, 1, 31)))
+ SUMPRODUCT(('Form responses 1'!$D$2:$D1000 = A81) * ('Form responses 1'!$A$2:$A1000 &lt;= DATE(2025, 1, 31)))
+ SUMPRODUCT(('Form responses 1'!$E$2:$E1000 = A81) * ('Form responses 1'!$A$2:$A1000 &lt;= DATE(2025, 1, 31)))
+ SUMPRODUCT(('Form responses 1'!$F$2:$F1000 = A81) * ('Form responses 1'!$A$2:$A1000 &lt;= DATE(2025, 1, 31)))
+ SUMPRODUCT(('Form responses 1'!$G$2:$G1000 = A81) * ('Form responses 1'!$A$2:$A1000 &lt;= DATE(2025, 1, 31)))), 2), "-")
</f>
        <v>0.36</v>
      </c>
      <c r="P81" s="2">
        <f>IFERROR(ROUND(Data!B73/(SUMPRODUCT(('Form responses 1'!$B$2:$B1000 = A81) * ('Form responses 1'!$A$2:$A1000 &lt;= DATE(2025, 2, 28)))
+ SUMPRODUCT(('Form responses 1'!$C$2:$C1000 = A81) * ('Form responses 1'!$A$2:$A1000 &lt;= DATE(2025, 2, 28)))
+ SUMPRODUCT(('Form responses 1'!$D$2:$D1000 = A81) * ('Form responses 1'!$A$2:$A1000 &lt;= DATE(2025, 2, 28)))
+ SUMPRODUCT(('Form responses 1'!$E$2:$E1000 = A81) * ('Form responses 1'!$A$2:$A1000 &lt;= DATE(2025, 2, 28)))
+ SUMPRODUCT(('Form responses 1'!$F$2:$F1000 = A81) * ('Form responses 1'!$A$2:$A1000 &lt;= DATE(2025, 2, 28)))
+ SUMPRODUCT(('Form responses 1'!$G$2:$G1000 = A81) * ('Form responses 1'!$A$2:$A1000 &lt;= DATE(2025, 2, 28)))), 2), "-")
</f>
        <v>0.35</v>
      </c>
      <c r="Q81" s="2">
        <f>IFERROR(ROUND(Data!B73/(SUMPRODUCT(('Form responses 1'!$B$2:$B1000 = A81) * ('Form responses 1'!$A$2:$A1000 &lt;= DATE(2025, 3, 31)))
+ SUMPRODUCT(('Form responses 1'!$C$2:$C1000 = A81) * ('Form responses 1'!$A$2:$A1000 &lt;= DATE(2025, 3, 31)))
+ SUMPRODUCT(('Form responses 1'!$D$2:$D1000 = A81) * ('Form responses 1'!$A$2:$A1000 &lt;= DATE(2025, 3, 31)))
+ SUMPRODUCT(('Form responses 1'!$E$2:$E1000 = A81) * ('Form responses 1'!$A$2:$A1000 &lt;= DATE(2025, 3, 31)))
+ SUMPRODUCT(('Form responses 1'!$F$2:$F1000 = A81) * ('Form responses 1'!$A$2:$A1000 &lt;= DATE(2025, 3, 31)))
+ SUMPRODUCT(('Form responses 1'!$G$2:$G1000 = A81) * ('Form responses 1'!$A$2:$A1000 &lt;= DATE(2025, 3, 31)))),2),"-")</f>
        <v>0.35</v>
      </c>
      <c r="R81" s="2">
        <f>IFERROR(ROUND(Data!B73/(SUMPRODUCT(('Form responses 1'!$B$2:$B1000 = A81) * ('Form responses 1'!$A$2:$A1000 &lt;= DATE(2025, 4, 30)))
+ SUMPRODUCT(('Form responses 1'!$C$2:$C1000 = A81) * ('Form responses 1'!$A$2:$A1000 &lt;= DATE(2025, 4, 30)))
+ SUMPRODUCT(('Form responses 1'!$D$2:$D1000 = A81) * ('Form responses 1'!$A$2:$A1000 &lt;= DATE(2025, 4, 30)))
+ SUMPRODUCT(('Form responses 1'!$E$2:$E1000 = A81) * ('Form responses 1'!$A$2:$A1000 &lt;= DATE(2025, 4, 30)))
+ SUMPRODUCT(('Form responses 1'!$F$2:$F1000 = A81) * ('Form responses 1'!$A$2:$A1000 &lt;= DATE(2025, 4, 30)))
+ SUMPRODUCT(('Form responses 1'!$G$2:$G1000 = A81) * ('Form responses 1'!$A$2:$A1000 &lt;= DATE(2025, 4, 30)))), 2), "-")
</f>
        <v>0.35</v>
      </c>
      <c r="S81" s="2">
        <f>IFERROR(ROUND(Data!B73/(SUMPRODUCT(('Form responses 1'!$B$2:$B1000 = A81) * ('Form responses 1'!$A$2:$A1000 &lt;= DATE(2025, 5, 31)))
+ SUMPRODUCT(('Form responses 1'!$C$2:$C1000 = A81) * ('Form responses 1'!$A$2:$A1000 &lt;= DATE(2025, 5, 31)))
+ SUMPRODUCT(('Form responses 1'!$D$2:$D1000 = A81) * ('Form responses 1'!$A$2:$A1000 &lt;= DATE(2025, 5, 31)))
+ SUMPRODUCT(('Form responses 1'!$E$2:$E1000 = A81) * ('Form responses 1'!$A$2:$A1000 &lt;= DATE(2025, 5, 31)))
+ SUMPRODUCT(('Form responses 1'!$F$2:$F1000 = A81) * ('Form responses 1'!$A$2:$A1000 &lt;= DATE(2025, 5, 31)))
+ SUMPRODUCT(('Form responses 1'!$G$2:$G1000 = A81) * ('Form responses 1'!$A$2:$A1000 &lt;= DATE(2025, 5, 31)))), 2), "-")
</f>
        <v>0.35</v>
      </c>
      <c r="T81" s="2">
        <f>IFERROR(ROUND(Data!B73/(SUMPRODUCT(('Form responses 1'!$B$2:$B1000 = A81) * ('Form responses 1'!$A$2:$A1000 &lt;= DATE(2025, 6, 30)))
+ SUMPRODUCT(('Form responses 1'!$C$2:$C1000 = A81) * ('Form responses 1'!$A$2:$A1000 &lt;= DATE(2025, 6, 30)))
+ SUMPRODUCT(('Form responses 1'!$D$2:$D1000 = A81) * ('Form responses 1'!$A$2:$A1000 &lt;= DATE(2025, 6, 30)))
+ SUMPRODUCT(('Form responses 1'!$E$2:$E1000 = A81) * ('Form responses 1'!$A$2:$A1000 &lt;= DATE(2025, 6, 30)))
+ SUMPRODUCT(('Form responses 1'!$F$2:$F1000 = A81) * ('Form responses 1'!$A$2:$A1000 &lt;= DATE(2025, 6, 30)))
+ SUMPRODUCT(('Form responses 1'!$G$2:$G1000 = A81) * ('Form responses 1'!$A$2:$A1000 &lt;= DATE(2025, 6, 30)))), 2), "-")
</f>
        <v>0.35</v>
      </c>
      <c r="U81" s="2">
        <f>IFERROR(ROUND(Data!B73/(SUMPRODUCT(('Form responses 1'!$B$2:$B1000 = A81) * ('Form responses 1'!$A$2:$A1000 &lt;= DATE(2025, 7, 31)))
+ SUMPRODUCT(('Form responses 1'!$C$2:$C1000 = A81) * ('Form responses 1'!$A$2:$A1000 &lt;= DATE(2025, 7, 31)))
+ SUMPRODUCT(('Form responses 1'!$D$2:$D1000 = A81) * ('Form responses 1'!$A$2:$A1000 &lt;= DATE(2025, 7, 31)))
+ SUMPRODUCT(('Form responses 1'!$E$2:$E1000 = A81) * ('Form responses 1'!$A$2:$A1000 &lt;= DATE(2025, 7, 31)))
+ SUMPRODUCT(('Form responses 1'!$F$2:$F1000 = A81) * ('Form responses 1'!$A$2:$A1000 &lt;= DATE(2025, 7, 31)))
+ SUMPRODUCT(('Form responses 1'!$G$2:$G1000 = A81) * ('Form responses 1'!$A$2:$A1000 &lt;= DATE(2025, 7, 31)))), 2), "-")
</f>
        <v>0.35</v>
      </c>
      <c r="V81" s="2">
        <f>IFERROR(ROUND(Data!B73/(SUMPRODUCT(('Form responses 1'!$B$2:$B1000 = A81) * ('Form responses 1'!$A$2:$A1000 &lt;= DATE(2025, 8, 31)))
+ SUMPRODUCT(('Form responses 1'!$C$2:$C1000 = A81) * ('Form responses 1'!$A$2:$A1000 &lt;= DATE(2025, 8, 31)))
+ SUMPRODUCT(('Form responses 1'!$D$2:$D1000 = A81) * ('Form responses 1'!$A$2:$A1000 &lt;= DATE(2025, 8, 31)))
+ SUMPRODUCT(('Form responses 1'!$E$2:$E1000 = A81) * ('Form responses 1'!$A$2:$A1000 &lt;= DATE(2025, 8, 31)))
+ SUMPRODUCT(('Form responses 1'!$F$2:$F1000 = A81) * ('Form responses 1'!$A$2:$A1000 &lt;= DATE(2025, 8, 31)))
+ SUMPRODUCT(('Form responses 1'!$G$2:$G1000 = A81) * ('Form responses 1'!$A$2:$A1000 &lt;= DATE(2025, 8, 31)))), 2), "-")
</f>
        <v>0.35</v>
      </c>
      <c r="W81" s="2">
        <f>IFERROR(ROUND(Data!B73/(SUMPRODUCT(('Form responses 1'!$B$2:$B1000 = A81) * ('Form responses 1'!$A$2:$A1000 &lt;= DATE(2025, 9, 30)))
+ SUMPRODUCT(('Form responses 1'!$C$2:$C1000 = A81) * ('Form responses 1'!$A$2:$A1000 &lt;= DATE(2025, 9, 30)))
+ SUMPRODUCT(('Form responses 1'!$D$2:$D1000 = A81) * ('Form responses 1'!$A$2:$A1000 &lt;= DATE(2025, 9, 30)))
+ SUMPRODUCT(('Form responses 1'!$E$2:$E1000 = A81) * ('Form responses 1'!$A$2:$A1000 &lt;= DATE(2025, 9, 30)))
+ SUMPRODUCT(('Form responses 1'!$F$2:$F1000 = A81) * ('Form responses 1'!$A$2:$A1000 &lt;= DATE(2025, 9, 30)))
+ SUMPRODUCT(('Form responses 1'!$G$2:$G1000 = A81) * ('Form responses 1'!$A$2:$A1000 &lt;= DATE(2025, 9, 30)))), 2), "-")
</f>
        <v>0.35</v>
      </c>
      <c r="X81" s="2">
        <f>IFERROR(ROUND(Data!B73/(SUMPRODUCT(('Form responses 1'!$B$2:$B1000 = A81) * ('Form responses 1'!$A$2:$A1000 &lt;= DATE(2025, 10, 31)))
+ SUMPRODUCT(('Form responses 1'!$C$2:$C1000 = A81) * ('Form responses 1'!$A$2:$A1000 &lt;= DATE(2025, 10, 31)))
+ SUMPRODUCT(('Form responses 1'!$D$2:$D1000 = A81) * ('Form responses 1'!$A$2:$A1000 &lt;= DATE(2025, 10, 31)))
+ SUMPRODUCT(('Form responses 1'!$E$2:$E1000 = A81) * ('Form responses 1'!$A$2:$A1000 &lt;= DATE(2025, 10, 31)))
+ SUMPRODUCT(('Form responses 1'!$F$2:$F1000 = A81) * ('Form responses 1'!$A$2:$A1000 &lt;= DATE(2025, 10, 31)))
+ SUMPRODUCT(('Form responses 1'!$G$2:$G1000 = A81) * ('Form responses 1'!$A$2:$A1000 &lt;= DATE(2025, 10, 31)))), 2), "-")
</f>
        <v>0.35</v>
      </c>
      <c r="Y81" s="2">
        <f>IFERROR(ROUND(Data!B73/(SUMPRODUCT(('Form responses 1'!$B$2:$B1000 = A81) * ('Form responses 1'!$A$2:$A1000 &lt;= DATE(2025, 11, 30)))
+ SUMPRODUCT(('Form responses 1'!$C$2:$C1000 = A81) * ('Form responses 1'!$A$2:$A1000 &lt;= DATE(2025, 11, 30)))
+ SUMPRODUCT(('Form responses 1'!$D$2:$D1000 = A81) * ('Form responses 1'!$A$2:$A1000 &lt;= DATE(2025, 11, 30)))
+ SUMPRODUCT(('Form responses 1'!$E$2:$E1000 = A81) * ('Form responses 1'!$A$2:$A1000 &lt;= DATE(2025, 11, 30)))
+ SUMPRODUCT(('Form responses 1'!$F$2:$F1000 = A81) * ('Form responses 1'!$A$2:$A1000 &lt;= DATE(2025, 11, 30)))
+ SUMPRODUCT(('Form responses 1'!$G$2:$G1000 = A81) * ('Form responses 1'!$A$2:$A1000 &lt;= DATE(2025, 11, 30)))), 2), "-")
</f>
        <v>0.35</v>
      </c>
      <c r="Z81" s="2">
        <f>IFERROR(ROUND(Data!B73/(SUMPRODUCT(('Form responses 1'!$B$2:$B1000 = A81) * ('Form responses 1'!$A$2:$A1000 &lt;= DATE(2025, 12, 31)))
+ SUMPRODUCT(('Form responses 1'!$C$2:$C1000 = A81) * ('Form responses 1'!$A$2:$A1000 &lt;= DATE(2025, 12, 31)))
+ SUMPRODUCT(('Form responses 1'!$D$2:$D1000 = A81) * ('Form responses 1'!$A$2:$A1000 &lt;= DATE(2025, 12, 31)))
+ SUMPRODUCT(('Form responses 1'!$E$2:$E1000 = A81) * ('Form responses 1'!$A$2:$A1000 &lt;= DATE(2025, 12, 31)))
+ SUMPRODUCT(('Form responses 1'!$F$2:$F1000 = A81) * ('Form responses 1'!$A$2:$A1000 &lt;= DATE(2025, 12, 31)))
+ SUMPRODUCT(('Form responses 1'!$G$2:$G1000 = A81) * ('Form responses 1'!$A$2:$A1000 &lt;= DATE(2025, 12, 31)))), 2), "-")
</f>
        <v>0.35</v>
      </c>
      <c r="AA81" s="2">
        <f>IFERROR(ROUND(Data!$B81/(
  SUMPRODUCT(('Form responses 1'!$B$2:$B1000=$A81)*('Form responses 1'!$A$2:$A1000&lt;=EOMONTH(DATEVALUE("1 "&amp;AA$1),0)))+
  SUMPRODUCT(('Form responses 1'!$C$2:$C1000=$A81)*('Form responses 1'!$A$2:$A1000&lt;=EOMONTH(DATEVALUE("1 "&amp;AA$1),0)))+
  SUMPRODUCT(('Form responses 1'!$D$2:$D1000=$A81)*('Form responses 1'!$A$2:$A1000&lt;=EOMONTH(DATEVALUE("1 "&amp;AA$1),0)))+
  SUMPRODUCT(('Form responses 1'!$E$2:$E1000=$A81)*('Form responses 1'!$A$2:$A1000&lt;=EOMONTH(DATEVALUE("1 "&amp;AA$1),0)))+
  SUMPRODUCT(('Form responses 1'!$F$2:$F1000=$A81)*('Form responses 1'!$A$2:$A1000&lt;=EOMONTH(DATEVALUE("1 "&amp;AA$1),0)))+
  SUMPRODUCT(('Form responses 1'!$G$2:$G1000=$A81)*('Form responses 1'!$A$2:$A1000&lt;=EOMONTH(DATEVALUE("1 "&amp;AA$1),0)))
),2),"-")</f>
        <v>0.14</v>
      </c>
      <c r="AB81" s="2">
        <f>IFERROR(ROUND(Data!$B81/(
  SUMPRODUCT(('Form responses 1'!$B$2:$B1000=$A81)*('Form responses 1'!$A$2:$A1000&lt;=EOMONTH(DATEVALUE("1 "&amp;AB$1),0)))+
  SUMPRODUCT(('Form responses 1'!$C$2:$C1000=$A81)*('Form responses 1'!$A$2:$A1000&lt;=EOMONTH(DATEVALUE("1 "&amp;AB$1),0)))+
  SUMPRODUCT(('Form responses 1'!$D$2:$D1000=$A81)*('Form responses 1'!$A$2:$A1000&lt;=EOMONTH(DATEVALUE("1 "&amp;AB$1),0)))+
  SUMPRODUCT(('Form responses 1'!$E$2:$E1000=$A81)*('Form responses 1'!$A$2:$A1000&lt;=EOMONTH(DATEVALUE("1 "&amp;AB$1),0)))+
  SUMPRODUCT(('Form responses 1'!$F$2:$F1000=$A81)*('Form responses 1'!$A$2:$A1000&lt;=EOMONTH(DATEVALUE("1 "&amp;AB$1),0)))+
  SUMPRODUCT(('Form responses 1'!$G$2:$G1000=$A81)*('Form responses 1'!$A$2:$A1000&lt;=EOMONTH(DATEVALUE("1 "&amp;AB$1),0)))
),2),"-")</f>
        <v>0.14</v>
      </c>
      <c r="AC81" s="2">
        <f>IFERROR(ROUND(Data!$B81/(
  SUMPRODUCT(('Form responses 1'!$B$2:$B1000=$A81)*('Form responses 1'!$A$2:$A1000&lt;=EOMONTH(DATEVALUE("1 "&amp;AC$1),0)))+
  SUMPRODUCT(('Form responses 1'!$C$2:$C1000=$A81)*('Form responses 1'!$A$2:$A1000&lt;=EOMONTH(DATEVALUE("1 "&amp;AC$1),0)))+
  SUMPRODUCT(('Form responses 1'!$D$2:$D1000=$A81)*('Form responses 1'!$A$2:$A1000&lt;=EOMONTH(DATEVALUE("1 "&amp;AC$1),0)))+
  SUMPRODUCT(('Form responses 1'!$E$2:$E1000=$A81)*('Form responses 1'!$A$2:$A1000&lt;=EOMONTH(DATEVALUE("1 "&amp;AC$1),0)))+
  SUMPRODUCT(('Form responses 1'!$F$2:$F1000=$A81)*('Form responses 1'!$A$2:$A1000&lt;=EOMONTH(DATEVALUE("1 "&amp;AC$1),0)))+
  SUMPRODUCT(('Form responses 1'!$G$2:$G1000=$A81)*('Form responses 1'!$A$2:$A1000&lt;=EOMONTH(DATEVALUE("1 "&amp;AC$1),0)))
),2),"-")</f>
        <v>0.14</v>
      </c>
      <c r="AD81" s="2" t="str">
        <f>IFERROR(ROUND(Data!$B81/(
  SUMPRODUCT(('Form responses 1'!$B$2:$B1000=$A81)*('Form responses 1'!$A$2:$A1000&lt;=EOMONTH(DATEVALUE("1 "&amp;AD$1),0)))+
  SUMPRODUCT(('Form responses 1'!$C$2:$C1000=$A81)*('Form responses 1'!$A$2:$A1000&lt;=EOMONTH(DATEVALUE("1 "&amp;AD$1),0)))+
  SUMPRODUCT(('Form responses 1'!$D$2:$D1000=$A81)*('Form responses 1'!$A$2:$A1000&lt;=EOMONTH(DATEVALUE("1 "&amp;AD$1),0)))+
  SUMPRODUCT(('Form responses 1'!$E$2:$E1000=$A81)*('Form responses 1'!$A$2:$A1000&lt;=EOMONTH(DATEVALUE("1 "&amp;AD$1),0)))+
  SUMPRODUCT(('Form responses 1'!$F$2:$F1000=$A81)*('Form responses 1'!$A$2:$A1000&lt;=EOMONTH(DATEVALUE("1 "&amp;AD$1),0)))+
  SUMPRODUCT(('Form responses 1'!$G$2:$G1000=$A81)*('Form responses 1'!$A$2:$A1000&lt;=EOMONTH(DATEVALUE("1 "&amp;AD$1),0)))
),2),"-")</f>
        <v>-</v>
      </c>
      <c r="AE81" s="2" t="str">
        <f>IFERROR(ROUND(Data!$B81/(
  SUMPRODUCT(('Form responses 1'!$B$2:$B1000=$A81)*('Form responses 1'!$A$2:$A1000&lt;=EOMONTH(DATEVALUE("1 "&amp;AE$1),0)))+
  SUMPRODUCT(('Form responses 1'!$C$2:$C1000=$A81)*('Form responses 1'!$A$2:$A1000&lt;=EOMONTH(DATEVALUE("1 "&amp;AE$1),0)))+
  SUMPRODUCT(('Form responses 1'!$D$2:$D1000=$A81)*('Form responses 1'!$A$2:$A1000&lt;=EOMONTH(DATEVALUE("1 "&amp;AE$1),0)))+
  SUMPRODUCT(('Form responses 1'!$E$2:$E1000=$A81)*('Form responses 1'!$A$2:$A1000&lt;=EOMONTH(DATEVALUE("1 "&amp;AE$1),0)))+
  SUMPRODUCT(('Form responses 1'!$F$2:$F1000=$A81)*('Form responses 1'!$A$2:$A1000&lt;=EOMONTH(DATEVALUE("1 "&amp;AE$1),0)))+
  SUMPRODUCT(('Form responses 1'!$G$2:$G1000=$A81)*('Form responses 1'!$A$2:$A1000&lt;=EOMONTH(DATEVALUE("1 "&amp;AE$1),0)))
),2),"-")</f>
        <v>-</v>
      </c>
      <c r="AF81" s="2" t="str">
        <f>IFERROR(ROUND(Data!$B81/(
  SUMPRODUCT(('Form responses 1'!$B$2:$B1000=$A81)*('Form responses 1'!$A$2:$A1000&lt;=EOMONTH(DATEVALUE("1 "&amp;AF$1),0)))+
  SUMPRODUCT(('Form responses 1'!$C$2:$C1000=$A81)*('Form responses 1'!$A$2:$A1000&lt;=EOMONTH(DATEVALUE("1 "&amp;AF$1),0)))+
  SUMPRODUCT(('Form responses 1'!$D$2:$D1000=$A81)*('Form responses 1'!$A$2:$A1000&lt;=EOMONTH(DATEVALUE("1 "&amp;AF$1),0)))+
  SUMPRODUCT(('Form responses 1'!$E$2:$E1000=$A81)*('Form responses 1'!$A$2:$A1000&lt;=EOMONTH(DATEVALUE("1 "&amp;AF$1),0)))+
  SUMPRODUCT(('Form responses 1'!$F$2:$F1000=$A81)*('Form responses 1'!$A$2:$A1000&lt;=EOMONTH(DATEVALUE("1 "&amp;AF$1),0)))+
  SUMPRODUCT(('Form responses 1'!$G$2:$G1000=$A81)*('Form responses 1'!$A$2:$A1000&lt;=EOMONTH(DATEVALUE("1 "&amp;AF$1),0)))
),2),"-")</f>
        <v>-</v>
      </c>
      <c r="AG81" s="2" t="str">
        <f>IFERROR(ROUND(Data!$B81/(
  SUMPRODUCT(('Form responses 1'!$B$2:$B1000=$A81)*('Form responses 1'!$A$2:$A1000&lt;=EOMONTH(DATEVALUE("1 "&amp;AG$1),0)))+
  SUMPRODUCT(('Form responses 1'!$C$2:$C1000=$A81)*('Form responses 1'!$A$2:$A1000&lt;=EOMONTH(DATEVALUE("1 "&amp;AG$1),0)))+
  SUMPRODUCT(('Form responses 1'!$D$2:$D1000=$A81)*('Form responses 1'!$A$2:$A1000&lt;=EOMONTH(DATEVALUE("1 "&amp;AG$1),0)))+
  SUMPRODUCT(('Form responses 1'!$E$2:$E1000=$A81)*('Form responses 1'!$A$2:$A1000&lt;=EOMONTH(DATEVALUE("1 "&amp;AG$1),0)))+
  SUMPRODUCT(('Form responses 1'!$F$2:$F1000=$A81)*('Form responses 1'!$A$2:$A1000&lt;=EOMONTH(DATEVALUE("1 "&amp;AG$1),0)))+
  SUMPRODUCT(('Form responses 1'!$G$2:$G1000=$A81)*('Form responses 1'!$A$2:$A1000&lt;=EOMONTH(DATEVALUE("1 "&amp;AG$1),0)))
),2),"-")</f>
        <v>-</v>
      </c>
      <c r="AH81" s="2" t="str">
        <f>IFERROR(ROUND(Data!$B81/(
  SUMPRODUCT(('Form responses 1'!$B$2:$B1000=$A81)*('Form responses 1'!$A$2:$A1000&lt;=EOMONTH(DATEVALUE("1 "&amp;AH$1),0)))+
  SUMPRODUCT(('Form responses 1'!$C$2:$C1000=$A81)*('Form responses 1'!$A$2:$A1000&lt;=EOMONTH(DATEVALUE("1 "&amp;AH$1),0)))+
  SUMPRODUCT(('Form responses 1'!$D$2:$D1000=$A81)*('Form responses 1'!$A$2:$A1000&lt;=EOMONTH(DATEVALUE("1 "&amp;AH$1),0)))+
  SUMPRODUCT(('Form responses 1'!$E$2:$E1000=$A81)*('Form responses 1'!$A$2:$A1000&lt;=EOMONTH(DATEVALUE("1 "&amp;AH$1),0)))+
  SUMPRODUCT(('Form responses 1'!$F$2:$F1000=$A81)*('Form responses 1'!$A$2:$A1000&lt;=EOMONTH(DATEVALUE("1 "&amp;AH$1),0)))+
  SUMPRODUCT(('Form responses 1'!$G$2:$G1000=$A81)*('Form responses 1'!$A$2:$A1000&lt;=EOMONTH(DATEVALUE("1 "&amp;AH$1),0)))
),2),"-")</f>
        <v>-</v>
      </c>
      <c r="AI81" s="2" t="str">
        <f>IFERROR(ROUND(Data!$B81/(
  SUMPRODUCT(('Form responses 1'!$B$2:$B1000=$A81)*('Form responses 1'!$A$2:$A1000&lt;=EOMONTH(DATEVALUE("1 "&amp;AI$1),0)))+
  SUMPRODUCT(('Form responses 1'!$C$2:$C1000=$A81)*('Form responses 1'!$A$2:$A1000&lt;=EOMONTH(DATEVALUE("1 "&amp;AI$1),0)))+
  SUMPRODUCT(('Form responses 1'!$D$2:$D1000=$A81)*('Form responses 1'!$A$2:$A1000&lt;=EOMONTH(DATEVALUE("1 "&amp;AI$1),0)))+
  SUMPRODUCT(('Form responses 1'!$E$2:$E1000=$A81)*('Form responses 1'!$A$2:$A1000&lt;=EOMONTH(DATEVALUE("1 "&amp;AI$1),0)))+
  SUMPRODUCT(('Form responses 1'!$F$2:$F1000=$A81)*('Form responses 1'!$A$2:$A1000&lt;=EOMONTH(DATEVALUE("1 "&amp;AI$1),0)))+
  SUMPRODUCT(('Form responses 1'!$G$2:$G1000=$A81)*('Form responses 1'!$A$2:$A1000&lt;=EOMONTH(DATEVALUE("1 "&amp;AI$1),0)))
),2),"-")</f>
        <v>-</v>
      </c>
      <c r="AJ81" s="2" t="str">
        <f>IFERROR(ROUND(Data!$B81/(
  SUMPRODUCT(('Form responses 1'!$B$2:$B1000=$A81)*('Form responses 1'!$A$2:$A1000&lt;=EOMONTH(DATEVALUE("1 "&amp;AJ$1),0)))+
  SUMPRODUCT(('Form responses 1'!$C$2:$C1000=$A81)*('Form responses 1'!$A$2:$A1000&lt;=EOMONTH(DATEVALUE("1 "&amp;AJ$1),0)))+
  SUMPRODUCT(('Form responses 1'!$D$2:$D1000=$A81)*('Form responses 1'!$A$2:$A1000&lt;=EOMONTH(DATEVALUE("1 "&amp;AJ$1),0)))+
  SUMPRODUCT(('Form responses 1'!$E$2:$E1000=$A81)*('Form responses 1'!$A$2:$A1000&lt;=EOMONTH(DATEVALUE("1 "&amp;AJ$1),0)))+
  SUMPRODUCT(('Form responses 1'!$F$2:$F1000=$A81)*('Form responses 1'!$A$2:$A1000&lt;=EOMONTH(DATEVALUE("1 "&amp;AJ$1),0)))+
  SUMPRODUCT(('Form responses 1'!$G$2:$G1000=$A81)*('Form responses 1'!$A$2:$A1000&lt;=EOMONTH(DATEVALUE("1 "&amp;AJ$1),0)))
),2),"-")</f>
        <v>-</v>
      </c>
      <c r="AK81" s="2" t="str">
        <f>IFERROR(ROUND(Data!$B81/(
  SUMPRODUCT(('Form responses 1'!$B$2:$B1000=$A81)*('Form responses 1'!$A$2:$A1000&lt;=EOMONTH(DATEVALUE("1 "&amp;AK$1),0)))+
  SUMPRODUCT(('Form responses 1'!$C$2:$C1000=$A81)*('Form responses 1'!$A$2:$A1000&lt;=EOMONTH(DATEVALUE("1 "&amp;AK$1),0)))+
  SUMPRODUCT(('Form responses 1'!$D$2:$D1000=$A81)*('Form responses 1'!$A$2:$A1000&lt;=EOMONTH(DATEVALUE("1 "&amp;AK$1),0)))+
  SUMPRODUCT(('Form responses 1'!$E$2:$E1000=$A81)*('Form responses 1'!$A$2:$A1000&lt;=EOMONTH(DATEVALUE("1 "&amp;AK$1),0)))+
  SUMPRODUCT(('Form responses 1'!$F$2:$F1000=$A81)*('Form responses 1'!$A$2:$A1000&lt;=EOMONTH(DATEVALUE("1 "&amp;AK$1),0)))+
  SUMPRODUCT(('Form responses 1'!$G$2:$G1000=$A81)*('Form responses 1'!$A$2:$A1000&lt;=EOMONTH(DATEVALUE("1 "&amp;AK$1),0)))
),2),"-")</f>
        <v>-</v>
      </c>
      <c r="AL81" s="2" t="str">
        <f>IFERROR(ROUND(Data!$B81/(
  SUMPRODUCT(('Form responses 1'!$B$2:$B1000=$A81)*('Form responses 1'!$A$2:$A1000&lt;=EOMONTH(DATEVALUE("1 "&amp;AL$1),0)))+
  SUMPRODUCT(('Form responses 1'!$C$2:$C1000=$A81)*('Form responses 1'!$A$2:$A1000&lt;=EOMONTH(DATEVALUE("1 "&amp;AL$1),0)))+
  SUMPRODUCT(('Form responses 1'!$D$2:$D1000=$A81)*('Form responses 1'!$A$2:$A1000&lt;=EOMONTH(DATEVALUE("1 "&amp;AL$1),0)))+
  SUMPRODUCT(('Form responses 1'!$E$2:$E1000=$A81)*('Form responses 1'!$A$2:$A1000&lt;=EOMONTH(DATEVALUE("1 "&amp;AL$1),0)))+
  SUMPRODUCT(('Form responses 1'!$F$2:$F1000=$A81)*('Form responses 1'!$A$2:$A1000&lt;=EOMONTH(DATEVALUE("1 "&amp;AL$1),0)))+
  SUMPRODUCT(('Form responses 1'!$G$2:$G1000=$A81)*('Form responses 1'!$A$2:$A1000&lt;=EOMONTH(DATEVALUE("1 "&amp;AL$1),0)))
),2),"-")</f>
        <v>-</v>
      </c>
    </row>
    <row r="82">
      <c r="A82" s="3" t="str">
        <f>IFERROR(__xludf.DUMMYFUNCTION("""COMPUTED_VALUE"""),"New Balance 1906R")</f>
        <v>New Balance 1906R</v>
      </c>
      <c r="B82" s="2">
        <f>Data!F74:F1000</f>
        <v>0.3</v>
      </c>
      <c r="C82" s="2" t="str">
        <f>IFERROR(ROUND(Data!B74/(SUMPRODUCT(('Form responses 1'!$B$2:$B1000 = A82) * ('Form responses 1'!$A$2:$A1000 &lt;= DATE(2024, 1, 31)))
+ SUMPRODUCT(('Form responses 1'!$C$2:$C1000 = A82) * ('Form responses 1'!$A$2:$A1000 &lt;= DATE(2024, 1, 31)))
+ SUMPRODUCT(('Form responses 1'!$D$2:$D1000 = A82) * ('Form responses 1'!$A$2:$A1000 &lt;= DATE(2024, 1, 31)))
+ SUMPRODUCT(('Form responses 1'!$E$2:$E1000 = A82) * ('Form responses 1'!$A$2:$A1000 &lt;= DATE(2024, 1, 31)))
+ SUMPRODUCT(('Form responses 1'!$F$2:$F1000 = A82) * ('Form responses 1'!$A$2:$A1000 &lt;= DATE(2024, 1, 31)))
+ SUMPRODUCT(('Form responses 1'!$G$2:$G1000 = A82) * ('Form responses 1'!$A$2:$A1000 &lt;= DATE(2024, 1, 31)))), 2), "-")
</f>
        <v>-</v>
      </c>
      <c r="D82" s="2" t="str">
        <f>IFERROR(ROUND(Data!B74/(SUMPRODUCT(('Form responses 1'!$B$2:$B1000 = A82) * ('Form responses 1'!$A$2:$A1000 &lt;= DATE(2024, 2, 29)))
+ SUMPRODUCT(('Form responses 1'!$C$2:$C1000 = A82) * ('Form responses 1'!$A$2:$A1000 &lt;= DATE(2024, 2, 29)))
+ SUMPRODUCT(('Form responses 1'!$D$2:$D1000 = A82) * ('Form responses 1'!$A$2:$A1000 &lt;= DATE(2024, 2, 29)))
+ SUMPRODUCT(('Form responses 1'!$E$2:$E1000 = A82) * ('Form responses 1'!$A$2:$A1000 &lt;= DATE(2024, 2, 29)))
+ SUMPRODUCT(('Form responses 1'!$F$2:$F1000 = A82) * ('Form responses 1'!$A$2:$A1000 &lt;= DATE(2024, 2, 29)))
+ SUMPRODUCT(('Form responses 1'!$G$2:$G1000 = A82) * ('Form responses 1'!$A$2:$A1000 &lt;= DATE(2024, 2, 29)))), 2), "-")
</f>
        <v>-</v>
      </c>
      <c r="E82" s="2" t="str">
        <f>IFERROR(ROUND(Data!B74/(SUMPRODUCT(('Form responses 1'!$B$2:$B1000 = A82) * ('Form responses 1'!$A$2:$A1000 &lt;= DATE(2024, 3, 31)))
+ SUMPRODUCT(('Form responses 1'!$C$2:$C1000 = A82) * ('Form responses 1'!$A$2:$A1000 &lt;= DATE(2024, 3, 31)))
+ SUMPRODUCT(('Form responses 1'!$D$2:$D1000 = A82) * ('Form responses 1'!$A$2:$A1000 &lt;= DATE(2024, 3, 31)))
+ SUMPRODUCT(('Form responses 1'!$E$2:$E1000 = A82) * ('Form responses 1'!$A$2:$A1000 &lt;= DATE(2024, 3, 31)))
+ SUMPRODUCT(('Form responses 1'!$F$2:$F1000 = A82) * ('Form responses 1'!$A$2:$A1000 &lt;= DATE(2024, 3, 31)))
+ SUMPRODUCT(('Form responses 1'!$G$2:$G1000 = A82) * ('Form responses 1'!$A$2:$A1000 &lt;= DATE(2024, 3, 31)))), 2), "-")
</f>
        <v>-</v>
      </c>
      <c r="F82" s="2" t="str">
        <f>IFERROR(ROUND(Data!B74/(SUMPRODUCT(('Form responses 1'!$B$2:$B1000 = A82) * ('Form responses 1'!$A$2:$A1000 &lt;= DATE(2024, 4, 30)))
+ SUMPRODUCT(('Form responses 1'!$C$2:$C1000 = A82) * ('Form responses 1'!$A$2:$A1000 &lt;= DATE(2024, 4, 30)))
+ SUMPRODUCT(('Form responses 1'!$D$2:$D1000 = A82) * ('Form responses 1'!$A$2:$A1000 &lt;= DATE(2024, 4, 30)))
+ SUMPRODUCT(('Form responses 1'!$E$2:$E1000 = A82) * ('Form responses 1'!$A$2:$A1000 &lt;= DATE(2024, 4, 30)))
+ SUMPRODUCT(('Form responses 1'!$F$2:$F1000 = A82) * ('Form responses 1'!$A$2:$A1000 &lt;= DATE(2024, 4, 30)))
+ SUMPRODUCT(('Form responses 1'!$G$2:$G1000 = A82) * ('Form responses 1'!$A$2:$A1000 &lt;= DATE(2024, 4, 30)))), 2), "-")
</f>
        <v>-</v>
      </c>
      <c r="G82" s="2" t="str">
        <f>IFERROR(ROUND(Data!B74/(SUMPRODUCT(('Form responses 1'!$B$2:$B1000 = A82) * ('Form responses 1'!$A$2:$A1000 &lt;= DATE(2024, 5, 31)))
+ SUMPRODUCT(('Form responses 1'!$C$2:$C1000 = A82) * ('Form responses 1'!$A$2:$A1000 &lt;= DATE(2024, 5, 31)))
+ SUMPRODUCT(('Form responses 1'!$D$2:$D1000 = A82) * ('Form responses 1'!$A$2:$A1000 &lt;= DATE(2024, 5, 31)))
+ SUMPRODUCT(('Form responses 1'!$E$2:$E1000 = A82) * ('Form responses 1'!$A$2:$A1000 &lt;= DATE(2024, 5, 31)))
+ SUMPRODUCT(('Form responses 1'!$F$2:$F1000 = A82) * ('Form responses 1'!$A$2:$A1000 &lt;= DATE(2024, 5, 31)))
+ SUMPRODUCT(('Form responses 1'!$G$2:$G1000 = A82) * ('Form responses 1'!$A$2:$A1000 &lt;= DATE(2024, 5, 31)))), 2), "-")
</f>
        <v>-</v>
      </c>
      <c r="H82" s="2" t="str">
        <f>IFERROR(ROUND(Data!B74/(SUMPRODUCT(('Form responses 1'!$B$2:$B1000 = A82) * ('Form responses 1'!$A$2:$A1000 &lt;= DATE(2024, 6, 30)))
+ SUMPRODUCT(('Form responses 1'!$C$2:$C1000 = A82) * ('Form responses 1'!$A$2:$A1000 &lt;= DATE(2024, 6, 30)))
+ SUMPRODUCT(('Form responses 1'!$D$2:$D1000 = A82) * ('Form responses 1'!$A$2:$A1000 &lt;= DATE(2024, 6, 30)))
+ SUMPRODUCT(('Form responses 1'!$E$2:$E1000 = A82) * ('Form responses 1'!$A$2:$A1000 &lt;= DATE(2024, 6, 30)))
+ SUMPRODUCT(('Form responses 1'!$F$2:$F1000 = A82) * ('Form responses 1'!$A$2:$A1000 &lt;= DATE(2024, 6, 30)))
+ SUMPRODUCT(('Form responses 1'!$G$2:$G1000 = A82) * ('Form responses 1'!$A$2:$A1000 &lt;= DATE(2024, 6, 30)))), 2), "-")
</f>
        <v>-</v>
      </c>
      <c r="I82" s="2">
        <f>IFERROR(ROUND(Data!B74/(SUMPRODUCT(('Form responses 1'!$B$2:$B1000 = A82) * ('Form responses 1'!$A$2:$A1000 &lt;= DATE(2024, 7, 31)))
+ SUMPRODUCT(('Form responses 1'!$C$2:$C1000 = A82) * ('Form responses 1'!$A$2:$A1000 &lt;= DATE(2024, 7, 31)))
+ SUMPRODUCT(('Form responses 1'!$D$2:$D1000 = A82) * ('Form responses 1'!$A$2:$A1000 &lt;= DATE(2024, 7, 31)))
+ SUMPRODUCT(('Form responses 1'!$E$2:$E1000 = A82) * ('Form responses 1'!$A$2:$A1000 &lt;= DATE(2024, 7, 31)))
+ SUMPRODUCT(('Form responses 1'!$F$2:$F1000 = A82) * ('Form responses 1'!$A$2:$A1000 &lt;= DATE(2024, 7, 31)))
+ SUMPRODUCT(('Form responses 1'!$G$2:$G1000 = A82) * ('Form responses 1'!$A$2:$A1000 &lt;= DATE(2024, 7, 31)))), 2), "-")
</f>
        <v>7.5</v>
      </c>
      <c r="J82" s="2">
        <f>IFERROR(ROUND(Data!B74/(SUMPRODUCT(('Form responses 1'!$B$2:$B1000 = A82) * ('Form responses 1'!$A$2:$A1000 &lt;= DATE(2024, 8, 31)))
+ SUMPRODUCT(('Form responses 1'!$C$2:$C1000 = A82) * ('Form responses 1'!$A$2:$A1000 &lt;= DATE(2024, 8, 31)))
+ SUMPRODUCT(('Form responses 1'!$D$2:$D1000 = A82) * ('Form responses 1'!$A$2:$A1000 &lt;= DATE(2024, 8, 31)))
+ SUMPRODUCT(('Form responses 1'!$E$2:$E1000 = A82) * ('Form responses 1'!$A$2:$A1000 &lt;= DATE(2024, 8, 31)))
+ SUMPRODUCT(('Form responses 1'!$F$2:$F1000 = A82) * ('Form responses 1'!$A$2:$A1000 &lt;= DATE(2024, 8, 31)))
+ SUMPRODUCT(('Form responses 1'!$G$2:$G1000 = A82) * ('Form responses 1'!$A$2:$A1000 &lt;= DATE(2024, 8, 31)))), 2), "-")
</f>
        <v>2.5</v>
      </c>
      <c r="K82" s="2">
        <f>IFERROR(ROUND(Data!B74/(SUMPRODUCT(('Form responses 1'!$B$2:$B1000 = A82) * ('Form responses 1'!$A$2:$A1000 &lt;= DATE(2024, 9, 30)))
+ SUMPRODUCT(('Form responses 1'!$C$2:$C1000 = A82) * ('Form responses 1'!$A$2:$A1000 &lt;= DATE(2024, 9, 30)))
+ SUMPRODUCT(('Form responses 1'!$D$2:$D1000 = A82) * ('Form responses 1'!$A$2:$A1000 &lt;= DATE(2024, 9, 30)))
+ SUMPRODUCT(('Form responses 1'!$E$2:$E1000 = A82) * ('Form responses 1'!$A$2:$A1000 &lt;= DATE(2024, 9, 30)))
+ SUMPRODUCT(('Form responses 1'!$F$2:$F1000 = A82) * ('Form responses 1'!$A$2:$A1000 &lt;= DATE(2024, 9, 30)))
+ SUMPRODUCT(('Form responses 1'!$G$2:$G1000 = A82) * ('Form responses 1'!$A$2:$A1000 &lt;= DATE(2024, 9, 30)))), 2), "-")
</f>
        <v>1.29</v>
      </c>
      <c r="L82" s="2">
        <f>IFERROR(ROUND(Data!B74/(SUMPRODUCT(('Form responses 1'!$B$2:$B1000 = A82) * ('Form responses 1'!$A$2:$A1000 &lt;= DATE(2024, 10, 31)))
+ SUMPRODUCT(('Form responses 1'!$C$2:$C1000 = A82) * ('Form responses 1'!$A$2:$A1000 &lt;= DATE(2024, 10, 31)))
+ SUMPRODUCT(('Form responses 1'!$D$2:$D1000 = A82) * ('Form responses 1'!$A$2:$A1000 &lt;= DATE(2024, 10, 31)))
+ SUMPRODUCT(('Form responses 1'!$E$2:$E1000 = A82) * ('Form responses 1'!$A$2:$A1000 &lt;= DATE(2024, 10, 31)))
+ SUMPRODUCT(('Form responses 1'!$F$2:$F1000 = A82) * ('Form responses 1'!$A$2:$A1000 &lt;= DATE(2024, 10, 31)))
+ SUMPRODUCT(('Form responses 1'!$G$2:$G1000 = A82) * ('Form responses 1'!$A$2:$A1000 &lt;= DATE(2024, 10, 31)))), 2), "-")
</f>
        <v>1.02</v>
      </c>
      <c r="M82" s="2">
        <f>IFERROR(ROUND(Data!B74/(SUMPRODUCT(('Form responses 1'!$B$2:$B1000 = A82) * ('Form responses 1'!$A$2:$A1000 &lt;= DATE(2024, 11, 30)))
+ SUMPRODUCT(('Form responses 1'!$C$2:$C1000 = A82) * ('Form responses 1'!$A$2:$A1000 &lt;= DATE(2024, 11, 30)))
+ SUMPRODUCT(('Form responses 1'!$D$2:$D1000 = A82) * ('Form responses 1'!$A$2:$A1000 &lt;= DATE(2024, 11, 30)))
+ SUMPRODUCT(('Form responses 1'!$E$2:$E1000 = A82) * ('Form responses 1'!$A$2:$A1000 &lt;= DATE(2024, 11, 30)))
+ SUMPRODUCT(('Form responses 1'!$F$2:$F1000 = A82) * ('Form responses 1'!$A$2:$A1000 &lt;= DATE(2024, 11, 30)))
+ SUMPRODUCT(('Form responses 1'!$G$2:$G1000 = A82) * ('Form responses 1'!$A$2:$A1000 &lt;= DATE(2024, 11, 30)))), 2), "-")
</f>
        <v>0.85</v>
      </c>
      <c r="N82" s="2">
        <f>IFERROR(ROUND(Data!B74/(SUMPRODUCT(('Form responses 1'!$B$2:$B1000 = A82) * ('Form responses 1'!$A$2:$A1000 &lt;= DATE(2024, 12, 31)))
+ SUMPRODUCT(('Form responses 1'!$C$2:$C1000 = A82) * ('Form responses 1'!$A$2:$A1000 &lt;= DATE(2024, 12, 31)))
+ SUMPRODUCT(('Form responses 1'!$D$2:$D1000 = A82) * ('Form responses 1'!$A$2:$A1000 &lt;= DATE(2024, 12, 31)))
+ SUMPRODUCT(('Form responses 1'!$E$2:$E1000 = A82) * ('Form responses 1'!$A$2:$A1000 &lt;= DATE(2024, 12, 31)))
+ SUMPRODUCT(('Form responses 1'!$F$2:$F1000 = A82) * ('Form responses 1'!$A$2:$A1000 &lt;= DATE(2024, 12, 31)))
+ SUMPRODUCT(('Form responses 1'!$G$2:$G1000 = A82) * ('Form responses 1'!$A$2:$A1000 &lt;= DATE(2024, 12, 31)))), 2), "-")
</f>
        <v>0.73</v>
      </c>
      <c r="O82" s="2">
        <f>IFERROR(ROUND(Data!B74/(SUMPRODUCT(('Form responses 1'!$B$2:$B1000 = A82) * ('Form responses 1'!$A$2:$A1000 &lt;= DATE(2025, 1, 31)))
+ SUMPRODUCT(('Form responses 1'!$C$2:$C1000 = A82) * ('Form responses 1'!$A$2:$A1000 &lt;= DATE(2025, 1, 31)))
+ SUMPRODUCT(('Form responses 1'!$D$2:$D1000 = A82) * ('Form responses 1'!$A$2:$A1000 &lt;= DATE(2025, 1, 31)))
+ SUMPRODUCT(('Form responses 1'!$E$2:$E1000 = A82) * ('Form responses 1'!$A$2:$A1000 &lt;= DATE(2025, 1, 31)))
+ SUMPRODUCT(('Form responses 1'!$F$2:$F1000 = A82) * ('Form responses 1'!$A$2:$A1000 &lt;= DATE(2025, 1, 31)))
+ SUMPRODUCT(('Form responses 1'!$G$2:$G1000 = A82) * ('Form responses 1'!$A$2:$A1000 &lt;= DATE(2025, 1, 31)))), 2), "-")
</f>
        <v>0.61</v>
      </c>
      <c r="P82" s="2">
        <f>IFERROR(ROUND(Data!B74/(SUMPRODUCT(('Form responses 1'!$B$2:$B1000 = A82) * ('Form responses 1'!$A$2:$A1000 &lt;= DATE(2025, 2, 28)))
+ SUMPRODUCT(('Form responses 1'!$C$2:$C1000 = A82) * ('Form responses 1'!$A$2:$A1000 &lt;= DATE(2025, 2, 28)))
+ SUMPRODUCT(('Form responses 1'!$D$2:$D1000 = A82) * ('Form responses 1'!$A$2:$A1000 &lt;= DATE(2025, 2, 28)))
+ SUMPRODUCT(('Form responses 1'!$E$2:$E1000 = A82) * ('Form responses 1'!$A$2:$A1000 &lt;= DATE(2025, 2, 28)))
+ SUMPRODUCT(('Form responses 1'!$F$2:$F1000 = A82) * ('Form responses 1'!$A$2:$A1000 &lt;= DATE(2025, 2, 28)))
+ SUMPRODUCT(('Form responses 1'!$G$2:$G1000 = A82) * ('Form responses 1'!$A$2:$A1000 &lt;= DATE(2025, 2, 28)))), 2), "-")
</f>
        <v>0.55</v>
      </c>
      <c r="Q82" s="2">
        <f>IFERROR(ROUND(Data!B74/(SUMPRODUCT(('Form responses 1'!$B$2:$B1000 = A82) * ('Form responses 1'!$A$2:$A1000 &lt;= DATE(2025, 3, 31)))
+ SUMPRODUCT(('Form responses 1'!$C$2:$C1000 = A82) * ('Form responses 1'!$A$2:$A1000 &lt;= DATE(2025, 3, 31)))
+ SUMPRODUCT(('Form responses 1'!$D$2:$D1000 = A82) * ('Form responses 1'!$A$2:$A1000 &lt;= DATE(2025, 3, 31)))
+ SUMPRODUCT(('Form responses 1'!$E$2:$E1000 = A82) * ('Form responses 1'!$A$2:$A1000 &lt;= DATE(2025, 3, 31)))
+ SUMPRODUCT(('Form responses 1'!$F$2:$F1000 = A82) * ('Form responses 1'!$A$2:$A1000 &lt;= DATE(2025, 3, 31)))
+ SUMPRODUCT(('Form responses 1'!$G$2:$G1000 = A82) * ('Form responses 1'!$A$2:$A1000 &lt;= DATE(2025, 3, 31)))),2),"-")</f>
        <v>0.43</v>
      </c>
      <c r="R82" s="2">
        <f>IFERROR(ROUND(Data!B74/(SUMPRODUCT(('Form responses 1'!$B$2:$B1000 = A82) * ('Form responses 1'!$A$2:$A1000 &lt;= DATE(2025, 4, 30)))
+ SUMPRODUCT(('Form responses 1'!$C$2:$C1000 = A82) * ('Form responses 1'!$A$2:$A1000 &lt;= DATE(2025, 4, 30)))
+ SUMPRODUCT(('Form responses 1'!$D$2:$D1000 = A82) * ('Form responses 1'!$A$2:$A1000 &lt;= DATE(2025, 4, 30)))
+ SUMPRODUCT(('Form responses 1'!$E$2:$E1000 = A82) * ('Form responses 1'!$A$2:$A1000 &lt;= DATE(2025, 4, 30)))
+ SUMPRODUCT(('Form responses 1'!$F$2:$F1000 = A82) * ('Form responses 1'!$A$2:$A1000 &lt;= DATE(2025, 4, 30)))
+ SUMPRODUCT(('Form responses 1'!$G$2:$G1000 = A82) * ('Form responses 1'!$A$2:$A1000 &lt;= DATE(2025, 4, 30)))), 2), "-")
</f>
        <v>0.36</v>
      </c>
      <c r="S82" s="2">
        <f>IFERROR(ROUND(Data!B74/(SUMPRODUCT(('Form responses 1'!$B$2:$B1000 = A82) * ('Form responses 1'!$A$2:$A1000 &lt;= DATE(2025, 5, 31)))
+ SUMPRODUCT(('Form responses 1'!$C$2:$C1000 = A82) * ('Form responses 1'!$A$2:$A1000 &lt;= DATE(2025, 5, 31)))
+ SUMPRODUCT(('Form responses 1'!$D$2:$D1000 = A82) * ('Form responses 1'!$A$2:$A1000 &lt;= DATE(2025, 5, 31)))
+ SUMPRODUCT(('Form responses 1'!$E$2:$E1000 = A82) * ('Form responses 1'!$A$2:$A1000 &lt;= DATE(2025, 5, 31)))
+ SUMPRODUCT(('Form responses 1'!$F$2:$F1000 = A82) * ('Form responses 1'!$A$2:$A1000 &lt;= DATE(2025, 5, 31)))
+ SUMPRODUCT(('Form responses 1'!$G$2:$G1000 = A82) * ('Form responses 1'!$A$2:$A1000 &lt;= DATE(2025, 5, 31)))), 2), "-")
</f>
        <v>0.31</v>
      </c>
      <c r="T82" s="2">
        <f>IFERROR(ROUND(Data!B74/(SUMPRODUCT(('Form responses 1'!$B$2:$B1000 = A82) * ('Form responses 1'!$A$2:$A1000 &lt;= DATE(2025, 6, 30)))
+ SUMPRODUCT(('Form responses 1'!$C$2:$C1000 = A82) * ('Form responses 1'!$A$2:$A1000 &lt;= DATE(2025, 6, 30)))
+ SUMPRODUCT(('Form responses 1'!$D$2:$D1000 = A82) * ('Form responses 1'!$A$2:$A1000 &lt;= DATE(2025, 6, 30)))
+ SUMPRODUCT(('Form responses 1'!$E$2:$E1000 = A82) * ('Form responses 1'!$A$2:$A1000 &lt;= DATE(2025, 6, 30)))
+ SUMPRODUCT(('Form responses 1'!$F$2:$F1000 = A82) * ('Form responses 1'!$A$2:$A1000 &lt;= DATE(2025, 6, 30)))
+ SUMPRODUCT(('Form responses 1'!$G$2:$G1000 = A82) * ('Form responses 1'!$A$2:$A1000 &lt;= DATE(2025, 6, 30)))), 2), "-")
</f>
        <v>0.27</v>
      </c>
      <c r="U82" s="2">
        <f>IFERROR(ROUND(Data!B74/(SUMPRODUCT(('Form responses 1'!$B$2:$B1000 = A82) * ('Form responses 1'!$A$2:$A1000 &lt;= DATE(2025, 7, 31)))
+ SUMPRODUCT(('Form responses 1'!$C$2:$C1000 = A82) * ('Form responses 1'!$A$2:$A1000 &lt;= DATE(2025, 7, 31)))
+ SUMPRODUCT(('Form responses 1'!$D$2:$D1000 = A82) * ('Form responses 1'!$A$2:$A1000 &lt;= DATE(2025, 7, 31)))
+ SUMPRODUCT(('Form responses 1'!$E$2:$E1000 = A82) * ('Form responses 1'!$A$2:$A1000 &lt;= DATE(2025, 7, 31)))
+ SUMPRODUCT(('Form responses 1'!$F$2:$F1000 = A82) * ('Form responses 1'!$A$2:$A1000 &lt;= DATE(2025, 7, 31)))
+ SUMPRODUCT(('Form responses 1'!$G$2:$G1000 = A82) * ('Form responses 1'!$A$2:$A1000 &lt;= DATE(2025, 7, 31)))), 2), "-")
</f>
        <v>0.24</v>
      </c>
      <c r="V82" s="2">
        <f>IFERROR(ROUND(Data!B74/(SUMPRODUCT(('Form responses 1'!$B$2:$B1000 = A82) * ('Form responses 1'!$A$2:$A1000 &lt;= DATE(2025, 8, 31)))
+ SUMPRODUCT(('Form responses 1'!$C$2:$C1000 = A82) * ('Form responses 1'!$A$2:$A1000 &lt;= DATE(2025, 8, 31)))
+ SUMPRODUCT(('Form responses 1'!$D$2:$D1000 = A82) * ('Form responses 1'!$A$2:$A1000 &lt;= DATE(2025, 8, 31)))
+ SUMPRODUCT(('Form responses 1'!$E$2:$E1000 = A82) * ('Form responses 1'!$A$2:$A1000 &lt;= DATE(2025, 8, 31)))
+ SUMPRODUCT(('Form responses 1'!$F$2:$F1000 = A82) * ('Form responses 1'!$A$2:$A1000 &lt;= DATE(2025, 8, 31)))
+ SUMPRODUCT(('Form responses 1'!$G$2:$G1000 = A82) * ('Form responses 1'!$A$2:$A1000 &lt;= DATE(2025, 8, 31)))), 2), "-")
</f>
        <v>0.23</v>
      </c>
      <c r="W82" s="2">
        <f>IFERROR(ROUND(Data!B74/(SUMPRODUCT(('Form responses 1'!$B$2:$B1000 = A82) * ('Form responses 1'!$A$2:$A1000 &lt;= DATE(2025, 9, 30)))
+ SUMPRODUCT(('Form responses 1'!$C$2:$C1000 = A82) * ('Form responses 1'!$A$2:$A1000 &lt;= DATE(2025, 9, 30)))
+ SUMPRODUCT(('Form responses 1'!$D$2:$D1000 = A82) * ('Form responses 1'!$A$2:$A1000 &lt;= DATE(2025, 9, 30)))
+ SUMPRODUCT(('Form responses 1'!$E$2:$E1000 = A82) * ('Form responses 1'!$A$2:$A1000 &lt;= DATE(2025, 9, 30)))
+ SUMPRODUCT(('Form responses 1'!$F$2:$F1000 = A82) * ('Form responses 1'!$A$2:$A1000 &lt;= DATE(2025, 9, 30)))
+ SUMPRODUCT(('Form responses 1'!$G$2:$G1000 = A82) * ('Form responses 1'!$A$2:$A1000 &lt;= DATE(2025, 9, 30)))), 2), "-")
</f>
        <v>0.23</v>
      </c>
      <c r="X82" s="2">
        <f>IFERROR(ROUND(Data!B74/(SUMPRODUCT(('Form responses 1'!$B$2:$B1000 = A82) * ('Form responses 1'!$A$2:$A1000 &lt;= DATE(2025, 10, 31)))
+ SUMPRODUCT(('Form responses 1'!$C$2:$C1000 = A82) * ('Form responses 1'!$A$2:$A1000 &lt;= DATE(2025, 10, 31)))
+ SUMPRODUCT(('Form responses 1'!$D$2:$D1000 = A82) * ('Form responses 1'!$A$2:$A1000 &lt;= DATE(2025, 10, 31)))
+ SUMPRODUCT(('Form responses 1'!$E$2:$E1000 = A82) * ('Form responses 1'!$A$2:$A1000 &lt;= DATE(2025, 10, 31)))
+ SUMPRODUCT(('Form responses 1'!$F$2:$F1000 = A82) * ('Form responses 1'!$A$2:$A1000 &lt;= DATE(2025, 10, 31)))
+ SUMPRODUCT(('Form responses 1'!$G$2:$G1000 = A82) * ('Form responses 1'!$A$2:$A1000 &lt;= DATE(2025, 10, 31)))), 2), "-")
</f>
        <v>0.22</v>
      </c>
      <c r="Y82" s="2">
        <f>IFERROR(ROUND(Data!B74/(SUMPRODUCT(('Form responses 1'!$B$2:$B1000 = A82) * ('Form responses 1'!$A$2:$A1000 &lt;= DATE(2025, 11, 30)))
+ SUMPRODUCT(('Form responses 1'!$C$2:$C1000 = A82) * ('Form responses 1'!$A$2:$A1000 &lt;= DATE(2025, 11, 30)))
+ SUMPRODUCT(('Form responses 1'!$D$2:$D1000 = A82) * ('Form responses 1'!$A$2:$A1000 &lt;= DATE(2025, 11, 30)))
+ SUMPRODUCT(('Form responses 1'!$E$2:$E1000 = A82) * ('Form responses 1'!$A$2:$A1000 &lt;= DATE(2025, 11, 30)))
+ SUMPRODUCT(('Form responses 1'!$F$2:$F1000 = A82) * ('Form responses 1'!$A$2:$A1000 &lt;= DATE(2025, 11, 30)))
+ SUMPRODUCT(('Form responses 1'!$G$2:$G1000 = A82) * ('Form responses 1'!$A$2:$A1000 &lt;= DATE(2025, 11, 30)))), 2), "-")
</f>
        <v>0.22</v>
      </c>
      <c r="Z82" s="2">
        <f>IFERROR(ROUND(Data!B74/(SUMPRODUCT(('Form responses 1'!$B$2:$B1000 = A82) * ('Form responses 1'!$A$2:$A1000 &lt;= DATE(2025, 12, 31)))
+ SUMPRODUCT(('Form responses 1'!$C$2:$C1000 = A82) * ('Form responses 1'!$A$2:$A1000 &lt;= DATE(2025, 12, 31)))
+ SUMPRODUCT(('Form responses 1'!$D$2:$D1000 = A82) * ('Form responses 1'!$A$2:$A1000 &lt;= DATE(2025, 12, 31)))
+ SUMPRODUCT(('Form responses 1'!$E$2:$E1000 = A82) * ('Form responses 1'!$A$2:$A1000 &lt;= DATE(2025, 12, 31)))
+ SUMPRODUCT(('Form responses 1'!$F$2:$F1000 = A82) * ('Form responses 1'!$A$2:$A1000 &lt;= DATE(2025, 12, 31)))
+ SUMPRODUCT(('Form responses 1'!$G$2:$G1000 = A82) * ('Form responses 1'!$A$2:$A1000 &lt;= DATE(2025, 12, 31)))), 2), "-")
</f>
        <v>0.21</v>
      </c>
      <c r="AA82" s="2">
        <f>IFERROR(ROUND(Data!$B82/(
  SUMPRODUCT(('Form responses 1'!$B$2:$B1000=$A82)*('Form responses 1'!$A$2:$A1000&lt;=EOMONTH(DATEVALUE("1 "&amp;AA$1),0)))+
  SUMPRODUCT(('Form responses 1'!$C$2:$C1000=$A82)*('Form responses 1'!$A$2:$A1000&lt;=EOMONTH(DATEVALUE("1 "&amp;AA$1),0)))+
  SUMPRODUCT(('Form responses 1'!$D$2:$D1000=$A82)*('Form responses 1'!$A$2:$A1000&lt;=EOMONTH(DATEVALUE("1 "&amp;AA$1),0)))+
  SUMPRODUCT(('Form responses 1'!$E$2:$E1000=$A82)*('Form responses 1'!$A$2:$A1000&lt;=EOMONTH(DATEVALUE("1 "&amp;AA$1),0)))+
  SUMPRODUCT(('Form responses 1'!$F$2:$F1000=$A82)*('Form responses 1'!$A$2:$A1000&lt;=EOMONTH(DATEVALUE("1 "&amp;AA$1),0)))+
  SUMPRODUCT(('Form responses 1'!$G$2:$G1000=$A82)*('Form responses 1'!$A$2:$A1000&lt;=EOMONTH(DATEVALUE("1 "&amp;AA$1),0)))
),2),"-")</f>
        <v>0.37</v>
      </c>
      <c r="AB82" s="2">
        <f>IFERROR(ROUND(Data!$B82/(
  SUMPRODUCT(('Form responses 1'!$B$2:$B1000=$A82)*('Form responses 1'!$A$2:$A1000&lt;=EOMONTH(DATEVALUE("1 "&amp;AB$1),0)))+
  SUMPRODUCT(('Form responses 1'!$C$2:$C1000=$A82)*('Form responses 1'!$A$2:$A1000&lt;=EOMONTH(DATEVALUE("1 "&amp;AB$1),0)))+
  SUMPRODUCT(('Form responses 1'!$D$2:$D1000=$A82)*('Form responses 1'!$A$2:$A1000&lt;=EOMONTH(DATEVALUE("1 "&amp;AB$1),0)))+
  SUMPRODUCT(('Form responses 1'!$E$2:$E1000=$A82)*('Form responses 1'!$A$2:$A1000&lt;=EOMONTH(DATEVALUE("1 "&amp;AB$1),0)))+
  SUMPRODUCT(('Form responses 1'!$F$2:$F1000=$A82)*('Form responses 1'!$A$2:$A1000&lt;=EOMONTH(DATEVALUE("1 "&amp;AB$1),0)))+
  SUMPRODUCT(('Form responses 1'!$G$2:$G1000=$A82)*('Form responses 1'!$A$2:$A1000&lt;=EOMONTH(DATEVALUE("1 "&amp;AB$1),0)))
),2),"-")</f>
        <v>0.35</v>
      </c>
      <c r="AC82" s="2">
        <f>IFERROR(ROUND(Data!$B82/(
  SUMPRODUCT(('Form responses 1'!$B$2:$B1000=$A82)*('Form responses 1'!$A$2:$A1000&lt;=EOMONTH(DATEVALUE("1 "&amp;AC$1),0)))+
  SUMPRODUCT(('Form responses 1'!$C$2:$C1000=$A82)*('Form responses 1'!$A$2:$A1000&lt;=EOMONTH(DATEVALUE("1 "&amp;AC$1),0)))+
  SUMPRODUCT(('Form responses 1'!$D$2:$D1000=$A82)*('Form responses 1'!$A$2:$A1000&lt;=EOMONTH(DATEVALUE("1 "&amp;AC$1),0)))+
  SUMPRODUCT(('Form responses 1'!$E$2:$E1000=$A82)*('Form responses 1'!$A$2:$A1000&lt;=EOMONTH(DATEVALUE("1 "&amp;AC$1),0)))+
  SUMPRODUCT(('Form responses 1'!$F$2:$F1000=$A82)*('Form responses 1'!$A$2:$A1000&lt;=EOMONTH(DATEVALUE("1 "&amp;AC$1),0)))+
  SUMPRODUCT(('Form responses 1'!$G$2:$G1000=$A82)*('Form responses 1'!$A$2:$A1000&lt;=EOMONTH(DATEVALUE("1 "&amp;AC$1),0)))
),2),"-")</f>
        <v>0.35</v>
      </c>
      <c r="AD82" s="2" t="str">
        <f>IFERROR(ROUND(Data!$B82/(
  SUMPRODUCT(('Form responses 1'!$B$2:$B1000=$A82)*('Form responses 1'!$A$2:$A1000&lt;=EOMONTH(DATEVALUE("1 "&amp;AD$1),0)))+
  SUMPRODUCT(('Form responses 1'!$C$2:$C1000=$A82)*('Form responses 1'!$A$2:$A1000&lt;=EOMONTH(DATEVALUE("1 "&amp;AD$1),0)))+
  SUMPRODUCT(('Form responses 1'!$D$2:$D1000=$A82)*('Form responses 1'!$A$2:$A1000&lt;=EOMONTH(DATEVALUE("1 "&amp;AD$1),0)))+
  SUMPRODUCT(('Form responses 1'!$E$2:$E1000=$A82)*('Form responses 1'!$A$2:$A1000&lt;=EOMONTH(DATEVALUE("1 "&amp;AD$1),0)))+
  SUMPRODUCT(('Form responses 1'!$F$2:$F1000=$A82)*('Form responses 1'!$A$2:$A1000&lt;=EOMONTH(DATEVALUE("1 "&amp;AD$1),0)))+
  SUMPRODUCT(('Form responses 1'!$G$2:$G1000=$A82)*('Form responses 1'!$A$2:$A1000&lt;=EOMONTH(DATEVALUE("1 "&amp;AD$1),0)))
),2),"-")</f>
        <v>-</v>
      </c>
      <c r="AE82" s="2" t="str">
        <f>IFERROR(ROUND(Data!$B82/(
  SUMPRODUCT(('Form responses 1'!$B$2:$B1000=$A82)*('Form responses 1'!$A$2:$A1000&lt;=EOMONTH(DATEVALUE("1 "&amp;AE$1),0)))+
  SUMPRODUCT(('Form responses 1'!$C$2:$C1000=$A82)*('Form responses 1'!$A$2:$A1000&lt;=EOMONTH(DATEVALUE("1 "&amp;AE$1),0)))+
  SUMPRODUCT(('Form responses 1'!$D$2:$D1000=$A82)*('Form responses 1'!$A$2:$A1000&lt;=EOMONTH(DATEVALUE("1 "&amp;AE$1),0)))+
  SUMPRODUCT(('Form responses 1'!$E$2:$E1000=$A82)*('Form responses 1'!$A$2:$A1000&lt;=EOMONTH(DATEVALUE("1 "&amp;AE$1),0)))+
  SUMPRODUCT(('Form responses 1'!$F$2:$F1000=$A82)*('Form responses 1'!$A$2:$A1000&lt;=EOMONTH(DATEVALUE("1 "&amp;AE$1),0)))+
  SUMPRODUCT(('Form responses 1'!$G$2:$G1000=$A82)*('Form responses 1'!$A$2:$A1000&lt;=EOMONTH(DATEVALUE("1 "&amp;AE$1),0)))
),2),"-")</f>
        <v>-</v>
      </c>
      <c r="AF82" s="2" t="str">
        <f>IFERROR(ROUND(Data!$B82/(
  SUMPRODUCT(('Form responses 1'!$B$2:$B1000=$A82)*('Form responses 1'!$A$2:$A1000&lt;=EOMONTH(DATEVALUE("1 "&amp;AF$1),0)))+
  SUMPRODUCT(('Form responses 1'!$C$2:$C1000=$A82)*('Form responses 1'!$A$2:$A1000&lt;=EOMONTH(DATEVALUE("1 "&amp;AF$1),0)))+
  SUMPRODUCT(('Form responses 1'!$D$2:$D1000=$A82)*('Form responses 1'!$A$2:$A1000&lt;=EOMONTH(DATEVALUE("1 "&amp;AF$1),0)))+
  SUMPRODUCT(('Form responses 1'!$E$2:$E1000=$A82)*('Form responses 1'!$A$2:$A1000&lt;=EOMONTH(DATEVALUE("1 "&amp;AF$1),0)))+
  SUMPRODUCT(('Form responses 1'!$F$2:$F1000=$A82)*('Form responses 1'!$A$2:$A1000&lt;=EOMONTH(DATEVALUE("1 "&amp;AF$1),0)))+
  SUMPRODUCT(('Form responses 1'!$G$2:$G1000=$A82)*('Form responses 1'!$A$2:$A1000&lt;=EOMONTH(DATEVALUE("1 "&amp;AF$1),0)))
),2),"-")</f>
        <v>-</v>
      </c>
      <c r="AG82" s="2" t="str">
        <f>IFERROR(ROUND(Data!$B82/(
  SUMPRODUCT(('Form responses 1'!$B$2:$B1000=$A82)*('Form responses 1'!$A$2:$A1000&lt;=EOMONTH(DATEVALUE("1 "&amp;AG$1),0)))+
  SUMPRODUCT(('Form responses 1'!$C$2:$C1000=$A82)*('Form responses 1'!$A$2:$A1000&lt;=EOMONTH(DATEVALUE("1 "&amp;AG$1),0)))+
  SUMPRODUCT(('Form responses 1'!$D$2:$D1000=$A82)*('Form responses 1'!$A$2:$A1000&lt;=EOMONTH(DATEVALUE("1 "&amp;AG$1),0)))+
  SUMPRODUCT(('Form responses 1'!$E$2:$E1000=$A82)*('Form responses 1'!$A$2:$A1000&lt;=EOMONTH(DATEVALUE("1 "&amp;AG$1),0)))+
  SUMPRODUCT(('Form responses 1'!$F$2:$F1000=$A82)*('Form responses 1'!$A$2:$A1000&lt;=EOMONTH(DATEVALUE("1 "&amp;AG$1),0)))+
  SUMPRODUCT(('Form responses 1'!$G$2:$G1000=$A82)*('Form responses 1'!$A$2:$A1000&lt;=EOMONTH(DATEVALUE("1 "&amp;AG$1),0)))
),2),"-")</f>
        <v>-</v>
      </c>
      <c r="AH82" s="2" t="str">
        <f>IFERROR(ROUND(Data!$B82/(
  SUMPRODUCT(('Form responses 1'!$B$2:$B1000=$A82)*('Form responses 1'!$A$2:$A1000&lt;=EOMONTH(DATEVALUE("1 "&amp;AH$1),0)))+
  SUMPRODUCT(('Form responses 1'!$C$2:$C1000=$A82)*('Form responses 1'!$A$2:$A1000&lt;=EOMONTH(DATEVALUE("1 "&amp;AH$1),0)))+
  SUMPRODUCT(('Form responses 1'!$D$2:$D1000=$A82)*('Form responses 1'!$A$2:$A1000&lt;=EOMONTH(DATEVALUE("1 "&amp;AH$1),0)))+
  SUMPRODUCT(('Form responses 1'!$E$2:$E1000=$A82)*('Form responses 1'!$A$2:$A1000&lt;=EOMONTH(DATEVALUE("1 "&amp;AH$1),0)))+
  SUMPRODUCT(('Form responses 1'!$F$2:$F1000=$A82)*('Form responses 1'!$A$2:$A1000&lt;=EOMONTH(DATEVALUE("1 "&amp;AH$1),0)))+
  SUMPRODUCT(('Form responses 1'!$G$2:$G1000=$A82)*('Form responses 1'!$A$2:$A1000&lt;=EOMONTH(DATEVALUE("1 "&amp;AH$1),0)))
),2),"-")</f>
        <v>-</v>
      </c>
      <c r="AI82" s="2" t="str">
        <f>IFERROR(ROUND(Data!$B82/(
  SUMPRODUCT(('Form responses 1'!$B$2:$B1000=$A82)*('Form responses 1'!$A$2:$A1000&lt;=EOMONTH(DATEVALUE("1 "&amp;AI$1),0)))+
  SUMPRODUCT(('Form responses 1'!$C$2:$C1000=$A82)*('Form responses 1'!$A$2:$A1000&lt;=EOMONTH(DATEVALUE("1 "&amp;AI$1),0)))+
  SUMPRODUCT(('Form responses 1'!$D$2:$D1000=$A82)*('Form responses 1'!$A$2:$A1000&lt;=EOMONTH(DATEVALUE("1 "&amp;AI$1),0)))+
  SUMPRODUCT(('Form responses 1'!$E$2:$E1000=$A82)*('Form responses 1'!$A$2:$A1000&lt;=EOMONTH(DATEVALUE("1 "&amp;AI$1),0)))+
  SUMPRODUCT(('Form responses 1'!$F$2:$F1000=$A82)*('Form responses 1'!$A$2:$A1000&lt;=EOMONTH(DATEVALUE("1 "&amp;AI$1),0)))+
  SUMPRODUCT(('Form responses 1'!$G$2:$G1000=$A82)*('Form responses 1'!$A$2:$A1000&lt;=EOMONTH(DATEVALUE("1 "&amp;AI$1),0)))
),2),"-")</f>
        <v>-</v>
      </c>
      <c r="AJ82" s="2" t="str">
        <f>IFERROR(ROUND(Data!$B82/(
  SUMPRODUCT(('Form responses 1'!$B$2:$B1000=$A82)*('Form responses 1'!$A$2:$A1000&lt;=EOMONTH(DATEVALUE("1 "&amp;AJ$1),0)))+
  SUMPRODUCT(('Form responses 1'!$C$2:$C1000=$A82)*('Form responses 1'!$A$2:$A1000&lt;=EOMONTH(DATEVALUE("1 "&amp;AJ$1),0)))+
  SUMPRODUCT(('Form responses 1'!$D$2:$D1000=$A82)*('Form responses 1'!$A$2:$A1000&lt;=EOMONTH(DATEVALUE("1 "&amp;AJ$1),0)))+
  SUMPRODUCT(('Form responses 1'!$E$2:$E1000=$A82)*('Form responses 1'!$A$2:$A1000&lt;=EOMONTH(DATEVALUE("1 "&amp;AJ$1),0)))+
  SUMPRODUCT(('Form responses 1'!$F$2:$F1000=$A82)*('Form responses 1'!$A$2:$A1000&lt;=EOMONTH(DATEVALUE("1 "&amp;AJ$1),0)))+
  SUMPRODUCT(('Form responses 1'!$G$2:$G1000=$A82)*('Form responses 1'!$A$2:$A1000&lt;=EOMONTH(DATEVALUE("1 "&amp;AJ$1),0)))
),2),"-")</f>
        <v>-</v>
      </c>
      <c r="AK82" s="2" t="str">
        <f>IFERROR(ROUND(Data!$B82/(
  SUMPRODUCT(('Form responses 1'!$B$2:$B1000=$A82)*('Form responses 1'!$A$2:$A1000&lt;=EOMONTH(DATEVALUE("1 "&amp;AK$1),0)))+
  SUMPRODUCT(('Form responses 1'!$C$2:$C1000=$A82)*('Form responses 1'!$A$2:$A1000&lt;=EOMONTH(DATEVALUE("1 "&amp;AK$1),0)))+
  SUMPRODUCT(('Form responses 1'!$D$2:$D1000=$A82)*('Form responses 1'!$A$2:$A1000&lt;=EOMONTH(DATEVALUE("1 "&amp;AK$1),0)))+
  SUMPRODUCT(('Form responses 1'!$E$2:$E1000=$A82)*('Form responses 1'!$A$2:$A1000&lt;=EOMONTH(DATEVALUE("1 "&amp;AK$1),0)))+
  SUMPRODUCT(('Form responses 1'!$F$2:$F1000=$A82)*('Form responses 1'!$A$2:$A1000&lt;=EOMONTH(DATEVALUE("1 "&amp;AK$1),0)))+
  SUMPRODUCT(('Form responses 1'!$G$2:$G1000=$A82)*('Form responses 1'!$A$2:$A1000&lt;=EOMONTH(DATEVALUE("1 "&amp;AK$1),0)))
),2),"-")</f>
        <v>-</v>
      </c>
      <c r="AL82" s="2" t="str">
        <f>IFERROR(ROUND(Data!$B82/(
  SUMPRODUCT(('Form responses 1'!$B$2:$B1000=$A82)*('Form responses 1'!$A$2:$A1000&lt;=EOMONTH(DATEVALUE("1 "&amp;AL$1),0)))+
  SUMPRODUCT(('Form responses 1'!$C$2:$C1000=$A82)*('Form responses 1'!$A$2:$A1000&lt;=EOMONTH(DATEVALUE("1 "&amp;AL$1),0)))+
  SUMPRODUCT(('Form responses 1'!$D$2:$D1000=$A82)*('Form responses 1'!$A$2:$A1000&lt;=EOMONTH(DATEVALUE("1 "&amp;AL$1),0)))+
  SUMPRODUCT(('Form responses 1'!$E$2:$E1000=$A82)*('Form responses 1'!$A$2:$A1000&lt;=EOMONTH(DATEVALUE("1 "&amp;AL$1),0)))+
  SUMPRODUCT(('Form responses 1'!$F$2:$F1000=$A82)*('Form responses 1'!$A$2:$A1000&lt;=EOMONTH(DATEVALUE("1 "&amp;AL$1),0)))+
  SUMPRODUCT(('Form responses 1'!$G$2:$G1000=$A82)*('Form responses 1'!$A$2:$A1000&lt;=EOMONTH(DATEVALUE("1 "&amp;AL$1),0)))
),2),"-")</f>
        <v>-</v>
      </c>
    </row>
    <row r="83">
      <c r="A83" s="3" t="str">
        <f>IFERROR(__xludf.DUMMYFUNCTION("""COMPUTED_VALUE"""),"Wandelschoenen")</f>
        <v>Wandelschoenen</v>
      </c>
      <c r="B83" s="2">
        <f>Data!F75:F1000</f>
        <v>1.43</v>
      </c>
      <c r="C83" s="2">
        <f>IFERROR(ROUND(Data!B75/(SUMPRODUCT(('Form responses 1'!$B$2:$B1000 = A83) * ('Form responses 1'!$A$2:$A1000 &lt;= DATE(2024, 1, 31)))
+ SUMPRODUCT(('Form responses 1'!$C$2:$C1000 = A83) * ('Form responses 1'!$A$2:$A1000 &lt;= DATE(2024, 1, 31)))
+ SUMPRODUCT(('Form responses 1'!$D$2:$D1000 = A83) * ('Form responses 1'!$A$2:$A1000 &lt;= DATE(2024, 1, 31)))
+ SUMPRODUCT(('Form responses 1'!$E$2:$E1000 = A83) * ('Form responses 1'!$A$2:$A1000 &lt;= DATE(2024, 1, 31)))
+ SUMPRODUCT(('Form responses 1'!$F$2:$F1000 = A83) * ('Form responses 1'!$A$2:$A1000 &lt;= DATE(2024, 1, 31)))
+ SUMPRODUCT(('Form responses 1'!$G$2:$G1000 = A83) * ('Form responses 1'!$A$2:$A1000 &lt;= DATE(2024, 1, 31)))), 2), "-")
</f>
        <v>2.83</v>
      </c>
      <c r="D83" s="2">
        <f>IFERROR(ROUND(Data!B75/(SUMPRODUCT(('Form responses 1'!$B$2:$B1000 = A83) * ('Form responses 1'!$A$2:$A1000 &lt;= DATE(2024, 2, 29)))
+ SUMPRODUCT(('Form responses 1'!$C$2:$C1000 = A83) * ('Form responses 1'!$A$2:$A1000 &lt;= DATE(2024, 2, 29)))
+ SUMPRODUCT(('Form responses 1'!$D$2:$D1000 = A83) * ('Form responses 1'!$A$2:$A1000 &lt;= DATE(2024, 2, 29)))
+ SUMPRODUCT(('Form responses 1'!$E$2:$E1000 = A83) * ('Form responses 1'!$A$2:$A1000 &lt;= DATE(2024, 2, 29)))
+ SUMPRODUCT(('Form responses 1'!$F$2:$F1000 = A83) * ('Form responses 1'!$A$2:$A1000 &lt;= DATE(2024, 2, 29)))
+ SUMPRODUCT(('Form responses 1'!$G$2:$G1000 = A83) * ('Form responses 1'!$A$2:$A1000 &lt;= DATE(2024, 2, 29)))), 2), "-")
</f>
        <v>2.83</v>
      </c>
      <c r="E83" s="2">
        <f>IFERROR(ROUND(Data!B75/(SUMPRODUCT(('Form responses 1'!$B$2:$B1000 = A83) * ('Form responses 1'!$A$2:$A1000 &lt;= DATE(2024, 3, 31)))
+ SUMPRODUCT(('Form responses 1'!$C$2:$C1000 = A83) * ('Form responses 1'!$A$2:$A1000 &lt;= DATE(2024, 3, 31)))
+ SUMPRODUCT(('Form responses 1'!$D$2:$D1000 = A83) * ('Form responses 1'!$A$2:$A1000 &lt;= DATE(2024, 3, 31)))
+ SUMPRODUCT(('Form responses 1'!$E$2:$E1000 = A83) * ('Form responses 1'!$A$2:$A1000 &lt;= DATE(2024, 3, 31)))
+ SUMPRODUCT(('Form responses 1'!$F$2:$F1000 = A83) * ('Form responses 1'!$A$2:$A1000 &lt;= DATE(2024, 3, 31)))
+ SUMPRODUCT(('Form responses 1'!$G$2:$G1000 = A83) * ('Form responses 1'!$A$2:$A1000 &lt;= DATE(2024, 3, 31)))), 2), "-")
</f>
        <v>2.83</v>
      </c>
      <c r="F83" s="2">
        <f>IFERROR(ROUND(Data!B75/(SUMPRODUCT(('Form responses 1'!$B$2:$B1000 = A83) * ('Form responses 1'!$A$2:$A1000 &lt;= DATE(2024, 4, 30)))
+ SUMPRODUCT(('Form responses 1'!$C$2:$C1000 = A83) * ('Form responses 1'!$A$2:$A1000 &lt;= DATE(2024, 4, 30)))
+ SUMPRODUCT(('Form responses 1'!$D$2:$D1000 = A83) * ('Form responses 1'!$A$2:$A1000 &lt;= DATE(2024, 4, 30)))
+ SUMPRODUCT(('Form responses 1'!$E$2:$E1000 = A83) * ('Form responses 1'!$A$2:$A1000 &lt;= DATE(2024, 4, 30)))
+ SUMPRODUCT(('Form responses 1'!$F$2:$F1000 = A83) * ('Form responses 1'!$A$2:$A1000 &lt;= DATE(2024, 4, 30)))
+ SUMPRODUCT(('Form responses 1'!$G$2:$G1000 = A83) * ('Form responses 1'!$A$2:$A1000 &lt;= DATE(2024, 4, 30)))), 2), "-")
</f>
        <v>2.83</v>
      </c>
      <c r="G83" s="2">
        <f>IFERROR(ROUND(Data!B75/(SUMPRODUCT(('Form responses 1'!$B$2:$B1000 = A83) * ('Form responses 1'!$A$2:$A1000 &lt;= DATE(2024, 5, 31)))
+ SUMPRODUCT(('Form responses 1'!$C$2:$C1000 = A83) * ('Form responses 1'!$A$2:$A1000 &lt;= DATE(2024, 5, 31)))
+ SUMPRODUCT(('Form responses 1'!$D$2:$D1000 = A83) * ('Form responses 1'!$A$2:$A1000 &lt;= DATE(2024, 5, 31)))
+ SUMPRODUCT(('Form responses 1'!$E$2:$E1000 = A83) * ('Form responses 1'!$A$2:$A1000 &lt;= DATE(2024, 5, 31)))
+ SUMPRODUCT(('Form responses 1'!$F$2:$F1000 = A83) * ('Form responses 1'!$A$2:$A1000 &lt;= DATE(2024, 5, 31)))
+ SUMPRODUCT(('Form responses 1'!$G$2:$G1000 = A83) * ('Form responses 1'!$A$2:$A1000 &lt;= DATE(2024, 5, 31)))), 2), "-")
</f>
        <v>2.83</v>
      </c>
      <c r="H83" s="2">
        <f>IFERROR(ROUND(Data!B75/(SUMPRODUCT(('Form responses 1'!$B$2:$B1000 = A83) * ('Form responses 1'!$A$2:$A1000 &lt;= DATE(2024, 6, 30)))
+ SUMPRODUCT(('Form responses 1'!$C$2:$C1000 = A83) * ('Form responses 1'!$A$2:$A1000 &lt;= DATE(2024, 6, 30)))
+ SUMPRODUCT(('Form responses 1'!$D$2:$D1000 = A83) * ('Form responses 1'!$A$2:$A1000 &lt;= DATE(2024, 6, 30)))
+ SUMPRODUCT(('Form responses 1'!$E$2:$E1000 = A83) * ('Form responses 1'!$A$2:$A1000 &lt;= DATE(2024, 6, 30)))
+ SUMPRODUCT(('Form responses 1'!$F$2:$F1000 = A83) * ('Form responses 1'!$A$2:$A1000 &lt;= DATE(2024, 6, 30)))
+ SUMPRODUCT(('Form responses 1'!$G$2:$G1000 = A83) * ('Form responses 1'!$A$2:$A1000 &lt;= DATE(2024, 6, 30)))), 2), "-")
</f>
        <v>2.83</v>
      </c>
      <c r="I83" s="2">
        <f>IFERROR(ROUND(Data!B75/(SUMPRODUCT(('Form responses 1'!$B$2:$B1000 = A83) * ('Form responses 1'!$A$2:$A1000 &lt;= DATE(2024, 7, 31)))
+ SUMPRODUCT(('Form responses 1'!$C$2:$C1000 = A83) * ('Form responses 1'!$A$2:$A1000 &lt;= DATE(2024, 7, 31)))
+ SUMPRODUCT(('Form responses 1'!$D$2:$D1000 = A83) * ('Form responses 1'!$A$2:$A1000 &lt;= DATE(2024, 7, 31)))
+ SUMPRODUCT(('Form responses 1'!$E$2:$E1000 = A83) * ('Form responses 1'!$A$2:$A1000 &lt;= DATE(2024, 7, 31)))
+ SUMPRODUCT(('Form responses 1'!$F$2:$F1000 = A83) * ('Form responses 1'!$A$2:$A1000 &lt;= DATE(2024, 7, 31)))
+ SUMPRODUCT(('Form responses 1'!$G$2:$G1000 = A83) * ('Form responses 1'!$A$2:$A1000 &lt;= DATE(2024, 7, 31)))), 2), "-")
</f>
        <v>2.83</v>
      </c>
      <c r="J83" s="2">
        <f>IFERROR(ROUND(Data!B75/(SUMPRODUCT(('Form responses 1'!$B$2:$B1000 = A83) * ('Form responses 1'!$A$2:$A1000 &lt;= DATE(2024, 8, 31)))
+ SUMPRODUCT(('Form responses 1'!$C$2:$C1000 = A83) * ('Form responses 1'!$A$2:$A1000 &lt;= DATE(2024, 8, 31)))
+ SUMPRODUCT(('Form responses 1'!$D$2:$D1000 = A83) * ('Form responses 1'!$A$2:$A1000 &lt;= DATE(2024, 8, 31)))
+ SUMPRODUCT(('Form responses 1'!$E$2:$E1000 = A83) * ('Form responses 1'!$A$2:$A1000 &lt;= DATE(2024, 8, 31)))
+ SUMPRODUCT(('Form responses 1'!$F$2:$F1000 = A83) * ('Form responses 1'!$A$2:$A1000 &lt;= DATE(2024, 8, 31)))
+ SUMPRODUCT(('Form responses 1'!$G$2:$G1000 = A83) * ('Form responses 1'!$A$2:$A1000 &lt;= DATE(2024, 8, 31)))), 2), "-")
</f>
        <v>2.83</v>
      </c>
      <c r="K83" s="2">
        <f>IFERROR(ROUND(Data!B75/(SUMPRODUCT(('Form responses 1'!$B$2:$B1000 = A83) * ('Form responses 1'!$A$2:$A1000 &lt;= DATE(2024, 9, 30)))
+ SUMPRODUCT(('Form responses 1'!$C$2:$C1000 = A83) * ('Form responses 1'!$A$2:$A1000 &lt;= DATE(2024, 9, 30)))
+ SUMPRODUCT(('Form responses 1'!$D$2:$D1000 = A83) * ('Form responses 1'!$A$2:$A1000 &lt;= DATE(2024, 9, 30)))
+ SUMPRODUCT(('Form responses 1'!$E$2:$E1000 = A83) * ('Form responses 1'!$A$2:$A1000 &lt;= DATE(2024, 9, 30)))
+ SUMPRODUCT(('Form responses 1'!$F$2:$F1000 = A83) * ('Form responses 1'!$A$2:$A1000 &lt;= DATE(2024, 9, 30)))
+ SUMPRODUCT(('Form responses 1'!$G$2:$G1000 = A83) * ('Form responses 1'!$A$2:$A1000 &lt;= DATE(2024, 9, 30)))), 2), "-")
</f>
        <v>2.83</v>
      </c>
      <c r="L83" s="2">
        <f>IFERROR(ROUND(Data!B75/(SUMPRODUCT(('Form responses 1'!$B$2:$B1000 = A83) * ('Form responses 1'!$A$2:$A1000 &lt;= DATE(2024, 10, 31)))
+ SUMPRODUCT(('Form responses 1'!$C$2:$C1000 = A83) * ('Form responses 1'!$A$2:$A1000 &lt;= DATE(2024, 10, 31)))
+ SUMPRODUCT(('Form responses 1'!$D$2:$D1000 = A83) * ('Form responses 1'!$A$2:$A1000 &lt;= DATE(2024, 10, 31)))
+ SUMPRODUCT(('Form responses 1'!$E$2:$E1000 = A83) * ('Form responses 1'!$A$2:$A1000 &lt;= DATE(2024, 10, 31)))
+ SUMPRODUCT(('Form responses 1'!$F$2:$F1000 = A83) * ('Form responses 1'!$A$2:$A1000 &lt;= DATE(2024, 10, 31)))
+ SUMPRODUCT(('Form responses 1'!$G$2:$G1000 = A83) * ('Form responses 1'!$A$2:$A1000 &lt;= DATE(2024, 10, 31)))), 2), "-")
</f>
        <v>2.32</v>
      </c>
      <c r="M83" s="2">
        <f>IFERROR(ROUND(Data!B75/(SUMPRODUCT(('Form responses 1'!$B$2:$B1000 = A83) * ('Form responses 1'!$A$2:$A1000 &lt;= DATE(2024, 11, 30)))
+ SUMPRODUCT(('Form responses 1'!$C$2:$C1000 = A83) * ('Form responses 1'!$A$2:$A1000 &lt;= DATE(2024, 11, 30)))
+ SUMPRODUCT(('Form responses 1'!$D$2:$D1000 = A83) * ('Form responses 1'!$A$2:$A1000 &lt;= DATE(2024, 11, 30)))
+ SUMPRODUCT(('Form responses 1'!$E$2:$E1000 = A83) * ('Form responses 1'!$A$2:$A1000 &lt;= DATE(2024, 11, 30)))
+ SUMPRODUCT(('Form responses 1'!$F$2:$F1000 = A83) * ('Form responses 1'!$A$2:$A1000 &lt;= DATE(2024, 11, 30)))
+ SUMPRODUCT(('Form responses 1'!$G$2:$G1000 = A83) * ('Form responses 1'!$A$2:$A1000 &lt;= DATE(2024, 11, 30)))), 2), "-")
</f>
        <v>2.32</v>
      </c>
      <c r="N83" s="2">
        <f>IFERROR(ROUND(Data!B75/(SUMPRODUCT(('Form responses 1'!$B$2:$B1000 = A83) * ('Form responses 1'!$A$2:$A1000 &lt;= DATE(2024, 12, 31)))
+ SUMPRODUCT(('Form responses 1'!$C$2:$C1000 = A83) * ('Form responses 1'!$A$2:$A1000 &lt;= DATE(2024, 12, 31)))
+ SUMPRODUCT(('Form responses 1'!$D$2:$D1000 = A83) * ('Form responses 1'!$A$2:$A1000 &lt;= DATE(2024, 12, 31)))
+ SUMPRODUCT(('Form responses 1'!$E$2:$E1000 = A83) * ('Form responses 1'!$A$2:$A1000 &lt;= DATE(2024, 12, 31)))
+ SUMPRODUCT(('Form responses 1'!$F$2:$F1000 = A83) * ('Form responses 1'!$A$2:$A1000 &lt;= DATE(2024, 12, 31)))
+ SUMPRODUCT(('Form responses 1'!$G$2:$G1000 = A83) * ('Form responses 1'!$A$2:$A1000 &lt;= DATE(2024, 12, 31)))), 2), "-")
</f>
        <v>2.17</v>
      </c>
      <c r="O83" s="2">
        <f>IFERROR(ROUND(Data!B75/(SUMPRODUCT(('Form responses 1'!$B$2:$B1000 = A83) * ('Form responses 1'!$A$2:$A1000 &lt;= DATE(2025, 1, 31)))
+ SUMPRODUCT(('Form responses 1'!$C$2:$C1000 = A83) * ('Form responses 1'!$A$2:$A1000 &lt;= DATE(2025, 1, 31)))
+ SUMPRODUCT(('Form responses 1'!$D$2:$D1000 = A83) * ('Form responses 1'!$A$2:$A1000 &lt;= DATE(2025, 1, 31)))
+ SUMPRODUCT(('Form responses 1'!$E$2:$E1000 = A83) * ('Form responses 1'!$A$2:$A1000 &lt;= DATE(2025, 1, 31)))
+ SUMPRODUCT(('Form responses 1'!$F$2:$F1000 = A83) * ('Form responses 1'!$A$2:$A1000 &lt;= DATE(2025, 1, 31)))
+ SUMPRODUCT(('Form responses 1'!$G$2:$G1000 = A83) * ('Form responses 1'!$A$2:$A1000 &lt;= DATE(2025, 1, 31)))), 2), "-")
</f>
        <v>2.03</v>
      </c>
      <c r="P83" s="2">
        <f>IFERROR(ROUND(Data!B75/(SUMPRODUCT(('Form responses 1'!$B$2:$B1000 = A83) * ('Form responses 1'!$A$2:$A1000 &lt;= DATE(2025, 2, 28)))
+ SUMPRODUCT(('Form responses 1'!$C$2:$C1000 = A83) * ('Form responses 1'!$A$2:$A1000 &lt;= DATE(2025, 2, 28)))
+ SUMPRODUCT(('Form responses 1'!$D$2:$D1000 = A83) * ('Form responses 1'!$A$2:$A1000 &lt;= DATE(2025, 2, 28)))
+ SUMPRODUCT(('Form responses 1'!$E$2:$E1000 = A83) * ('Form responses 1'!$A$2:$A1000 &lt;= DATE(2025, 2, 28)))
+ SUMPRODUCT(('Form responses 1'!$F$2:$F1000 = A83) * ('Form responses 1'!$A$2:$A1000 &lt;= DATE(2025, 2, 28)))
+ SUMPRODUCT(('Form responses 1'!$G$2:$G1000 = A83) * ('Form responses 1'!$A$2:$A1000 &lt;= DATE(2025, 2, 28)))), 2), "-")
</f>
        <v>1.97</v>
      </c>
      <c r="Q83" s="2">
        <f>IFERROR(ROUND(Data!B75/(SUMPRODUCT(('Form responses 1'!$B$2:$B1000 = A83) * ('Form responses 1'!$A$2:$A1000 &lt;= DATE(2025, 3, 31)))
+ SUMPRODUCT(('Form responses 1'!$C$2:$C1000 = A83) * ('Form responses 1'!$A$2:$A1000 &lt;= DATE(2025, 3, 31)))
+ SUMPRODUCT(('Form responses 1'!$D$2:$D1000 = A83) * ('Form responses 1'!$A$2:$A1000 &lt;= DATE(2025, 3, 31)))
+ SUMPRODUCT(('Form responses 1'!$E$2:$E1000 = A83) * ('Form responses 1'!$A$2:$A1000 &lt;= DATE(2025, 3, 31)))
+ SUMPRODUCT(('Form responses 1'!$F$2:$F1000 = A83) * ('Form responses 1'!$A$2:$A1000 &lt;= DATE(2025, 3, 31)))
+ SUMPRODUCT(('Form responses 1'!$G$2:$G1000 = A83) * ('Form responses 1'!$A$2:$A1000 &lt;= DATE(2025, 3, 31)))),2),"-")</f>
        <v>1.97</v>
      </c>
      <c r="R83" s="2">
        <f>IFERROR(ROUND(Data!B75/(SUMPRODUCT(('Form responses 1'!$B$2:$B1000 = A83) * ('Form responses 1'!$A$2:$A1000 &lt;= DATE(2025, 4, 30)))
+ SUMPRODUCT(('Form responses 1'!$C$2:$C1000 = A83) * ('Form responses 1'!$A$2:$A1000 &lt;= DATE(2025, 4, 30)))
+ SUMPRODUCT(('Form responses 1'!$D$2:$D1000 = A83) * ('Form responses 1'!$A$2:$A1000 &lt;= DATE(2025, 4, 30)))
+ SUMPRODUCT(('Form responses 1'!$E$2:$E1000 = A83) * ('Form responses 1'!$A$2:$A1000 &lt;= DATE(2025, 4, 30)))
+ SUMPRODUCT(('Form responses 1'!$F$2:$F1000 = A83) * ('Form responses 1'!$A$2:$A1000 &lt;= DATE(2025, 4, 30)))
+ SUMPRODUCT(('Form responses 1'!$G$2:$G1000 = A83) * ('Form responses 1'!$A$2:$A1000 &lt;= DATE(2025, 4, 30)))), 2), "-")
</f>
        <v>1.97</v>
      </c>
      <c r="S83" s="2">
        <f>IFERROR(ROUND(Data!B75/(SUMPRODUCT(('Form responses 1'!$B$2:$B1000 = A83) * ('Form responses 1'!$A$2:$A1000 &lt;= DATE(2025, 5, 31)))
+ SUMPRODUCT(('Form responses 1'!$C$2:$C1000 = A83) * ('Form responses 1'!$A$2:$A1000 &lt;= DATE(2025, 5, 31)))
+ SUMPRODUCT(('Form responses 1'!$D$2:$D1000 = A83) * ('Form responses 1'!$A$2:$A1000 &lt;= DATE(2025, 5, 31)))
+ SUMPRODUCT(('Form responses 1'!$E$2:$E1000 = A83) * ('Form responses 1'!$A$2:$A1000 &lt;= DATE(2025, 5, 31)))
+ SUMPRODUCT(('Form responses 1'!$F$2:$F1000 = A83) * ('Form responses 1'!$A$2:$A1000 &lt;= DATE(2025, 5, 31)))
+ SUMPRODUCT(('Form responses 1'!$G$2:$G1000 = A83) * ('Form responses 1'!$A$2:$A1000 &lt;= DATE(2025, 5, 31)))), 2), "-")
</f>
        <v>1.97</v>
      </c>
      <c r="T83" s="2">
        <f>IFERROR(ROUND(Data!B75/(SUMPRODUCT(('Form responses 1'!$B$2:$B1000 = A83) * ('Form responses 1'!$A$2:$A1000 &lt;= DATE(2025, 6, 30)))
+ SUMPRODUCT(('Form responses 1'!$C$2:$C1000 = A83) * ('Form responses 1'!$A$2:$A1000 &lt;= DATE(2025, 6, 30)))
+ SUMPRODUCT(('Form responses 1'!$D$2:$D1000 = A83) * ('Form responses 1'!$A$2:$A1000 &lt;= DATE(2025, 6, 30)))
+ SUMPRODUCT(('Form responses 1'!$E$2:$E1000 = A83) * ('Form responses 1'!$A$2:$A1000 &lt;= DATE(2025, 6, 30)))
+ SUMPRODUCT(('Form responses 1'!$F$2:$F1000 = A83) * ('Form responses 1'!$A$2:$A1000 &lt;= DATE(2025, 6, 30)))
+ SUMPRODUCT(('Form responses 1'!$G$2:$G1000 = A83) * ('Form responses 1'!$A$2:$A1000 &lt;= DATE(2025, 6, 30)))), 2), "-")
</f>
        <v>1.97</v>
      </c>
      <c r="U83" s="2">
        <f>IFERROR(ROUND(Data!B75/(SUMPRODUCT(('Form responses 1'!$B$2:$B1000 = A83) * ('Form responses 1'!$A$2:$A1000 &lt;= DATE(2025, 7, 31)))
+ SUMPRODUCT(('Form responses 1'!$C$2:$C1000 = A83) * ('Form responses 1'!$A$2:$A1000 &lt;= DATE(2025, 7, 31)))
+ SUMPRODUCT(('Form responses 1'!$D$2:$D1000 = A83) * ('Form responses 1'!$A$2:$A1000 &lt;= DATE(2025, 7, 31)))
+ SUMPRODUCT(('Form responses 1'!$E$2:$E1000 = A83) * ('Form responses 1'!$A$2:$A1000 &lt;= DATE(2025, 7, 31)))
+ SUMPRODUCT(('Form responses 1'!$F$2:$F1000 = A83) * ('Form responses 1'!$A$2:$A1000 &lt;= DATE(2025, 7, 31)))
+ SUMPRODUCT(('Form responses 1'!$G$2:$G1000 = A83) * ('Form responses 1'!$A$2:$A1000 &lt;= DATE(2025, 7, 31)))), 2), "-")
</f>
        <v>1.97</v>
      </c>
      <c r="V83" s="2">
        <f>IFERROR(ROUND(Data!B75/(SUMPRODUCT(('Form responses 1'!$B$2:$B1000 = A83) * ('Form responses 1'!$A$2:$A1000 &lt;= DATE(2025, 8, 31)))
+ SUMPRODUCT(('Form responses 1'!$C$2:$C1000 = A83) * ('Form responses 1'!$A$2:$A1000 &lt;= DATE(2025, 8, 31)))
+ SUMPRODUCT(('Form responses 1'!$D$2:$D1000 = A83) * ('Form responses 1'!$A$2:$A1000 &lt;= DATE(2025, 8, 31)))
+ SUMPRODUCT(('Form responses 1'!$E$2:$E1000 = A83) * ('Form responses 1'!$A$2:$A1000 &lt;= DATE(2025, 8, 31)))
+ SUMPRODUCT(('Form responses 1'!$F$2:$F1000 = A83) * ('Form responses 1'!$A$2:$A1000 &lt;= DATE(2025, 8, 31)))
+ SUMPRODUCT(('Form responses 1'!$G$2:$G1000 = A83) * ('Form responses 1'!$A$2:$A1000 &lt;= DATE(2025, 8, 31)))), 2), "-")
</f>
        <v>1.97</v>
      </c>
      <c r="W83" s="2">
        <f>IFERROR(ROUND(Data!B75/(SUMPRODUCT(('Form responses 1'!$B$2:$B1000 = A83) * ('Form responses 1'!$A$2:$A1000 &lt;= DATE(2025, 9, 30)))
+ SUMPRODUCT(('Form responses 1'!$C$2:$C1000 = A83) * ('Form responses 1'!$A$2:$A1000 &lt;= DATE(2025, 9, 30)))
+ SUMPRODUCT(('Form responses 1'!$D$2:$D1000 = A83) * ('Form responses 1'!$A$2:$A1000 &lt;= DATE(2025, 9, 30)))
+ SUMPRODUCT(('Form responses 1'!$E$2:$E1000 = A83) * ('Form responses 1'!$A$2:$A1000 &lt;= DATE(2025, 9, 30)))
+ SUMPRODUCT(('Form responses 1'!$F$2:$F1000 = A83) * ('Form responses 1'!$A$2:$A1000 &lt;= DATE(2025, 9, 30)))
+ SUMPRODUCT(('Form responses 1'!$G$2:$G1000 = A83) * ('Form responses 1'!$A$2:$A1000 &lt;= DATE(2025, 9, 30)))), 2), "-")
</f>
        <v>1.97</v>
      </c>
      <c r="X83" s="2">
        <f>IFERROR(ROUND(Data!B75/(SUMPRODUCT(('Form responses 1'!$B$2:$B1000 = A83) * ('Form responses 1'!$A$2:$A1000 &lt;= DATE(2025, 10, 31)))
+ SUMPRODUCT(('Form responses 1'!$C$2:$C1000 = A83) * ('Form responses 1'!$A$2:$A1000 &lt;= DATE(2025, 10, 31)))
+ SUMPRODUCT(('Form responses 1'!$D$2:$D1000 = A83) * ('Form responses 1'!$A$2:$A1000 &lt;= DATE(2025, 10, 31)))
+ SUMPRODUCT(('Form responses 1'!$E$2:$E1000 = A83) * ('Form responses 1'!$A$2:$A1000 &lt;= DATE(2025, 10, 31)))
+ SUMPRODUCT(('Form responses 1'!$F$2:$F1000 = A83) * ('Form responses 1'!$A$2:$A1000 &lt;= DATE(2025, 10, 31)))
+ SUMPRODUCT(('Form responses 1'!$G$2:$G1000 = A83) * ('Form responses 1'!$A$2:$A1000 &lt;= DATE(2025, 10, 31)))), 2), "-")
</f>
        <v>1.97</v>
      </c>
      <c r="Y83" s="2">
        <f>IFERROR(ROUND(Data!B75/(SUMPRODUCT(('Form responses 1'!$B$2:$B1000 = A83) * ('Form responses 1'!$A$2:$A1000 &lt;= DATE(2025, 11, 30)))
+ SUMPRODUCT(('Form responses 1'!$C$2:$C1000 = A83) * ('Form responses 1'!$A$2:$A1000 &lt;= DATE(2025, 11, 30)))
+ SUMPRODUCT(('Form responses 1'!$D$2:$D1000 = A83) * ('Form responses 1'!$A$2:$A1000 &lt;= DATE(2025, 11, 30)))
+ SUMPRODUCT(('Form responses 1'!$E$2:$E1000 = A83) * ('Form responses 1'!$A$2:$A1000 &lt;= DATE(2025, 11, 30)))
+ SUMPRODUCT(('Form responses 1'!$F$2:$F1000 = A83) * ('Form responses 1'!$A$2:$A1000 &lt;= DATE(2025, 11, 30)))
+ SUMPRODUCT(('Form responses 1'!$G$2:$G1000 = A83) * ('Form responses 1'!$A$2:$A1000 &lt;= DATE(2025, 11, 30)))), 2), "-")
</f>
        <v>1.97</v>
      </c>
      <c r="Z83" s="2">
        <f>IFERROR(ROUND(Data!B75/(SUMPRODUCT(('Form responses 1'!$B$2:$B1000 = A83) * ('Form responses 1'!$A$2:$A1000 &lt;= DATE(2025, 12, 31)))
+ SUMPRODUCT(('Form responses 1'!$C$2:$C1000 = A83) * ('Form responses 1'!$A$2:$A1000 &lt;= DATE(2025, 12, 31)))
+ SUMPRODUCT(('Form responses 1'!$D$2:$D1000 = A83) * ('Form responses 1'!$A$2:$A1000 &lt;= DATE(2025, 12, 31)))
+ SUMPRODUCT(('Form responses 1'!$E$2:$E1000 = A83) * ('Form responses 1'!$A$2:$A1000 &lt;= DATE(2025, 12, 31)))
+ SUMPRODUCT(('Form responses 1'!$F$2:$F1000 = A83) * ('Form responses 1'!$A$2:$A1000 &lt;= DATE(2025, 12, 31)))
+ SUMPRODUCT(('Form responses 1'!$G$2:$G1000 = A83) * ('Form responses 1'!$A$2:$A1000 &lt;= DATE(2025, 12, 31)))), 2), "-")
</f>
        <v>1.91</v>
      </c>
      <c r="AA83" s="2">
        <f>IFERROR(ROUND(Data!$B83/(
  SUMPRODUCT(('Form responses 1'!$B$2:$B1000=$A83)*('Form responses 1'!$A$2:$A1000&lt;=EOMONTH(DATEVALUE("1 "&amp;AA$1),0)))+
  SUMPRODUCT(('Form responses 1'!$C$2:$C1000=$A83)*('Form responses 1'!$A$2:$A1000&lt;=EOMONTH(DATEVALUE("1 "&amp;AA$1),0)))+
  SUMPRODUCT(('Form responses 1'!$D$2:$D1000=$A83)*('Form responses 1'!$A$2:$A1000&lt;=EOMONTH(DATEVALUE("1 "&amp;AA$1),0)))+
  SUMPRODUCT(('Form responses 1'!$E$2:$E1000=$A83)*('Form responses 1'!$A$2:$A1000&lt;=EOMONTH(DATEVALUE("1 "&amp;AA$1),0)))+
  SUMPRODUCT(('Form responses 1'!$F$2:$F1000=$A83)*('Form responses 1'!$A$2:$A1000&lt;=EOMONTH(DATEVALUE("1 "&amp;AA$1),0)))+
  SUMPRODUCT(('Form responses 1'!$G$2:$G1000=$A83)*('Form responses 1'!$A$2:$A1000&lt;=EOMONTH(DATEVALUE("1 "&amp;AA$1),0)))
),2),"-")</f>
        <v>1.47</v>
      </c>
      <c r="AB83" s="2">
        <f>IFERROR(ROUND(Data!$B83/(
  SUMPRODUCT(('Form responses 1'!$B$2:$B1000=$A83)*('Form responses 1'!$A$2:$A1000&lt;=EOMONTH(DATEVALUE("1 "&amp;AB$1),0)))+
  SUMPRODUCT(('Form responses 1'!$C$2:$C1000=$A83)*('Form responses 1'!$A$2:$A1000&lt;=EOMONTH(DATEVALUE("1 "&amp;AB$1),0)))+
  SUMPRODUCT(('Form responses 1'!$D$2:$D1000=$A83)*('Form responses 1'!$A$2:$A1000&lt;=EOMONTH(DATEVALUE("1 "&amp;AB$1),0)))+
  SUMPRODUCT(('Form responses 1'!$E$2:$E1000=$A83)*('Form responses 1'!$A$2:$A1000&lt;=EOMONTH(DATEVALUE("1 "&amp;AB$1),0)))+
  SUMPRODUCT(('Form responses 1'!$F$2:$F1000=$A83)*('Form responses 1'!$A$2:$A1000&lt;=EOMONTH(DATEVALUE("1 "&amp;AB$1),0)))+
  SUMPRODUCT(('Form responses 1'!$G$2:$G1000=$A83)*('Form responses 1'!$A$2:$A1000&lt;=EOMONTH(DATEVALUE("1 "&amp;AB$1),0)))
),2),"-")</f>
        <v>1.47</v>
      </c>
      <c r="AC83" s="2">
        <f>IFERROR(ROUND(Data!$B83/(
  SUMPRODUCT(('Form responses 1'!$B$2:$B1000=$A83)*('Form responses 1'!$A$2:$A1000&lt;=EOMONTH(DATEVALUE("1 "&amp;AC$1),0)))+
  SUMPRODUCT(('Form responses 1'!$C$2:$C1000=$A83)*('Form responses 1'!$A$2:$A1000&lt;=EOMONTH(DATEVALUE("1 "&amp;AC$1),0)))+
  SUMPRODUCT(('Form responses 1'!$D$2:$D1000=$A83)*('Form responses 1'!$A$2:$A1000&lt;=EOMONTH(DATEVALUE("1 "&amp;AC$1),0)))+
  SUMPRODUCT(('Form responses 1'!$E$2:$E1000=$A83)*('Form responses 1'!$A$2:$A1000&lt;=EOMONTH(DATEVALUE("1 "&amp;AC$1),0)))+
  SUMPRODUCT(('Form responses 1'!$F$2:$F1000=$A83)*('Form responses 1'!$A$2:$A1000&lt;=EOMONTH(DATEVALUE("1 "&amp;AC$1),0)))+
  SUMPRODUCT(('Form responses 1'!$G$2:$G1000=$A83)*('Form responses 1'!$A$2:$A1000&lt;=EOMONTH(DATEVALUE("1 "&amp;AC$1),0)))
),2),"-")</f>
        <v>1.47</v>
      </c>
      <c r="AD83" s="2" t="str">
        <f>IFERROR(ROUND(Data!$B83/(
  SUMPRODUCT(('Form responses 1'!$B$2:$B1000=$A83)*('Form responses 1'!$A$2:$A1000&lt;=EOMONTH(DATEVALUE("1 "&amp;AD$1),0)))+
  SUMPRODUCT(('Form responses 1'!$C$2:$C1000=$A83)*('Form responses 1'!$A$2:$A1000&lt;=EOMONTH(DATEVALUE("1 "&amp;AD$1),0)))+
  SUMPRODUCT(('Form responses 1'!$D$2:$D1000=$A83)*('Form responses 1'!$A$2:$A1000&lt;=EOMONTH(DATEVALUE("1 "&amp;AD$1),0)))+
  SUMPRODUCT(('Form responses 1'!$E$2:$E1000=$A83)*('Form responses 1'!$A$2:$A1000&lt;=EOMONTH(DATEVALUE("1 "&amp;AD$1),0)))+
  SUMPRODUCT(('Form responses 1'!$F$2:$F1000=$A83)*('Form responses 1'!$A$2:$A1000&lt;=EOMONTH(DATEVALUE("1 "&amp;AD$1),0)))+
  SUMPRODUCT(('Form responses 1'!$G$2:$G1000=$A83)*('Form responses 1'!$A$2:$A1000&lt;=EOMONTH(DATEVALUE("1 "&amp;AD$1),0)))
),2),"-")</f>
        <v>-</v>
      </c>
      <c r="AE83" s="2" t="str">
        <f>IFERROR(ROUND(Data!$B83/(
  SUMPRODUCT(('Form responses 1'!$B$2:$B1000=$A83)*('Form responses 1'!$A$2:$A1000&lt;=EOMONTH(DATEVALUE("1 "&amp;AE$1),0)))+
  SUMPRODUCT(('Form responses 1'!$C$2:$C1000=$A83)*('Form responses 1'!$A$2:$A1000&lt;=EOMONTH(DATEVALUE("1 "&amp;AE$1),0)))+
  SUMPRODUCT(('Form responses 1'!$D$2:$D1000=$A83)*('Form responses 1'!$A$2:$A1000&lt;=EOMONTH(DATEVALUE("1 "&amp;AE$1),0)))+
  SUMPRODUCT(('Form responses 1'!$E$2:$E1000=$A83)*('Form responses 1'!$A$2:$A1000&lt;=EOMONTH(DATEVALUE("1 "&amp;AE$1),0)))+
  SUMPRODUCT(('Form responses 1'!$F$2:$F1000=$A83)*('Form responses 1'!$A$2:$A1000&lt;=EOMONTH(DATEVALUE("1 "&amp;AE$1),0)))+
  SUMPRODUCT(('Form responses 1'!$G$2:$G1000=$A83)*('Form responses 1'!$A$2:$A1000&lt;=EOMONTH(DATEVALUE("1 "&amp;AE$1),0)))
),2),"-")</f>
        <v>-</v>
      </c>
      <c r="AF83" s="2" t="str">
        <f>IFERROR(ROUND(Data!$B83/(
  SUMPRODUCT(('Form responses 1'!$B$2:$B1000=$A83)*('Form responses 1'!$A$2:$A1000&lt;=EOMONTH(DATEVALUE("1 "&amp;AF$1),0)))+
  SUMPRODUCT(('Form responses 1'!$C$2:$C1000=$A83)*('Form responses 1'!$A$2:$A1000&lt;=EOMONTH(DATEVALUE("1 "&amp;AF$1),0)))+
  SUMPRODUCT(('Form responses 1'!$D$2:$D1000=$A83)*('Form responses 1'!$A$2:$A1000&lt;=EOMONTH(DATEVALUE("1 "&amp;AF$1),0)))+
  SUMPRODUCT(('Form responses 1'!$E$2:$E1000=$A83)*('Form responses 1'!$A$2:$A1000&lt;=EOMONTH(DATEVALUE("1 "&amp;AF$1),0)))+
  SUMPRODUCT(('Form responses 1'!$F$2:$F1000=$A83)*('Form responses 1'!$A$2:$A1000&lt;=EOMONTH(DATEVALUE("1 "&amp;AF$1),0)))+
  SUMPRODUCT(('Form responses 1'!$G$2:$G1000=$A83)*('Form responses 1'!$A$2:$A1000&lt;=EOMONTH(DATEVALUE("1 "&amp;AF$1),0)))
),2),"-")</f>
        <v>-</v>
      </c>
      <c r="AG83" s="2" t="str">
        <f>IFERROR(ROUND(Data!$B83/(
  SUMPRODUCT(('Form responses 1'!$B$2:$B1000=$A83)*('Form responses 1'!$A$2:$A1000&lt;=EOMONTH(DATEVALUE("1 "&amp;AG$1),0)))+
  SUMPRODUCT(('Form responses 1'!$C$2:$C1000=$A83)*('Form responses 1'!$A$2:$A1000&lt;=EOMONTH(DATEVALUE("1 "&amp;AG$1),0)))+
  SUMPRODUCT(('Form responses 1'!$D$2:$D1000=$A83)*('Form responses 1'!$A$2:$A1000&lt;=EOMONTH(DATEVALUE("1 "&amp;AG$1),0)))+
  SUMPRODUCT(('Form responses 1'!$E$2:$E1000=$A83)*('Form responses 1'!$A$2:$A1000&lt;=EOMONTH(DATEVALUE("1 "&amp;AG$1),0)))+
  SUMPRODUCT(('Form responses 1'!$F$2:$F1000=$A83)*('Form responses 1'!$A$2:$A1000&lt;=EOMONTH(DATEVALUE("1 "&amp;AG$1),0)))+
  SUMPRODUCT(('Form responses 1'!$G$2:$G1000=$A83)*('Form responses 1'!$A$2:$A1000&lt;=EOMONTH(DATEVALUE("1 "&amp;AG$1),0)))
),2),"-")</f>
        <v>-</v>
      </c>
      <c r="AH83" s="2" t="str">
        <f>IFERROR(ROUND(Data!$B83/(
  SUMPRODUCT(('Form responses 1'!$B$2:$B1000=$A83)*('Form responses 1'!$A$2:$A1000&lt;=EOMONTH(DATEVALUE("1 "&amp;AH$1),0)))+
  SUMPRODUCT(('Form responses 1'!$C$2:$C1000=$A83)*('Form responses 1'!$A$2:$A1000&lt;=EOMONTH(DATEVALUE("1 "&amp;AH$1),0)))+
  SUMPRODUCT(('Form responses 1'!$D$2:$D1000=$A83)*('Form responses 1'!$A$2:$A1000&lt;=EOMONTH(DATEVALUE("1 "&amp;AH$1),0)))+
  SUMPRODUCT(('Form responses 1'!$E$2:$E1000=$A83)*('Form responses 1'!$A$2:$A1000&lt;=EOMONTH(DATEVALUE("1 "&amp;AH$1),0)))+
  SUMPRODUCT(('Form responses 1'!$F$2:$F1000=$A83)*('Form responses 1'!$A$2:$A1000&lt;=EOMONTH(DATEVALUE("1 "&amp;AH$1),0)))+
  SUMPRODUCT(('Form responses 1'!$G$2:$G1000=$A83)*('Form responses 1'!$A$2:$A1000&lt;=EOMONTH(DATEVALUE("1 "&amp;AH$1),0)))
),2),"-")</f>
        <v>-</v>
      </c>
      <c r="AI83" s="2" t="str">
        <f>IFERROR(ROUND(Data!$B83/(
  SUMPRODUCT(('Form responses 1'!$B$2:$B1000=$A83)*('Form responses 1'!$A$2:$A1000&lt;=EOMONTH(DATEVALUE("1 "&amp;AI$1),0)))+
  SUMPRODUCT(('Form responses 1'!$C$2:$C1000=$A83)*('Form responses 1'!$A$2:$A1000&lt;=EOMONTH(DATEVALUE("1 "&amp;AI$1),0)))+
  SUMPRODUCT(('Form responses 1'!$D$2:$D1000=$A83)*('Form responses 1'!$A$2:$A1000&lt;=EOMONTH(DATEVALUE("1 "&amp;AI$1),0)))+
  SUMPRODUCT(('Form responses 1'!$E$2:$E1000=$A83)*('Form responses 1'!$A$2:$A1000&lt;=EOMONTH(DATEVALUE("1 "&amp;AI$1),0)))+
  SUMPRODUCT(('Form responses 1'!$F$2:$F1000=$A83)*('Form responses 1'!$A$2:$A1000&lt;=EOMONTH(DATEVALUE("1 "&amp;AI$1),0)))+
  SUMPRODUCT(('Form responses 1'!$G$2:$G1000=$A83)*('Form responses 1'!$A$2:$A1000&lt;=EOMONTH(DATEVALUE("1 "&amp;AI$1),0)))
),2),"-")</f>
        <v>-</v>
      </c>
      <c r="AJ83" s="2" t="str">
        <f>IFERROR(ROUND(Data!$B83/(
  SUMPRODUCT(('Form responses 1'!$B$2:$B1000=$A83)*('Form responses 1'!$A$2:$A1000&lt;=EOMONTH(DATEVALUE("1 "&amp;AJ$1),0)))+
  SUMPRODUCT(('Form responses 1'!$C$2:$C1000=$A83)*('Form responses 1'!$A$2:$A1000&lt;=EOMONTH(DATEVALUE("1 "&amp;AJ$1),0)))+
  SUMPRODUCT(('Form responses 1'!$D$2:$D1000=$A83)*('Form responses 1'!$A$2:$A1000&lt;=EOMONTH(DATEVALUE("1 "&amp;AJ$1),0)))+
  SUMPRODUCT(('Form responses 1'!$E$2:$E1000=$A83)*('Form responses 1'!$A$2:$A1000&lt;=EOMONTH(DATEVALUE("1 "&amp;AJ$1),0)))+
  SUMPRODUCT(('Form responses 1'!$F$2:$F1000=$A83)*('Form responses 1'!$A$2:$A1000&lt;=EOMONTH(DATEVALUE("1 "&amp;AJ$1),0)))+
  SUMPRODUCT(('Form responses 1'!$G$2:$G1000=$A83)*('Form responses 1'!$A$2:$A1000&lt;=EOMONTH(DATEVALUE("1 "&amp;AJ$1),0)))
),2),"-")</f>
        <v>-</v>
      </c>
      <c r="AK83" s="2" t="str">
        <f>IFERROR(ROUND(Data!$B83/(
  SUMPRODUCT(('Form responses 1'!$B$2:$B1000=$A83)*('Form responses 1'!$A$2:$A1000&lt;=EOMONTH(DATEVALUE("1 "&amp;AK$1),0)))+
  SUMPRODUCT(('Form responses 1'!$C$2:$C1000=$A83)*('Form responses 1'!$A$2:$A1000&lt;=EOMONTH(DATEVALUE("1 "&amp;AK$1),0)))+
  SUMPRODUCT(('Form responses 1'!$D$2:$D1000=$A83)*('Form responses 1'!$A$2:$A1000&lt;=EOMONTH(DATEVALUE("1 "&amp;AK$1),0)))+
  SUMPRODUCT(('Form responses 1'!$E$2:$E1000=$A83)*('Form responses 1'!$A$2:$A1000&lt;=EOMONTH(DATEVALUE("1 "&amp;AK$1),0)))+
  SUMPRODUCT(('Form responses 1'!$F$2:$F1000=$A83)*('Form responses 1'!$A$2:$A1000&lt;=EOMONTH(DATEVALUE("1 "&amp;AK$1),0)))+
  SUMPRODUCT(('Form responses 1'!$G$2:$G1000=$A83)*('Form responses 1'!$A$2:$A1000&lt;=EOMONTH(DATEVALUE("1 "&amp;AK$1),0)))
),2),"-")</f>
        <v>-</v>
      </c>
      <c r="AL83" s="2" t="str">
        <f>IFERROR(ROUND(Data!$B83/(
  SUMPRODUCT(('Form responses 1'!$B$2:$B1000=$A83)*('Form responses 1'!$A$2:$A1000&lt;=EOMONTH(DATEVALUE("1 "&amp;AL$1),0)))+
  SUMPRODUCT(('Form responses 1'!$C$2:$C1000=$A83)*('Form responses 1'!$A$2:$A1000&lt;=EOMONTH(DATEVALUE("1 "&amp;AL$1),0)))+
  SUMPRODUCT(('Form responses 1'!$D$2:$D1000=$A83)*('Form responses 1'!$A$2:$A1000&lt;=EOMONTH(DATEVALUE("1 "&amp;AL$1),0)))+
  SUMPRODUCT(('Form responses 1'!$E$2:$E1000=$A83)*('Form responses 1'!$A$2:$A1000&lt;=EOMONTH(DATEVALUE("1 "&amp;AL$1),0)))+
  SUMPRODUCT(('Form responses 1'!$F$2:$F1000=$A83)*('Form responses 1'!$A$2:$A1000&lt;=EOMONTH(DATEVALUE("1 "&amp;AL$1),0)))+
  SUMPRODUCT(('Form responses 1'!$G$2:$G1000=$A83)*('Form responses 1'!$A$2:$A1000&lt;=EOMONTH(DATEVALUE("1 "&amp;AL$1),0)))
),2),"-")</f>
        <v>-</v>
      </c>
    </row>
    <row r="84">
      <c r="A84" s="3" t="str">
        <f>IFERROR(__xludf.DUMMYFUNCTION("""COMPUTED_VALUE"""),"Hardloopschoenen")</f>
        <v>Hardloopschoenen</v>
      </c>
      <c r="B84" s="2">
        <f>Data!F76:F1000</f>
        <v>1.19</v>
      </c>
      <c r="C84" s="2">
        <f>IFERROR(ROUND(Data!B76/(SUMPRODUCT(('Form responses 1'!$B$2:$B1000 = A84) * ('Form responses 1'!$A$2:$A1000 &lt;= DATE(2024, 1, 31)))
+ SUMPRODUCT(('Form responses 1'!$C$2:$C1000 = A84) * ('Form responses 1'!$A$2:$A1000 &lt;= DATE(2024, 1, 31)))
+ SUMPRODUCT(('Form responses 1'!$D$2:$D1000 = A84) * ('Form responses 1'!$A$2:$A1000 &lt;= DATE(2024, 1, 31)))
+ SUMPRODUCT(('Form responses 1'!$E$2:$E1000 = A84) * ('Form responses 1'!$A$2:$A1000 &lt;= DATE(2024, 1, 31)))
+ SUMPRODUCT(('Form responses 1'!$F$2:$F1000 = A84) * ('Form responses 1'!$A$2:$A1000 &lt;= DATE(2024, 1, 31)))
+ SUMPRODUCT(('Form responses 1'!$G$2:$G1000 = A84) * ('Form responses 1'!$A$2:$A1000 &lt;= DATE(2024, 1, 31)))), 2), "-")
</f>
        <v>1.18</v>
      </c>
      <c r="D84" s="2">
        <f>IFERROR(ROUND(Data!B76/(SUMPRODUCT(('Form responses 1'!$B$2:$B1000 = A84) * ('Form responses 1'!$A$2:$A1000 &lt;= DATE(2024, 2, 29)))
+ SUMPRODUCT(('Form responses 1'!$C$2:$C1000 = A84) * ('Form responses 1'!$A$2:$A1000 &lt;= DATE(2024, 2, 29)))
+ SUMPRODUCT(('Form responses 1'!$D$2:$D1000 = A84) * ('Form responses 1'!$A$2:$A1000 &lt;= DATE(2024, 2, 29)))
+ SUMPRODUCT(('Form responses 1'!$E$2:$E1000 = A84) * ('Form responses 1'!$A$2:$A1000 &lt;= DATE(2024, 2, 29)))
+ SUMPRODUCT(('Form responses 1'!$F$2:$F1000 = A84) * ('Form responses 1'!$A$2:$A1000 &lt;= DATE(2024, 2, 29)))
+ SUMPRODUCT(('Form responses 1'!$G$2:$G1000 = A84) * ('Form responses 1'!$A$2:$A1000 &lt;= DATE(2024, 2, 29)))), 2), "-")
</f>
        <v>1.18</v>
      </c>
      <c r="E84" s="2">
        <f>IFERROR(ROUND(Data!B76/(SUMPRODUCT(('Form responses 1'!$B$2:$B1000 = A84) * ('Form responses 1'!$A$2:$A1000 &lt;= DATE(2024, 3, 31)))
+ SUMPRODUCT(('Form responses 1'!$C$2:$C1000 = A84) * ('Form responses 1'!$A$2:$A1000 &lt;= DATE(2024, 3, 31)))
+ SUMPRODUCT(('Form responses 1'!$D$2:$D1000 = A84) * ('Form responses 1'!$A$2:$A1000 &lt;= DATE(2024, 3, 31)))
+ SUMPRODUCT(('Form responses 1'!$E$2:$E1000 = A84) * ('Form responses 1'!$A$2:$A1000 &lt;= DATE(2024, 3, 31)))
+ SUMPRODUCT(('Form responses 1'!$F$2:$F1000 = A84) * ('Form responses 1'!$A$2:$A1000 &lt;= DATE(2024, 3, 31)))
+ SUMPRODUCT(('Form responses 1'!$G$2:$G1000 = A84) * ('Form responses 1'!$A$2:$A1000 &lt;= DATE(2024, 3, 31)))), 2), "-")
</f>
        <v>1.18</v>
      </c>
      <c r="F84" s="2">
        <f>IFERROR(ROUND(Data!B76/(SUMPRODUCT(('Form responses 1'!$B$2:$B1000 = A84) * ('Form responses 1'!$A$2:$A1000 &lt;= DATE(2024, 4, 30)))
+ SUMPRODUCT(('Form responses 1'!$C$2:$C1000 = A84) * ('Form responses 1'!$A$2:$A1000 &lt;= DATE(2024, 4, 30)))
+ SUMPRODUCT(('Form responses 1'!$D$2:$D1000 = A84) * ('Form responses 1'!$A$2:$A1000 &lt;= DATE(2024, 4, 30)))
+ SUMPRODUCT(('Form responses 1'!$E$2:$E1000 = A84) * ('Form responses 1'!$A$2:$A1000 &lt;= DATE(2024, 4, 30)))
+ SUMPRODUCT(('Form responses 1'!$F$2:$F1000 = A84) * ('Form responses 1'!$A$2:$A1000 &lt;= DATE(2024, 4, 30)))
+ SUMPRODUCT(('Form responses 1'!$G$2:$G1000 = A84) * ('Form responses 1'!$A$2:$A1000 &lt;= DATE(2024, 4, 30)))), 2), "-")
</f>
        <v>1.18</v>
      </c>
      <c r="G84" s="2">
        <f>IFERROR(ROUND(Data!B76/(SUMPRODUCT(('Form responses 1'!$B$2:$B1000 = A84) * ('Form responses 1'!$A$2:$A1000 &lt;= DATE(2024, 5, 31)))
+ SUMPRODUCT(('Form responses 1'!$C$2:$C1000 = A84) * ('Form responses 1'!$A$2:$A1000 &lt;= DATE(2024, 5, 31)))
+ SUMPRODUCT(('Form responses 1'!$D$2:$D1000 = A84) * ('Form responses 1'!$A$2:$A1000 &lt;= DATE(2024, 5, 31)))
+ SUMPRODUCT(('Form responses 1'!$E$2:$E1000 = A84) * ('Form responses 1'!$A$2:$A1000 &lt;= DATE(2024, 5, 31)))
+ SUMPRODUCT(('Form responses 1'!$F$2:$F1000 = A84) * ('Form responses 1'!$A$2:$A1000 &lt;= DATE(2024, 5, 31)))
+ SUMPRODUCT(('Form responses 1'!$G$2:$G1000 = A84) * ('Form responses 1'!$A$2:$A1000 &lt;= DATE(2024, 5, 31)))), 2), "-")
</f>
        <v>1.18</v>
      </c>
      <c r="H84" s="2">
        <f>IFERROR(ROUND(Data!B76/(SUMPRODUCT(('Form responses 1'!$B$2:$B1000 = A84) * ('Form responses 1'!$A$2:$A1000 &lt;= DATE(2024, 6, 30)))
+ SUMPRODUCT(('Form responses 1'!$C$2:$C1000 = A84) * ('Form responses 1'!$A$2:$A1000 &lt;= DATE(2024, 6, 30)))
+ SUMPRODUCT(('Form responses 1'!$D$2:$D1000 = A84) * ('Form responses 1'!$A$2:$A1000 &lt;= DATE(2024, 6, 30)))
+ SUMPRODUCT(('Form responses 1'!$E$2:$E1000 = A84) * ('Form responses 1'!$A$2:$A1000 &lt;= DATE(2024, 6, 30)))
+ SUMPRODUCT(('Form responses 1'!$F$2:$F1000 = A84) * ('Form responses 1'!$A$2:$A1000 &lt;= DATE(2024, 6, 30)))
+ SUMPRODUCT(('Form responses 1'!$G$2:$G1000 = A84) * ('Form responses 1'!$A$2:$A1000 &lt;= DATE(2024, 6, 30)))), 2), "-")
</f>
        <v>1.18</v>
      </c>
      <c r="I84" s="2">
        <f>IFERROR(ROUND(Data!B76/(SUMPRODUCT(('Form responses 1'!$B$2:$B1000 = A84) * ('Form responses 1'!$A$2:$A1000 &lt;= DATE(2024, 7, 31)))
+ SUMPRODUCT(('Form responses 1'!$C$2:$C1000 = A84) * ('Form responses 1'!$A$2:$A1000 &lt;= DATE(2024, 7, 31)))
+ SUMPRODUCT(('Form responses 1'!$D$2:$D1000 = A84) * ('Form responses 1'!$A$2:$A1000 &lt;= DATE(2024, 7, 31)))
+ SUMPRODUCT(('Form responses 1'!$E$2:$E1000 = A84) * ('Form responses 1'!$A$2:$A1000 &lt;= DATE(2024, 7, 31)))
+ SUMPRODUCT(('Form responses 1'!$F$2:$F1000 = A84) * ('Form responses 1'!$A$2:$A1000 &lt;= DATE(2024, 7, 31)))
+ SUMPRODUCT(('Form responses 1'!$G$2:$G1000 = A84) * ('Form responses 1'!$A$2:$A1000 &lt;= DATE(2024, 7, 31)))), 2), "-")
</f>
        <v>1.07</v>
      </c>
      <c r="J84" s="2">
        <f>IFERROR(ROUND(Data!B76/(SUMPRODUCT(('Form responses 1'!$B$2:$B1000 = A84) * ('Form responses 1'!$A$2:$A1000 &lt;= DATE(2024, 8, 31)))
+ SUMPRODUCT(('Form responses 1'!$C$2:$C1000 = A84) * ('Form responses 1'!$A$2:$A1000 &lt;= DATE(2024, 8, 31)))
+ SUMPRODUCT(('Form responses 1'!$D$2:$D1000 = A84) * ('Form responses 1'!$A$2:$A1000 &lt;= DATE(2024, 8, 31)))
+ SUMPRODUCT(('Form responses 1'!$E$2:$E1000 = A84) * ('Form responses 1'!$A$2:$A1000 &lt;= DATE(2024, 8, 31)))
+ SUMPRODUCT(('Form responses 1'!$F$2:$F1000 = A84) * ('Form responses 1'!$A$2:$A1000 &lt;= DATE(2024, 8, 31)))
+ SUMPRODUCT(('Form responses 1'!$G$2:$G1000 = A84) * ('Form responses 1'!$A$2:$A1000 &lt;= DATE(2024, 8, 31)))), 2), "-")
</f>
        <v>0.9</v>
      </c>
      <c r="K84" s="2">
        <f>IFERROR(ROUND(Data!B76/(SUMPRODUCT(('Form responses 1'!$B$2:$B1000 = A84) * ('Form responses 1'!$A$2:$A1000 &lt;= DATE(2024, 9, 30)))
+ SUMPRODUCT(('Form responses 1'!$C$2:$C1000 = A84) * ('Form responses 1'!$A$2:$A1000 &lt;= DATE(2024, 9, 30)))
+ SUMPRODUCT(('Form responses 1'!$D$2:$D1000 = A84) * ('Form responses 1'!$A$2:$A1000 &lt;= DATE(2024, 9, 30)))
+ SUMPRODUCT(('Form responses 1'!$E$2:$E1000 = A84) * ('Form responses 1'!$A$2:$A1000 &lt;= DATE(2024, 9, 30)))
+ SUMPRODUCT(('Form responses 1'!$F$2:$F1000 = A84) * ('Form responses 1'!$A$2:$A1000 &lt;= DATE(2024, 9, 30)))
+ SUMPRODUCT(('Form responses 1'!$G$2:$G1000 = A84) * ('Form responses 1'!$A$2:$A1000 &lt;= DATE(2024, 9, 30)))), 2), "-")
</f>
        <v>0.81</v>
      </c>
      <c r="L84" s="2">
        <f>IFERROR(ROUND(Data!B76/(SUMPRODUCT(('Form responses 1'!$B$2:$B1000 = A84) * ('Form responses 1'!$A$2:$A1000 &lt;= DATE(2024, 10, 31)))
+ SUMPRODUCT(('Form responses 1'!$C$2:$C1000 = A84) * ('Form responses 1'!$A$2:$A1000 &lt;= DATE(2024, 10, 31)))
+ SUMPRODUCT(('Form responses 1'!$D$2:$D1000 = A84) * ('Form responses 1'!$A$2:$A1000 &lt;= DATE(2024, 10, 31)))
+ SUMPRODUCT(('Form responses 1'!$E$2:$E1000 = A84) * ('Form responses 1'!$A$2:$A1000 &lt;= DATE(2024, 10, 31)))
+ SUMPRODUCT(('Form responses 1'!$F$2:$F1000 = A84) * ('Form responses 1'!$A$2:$A1000 &lt;= DATE(2024, 10, 31)))
+ SUMPRODUCT(('Form responses 1'!$G$2:$G1000 = A84) * ('Form responses 1'!$A$2:$A1000 &lt;= DATE(2024, 10, 31)))), 2), "-")
</f>
        <v>0.81</v>
      </c>
      <c r="M84" s="2">
        <f>IFERROR(ROUND(Data!B76/(SUMPRODUCT(('Form responses 1'!$B$2:$B1000 = A84) * ('Form responses 1'!$A$2:$A1000 &lt;= DATE(2024, 11, 30)))
+ SUMPRODUCT(('Form responses 1'!$C$2:$C1000 = A84) * ('Form responses 1'!$A$2:$A1000 &lt;= DATE(2024, 11, 30)))
+ SUMPRODUCT(('Form responses 1'!$D$2:$D1000 = A84) * ('Form responses 1'!$A$2:$A1000 &lt;= DATE(2024, 11, 30)))
+ SUMPRODUCT(('Form responses 1'!$E$2:$E1000 = A84) * ('Form responses 1'!$A$2:$A1000 &lt;= DATE(2024, 11, 30)))
+ SUMPRODUCT(('Form responses 1'!$F$2:$F1000 = A84) * ('Form responses 1'!$A$2:$A1000 &lt;= DATE(2024, 11, 30)))
+ SUMPRODUCT(('Form responses 1'!$G$2:$G1000 = A84) * ('Form responses 1'!$A$2:$A1000 &lt;= DATE(2024, 11, 30)))), 2), "-")
</f>
        <v>0.8</v>
      </c>
      <c r="N84" s="2">
        <f>IFERROR(ROUND(Data!B76/(SUMPRODUCT(('Form responses 1'!$B$2:$B1000 = A84) * ('Form responses 1'!$A$2:$A1000 &lt;= DATE(2024, 12, 31)))
+ SUMPRODUCT(('Form responses 1'!$C$2:$C1000 = A84) * ('Form responses 1'!$A$2:$A1000 &lt;= DATE(2024, 12, 31)))
+ SUMPRODUCT(('Form responses 1'!$D$2:$D1000 = A84) * ('Form responses 1'!$A$2:$A1000 &lt;= DATE(2024, 12, 31)))
+ SUMPRODUCT(('Form responses 1'!$E$2:$E1000 = A84) * ('Form responses 1'!$A$2:$A1000 &lt;= DATE(2024, 12, 31)))
+ SUMPRODUCT(('Form responses 1'!$F$2:$F1000 = A84) * ('Form responses 1'!$A$2:$A1000 &lt;= DATE(2024, 12, 31)))
+ SUMPRODUCT(('Form responses 1'!$G$2:$G1000 = A84) * ('Form responses 1'!$A$2:$A1000 &lt;= DATE(2024, 12, 31)))), 2), "-")
</f>
        <v>0.74</v>
      </c>
      <c r="O84" s="2">
        <f>IFERROR(ROUND(Data!B76/(SUMPRODUCT(('Form responses 1'!$B$2:$B1000 = A84) * ('Form responses 1'!$A$2:$A1000 &lt;= DATE(2025, 1, 31)))
+ SUMPRODUCT(('Form responses 1'!$C$2:$C1000 = A84) * ('Form responses 1'!$A$2:$A1000 &lt;= DATE(2025, 1, 31)))
+ SUMPRODUCT(('Form responses 1'!$D$2:$D1000 = A84) * ('Form responses 1'!$A$2:$A1000 &lt;= DATE(2025, 1, 31)))
+ SUMPRODUCT(('Form responses 1'!$E$2:$E1000 = A84) * ('Form responses 1'!$A$2:$A1000 &lt;= DATE(2025, 1, 31)))
+ SUMPRODUCT(('Form responses 1'!$F$2:$F1000 = A84) * ('Form responses 1'!$A$2:$A1000 &lt;= DATE(2025, 1, 31)))
+ SUMPRODUCT(('Form responses 1'!$G$2:$G1000 = A84) * ('Form responses 1'!$A$2:$A1000 &lt;= DATE(2025, 1, 31)))), 2), "-")
</f>
        <v>0.7</v>
      </c>
      <c r="P84" s="2">
        <f>IFERROR(ROUND(Data!B76/(SUMPRODUCT(('Form responses 1'!$B$2:$B1000 = A84) * ('Form responses 1'!$A$2:$A1000 &lt;= DATE(2025, 2, 28)))
+ SUMPRODUCT(('Form responses 1'!$C$2:$C1000 = A84) * ('Form responses 1'!$A$2:$A1000 &lt;= DATE(2025, 2, 28)))
+ SUMPRODUCT(('Form responses 1'!$D$2:$D1000 = A84) * ('Form responses 1'!$A$2:$A1000 &lt;= DATE(2025, 2, 28)))
+ SUMPRODUCT(('Form responses 1'!$E$2:$E1000 = A84) * ('Form responses 1'!$A$2:$A1000 &lt;= DATE(2025, 2, 28)))
+ SUMPRODUCT(('Form responses 1'!$F$2:$F1000 = A84) * ('Form responses 1'!$A$2:$A1000 &lt;= DATE(2025, 2, 28)))
+ SUMPRODUCT(('Form responses 1'!$G$2:$G1000 = A84) * ('Form responses 1'!$A$2:$A1000 &lt;= DATE(2025, 2, 28)))), 2), "-")
</f>
        <v>0.67</v>
      </c>
      <c r="Q84" s="2">
        <f>IFERROR(ROUND(Data!B76/(SUMPRODUCT(('Form responses 1'!$B$2:$B1000 = A84) * ('Form responses 1'!$A$2:$A1000 &lt;= DATE(2025, 3, 31)))
+ SUMPRODUCT(('Form responses 1'!$C$2:$C1000 = A84) * ('Form responses 1'!$A$2:$A1000 &lt;= DATE(2025, 3, 31)))
+ SUMPRODUCT(('Form responses 1'!$D$2:$D1000 = A84) * ('Form responses 1'!$A$2:$A1000 &lt;= DATE(2025, 3, 31)))
+ SUMPRODUCT(('Form responses 1'!$E$2:$E1000 = A84) * ('Form responses 1'!$A$2:$A1000 &lt;= DATE(2025, 3, 31)))
+ SUMPRODUCT(('Form responses 1'!$F$2:$F1000 = A84) * ('Form responses 1'!$A$2:$A1000 &lt;= DATE(2025, 3, 31)))
+ SUMPRODUCT(('Form responses 1'!$G$2:$G1000 = A84) * ('Form responses 1'!$A$2:$A1000 &lt;= DATE(2025, 3, 31)))),2),"-")</f>
        <v>0.64</v>
      </c>
      <c r="R84" s="2">
        <f>IFERROR(ROUND(Data!B76/(SUMPRODUCT(('Form responses 1'!$B$2:$B1000 = A84) * ('Form responses 1'!$A$2:$A1000 &lt;= DATE(2025, 4, 30)))
+ SUMPRODUCT(('Form responses 1'!$C$2:$C1000 = A84) * ('Form responses 1'!$A$2:$A1000 &lt;= DATE(2025, 4, 30)))
+ SUMPRODUCT(('Form responses 1'!$D$2:$D1000 = A84) * ('Form responses 1'!$A$2:$A1000 &lt;= DATE(2025, 4, 30)))
+ SUMPRODUCT(('Form responses 1'!$E$2:$E1000 = A84) * ('Form responses 1'!$A$2:$A1000 &lt;= DATE(2025, 4, 30)))
+ SUMPRODUCT(('Form responses 1'!$F$2:$F1000 = A84) * ('Form responses 1'!$A$2:$A1000 &lt;= DATE(2025, 4, 30)))
+ SUMPRODUCT(('Form responses 1'!$G$2:$G1000 = A84) * ('Form responses 1'!$A$2:$A1000 &lt;= DATE(2025, 4, 30)))), 2), "-")
</f>
        <v>0.64</v>
      </c>
      <c r="S84" s="2">
        <f>IFERROR(ROUND(Data!B76/(SUMPRODUCT(('Form responses 1'!$B$2:$B1000 = A84) * ('Form responses 1'!$A$2:$A1000 &lt;= DATE(2025, 5, 31)))
+ SUMPRODUCT(('Form responses 1'!$C$2:$C1000 = A84) * ('Form responses 1'!$A$2:$A1000 &lt;= DATE(2025, 5, 31)))
+ SUMPRODUCT(('Form responses 1'!$D$2:$D1000 = A84) * ('Form responses 1'!$A$2:$A1000 &lt;= DATE(2025, 5, 31)))
+ SUMPRODUCT(('Form responses 1'!$E$2:$E1000 = A84) * ('Form responses 1'!$A$2:$A1000 &lt;= DATE(2025, 5, 31)))
+ SUMPRODUCT(('Form responses 1'!$F$2:$F1000 = A84) * ('Form responses 1'!$A$2:$A1000 &lt;= DATE(2025, 5, 31)))
+ SUMPRODUCT(('Form responses 1'!$G$2:$G1000 = A84) * ('Form responses 1'!$A$2:$A1000 &lt;= DATE(2025, 5, 31)))), 2), "-")
</f>
        <v>0.64</v>
      </c>
      <c r="T84" s="2">
        <f>IFERROR(ROUND(Data!B76/(SUMPRODUCT(('Form responses 1'!$B$2:$B1000 = A84) * ('Form responses 1'!$A$2:$A1000 &lt;= DATE(2025, 6, 30)))
+ SUMPRODUCT(('Form responses 1'!$C$2:$C1000 = A84) * ('Form responses 1'!$A$2:$A1000 &lt;= DATE(2025, 6, 30)))
+ SUMPRODUCT(('Form responses 1'!$D$2:$D1000 = A84) * ('Form responses 1'!$A$2:$A1000 &lt;= DATE(2025, 6, 30)))
+ SUMPRODUCT(('Form responses 1'!$E$2:$E1000 = A84) * ('Form responses 1'!$A$2:$A1000 &lt;= DATE(2025, 6, 30)))
+ SUMPRODUCT(('Form responses 1'!$F$2:$F1000 = A84) * ('Form responses 1'!$A$2:$A1000 &lt;= DATE(2025, 6, 30)))
+ SUMPRODUCT(('Form responses 1'!$G$2:$G1000 = A84) * ('Form responses 1'!$A$2:$A1000 &lt;= DATE(2025, 6, 30)))), 2), "-")
</f>
        <v>0.63</v>
      </c>
      <c r="U84" s="2">
        <f>IFERROR(ROUND(Data!B76/(SUMPRODUCT(('Form responses 1'!$B$2:$B1000 = A84) * ('Form responses 1'!$A$2:$A1000 &lt;= DATE(2025, 7, 31)))
+ SUMPRODUCT(('Form responses 1'!$C$2:$C1000 = A84) * ('Form responses 1'!$A$2:$A1000 &lt;= DATE(2025, 7, 31)))
+ SUMPRODUCT(('Form responses 1'!$D$2:$D1000 = A84) * ('Form responses 1'!$A$2:$A1000 &lt;= DATE(2025, 7, 31)))
+ SUMPRODUCT(('Form responses 1'!$E$2:$E1000 = A84) * ('Form responses 1'!$A$2:$A1000 &lt;= DATE(2025, 7, 31)))
+ SUMPRODUCT(('Form responses 1'!$F$2:$F1000 = A84) * ('Form responses 1'!$A$2:$A1000 &lt;= DATE(2025, 7, 31)))
+ SUMPRODUCT(('Form responses 1'!$G$2:$G1000 = A84) * ('Form responses 1'!$A$2:$A1000 &lt;= DATE(2025, 7, 31)))), 2), "-")
</f>
        <v>0.63</v>
      </c>
      <c r="V84" s="2">
        <f>IFERROR(ROUND(Data!B76/(SUMPRODUCT(('Form responses 1'!$B$2:$B1000 = A84) * ('Form responses 1'!$A$2:$A1000 &lt;= DATE(2025, 8, 31)))
+ SUMPRODUCT(('Form responses 1'!$C$2:$C1000 = A84) * ('Form responses 1'!$A$2:$A1000 &lt;= DATE(2025, 8, 31)))
+ SUMPRODUCT(('Form responses 1'!$D$2:$D1000 = A84) * ('Form responses 1'!$A$2:$A1000 &lt;= DATE(2025, 8, 31)))
+ SUMPRODUCT(('Form responses 1'!$E$2:$E1000 = A84) * ('Form responses 1'!$A$2:$A1000 &lt;= DATE(2025, 8, 31)))
+ SUMPRODUCT(('Form responses 1'!$F$2:$F1000 = A84) * ('Form responses 1'!$A$2:$A1000 &lt;= DATE(2025, 8, 31)))
+ SUMPRODUCT(('Form responses 1'!$G$2:$G1000 = A84) * ('Form responses 1'!$A$2:$A1000 &lt;= DATE(2025, 8, 31)))), 2), "-")
</f>
        <v>0.63</v>
      </c>
      <c r="W84" s="2">
        <f>IFERROR(ROUND(Data!B76/(SUMPRODUCT(('Form responses 1'!$B$2:$B1000 = A84) * ('Form responses 1'!$A$2:$A1000 &lt;= DATE(2025, 9, 30)))
+ SUMPRODUCT(('Form responses 1'!$C$2:$C1000 = A84) * ('Form responses 1'!$A$2:$A1000 &lt;= DATE(2025, 9, 30)))
+ SUMPRODUCT(('Form responses 1'!$D$2:$D1000 = A84) * ('Form responses 1'!$A$2:$A1000 &lt;= DATE(2025, 9, 30)))
+ SUMPRODUCT(('Form responses 1'!$E$2:$E1000 = A84) * ('Form responses 1'!$A$2:$A1000 &lt;= DATE(2025, 9, 30)))
+ SUMPRODUCT(('Form responses 1'!$F$2:$F1000 = A84) * ('Form responses 1'!$A$2:$A1000 &lt;= DATE(2025, 9, 30)))
+ SUMPRODUCT(('Form responses 1'!$G$2:$G1000 = A84) * ('Form responses 1'!$A$2:$A1000 &lt;= DATE(2025, 9, 30)))), 2), "-")
</f>
        <v>0.6</v>
      </c>
      <c r="X84" s="2">
        <f>IFERROR(ROUND(Data!B76/(SUMPRODUCT(('Form responses 1'!$B$2:$B1000 = A84) * ('Form responses 1'!$A$2:$A1000 &lt;= DATE(2025, 10, 31)))
+ SUMPRODUCT(('Form responses 1'!$C$2:$C1000 = A84) * ('Form responses 1'!$A$2:$A1000 &lt;= DATE(2025, 10, 31)))
+ SUMPRODUCT(('Form responses 1'!$D$2:$D1000 = A84) * ('Form responses 1'!$A$2:$A1000 &lt;= DATE(2025, 10, 31)))
+ SUMPRODUCT(('Form responses 1'!$E$2:$E1000 = A84) * ('Form responses 1'!$A$2:$A1000 &lt;= DATE(2025, 10, 31)))
+ SUMPRODUCT(('Form responses 1'!$F$2:$F1000 = A84) * ('Form responses 1'!$A$2:$A1000 &lt;= DATE(2025, 10, 31)))
+ SUMPRODUCT(('Form responses 1'!$G$2:$G1000 = A84) * ('Form responses 1'!$A$2:$A1000 &lt;= DATE(2025, 10, 31)))), 2), "-")
</f>
        <v>0.59</v>
      </c>
      <c r="Y84" s="2">
        <f>IFERROR(ROUND(Data!B76/(SUMPRODUCT(('Form responses 1'!$B$2:$B1000 = A84) * ('Form responses 1'!$A$2:$A1000 &lt;= DATE(2025, 11, 30)))
+ SUMPRODUCT(('Form responses 1'!$C$2:$C1000 = A84) * ('Form responses 1'!$A$2:$A1000 &lt;= DATE(2025, 11, 30)))
+ SUMPRODUCT(('Form responses 1'!$D$2:$D1000 = A84) * ('Form responses 1'!$A$2:$A1000 &lt;= DATE(2025, 11, 30)))
+ SUMPRODUCT(('Form responses 1'!$E$2:$E1000 = A84) * ('Form responses 1'!$A$2:$A1000 &lt;= DATE(2025, 11, 30)))
+ SUMPRODUCT(('Form responses 1'!$F$2:$F1000 = A84) * ('Form responses 1'!$A$2:$A1000 &lt;= DATE(2025, 11, 30)))
+ SUMPRODUCT(('Form responses 1'!$G$2:$G1000 = A84) * ('Form responses 1'!$A$2:$A1000 &lt;= DATE(2025, 11, 30)))), 2), "-")
</f>
        <v>0.57</v>
      </c>
      <c r="Z84" s="2">
        <f>IFERROR(ROUND(Data!B76/(SUMPRODUCT(('Form responses 1'!$B$2:$B1000 = A84) * ('Form responses 1'!$A$2:$A1000 &lt;= DATE(2025, 12, 31)))
+ SUMPRODUCT(('Form responses 1'!$C$2:$C1000 = A84) * ('Form responses 1'!$A$2:$A1000 &lt;= DATE(2025, 12, 31)))
+ SUMPRODUCT(('Form responses 1'!$D$2:$D1000 = A84) * ('Form responses 1'!$A$2:$A1000 &lt;= DATE(2025, 12, 31)))
+ SUMPRODUCT(('Form responses 1'!$E$2:$E1000 = A84) * ('Form responses 1'!$A$2:$A1000 &lt;= DATE(2025, 12, 31)))
+ SUMPRODUCT(('Form responses 1'!$F$2:$F1000 = A84) * ('Form responses 1'!$A$2:$A1000 &lt;= DATE(2025, 12, 31)))
+ SUMPRODUCT(('Form responses 1'!$G$2:$G1000 = A84) * ('Form responses 1'!$A$2:$A1000 &lt;= DATE(2025, 12, 31)))), 2), "-")
</f>
        <v>0.56</v>
      </c>
      <c r="AA84" s="2">
        <f>IFERROR(ROUND(Data!$B84/(
  SUMPRODUCT(('Form responses 1'!$B$2:$B1000=$A84)*('Form responses 1'!$A$2:$A1000&lt;=EOMONTH(DATEVALUE("1 "&amp;AA$1),0)))+
  SUMPRODUCT(('Form responses 1'!$C$2:$C1000=$A84)*('Form responses 1'!$A$2:$A1000&lt;=EOMONTH(DATEVALUE("1 "&amp;AA$1),0)))+
  SUMPRODUCT(('Form responses 1'!$D$2:$D1000=$A84)*('Form responses 1'!$A$2:$A1000&lt;=EOMONTH(DATEVALUE("1 "&amp;AA$1),0)))+
  SUMPRODUCT(('Form responses 1'!$E$2:$E1000=$A84)*('Form responses 1'!$A$2:$A1000&lt;=EOMONTH(DATEVALUE("1 "&amp;AA$1),0)))+
  SUMPRODUCT(('Form responses 1'!$F$2:$F1000=$A84)*('Form responses 1'!$A$2:$A1000&lt;=EOMONTH(DATEVALUE("1 "&amp;AA$1),0)))+
  SUMPRODUCT(('Form responses 1'!$G$2:$G1000=$A84)*('Form responses 1'!$A$2:$A1000&lt;=EOMONTH(DATEVALUE("1 "&amp;AA$1),0)))
),2),"-")</f>
        <v>1.26</v>
      </c>
      <c r="AB84" s="2">
        <f>IFERROR(ROUND(Data!$B84/(
  SUMPRODUCT(('Form responses 1'!$B$2:$B1000=$A84)*('Form responses 1'!$A$2:$A1000&lt;=EOMONTH(DATEVALUE("1 "&amp;AB$1),0)))+
  SUMPRODUCT(('Form responses 1'!$C$2:$C1000=$A84)*('Form responses 1'!$A$2:$A1000&lt;=EOMONTH(DATEVALUE("1 "&amp;AB$1),0)))+
  SUMPRODUCT(('Form responses 1'!$D$2:$D1000=$A84)*('Form responses 1'!$A$2:$A1000&lt;=EOMONTH(DATEVALUE("1 "&amp;AB$1),0)))+
  SUMPRODUCT(('Form responses 1'!$E$2:$E1000=$A84)*('Form responses 1'!$A$2:$A1000&lt;=EOMONTH(DATEVALUE("1 "&amp;AB$1),0)))+
  SUMPRODUCT(('Form responses 1'!$F$2:$F1000=$A84)*('Form responses 1'!$A$2:$A1000&lt;=EOMONTH(DATEVALUE("1 "&amp;AB$1),0)))+
  SUMPRODUCT(('Form responses 1'!$G$2:$G1000=$A84)*('Form responses 1'!$A$2:$A1000&lt;=EOMONTH(DATEVALUE("1 "&amp;AB$1),0)))
),2),"-")</f>
        <v>1.21</v>
      </c>
      <c r="AC84" s="2">
        <f>IFERROR(ROUND(Data!$B84/(
  SUMPRODUCT(('Form responses 1'!$B$2:$B1000=$A84)*('Form responses 1'!$A$2:$A1000&lt;=EOMONTH(DATEVALUE("1 "&amp;AC$1),0)))+
  SUMPRODUCT(('Form responses 1'!$C$2:$C1000=$A84)*('Form responses 1'!$A$2:$A1000&lt;=EOMONTH(DATEVALUE("1 "&amp;AC$1),0)))+
  SUMPRODUCT(('Form responses 1'!$D$2:$D1000=$A84)*('Form responses 1'!$A$2:$A1000&lt;=EOMONTH(DATEVALUE("1 "&amp;AC$1),0)))+
  SUMPRODUCT(('Form responses 1'!$E$2:$E1000=$A84)*('Form responses 1'!$A$2:$A1000&lt;=EOMONTH(DATEVALUE("1 "&amp;AC$1),0)))+
  SUMPRODUCT(('Form responses 1'!$F$2:$F1000=$A84)*('Form responses 1'!$A$2:$A1000&lt;=EOMONTH(DATEVALUE("1 "&amp;AC$1),0)))+
  SUMPRODUCT(('Form responses 1'!$G$2:$G1000=$A84)*('Form responses 1'!$A$2:$A1000&lt;=EOMONTH(DATEVALUE("1 "&amp;AC$1),0)))
),2),"-")</f>
        <v>1.21</v>
      </c>
      <c r="AD84" s="2" t="str">
        <f>IFERROR(ROUND(Data!$B84/(
  SUMPRODUCT(('Form responses 1'!$B$2:$B1000=$A84)*('Form responses 1'!$A$2:$A1000&lt;=EOMONTH(DATEVALUE("1 "&amp;AD$1),0)))+
  SUMPRODUCT(('Form responses 1'!$C$2:$C1000=$A84)*('Form responses 1'!$A$2:$A1000&lt;=EOMONTH(DATEVALUE("1 "&amp;AD$1),0)))+
  SUMPRODUCT(('Form responses 1'!$D$2:$D1000=$A84)*('Form responses 1'!$A$2:$A1000&lt;=EOMONTH(DATEVALUE("1 "&amp;AD$1),0)))+
  SUMPRODUCT(('Form responses 1'!$E$2:$E1000=$A84)*('Form responses 1'!$A$2:$A1000&lt;=EOMONTH(DATEVALUE("1 "&amp;AD$1),0)))+
  SUMPRODUCT(('Form responses 1'!$F$2:$F1000=$A84)*('Form responses 1'!$A$2:$A1000&lt;=EOMONTH(DATEVALUE("1 "&amp;AD$1),0)))+
  SUMPRODUCT(('Form responses 1'!$G$2:$G1000=$A84)*('Form responses 1'!$A$2:$A1000&lt;=EOMONTH(DATEVALUE("1 "&amp;AD$1),0)))
),2),"-")</f>
        <v>-</v>
      </c>
      <c r="AE84" s="2" t="str">
        <f>IFERROR(ROUND(Data!$B84/(
  SUMPRODUCT(('Form responses 1'!$B$2:$B1000=$A84)*('Form responses 1'!$A$2:$A1000&lt;=EOMONTH(DATEVALUE("1 "&amp;AE$1),0)))+
  SUMPRODUCT(('Form responses 1'!$C$2:$C1000=$A84)*('Form responses 1'!$A$2:$A1000&lt;=EOMONTH(DATEVALUE("1 "&amp;AE$1),0)))+
  SUMPRODUCT(('Form responses 1'!$D$2:$D1000=$A84)*('Form responses 1'!$A$2:$A1000&lt;=EOMONTH(DATEVALUE("1 "&amp;AE$1),0)))+
  SUMPRODUCT(('Form responses 1'!$E$2:$E1000=$A84)*('Form responses 1'!$A$2:$A1000&lt;=EOMONTH(DATEVALUE("1 "&amp;AE$1),0)))+
  SUMPRODUCT(('Form responses 1'!$F$2:$F1000=$A84)*('Form responses 1'!$A$2:$A1000&lt;=EOMONTH(DATEVALUE("1 "&amp;AE$1),0)))+
  SUMPRODUCT(('Form responses 1'!$G$2:$G1000=$A84)*('Form responses 1'!$A$2:$A1000&lt;=EOMONTH(DATEVALUE("1 "&amp;AE$1),0)))
),2),"-")</f>
        <v>-</v>
      </c>
      <c r="AF84" s="2" t="str">
        <f>IFERROR(ROUND(Data!$B84/(
  SUMPRODUCT(('Form responses 1'!$B$2:$B1000=$A84)*('Form responses 1'!$A$2:$A1000&lt;=EOMONTH(DATEVALUE("1 "&amp;AF$1),0)))+
  SUMPRODUCT(('Form responses 1'!$C$2:$C1000=$A84)*('Form responses 1'!$A$2:$A1000&lt;=EOMONTH(DATEVALUE("1 "&amp;AF$1),0)))+
  SUMPRODUCT(('Form responses 1'!$D$2:$D1000=$A84)*('Form responses 1'!$A$2:$A1000&lt;=EOMONTH(DATEVALUE("1 "&amp;AF$1),0)))+
  SUMPRODUCT(('Form responses 1'!$E$2:$E1000=$A84)*('Form responses 1'!$A$2:$A1000&lt;=EOMONTH(DATEVALUE("1 "&amp;AF$1),0)))+
  SUMPRODUCT(('Form responses 1'!$F$2:$F1000=$A84)*('Form responses 1'!$A$2:$A1000&lt;=EOMONTH(DATEVALUE("1 "&amp;AF$1),0)))+
  SUMPRODUCT(('Form responses 1'!$G$2:$G1000=$A84)*('Form responses 1'!$A$2:$A1000&lt;=EOMONTH(DATEVALUE("1 "&amp;AF$1),0)))
),2),"-")</f>
        <v>-</v>
      </c>
      <c r="AG84" s="2" t="str">
        <f>IFERROR(ROUND(Data!$B84/(
  SUMPRODUCT(('Form responses 1'!$B$2:$B1000=$A84)*('Form responses 1'!$A$2:$A1000&lt;=EOMONTH(DATEVALUE("1 "&amp;AG$1),0)))+
  SUMPRODUCT(('Form responses 1'!$C$2:$C1000=$A84)*('Form responses 1'!$A$2:$A1000&lt;=EOMONTH(DATEVALUE("1 "&amp;AG$1),0)))+
  SUMPRODUCT(('Form responses 1'!$D$2:$D1000=$A84)*('Form responses 1'!$A$2:$A1000&lt;=EOMONTH(DATEVALUE("1 "&amp;AG$1),0)))+
  SUMPRODUCT(('Form responses 1'!$E$2:$E1000=$A84)*('Form responses 1'!$A$2:$A1000&lt;=EOMONTH(DATEVALUE("1 "&amp;AG$1),0)))+
  SUMPRODUCT(('Form responses 1'!$F$2:$F1000=$A84)*('Form responses 1'!$A$2:$A1000&lt;=EOMONTH(DATEVALUE("1 "&amp;AG$1),0)))+
  SUMPRODUCT(('Form responses 1'!$G$2:$G1000=$A84)*('Form responses 1'!$A$2:$A1000&lt;=EOMONTH(DATEVALUE("1 "&amp;AG$1),0)))
),2),"-")</f>
        <v>-</v>
      </c>
      <c r="AH84" s="2" t="str">
        <f>IFERROR(ROUND(Data!$B84/(
  SUMPRODUCT(('Form responses 1'!$B$2:$B1000=$A84)*('Form responses 1'!$A$2:$A1000&lt;=EOMONTH(DATEVALUE("1 "&amp;AH$1),0)))+
  SUMPRODUCT(('Form responses 1'!$C$2:$C1000=$A84)*('Form responses 1'!$A$2:$A1000&lt;=EOMONTH(DATEVALUE("1 "&amp;AH$1),0)))+
  SUMPRODUCT(('Form responses 1'!$D$2:$D1000=$A84)*('Form responses 1'!$A$2:$A1000&lt;=EOMONTH(DATEVALUE("1 "&amp;AH$1),0)))+
  SUMPRODUCT(('Form responses 1'!$E$2:$E1000=$A84)*('Form responses 1'!$A$2:$A1000&lt;=EOMONTH(DATEVALUE("1 "&amp;AH$1),0)))+
  SUMPRODUCT(('Form responses 1'!$F$2:$F1000=$A84)*('Form responses 1'!$A$2:$A1000&lt;=EOMONTH(DATEVALUE("1 "&amp;AH$1),0)))+
  SUMPRODUCT(('Form responses 1'!$G$2:$G1000=$A84)*('Form responses 1'!$A$2:$A1000&lt;=EOMONTH(DATEVALUE("1 "&amp;AH$1),0)))
),2),"-")</f>
        <v>-</v>
      </c>
      <c r="AI84" s="2" t="str">
        <f>IFERROR(ROUND(Data!$B84/(
  SUMPRODUCT(('Form responses 1'!$B$2:$B1000=$A84)*('Form responses 1'!$A$2:$A1000&lt;=EOMONTH(DATEVALUE("1 "&amp;AI$1),0)))+
  SUMPRODUCT(('Form responses 1'!$C$2:$C1000=$A84)*('Form responses 1'!$A$2:$A1000&lt;=EOMONTH(DATEVALUE("1 "&amp;AI$1),0)))+
  SUMPRODUCT(('Form responses 1'!$D$2:$D1000=$A84)*('Form responses 1'!$A$2:$A1000&lt;=EOMONTH(DATEVALUE("1 "&amp;AI$1),0)))+
  SUMPRODUCT(('Form responses 1'!$E$2:$E1000=$A84)*('Form responses 1'!$A$2:$A1000&lt;=EOMONTH(DATEVALUE("1 "&amp;AI$1),0)))+
  SUMPRODUCT(('Form responses 1'!$F$2:$F1000=$A84)*('Form responses 1'!$A$2:$A1000&lt;=EOMONTH(DATEVALUE("1 "&amp;AI$1),0)))+
  SUMPRODUCT(('Form responses 1'!$G$2:$G1000=$A84)*('Form responses 1'!$A$2:$A1000&lt;=EOMONTH(DATEVALUE("1 "&amp;AI$1),0)))
),2),"-")</f>
        <v>-</v>
      </c>
      <c r="AJ84" s="2" t="str">
        <f>IFERROR(ROUND(Data!$B84/(
  SUMPRODUCT(('Form responses 1'!$B$2:$B1000=$A84)*('Form responses 1'!$A$2:$A1000&lt;=EOMONTH(DATEVALUE("1 "&amp;AJ$1),0)))+
  SUMPRODUCT(('Form responses 1'!$C$2:$C1000=$A84)*('Form responses 1'!$A$2:$A1000&lt;=EOMONTH(DATEVALUE("1 "&amp;AJ$1),0)))+
  SUMPRODUCT(('Form responses 1'!$D$2:$D1000=$A84)*('Form responses 1'!$A$2:$A1000&lt;=EOMONTH(DATEVALUE("1 "&amp;AJ$1),0)))+
  SUMPRODUCT(('Form responses 1'!$E$2:$E1000=$A84)*('Form responses 1'!$A$2:$A1000&lt;=EOMONTH(DATEVALUE("1 "&amp;AJ$1),0)))+
  SUMPRODUCT(('Form responses 1'!$F$2:$F1000=$A84)*('Form responses 1'!$A$2:$A1000&lt;=EOMONTH(DATEVALUE("1 "&amp;AJ$1),0)))+
  SUMPRODUCT(('Form responses 1'!$G$2:$G1000=$A84)*('Form responses 1'!$A$2:$A1000&lt;=EOMONTH(DATEVALUE("1 "&amp;AJ$1),0)))
),2),"-")</f>
        <v>-</v>
      </c>
      <c r="AK84" s="2" t="str">
        <f>IFERROR(ROUND(Data!$B84/(
  SUMPRODUCT(('Form responses 1'!$B$2:$B1000=$A84)*('Form responses 1'!$A$2:$A1000&lt;=EOMONTH(DATEVALUE("1 "&amp;AK$1),0)))+
  SUMPRODUCT(('Form responses 1'!$C$2:$C1000=$A84)*('Form responses 1'!$A$2:$A1000&lt;=EOMONTH(DATEVALUE("1 "&amp;AK$1),0)))+
  SUMPRODUCT(('Form responses 1'!$D$2:$D1000=$A84)*('Form responses 1'!$A$2:$A1000&lt;=EOMONTH(DATEVALUE("1 "&amp;AK$1),0)))+
  SUMPRODUCT(('Form responses 1'!$E$2:$E1000=$A84)*('Form responses 1'!$A$2:$A1000&lt;=EOMONTH(DATEVALUE("1 "&amp;AK$1),0)))+
  SUMPRODUCT(('Form responses 1'!$F$2:$F1000=$A84)*('Form responses 1'!$A$2:$A1000&lt;=EOMONTH(DATEVALUE("1 "&amp;AK$1),0)))+
  SUMPRODUCT(('Form responses 1'!$G$2:$G1000=$A84)*('Form responses 1'!$A$2:$A1000&lt;=EOMONTH(DATEVALUE("1 "&amp;AK$1),0)))
),2),"-")</f>
        <v>-</v>
      </c>
      <c r="AL84" s="2" t="str">
        <f>IFERROR(ROUND(Data!$B84/(
  SUMPRODUCT(('Form responses 1'!$B$2:$B1000=$A84)*('Form responses 1'!$A$2:$A1000&lt;=EOMONTH(DATEVALUE("1 "&amp;AL$1),0)))+
  SUMPRODUCT(('Form responses 1'!$C$2:$C1000=$A84)*('Form responses 1'!$A$2:$A1000&lt;=EOMONTH(DATEVALUE("1 "&amp;AL$1),0)))+
  SUMPRODUCT(('Form responses 1'!$D$2:$D1000=$A84)*('Form responses 1'!$A$2:$A1000&lt;=EOMONTH(DATEVALUE("1 "&amp;AL$1),0)))+
  SUMPRODUCT(('Form responses 1'!$E$2:$E1000=$A84)*('Form responses 1'!$A$2:$A1000&lt;=EOMONTH(DATEVALUE("1 "&amp;AL$1),0)))+
  SUMPRODUCT(('Form responses 1'!$F$2:$F1000=$A84)*('Form responses 1'!$A$2:$A1000&lt;=EOMONTH(DATEVALUE("1 "&amp;AL$1),0)))+
  SUMPRODUCT(('Form responses 1'!$G$2:$G1000=$A84)*('Form responses 1'!$A$2:$A1000&lt;=EOMONTH(DATEVALUE("1 "&amp;AL$1),0)))
),2),"-")</f>
        <v>-</v>
      </c>
    </row>
    <row r="85">
      <c r="A85" s="3" t="str">
        <f>IFERROR(__xludf.DUMMYFUNCTION("""COMPUTED_VALUE"""),"Blauwe Uniqlo sweater")</f>
        <v>Blauwe Uniqlo sweater</v>
      </c>
      <c r="B85" s="2">
        <f>Data!F77:F1000</f>
        <v>0.71</v>
      </c>
      <c r="C85" s="2" t="str">
        <f>IFERROR(ROUND(Data!B77/(SUMPRODUCT(('Form responses 1'!$B$2:$B1000 = A85) * ('Form responses 1'!$A$2:$A1000 &lt;= DATE(2024, 1, 31)))
+ SUMPRODUCT(('Form responses 1'!$C$2:$C1000 = A85) * ('Form responses 1'!$A$2:$A1000 &lt;= DATE(2024, 1, 31)))
+ SUMPRODUCT(('Form responses 1'!$D$2:$D1000 = A85) * ('Form responses 1'!$A$2:$A1000 &lt;= DATE(2024, 1, 31)))
+ SUMPRODUCT(('Form responses 1'!$E$2:$E1000 = A85) * ('Form responses 1'!$A$2:$A1000 &lt;= DATE(2024, 1, 31)))
+ SUMPRODUCT(('Form responses 1'!$F$2:$F1000 = A85) * ('Form responses 1'!$A$2:$A1000 &lt;= DATE(2024, 1, 31)))
+ SUMPRODUCT(('Form responses 1'!$G$2:$G1000 = A85) * ('Form responses 1'!$A$2:$A1000 &lt;= DATE(2024, 1, 31)))), 2), "-")
</f>
        <v>-</v>
      </c>
      <c r="D85" s="2" t="str">
        <f>IFERROR(ROUND(Data!B77/(SUMPRODUCT(('Form responses 1'!$B$2:$B1000 = A85) * ('Form responses 1'!$A$2:$A1000 &lt;= DATE(2024, 2, 29)))
+ SUMPRODUCT(('Form responses 1'!$C$2:$C1000 = A85) * ('Form responses 1'!$A$2:$A1000 &lt;= DATE(2024, 2, 29)))
+ SUMPRODUCT(('Form responses 1'!$D$2:$D1000 = A85) * ('Form responses 1'!$A$2:$A1000 &lt;= DATE(2024, 2, 29)))
+ SUMPRODUCT(('Form responses 1'!$E$2:$E1000 = A85) * ('Form responses 1'!$A$2:$A1000 &lt;= DATE(2024, 2, 29)))
+ SUMPRODUCT(('Form responses 1'!$F$2:$F1000 = A85) * ('Form responses 1'!$A$2:$A1000 &lt;= DATE(2024, 2, 29)))
+ SUMPRODUCT(('Form responses 1'!$G$2:$G1000 = A85) * ('Form responses 1'!$A$2:$A1000 &lt;= DATE(2024, 2, 29)))), 2), "-")
</f>
        <v>-</v>
      </c>
      <c r="E85" s="2" t="str">
        <f>IFERROR(ROUND(Data!B77/(SUMPRODUCT(('Form responses 1'!$B$2:$B1000 = A85) * ('Form responses 1'!$A$2:$A1000 &lt;= DATE(2024, 3, 31)))
+ SUMPRODUCT(('Form responses 1'!$C$2:$C1000 = A85) * ('Form responses 1'!$A$2:$A1000 &lt;= DATE(2024, 3, 31)))
+ SUMPRODUCT(('Form responses 1'!$D$2:$D1000 = A85) * ('Form responses 1'!$A$2:$A1000 &lt;= DATE(2024, 3, 31)))
+ SUMPRODUCT(('Form responses 1'!$E$2:$E1000 = A85) * ('Form responses 1'!$A$2:$A1000 &lt;= DATE(2024, 3, 31)))
+ SUMPRODUCT(('Form responses 1'!$F$2:$F1000 = A85) * ('Form responses 1'!$A$2:$A1000 &lt;= DATE(2024, 3, 31)))
+ SUMPRODUCT(('Form responses 1'!$G$2:$G1000 = A85) * ('Form responses 1'!$A$2:$A1000 &lt;= DATE(2024, 3, 31)))), 2), "-")
</f>
        <v>-</v>
      </c>
      <c r="F85" s="2" t="str">
        <f>IFERROR(ROUND(Data!B77/(SUMPRODUCT(('Form responses 1'!$B$2:$B1000 = A85) * ('Form responses 1'!$A$2:$A1000 &lt;= DATE(2024, 4, 30)))
+ SUMPRODUCT(('Form responses 1'!$C$2:$C1000 = A85) * ('Form responses 1'!$A$2:$A1000 &lt;= DATE(2024, 4, 30)))
+ SUMPRODUCT(('Form responses 1'!$D$2:$D1000 = A85) * ('Form responses 1'!$A$2:$A1000 &lt;= DATE(2024, 4, 30)))
+ SUMPRODUCT(('Form responses 1'!$E$2:$E1000 = A85) * ('Form responses 1'!$A$2:$A1000 &lt;= DATE(2024, 4, 30)))
+ SUMPRODUCT(('Form responses 1'!$F$2:$F1000 = A85) * ('Form responses 1'!$A$2:$A1000 &lt;= DATE(2024, 4, 30)))
+ SUMPRODUCT(('Form responses 1'!$G$2:$G1000 = A85) * ('Form responses 1'!$A$2:$A1000 &lt;= DATE(2024, 4, 30)))), 2), "-")
</f>
        <v>-</v>
      </c>
      <c r="G85" s="2" t="str">
        <f>IFERROR(ROUND(Data!B77/(SUMPRODUCT(('Form responses 1'!$B$2:$B1000 = A85) * ('Form responses 1'!$A$2:$A1000 &lt;= DATE(2024, 5, 31)))
+ SUMPRODUCT(('Form responses 1'!$C$2:$C1000 = A85) * ('Form responses 1'!$A$2:$A1000 &lt;= DATE(2024, 5, 31)))
+ SUMPRODUCT(('Form responses 1'!$D$2:$D1000 = A85) * ('Form responses 1'!$A$2:$A1000 &lt;= DATE(2024, 5, 31)))
+ SUMPRODUCT(('Form responses 1'!$E$2:$E1000 = A85) * ('Form responses 1'!$A$2:$A1000 &lt;= DATE(2024, 5, 31)))
+ SUMPRODUCT(('Form responses 1'!$F$2:$F1000 = A85) * ('Form responses 1'!$A$2:$A1000 &lt;= DATE(2024, 5, 31)))
+ SUMPRODUCT(('Form responses 1'!$G$2:$G1000 = A85) * ('Form responses 1'!$A$2:$A1000 &lt;= DATE(2024, 5, 31)))), 2), "-")
</f>
        <v>-</v>
      </c>
      <c r="H85" s="2" t="str">
        <f>IFERROR(ROUND(Data!B77/(SUMPRODUCT(('Form responses 1'!$B$2:$B1000 = A85) * ('Form responses 1'!$A$2:$A1000 &lt;= DATE(2024, 6, 30)))
+ SUMPRODUCT(('Form responses 1'!$C$2:$C1000 = A85) * ('Form responses 1'!$A$2:$A1000 &lt;= DATE(2024, 6, 30)))
+ SUMPRODUCT(('Form responses 1'!$D$2:$D1000 = A85) * ('Form responses 1'!$A$2:$A1000 &lt;= DATE(2024, 6, 30)))
+ SUMPRODUCT(('Form responses 1'!$E$2:$E1000 = A85) * ('Form responses 1'!$A$2:$A1000 &lt;= DATE(2024, 6, 30)))
+ SUMPRODUCT(('Form responses 1'!$F$2:$F1000 = A85) * ('Form responses 1'!$A$2:$A1000 &lt;= DATE(2024, 6, 30)))
+ SUMPRODUCT(('Form responses 1'!$G$2:$G1000 = A85) * ('Form responses 1'!$A$2:$A1000 &lt;= DATE(2024, 6, 30)))), 2), "-")
</f>
        <v>-</v>
      </c>
      <c r="I85" s="2" t="str">
        <f>IFERROR(ROUND(Data!B77/(SUMPRODUCT(('Form responses 1'!$B$2:$B1000 = A85) * ('Form responses 1'!$A$2:$A1000 &lt;= DATE(2024, 7, 31)))
+ SUMPRODUCT(('Form responses 1'!$C$2:$C1000 = A85) * ('Form responses 1'!$A$2:$A1000 &lt;= DATE(2024, 7, 31)))
+ SUMPRODUCT(('Form responses 1'!$D$2:$D1000 = A85) * ('Form responses 1'!$A$2:$A1000 &lt;= DATE(2024, 7, 31)))
+ SUMPRODUCT(('Form responses 1'!$E$2:$E1000 = A85) * ('Form responses 1'!$A$2:$A1000 &lt;= DATE(2024, 7, 31)))
+ SUMPRODUCT(('Form responses 1'!$F$2:$F1000 = A85) * ('Form responses 1'!$A$2:$A1000 &lt;= DATE(2024, 7, 31)))
+ SUMPRODUCT(('Form responses 1'!$G$2:$G1000 = A85) * ('Form responses 1'!$A$2:$A1000 &lt;= DATE(2024, 7, 31)))), 2), "-")
</f>
        <v>-</v>
      </c>
      <c r="J85" s="2" t="str">
        <f>IFERROR(ROUND(Data!B77/(SUMPRODUCT(('Form responses 1'!$B$2:$B1000 = A85) * ('Form responses 1'!$A$2:$A1000 &lt;= DATE(2024, 8, 31)))
+ SUMPRODUCT(('Form responses 1'!$C$2:$C1000 = A85) * ('Form responses 1'!$A$2:$A1000 &lt;= DATE(2024, 8, 31)))
+ SUMPRODUCT(('Form responses 1'!$D$2:$D1000 = A85) * ('Form responses 1'!$A$2:$A1000 &lt;= DATE(2024, 8, 31)))
+ SUMPRODUCT(('Form responses 1'!$E$2:$E1000 = A85) * ('Form responses 1'!$A$2:$A1000 &lt;= DATE(2024, 8, 31)))
+ SUMPRODUCT(('Form responses 1'!$F$2:$F1000 = A85) * ('Form responses 1'!$A$2:$A1000 &lt;= DATE(2024, 8, 31)))
+ SUMPRODUCT(('Form responses 1'!$G$2:$G1000 = A85) * ('Form responses 1'!$A$2:$A1000 &lt;= DATE(2024, 8, 31)))), 2), "-")
</f>
        <v>-</v>
      </c>
      <c r="K85" s="2" t="str">
        <f>IFERROR(ROUND(Data!B77/(SUMPRODUCT(('Form responses 1'!$B$2:$B1000 = A85) * ('Form responses 1'!$A$2:$A1000 &lt;= DATE(2024, 9, 30)))
+ SUMPRODUCT(('Form responses 1'!$C$2:$C1000 = A85) * ('Form responses 1'!$A$2:$A1000 &lt;= DATE(2024, 9, 30)))
+ SUMPRODUCT(('Form responses 1'!$D$2:$D1000 = A85) * ('Form responses 1'!$A$2:$A1000 &lt;= DATE(2024, 9, 30)))
+ SUMPRODUCT(('Form responses 1'!$E$2:$E1000 = A85) * ('Form responses 1'!$A$2:$A1000 &lt;= DATE(2024, 9, 30)))
+ SUMPRODUCT(('Form responses 1'!$F$2:$F1000 = A85) * ('Form responses 1'!$A$2:$A1000 &lt;= DATE(2024, 9, 30)))
+ SUMPRODUCT(('Form responses 1'!$G$2:$G1000 = A85) * ('Form responses 1'!$A$2:$A1000 &lt;= DATE(2024, 9, 30)))), 2), "-")
</f>
        <v>-</v>
      </c>
      <c r="L85" s="2" t="str">
        <f>IFERROR(ROUND(Data!B77/(SUMPRODUCT(('Form responses 1'!$B$2:$B1000 = A85) * ('Form responses 1'!$A$2:$A1000 &lt;= DATE(2024, 10, 31)))
+ SUMPRODUCT(('Form responses 1'!$C$2:$C1000 = A85) * ('Form responses 1'!$A$2:$A1000 &lt;= DATE(2024, 10, 31)))
+ SUMPRODUCT(('Form responses 1'!$D$2:$D1000 = A85) * ('Form responses 1'!$A$2:$A1000 &lt;= DATE(2024, 10, 31)))
+ SUMPRODUCT(('Form responses 1'!$E$2:$E1000 = A85) * ('Form responses 1'!$A$2:$A1000 &lt;= DATE(2024, 10, 31)))
+ SUMPRODUCT(('Form responses 1'!$F$2:$F1000 = A85) * ('Form responses 1'!$A$2:$A1000 &lt;= DATE(2024, 10, 31)))
+ SUMPRODUCT(('Form responses 1'!$G$2:$G1000 = A85) * ('Form responses 1'!$A$2:$A1000 &lt;= DATE(2024, 10, 31)))), 2), "-")
</f>
        <v>-</v>
      </c>
      <c r="M85" s="2" t="str">
        <f>IFERROR(ROUND(Data!B77/(SUMPRODUCT(('Form responses 1'!$B$2:$B1000 = A85) * ('Form responses 1'!$A$2:$A1000 &lt;= DATE(2024, 11, 30)))
+ SUMPRODUCT(('Form responses 1'!$C$2:$C1000 = A85) * ('Form responses 1'!$A$2:$A1000 &lt;= DATE(2024, 11, 30)))
+ SUMPRODUCT(('Form responses 1'!$D$2:$D1000 = A85) * ('Form responses 1'!$A$2:$A1000 &lt;= DATE(2024, 11, 30)))
+ SUMPRODUCT(('Form responses 1'!$E$2:$E1000 = A85) * ('Form responses 1'!$A$2:$A1000 &lt;= DATE(2024, 11, 30)))
+ SUMPRODUCT(('Form responses 1'!$F$2:$F1000 = A85) * ('Form responses 1'!$A$2:$A1000 &lt;= DATE(2024, 11, 30)))
+ SUMPRODUCT(('Form responses 1'!$G$2:$G1000 = A85) * ('Form responses 1'!$A$2:$A1000 &lt;= DATE(2024, 11, 30)))), 2), "-")
</f>
        <v>-</v>
      </c>
      <c r="N85" s="2" t="str">
        <f>IFERROR(ROUND(Data!B77/(SUMPRODUCT(('Form responses 1'!$B$2:$B1000 = A85) * ('Form responses 1'!$A$2:$A1000 &lt;= DATE(2024, 12, 31)))
+ SUMPRODUCT(('Form responses 1'!$C$2:$C1000 = A85) * ('Form responses 1'!$A$2:$A1000 &lt;= DATE(2024, 12, 31)))
+ SUMPRODUCT(('Form responses 1'!$D$2:$D1000 = A85) * ('Form responses 1'!$A$2:$A1000 &lt;= DATE(2024, 12, 31)))
+ SUMPRODUCT(('Form responses 1'!$E$2:$E1000 = A85) * ('Form responses 1'!$A$2:$A1000 &lt;= DATE(2024, 12, 31)))
+ SUMPRODUCT(('Form responses 1'!$F$2:$F1000 = A85) * ('Form responses 1'!$A$2:$A1000 &lt;= DATE(2024, 12, 31)))
+ SUMPRODUCT(('Form responses 1'!$G$2:$G1000 = A85) * ('Form responses 1'!$A$2:$A1000 &lt;= DATE(2024, 12, 31)))), 2), "-")
</f>
        <v>-</v>
      </c>
      <c r="O85" s="2" t="str">
        <f>IFERROR(ROUND(Data!B77/(SUMPRODUCT(('Form responses 1'!$B$2:$B1000 = A85) * ('Form responses 1'!$A$2:$A1000 &lt;= DATE(2025, 1, 31)))
+ SUMPRODUCT(('Form responses 1'!$C$2:$C1000 = A85) * ('Form responses 1'!$A$2:$A1000 &lt;= DATE(2025, 1, 31)))
+ SUMPRODUCT(('Form responses 1'!$D$2:$D1000 = A85) * ('Form responses 1'!$A$2:$A1000 &lt;= DATE(2025, 1, 31)))
+ SUMPRODUCT(('Form responses 1'!$E$2:$E1000 = A85) * ('Form responses 1'!$A$2:$A1000 &lt;= DATE(2025, 1, 31)))
+ SUMPRODUCT(('Form responses 1'!$F$2:$F1000 = A85) * ('Form responses 1'!$A$2:$A1000 &lt;= DATE(2025, 1, 31)))
+ SUMPRODUCT(('Form responses 1'!$G$2:$G1000 = A85) * ('Form responses 1'!$A$2:$A1000 &lt;= DATE(2025, 1, 31)))), 2), "-")
</f>
        <v>-</v>
      </c>
      <c r="P85" s="2" t="str">
        <f>IFERROR(ROUND(Data!B77/(SUMPRODUCT(('Form responses 1'!$B$2:$B1000 = A85) * ('Form responses 1'!$A$2:$A1000 &lt;= DATE(2025, 2, 28)))
+ SUMPRODUCT(('Form responses 1'!$C$2:$C1000 = A85) * ('Form responses 1'!$A$2:$A1000 &lt;= DATE(2025, 2, 28)))
+ SUMPRODUCT(('Form responses 1'!$D$2:$D1000 = A85) * ('Form responses 1'!$A$2:$A1000 &lt;= DATE(2025, 2, 28)))
+ SUMPRODUCT(('Form responses 1'!$E$2:$E1000 = A85) * ('Form responses 1'!$A$2:$A1000 &lt;= DATE(2025, 2, 28)))
+ SUMPRODUCT(('Form responses 1'!$F$2:$F1000 = A85) * ('Form responses 1'!$A$2:$A1000 &lt;= DATE(2025, 2, 28)))
+ SUMPRODUCT(('Form responses 1'!$G$2:$G1000 = A85) * ('Form responses 1'!$A$2:$A1000 &lt;= DATE(2025, 2, 28)))), 2), "-")
</f>
        <v>-</v>
      </c>
      <c r="Q85" s="2" t="str">
        <f>IFERROR(ROUND(Data!B77/(SUMPRODUCT(('Form responses 1'!$B$2:$B1000 = A85) * ('Form responses 1'!$A$2:$A1000 &lt;= DATE(2025, 3, 31)))
+ SUMPRODUCT(('Form responses 1'!$C$2:$C1000 = A85) * ('Form responses 1'!$A$2:$A1000 &lt;= DATE(2025, 3, 31)))
+ SUMPRODUCT(('Form responses 1'!$D$2:$D1000 = A85) * ('Form responses 1'!$A$2:$A1000 &lt;= DATE(2025, 3, 31)))
+ SUMPRODUCT(('Form responses 1'!$E$2:$E1000 = A85) * ('Form responses 1'!$A$2:$A1000 &lt;= DATE(2025, 3, 31)))
+ SUMPRODUCT(('Form responses 1'!$F$2:$F1000 = A85) * ('Form responses 1'!$A$2:$A1000 &lt;= DATE(2025, 3, 31)))
+ SUMPRODUCT(('Form responses 1'!$G$2:$G1000 = A85) * ('Form responses 1'!$A$2:$A1000 &lt;= DATE(2025, 3, 31)))),2),"-")</f>
        <v>-</v>
      </c>
      <c r="R85" s="2">
        <f>IFERROR(ROUND(Data!B77/(SUMPRODUCT(('Form responses 1'!$B$2:$B1000 = A85) * ('Form responses 1'!$A$2:$A1000 &lt;= DATE(2025, 4, 30)))
+ SUMPRODUCT(('Form responses 1'!$C$2:$C1000 = A85) * ('Form responses 1'!$A$2:$A1000 &lt;= DATE(2025, 4, 30)))
+ SUMPRODUCT(('Form responses 1'!$D$2:$D1000 = A85) * ('Form responses 1'!$A$2:$A1000 &lt;= DATE(2025, 4, 30)))
+ SUMPRODUCT(('Form responses 1'!$E$2:$E1000 = A85) * ('Form responses 1'!$A$2:$A1000 &lt;= DATE(2025, 4, 30)))
+ SUMPRODUCT(('Form responses 1'!$F$2:$F1000 = A85) * ('Form responses 1'!$A$2:$A1000 &lt;= DATE(2025, 4, 30)))
+ SUMPRODUCT(('Form responses 1'!$G$2:$G1000 = A85) * ('Form responses 1'!$A$2:$A1000 &lt;= DATE(2025, 4, 30)))), 2), "-")
</f>
        <v>22.8</v>
      </c>
      <c r="S85" s="2">
        <f>IFERROR(ROUND(Data!B77/(SUMPRODUCT(('Form responses 1'!$B$2:$B1000 = A85) * ('Form responses 1'!$A$2:$A1000 &lt;= DATE(2025, 5, 31)))
+ SUMPRODUCT(('Form responses 1'!$C$2:$C1000 = A85) * ('Form responses 1'!$A$2:$A1000 &lt;= DATE(2025, 5, 31)))
+ SUMPRODUCT(('Form responses 1'!$D$2:$D1000 = A85) * ('Form responses 1'!$A$2:$A1000 &lt;= DATE(2025, 5, 31)))
+ SUMPRODUCT(('Form responses 1'!$E$2:$E1000 = A85) * ('Form responses 1'!$A$2:$A1000 &lt;= DATE(2025, 5, 31)))
+ SUMPRODUCT(('Form responses 1'!$F$2:$F1000 = A85) * ('Form responses 1'!$A$2:$A1000 &lt;= DATE(2025, 5, 31)))
+ SUMPRODUCT(('Form responses 1'!$G$2:$G1000 = A85) * ('Form responses 1'!$A$2:$A1000 &lt;= DATE(2025, 5, 31)))), 2), "-")
</f>
        <v>10.36</v>
      </c>
      <c r="T85" s="2">
        <f>IFERROR(ROUND(Data!B77/(SUMPRODUCT(('Form responses 1'!$B$2:$B1000 = A85) * ('Form responses 1'!$A$2:$A1000 &lt;= DATE(2025, 6, 30)))
+ SUMPRODUCT(('Form responses 1'!$C$2:$C1000 = A85) * ('Form responses 1'!$A$2:$A1000 &lt;= DATE(2025, 6, 30)))
+ SUMPRODUCT(('Form responses 1'!$D$2:$D1000 = A85) * ('Form responses 1'!$A$2:$A1000 &lt;= DATE(2025, 6, 30)))
+ SUMPRODUCT(('Form responses 1'!$E$2:$E1000 = A85) * ('Form responses 1'!$A$2:$A1000 &lt;= DATE(2025, 6, 30)))
+ SUMPRODUCT(('Form responses 1'!$F$2:$F1000 = A85) * ('Form responses 1'!$A$2:$A1000 &lt;= DATE(2025, 6, 30)))
+ SUMPRODUCT(('Form responses 1'!$G$2:$G1000 = A85) * ('Form responses 1'!$A$2:$A1000 &lt;= DATE(2025, 6, 30)))), 2), "-")
</f>
        <v>7.6</v>
      </c>
      <c r="U85" s="2">
        <f>IFERROR(ROUND(Data!B77/(SUMPRODUCT(('Form responses 1'!$B$2:$B1000 = A85) * ('Form responses 1'!$A$2:$A1000 &lt;= DATE(2025, 7, 31)))
+ SUMPRODUCT(('Form responses 1'!$C$2:$C1000 = A85) * ('Form responses 1'!$A$2:$A1000 &lt;= DATE(2025, 7, 31)))
+ SUMPRODUCT(('Form responses 1'!$D$2:$D1000 = A85) * ('Form responses 1'!$A$2:$A1000 &lt;= DATE(2025, 7, 31)))
+ SUMPRODUCT(('Form responses 1'!$E$2:$E1000 = A85) * ('Form responses 1'!$A$2:$A1000 &lt;= DATE(2025, 7, 31)))
+ SUMPRODUCT(('Form responses 1'!$F$2:$F1000 = A85) * ('Form responses 1'!$A$2:$A1000 &lt;= DATE(2025, 7, 31)))
+ SUMPRODUCT(('Form responses 1'!$G$2:$G1000 = A85) * ('Form responses 1'!$A$2:$A1000 &lt;= DATE(2025, 7, 31)))), 2), "-")
</f>
        <v>6</v>
      </c>
      <c r="V85" s="2">
        <f>IFERROR(ROUND(Data!B77/(SUMPRODUCT(('Form responses 1'!$B$2:$B1000 = A85) * ('Form responses 1'!$A$2:$A1000 &lt;= DATE(2025, 8, 31)))
+ SUMPRODUCT(('Form responses 1'!$C$2:$C1000 = A85) * ('Form responses 1'!$A$2:$A1000 &lt;= DATE(2025, 8, 31)))
+ SUMPRODUCT(('Form responses 1'!$D$2:$D1000 = A85) * ('Form responses 1'!$A$2:$A1000 &lt;= DATE(2025, 8, 31)))
+ SUMPRODUCT(('Form responses 1'!$E$2:$E1000 = A85) * ('Form responses 1'!$A$2:$A1000 &lt;= DATE(2025, 8, 31)))
+ SUMPRODUCT(('Form responses 1'!$F$2:$F1000 = A85) * ('Form responses 1'!$A$2:$A1000 &lt;= DATE(2025, 8, 31)))
+ SUMPRODUCT(('Form responses 1'!$G$2:$G1000 = A85) * ('Form responses 1'!$A$2:$A1000 &lt;= DATE(2025, 8, 31)))), 2), "-")
</f>
        <v>5.7</v>
      </c>
      <c r="W85" s="2">
        <f>IFERROR(ROUND(Data!B77/(SUMPRODUCT(('Form responses 1'!$B$2:$B1000 = A85) * ('Form responses 1'!$A$2:$A1000 &lt;= DATE(2025, 9, 30)))
+ SUMPRODUCT(('Form responses 1'!$C$2:$C1000 = A85) * ('Form responses 1'!$A$2:$A1000 &lt;= DATE(2025, 9, 30)))
+ SUMPRODUCT(('Form responses 1'!$D$2:$D1000 = A85) * ('Form responses 1'!$A$2:$A1000 &lt;= DATE(2025, 9, 30)))
+ SUMPRODUCT(('Form responses 1'!$E$2:$E1000 = A85) * ('Form responses 1'!$A$2:$A1000 &lt;= DATE(2025, 9, 30)))
+ SUMPRODUCT(('Form responses 1'!$F$2:$F1000 = A85) * ('Form responses 1'!$A$2:$A1000 &lt;= DATE(2025, 9, 30)))
+ SUMPRODUCT(('Form responses 1'!$G$2:$G1000 = A85) * ('Form responses 1'!$A$2:$A1000 &lt;= DATE(2025, 9, 30)))), 2), "-")
</f>
        <v>5.7</v>
      </c>
      <c r="X85" s="2">
        <f>IFERROR(ROUND(Data!B77/(SUMPRODUCT(('Form responses 1'!$B$2:$B1000 = A85) * ('Form responses 1'!$A$2:$A1000 &lt;= DATE(2025, 10, 31)))
+ SUMPRODUCT(('Form responses 1'!$C$2:$C1000 = A85) * ('Form responses 1'!$A$2:$A1000 &lt;= DATE(2025, 10, 31)))
+ SUMPRODUCT(('Form responses 1'!$D$2:$D1000 = A85) * ('Form responses 1'!$A$2:$A1000 &lt;= DATE(2025, 10, 31)))
+ SUMPRODUCT(('Form responses 1'!$E$2:$E1000 = A85) * ('Form responses 1'!$A$2:$A1000 &lt;= DATE(2025, 10, 31)))
+ SUMPRODUCT(('Form responses 1'!$F$2:$F1000 = A85) * ('Form responses 1'!$A$2:$A1000 &lt;= DATE(2025, 10, 31)))
+ SUMPRODUCT(('Form responses 1'!$G$2:$G1000 = A85) * ('Form responses 1'!$A$2:$A1000 &lt;= DATE(2025, 10, 31)))), 2), "-")
</f>
        <v>4.75</v>
      </c>
      <c r="Y85" s="2">
        <f>IFERROR(ROUND(Data!B77/(SUMPRODUCT(('Form responses 1'!$B$2:$B1000 = A85) * ('Form responses 1'!$A$2:$A1000 &lt;= DATE(2025, 11, 30)))
+ SUMPRODUCT(('Form responses 1'!$C$2:$C1000 = A85) * ('Form responses 1'!$A$2:$A1000 &lt;= DATE(2025, 11, 30)))
+ SUMPRODUCT(('Form responses 1'!$D$2:$D1000 = A85) * ('Form responses 1'!$A$2:$A1000 &lt;= DATE(2025, 11, 30)))
+ SUMPRODUCT(('Form responses 1'!$E$2:$E1000 = A85) * ('Form responses 1'!$A$2:$A1000 &lt;= DATE(2025, 11, 30)))
+ SUMPRODUCT(('Form responses 1'!$F$2:$F1000 = A85) * ('Form responses 1'!$A$2:$A1000 &lt;= DATE(2025, 11, 30)))
+ SUMPRODUCT(('Form responses 1'!$G$2:$G1000 = A85) * ('Form responses 1'!$A$2:$A1000 &lt;= DATE(2025, 11, 30)))), 2), "-")
</f>
        <v>4.56</v>
      </c>
      <c r="Z85" s="2">
        <f>IFERROR(ROUND(Data!B77/(SUMPRODUCT(('Form responses 1'!$B$2:$B1000 = A85) * ('Form responses 1'!$A$2:$A1000 &lt;= DATE(2025, 12, 31)))
+ SUMPRODUCT(('Form responses 1'!$C$2:$C1000 = A85) * ('Form responses 1'!$A$2:$A1000 &lt;= DATE(2025, 12, 31)))
+ SUMPRODUCT(('Form responses 1'!$D$2:$D1000 = A85) * ('Form responses 1'!$A$2:$A1000 &lt;= DATE(2025, 12, 31)))
+ SUMPRODUCT(('Form responses 1'!$E$2:$E1000 = A85) * ('Form responses 1'!$A$2:$A1000 &lt;= DATE(2025, 12, 31)))
+ SUMPRODUCT(('Form responses 1'!$F$2:$F1000 = A85) * ('Form responses 1'!$A$2:$A1000 &lt;= DATE(2025, 12, 31)))
+ SUMPRODUCT(('Form responses 1'!$G$2:$G1000 = A85) * ('Form responses 1'!$A$2:$A1000 &lt;= DATE(2025, 12, 31)))), 2), "-")
</f>
        <v>3.93</v>
      </c>
      <c r="AA85" s="2">
        <f>IFERROR(ROUND(Data!$B85/(
  SUMPRODUCT(('Form responses 1'!$B$2:$B1000=$A85)*('Form responses 1'!$A$2:$A1000&lt;=EOMONTH(DATEVALUE("1 "&amp;AA$1),0)))+
  SUMPRODUCT(('Form responses 1'!$C$2:$C1000=$A85)*('Form responses 1'!$A$2:$A1000&lt;=EOMONTH(DATEVALUE("1 "&amp;AA$1),0)))+
  SUMPRODUCT(('Form responses 1'!$D$2:$D1000=$A85)*('Form responses 1'!$A$2:$A1000&lt;=EOMONTH(DATEVALUE("1 "&amp;AA$1),0)))+
  SUMPRODUCT(('Form responses 1'!$E$2:$E1000=$A85)*('Form responses 1'!$A$2:$A1000&lt;=EOMONTH(DATEVALUE("1 "&amp;AA$1),0)))+
  SUMPRODUCT(('Form responses 1'!$F$2:$F1000=$A85)*('Form responses 1'!$A$2:$A1000&lt;=EOMONTH(DATEVALUE("1 "&amp;AA$1),0)))+
  SUMPRODUCT(('Form responses 1'!$G$2:$G1000=$A85)*('Form responses 1'!$A$2:$A1000&lt;=EOMONTH(DATEVALUE("1 "&amp;AA$1),0)))
),2),"-")</f>
        <v>0.81</v>
      </c>
      <c r="AB85" s="2">
        <f>IFERROR(ROUND(Data!$B85/(
  SUMPRODUCT(('Form responses 1'!$B$2:$B1000=$A85)*('Form responses 1'!$A$2:$A1000&lt;=EOMONTH(DATEVALUE("1 "&amp;AB$1),0)))+
  SUMPRODUCT(('Form responses 1'!$C$2:$C1000=$A85)*('Form responses 1'!$A$2:$A1000&lt;=EOMONTH(DATEVALUE("1 "&amp;AB$1),0)))+
  SUMPRODUCT(('Form responses 1'!$D$2:$D1000=$A85)*('Form responses 1'!$A$2:$A1000&lt;=EOMONTH(DATEVALUE("1 "&amp;AB$1),0)))+
  SUMPRODUCT(('Form responses 1'!$E$2:$E1000=$A85)*('Form responses 1'!$A$2:$A1000&lt;=EOMONTH(DATEVALUE("1 "&amp;AB$1),0)))+
  SUMPRODUCT(('Form responses 1'!$F$2:$F1000=$A85)*('Form responses 1'!$A$2:$A1000&lt;=EOMONTH(DATEVALUE("1 "&amp;AB$1),0)))+
  SUMPRODUCT(('Form responses 1'!$G$2:$G1000=$A85)*('Form responses 1'!$A$2:$A1000&lt;=EOMONTH(DATEVALUE("1 "&amp;AB$1),0)))
),2),"-")</f>
        <v>0.81</v>
      </c>
      <c r="AC85" s="2">
        <f>IFERROR(ROUND(Data!$B85/(
  SUMPRODUCT(('Form responses 1'!$B$2:$B1000=$A85)*('Form responses 1'!$A$2:$A1000&lt;=EOMONTH(DATEVALUE("1 "&amp;AC$1),0)))+
  SUMPRODUCT(('Form responses 1'!$C$2:$C1000=$A85)*('Form responses 1'!$A$2:$A1000&lt;=EOMONTH(DATEVALUE("1 "&amp;AC$1),0)))+
  SUMPRODUCT(('Form responses 1'!$D$2:$D1000=$A85)*('Form responses 1'!$A$2:$A1000&lt;=EOMONTH(DATEVALUE("1 "&amp;AC$1),0)))+
  SUMPRODUCT(('Form responses 1'!$E$2:$E1000=$A85)*('Form responses 1'!$A$2:$A1000&lt;=EOMONTH(DATEVALUE("1 "&amp;AC$1),0)))+
  SUMPRODUCT(('Form responses 1'!$F$2:$F1000=$A85)*('Form responses 1'!$A$2:$A1000&lt;=EOMONTH(DATEVALUE("1 "&amp;AC$1),0)))+
  SUMPRODUCT(('Form responses 1'!$G$2:$G1000=$A85)*('Form responses 1'!$A$2:$A1000&lt;=EOMONTH(DATEVALUE("1 "&amp;AC$1),0)))
),2),"-")</f>
        <v>0.77</v>
      </c>
      <c r="AD85" s="2" t="str">
        <f>IFERROR(ROUND(Data!$B85/(
  SUMPRODUCT(('Form responses 1'!$B$2:$B1000=$A85)*('Form responses 1'!$A$2:$A1000&lt;=EOMONTH(DATEVALUE("1 "&amp;AD$1),0)))+
  SUMPRODUCT(('Form responses 1'!$C$2:$C1000=$A85)*('Form responses 1'!$A$2:$A1000&lt;=EOMONTH(DATEVALUE("1 "&amp;AD$1),0)))+
  SUMPRODUCT(('Form responses 1'!$D$2:$D1000=$A85)*('Form responses 1'!$A$2:$A1000&lt;=EOMONTH(DATEVALUE("1 "&amp;AD$1),0)))+
  SUMPRODUCT(('Form responses 1'!$E$2:$E1000=$A85)*('Form responses 1'!$A$2:$A1000&lt;=EOMONTH(DATEVALUE("1 "&amp;AD$1),0)))+
  SUMPRODUCT(('Form responses 1'!$F$2:$F1000=$A85)*('Form responses 1'!$A$2:$A1000&lt;=EOMONTH(DATEVALUE("1 "&amp;AD$1),0)))+
  SUMPRODUCT(('Form responses 1'!$G$2:$G1000=$A85)*('Form responses 1'!$A$2:$A1000&lt;=EOMONTH(DATEVALUE("1 "&amp;AD$1),0)))
),2),"-")</f>
        <v>-</v>
      </c>
      <c r="AE85" s="2" t="str">
        <f>IFERROR(ROUND(Data!$B85/(
  SUMPRODUCT(('Form responses 1'!$B$2:$B1000=$A85)*('Form responses 1'!$A$2:$A1000&lt;=EOMONTH(DATEVALUE("1 "&amp;AE$1),0)))+
  SUMPRODUCT(('Form responses 1'!$C$2:$C1000=$A85)*('Form responses 1'!$A$2:$A1000&lt;=EOMONTH(DATEVALUE("1 "&amp;AE$1),0)))+
  SUMPRODUCT(('Form responses 1'!$D$2:$D1000=$A85)*('Form responses 1'!$A$2:$A1000&lt;=EOMONTH(DATEVALUE("1 "&amp;AE$1),0)))+
  SUMPRODUCT(('Form responses 1'!$E$2:$E1000=$A85)*('Form responses 1'!$A$2:$A1000&lt;=EOMONTH(DATEVALUE("1 "&amp;AE$1),0)))+
  SUMPRODUCT(('Form responses 1'!$F$2:$F1000=$A85)*('Form responses 1'!$A$2:$A1000&lt;=EOMONTH(DATEVALUE("1 "&amp;AE$1),0)))+
  SUMPRODUCT(('Form responses 1'!$G$2:$G1000=$A85)*('Form responses 1'!$A$2:$A1000&lt;=EOMONTH(DATEVALUE("1 "&amp;AE$1),0)))
),2),"-")</f>
        <v>-</v>
      </c>
      <c r="AF85" s="2" t="str">
        <f>IFERROR(ROUND(Data!$B85/(
  SUMPRODUCT(('Form responses 1'!$B$2:$B1000=$A85)*('Form responses 1'!$A$2:$A1000&lt;=EOMONTH(DATEVALUE("1 "&amp;AF$1),0)))+
  SUMPRODUCT(('Form responses 1'!$C$2:$C1000=$A85)*('Form responses 1'!$A$2:$A1000&lt;=EOMONTH(DATEVALUE("1 "&amp;AF$1),0)))+
  SUMPRODUCT(('Form responses 1'!$D$2:$D1000=$A85)*('Form responses 1'!$A$2:$A1000&lt;=EOMONTH(DATEVALUE("1 "&amp;AF$1),0)))+
  SUMPRODUCT(('Form responses 1'!$E$2:$E1000=$A85)*('Form responses 1'!$A$2:$A1000&lt;=EOMONTH(DATEVALUE("1 "&amp;AF$1),0)))+
  SUMPRODUCT(('Form responses 1'!$F$2:$F1000=$A85)*('Form responses 1'!$A$2:$A1000&lt;=EOMONTH(DATEVALUE("1 "&amp;AF$1),0)))+
  SUMPRODUCT(('Form responses 1'!$G$2:$G1000=$A85)*('Form responses 1'!$A$2:$A1000&lt;=EOMONTH(DATEVALUE("1 "&amp;AF$1),0)))
),2),"-")</f>
        <v>-</v>
      </c>
      <c r="AG85" s="2" t="str">
        <f>IFERROR(ROUND(Data!$B85/(
  SUMPRODUCT(('Form responses 1'!$B$2:$B1000=$A85)*('Form responses 1'!$A$2:$A1000&lt;=EOMONTH(DATEVALUE("1 "&amp;AG$1),0)))+
  SUMPRODUCT(('Form responses 1'!$C$2:$C1000=$A85)*('Form responses 1'!$A$2:$A1000&lt;=EOMONTH(DATEVALUE("1 "&amp;AG$1),0)))+
  SUMPRODUCT(('Form responses 1'!$D$2:$D1000=$A85)*('Form responses 1'!$A$2:$A1000&lt;=EOMONTH(DATEVALUE("1 "&amp;AG$1),0)))+
  SUMPRODUCT(('Form responses 1'!$E$2:$E1000=$A85)*('Form responses 1'!$A$2:$A1000&lt;=EOMONTH(DATEVALUE("1 "&amp;AG$1),0)))+
  SUMPRODUCT(('Form responses 1'!$F$2:$F1000=$A85)*('Form responses 1'!$A$2:$A1000&lt;=EOMONTH(DATEVALUE("1 "&amp;AG$1),0)))+
  SUMPRODUCT(('Form responses 1'!$G$2:$G1000=$A85)*('Form responses 1'!$A$2:$A1000&lt;=EOMONTH(DATEVALUE("1 "&amp;AG$1),0)))
),2),"-")</f>
        <v>-</v>
      </c>
      <c r="AH85" s="2" t="str">
        <f>IFERROR(ROUND(Data!$B85/(
  SUMPRODUCT(('Form responses 1'!$B$2:$B1000=$A85)*('Form responses 1'!$A$2:$A1000&lt;=EOMONTH(DATEVALUE("1 "&amp;AH$1),0)))+
  SUMPRODUCT(('Form responses 1'!$C$2:$C1000=$A85)*('Form responses 1'!$A$2:$A1000&lt;=EOMONTH(DATEVALUE("1 "&amp;AH$1),0)))+
  SUMPRODUCT(('Form responses 1'!$D$2:$D1000=$A85)*('Form responses 1'!$A$2:$A1000&lt;=EOMONTH(DATEVALUE("1 "&amp;AH$1),0)))+
  SUMPRODUCT(('Form responses 1'!$E$2:$E1000=$A85)*('Form responses 1'!$A$2:$A1000&lt;=EOMONTH(DATEVALUE("1 "&amp;AH$1),0)))+
  SUMPRODUCT(('Form responses 1'!$F$2:$F1000=$A85)*('Form responses 1'!$A$2:$A1000&lt;=EOMONTH(DATEVALUE("1 "&amp;AH$1),0)))+
  SUMPRODUCT(('Form responses 1'!$G$2:$G1000=$A85)*('Form responses 1'!$A$2:$A1000&lt;=EOMONTH(DATEVALUE("1 "&amp;AH$1),0)))
),2),"-")</f>
        <v>-</v>
      </c>
      <c r="AI85" s="2" t="str">
        <f>IFERROR(ROUND(Data!$B85/(
  SUMPRODUCT(('Form responses 1'!$B$2:$B1000=$A85)*('Form responses 1'!$A$2:$A1000&lt;=EOMONTH(DATEVALUE("1 "&amp;AI$1),0)))+
  SUMPRODUCT(('Form responses 1'!$C$2:$C1000=$A85)*('Form responses 1'!$A$2:$A1000&lt;=EOMONTH(DATEVALUE("1 "&amp;AI$1),0)))+
  SUMPRODUCT(('Form responses 1'!$D$2:$D1000=$A85)*('Form responses 1'!$A$2:$A1000&lt;=EOMONTH(DATEVALUE("1 "&amp;AI$1),0)))+
  SUMPRODUCT(('Form responses 1'!$E$2:$E1000=$A85)*('Form responses 1'!$A$2:$A1000&lt;=EOMONTH(DATEVALUE("1 "&amp;AI$1),0)))+
  SUMPRODUCT(('Form responses 1'!$F$2:$F1000=$A85)*('Form responses 1'!$A$2:$A1000&lt;=EOMONTH(DATEVALUE("1 "&amp;AI$1),0)))+
  SUMPRODUCT(('Form responses 1'!$G$2:$G1000=$A85)*('Form responses 1'!$A$2:$A1000&lt;=EOMONTH(DATEVALUE("1 "&amp;AI$1),0)))
),2),"-")</f>
        <v>-</v>
      </c>
      <c r="AJ85" s="2" t="str">
        <f>IFERROR(ROUND(Data!$B85/(
  SUMPRODUCT(('Form responses 1'!$B$2:$B1000=$A85)*('Form responses 1'!$A$2:$A1000&lt;=EOMONTH(DATEVALUE("1 "&amp;AJ$1),0)))+
  SUMPRODUCT(('Form responses 1'!$C$2:$C1000=$A85)*('Form responses 1'!$A$2:$A1000&lt;=EOMONTH(DATEVALUE("1 "&amp;AJ$1),0)))+
  SUMPRODUCT(('Form responses 1'!$D$2:$D1000=$A85)*('Form responses 1'!$A$2:$A1000&lt;=EOMONTH(DATEVALUE("1 "&amp;AJ$1),0)))+
  SUMPRODUCT(('Form responses 1'!$E$2:$E1000=$A85)*('Form responses 1'!$A$2:$A1000&lt;=EOMONTH(DATEVALUE("1 "&amp;AJ$1),0)))+
  SUMPRODUCT(('Form responses 1'!$F$2:$F1000=$A85)*('Form responses 1'!$A$2:$A1000&lt;=EOMONTH(DATEVALUE("1 "&amp;AJ$1),0)))+
  SUMPRODUCT(('Form responses 1'!$G$2:$G1000=$A85)*('Form responses 1'!$A$2:$A1000&lt;=EOMONTH(DATEVALUE("1 "&amp;AJ$1),0)))
),2),"-")</f>
        <v>-</v>
      </c>
      <c r="AK85" s="2" t="str">
        <f>IFERROR(ROUND(Data!$B85/(
  SUMPRODUCT(('Form responses 1'!$B$2:$B1000=$A85)*('Form responses 1'!$A$2:$A1000&lt;=EOMONTH(DATEVALUE("1 "&amp;AK$1),0)))+
  SUMPRODUCT(('Form responses 1'!$C$2:$C1000=$A85)*('Form responses 1'!$A$2:$A1000&lt;=EOMONTH(DATEVALUE("1 "&amp;AK$1),0)))+
  SUMPRODUCT(('Form responses 1'!$D$2:$D1000=$A85)*('Form responses 1'!$A$2:$A1000&lt;=EOMONTH(DATEVALUE("1 "&amp;AK$1),0)))+
  SUMPRODUCT(('Form responses 1'!$E$2:$E1000=$A85)*('Form responses 1'!$A$2:$A1000&lt;=EOMONTH(DATEVALUE("1 "&amp;AK$1),0)))+
  SUMPRODUCT(('Form responses 1'!$F$2:$F1000=$A85)*('Form responses 1'!$A$2:$A1000&lt;=EOMONTH(DATEVALUE("1 "&amp;AK$1),0)))+
  SUMPRODUCT(('Form responses 1'!$G$2:$G1000=$A85)*('Form responses 1'!$A$2:$A1000&lt;=EOMONTH(DATEVALUE("1 "&amp;AK$1),0)))
),2),"-")</f>
        <v>-</v>
      </c>
      <c r="AL85" s="2" t="str">
        <f>IFERROR(ROUND(Data!$B85/(
  SUMPRODUCT(('Form responses 1'!$B$2:$B1000=$A85)*('Form responses 1'!$A$2:$A1000&lt;=EOMONTH(DATEVALUE("1 "&amp;AL$1),0)))+
  SUMPRODUCT(('Form responses 1'!$C$2:$C1000=$A85)*('Form responses 1'!$A$2:$A1000&lt;=EOMONTH(DATEVALUE("1 "&amp;AL$1),0)))+
  SUMPRODUCT(('Form responses 1'!$D$2:$D1000=$A85)*('Form responses 1'!$A$2:$A1000&lt;=EOMONTH(DATEVALUE("1 "&amp;AL$1),0)))+
  SUMPRODUCT(('Form responses 1'!$E$2:$E1000=$A85)*('Form responses 1'!$A$2:$A1000&lt;=EOMONTH(DATEVALUE("1 "&amp;AL$1),0)))+
  SUMPRODUCT(('Form responses 1'!$F$2:$F1000=$A85)*('Form responses 1'!$A$2:$A1000&lt;=EOMONTH(DATEVALUE("1 "&amp;AL$1),0)))+
  SUMPRODUCT(('Form responses 1'!$G$2:$G1000=$A85)*('Form responses 1'!$A$2:$A1000&lt;=EOMONTH(DATEVALUE("1 "&amp;AL$1),0)))
),2),"-")</f>
        <v>-</v>
      </c>
    </row>
    <row r="86">
      <c r="A86" s="3" t="str">
        <f>IFERROR(__xludf.DUMMYFUNCTION("""COMPUTED_VALUE"""),"Bruine Van Lier")</f>
        <v>Bruine Van Lier</v>
      </c>
      <c r="B86" s="2">
        <f>Data!F78:F1000</f>
        <v>1.68</v>
      </c>
      <c r="C86" s="2" t="str">
        <f>IFERROR(ROUND(Data!B78/(SUMPRODUCT(('Form responses 1'!$B$2:$B1000 = A86) * ('Form responses 1'!$A$2:$A1000 &lt;= DATE(2024, 1, 31)))
+ SUMPRODUCT(('Form responses 1'!$C$2:$C1000 = A86) * ('Form responses 1'!$A$2:$A1000 &lt;= DATE(2024, 1, 31)))
+ SUMPRODUCT(('Form responses 1'!$D$2:$D1000 = A86) * ('Form responses 1'!$A$2:$A1000 &lt;= DATE(2024, 1, 31)))
+ SUMPRODUCT(('Form responses 1'!$E$2:$E1000 = A86) * ('Form responses 1'!$A$2:$A1000 &lt;= DATE(2024, 1, 31)))
+ SUMPRODUCT(('Form responses 1'!$F$2:$F1000 = A86) * ('Form responses 1'!$A$2:$A1000 &lt;= DATE(2024, 1, 31)))
+ SUMPRODUCT(('Form responses 1'!$G$2:$G1000 = A86) * ('Form responses 1'!$A$2:$A1000 &lt;= DATE(2024, 1, 31)))), 2), "-")
</f>
        <v>-</v>
      </c>
      <c r="D86" s="2" t="str">
        <f>IFERROR(ROUND(Data!B78/(SUMPRODUCT(('Form responses 1'!$B$2:$B1000 = A86) * ('Form responses 1'!$A$2:$A1000 &lt;= DATE(2024, 2, 29)))
+ SUMPRODUCT(('Form responses 1'!$C$2:$C1000 = A86) * ('Form responses 1'!$A$2:$A1000 &lt;= DATE(2024, 2, 29)))
+ SUMPRODUCT(('Form responses 1'!$D$2:$D1000 = A86) * ('Form responses 1'!$A$2:$A1000 &lt;= DATE(2024, 2, 29)))
+ SUMPRODUCT(('Form responses 1'!$E$2:$E1000 = A86) * ('Form responses 1'!$A$2:$A1000 &lt;= DATE(2024, 2, 29)))
+ SUMPRODUCT(('Form responses 1'!$F$2:$F1000 = A86) * ('Form responses 1'!$A$2:$A1000 &lt;= DATE(2024, 2, 29)))
+ SUMPRODUCT(('Form responses 1'!$G$2:$G1000 = A86) * ('Form responses 1'!$A$2:$A1000 &lt;= DATE(2024, 2, 29)))), 2), "-")
</f>
        <v>-</v>
      </c>
      <c r="E86" s="2" t="str">
        <f>IFERROR(ROUND(Data!B78/(SUMPRODUCT(('Form responses 1'!$B$2:$B1000 = A86) * ('Form responses 1'!$A$2:$A1000 &lt;= DATE(2024, 3, 31)))
+ SUMPRODUCT(('Form responses 1'!$C$2:$C1000 = A86) * ('Form responses 1'!$A$2:$A1000 &lt;= DATE(2024, 3, 31)))
+ SUMPRODUCT(('Form responses 1'!$D$2:$D1000 = A86) * ('Form responses 1'!$A$2:$A1000 &lt;= DATE(2024, 3, 31)))
+ SUMPRODUCT(('Form responses 1'!$E$2:$E1000 = A86) * ('Form responses 1'!$A$2:$A1000 &lt;= DATE(2024, 3, 31)))
+ SUMPRODUCT(('Form responses 1'!$F$2:$F1000 = A86) * ('Form responses 1'!$A$2:$A1000 &lt;= DATE(2024, 3, 31)))
+ SUMPRODUCT(('Form responses 1'!$G$2:$G1000 = A86) * ('Form responses 1'!$A$2:$A1000 &lt;= DATE(2024, 3, 31)))), 2), "-")
</f>
        <v>-</v>
      </c>
      <c r="F86" s="2" t="str">
        <f>IFERROR(ROUND(Data!B78/(SUMPRODUCT(('Form responses 1'!$B$2:$B1000 = A86) * ('Form responses 1'!$A$2:$A1000 &lt;= DATE(2024, 4, 30)))
+ SUMPRODUCT(('Form responses 1'!$C$2:$C1000 = A86) * ('Form responses 1'!$A$2:$A1000 &lt;= DATE(2024, 4, 30)))
+ SUMPRODUCT(('Form responses 1'!$D$2:$D1000 = A86) * ('Form responses 1'!$A$2:$A1000 &lt;= DATE(2024, 4, 30)))
+ SUMPRODUCT(('Form responses 1'!$E$2:$E1000 = A86) * ('Form responses 1'!$A$2:$A1000 &lt;= DATE(2024, 4, 30)))
+ SUMPRODUCT(('Form responses 1'!$F$2:$F1000 = A86) * ('Form responses 1'!$A$2:$A1000 &lt;= DATE(2024, 4, 30)))
+ SUMPRODUCT(('Form responses 1'!$G$2:$G1000 = A86) * ('Form responses 1'!$A$2:$A1000 &lt;= DATE(2024, 4, 30)))), 2), "-")
</f>
        <v>-</v>
      </c>
      <c r="G86" s="2" t="str">
        <f>IFERROR(ROUND(Data!B78/(SUMPRODUCT(('Form responses 1'!$B$2:$B1000 = A86) * ('Form responses 1'!$A$2:$A1000 &lt;= DATE(2024, 5, 31)))
+ SUMPRODUCT(('Form responses 1'!$C$2:$C1000 = A86) * ('Form responses 1'!$A$2:$A1000 &lt;= DATE(2024, 5, 31)))
+ SUMPRODUCT(('Form responses 1'!$D$2:$D1000 = A86) * ('Form responses 1'!$A$2:$A1000 &lt;= DATE(2024, 5, 31)))
+ SUMPRODUCT(('Form responses 1'!$E$2:$E1000 = A86) * ('Form responses 1'!$A$2:$A1000 &lt;= DATE(2024, 5, 31)))
+ SUMPRODUCT(('Form responses 1'!$F$2:$F1000 = A86) * ('Form responses 1'!$A$2:$A1000 &lt;= DATE(2024, 5, 31)))
+ SUMPRODUCT(('Form responses 1'!$G$2:$G1000 = A86) * ('Form responses 1'!$A$2:$A1000 &lt;= DATE(2024, 5, 31)))), 2), "-")
</f>
        <v>-</v>
      </c>
      <c r="H86" s="2" t="str">
        <f>IFERROR(ROUND(Data!B78/(SUMPRODUCT(('Form responses 1'!$B$2:$B1000 = A86) * ('Form responses 1'!$A$2:$A1000 &lt;= DATE(2024, 6, 30)))
+ SUMPRODUCT(('Form responses 1'!$C$2:$C1000 = A86) * ('Form responses 1'!$A$2:$A1000 &lt;= DATE(2024, 6, 30)))
+ SUMPRODUCT(('Form responses 1'!$D$2:$D1000 = A86) * ('Form responses 1'!$A$2:$A1000 &lt;= DATE(2024, 6, 30)))
+ SUMPRODUCT(('Form responses 1'!$E$2:$E1000 = A86) * ('Form responses 1'!$A$2:$A1000 &lt;= DATE(2024, 6, 30)))
+ SUMPRODUCT(('Form responses 1'!$F$2:$F1000 = A86) * ('Form responses 1'!$A$2:$A1000 &lt;= DATE(2024, 6, 30)))
+ SUMPRODUCT(('Form responses 1'!$G$2:$G1000 = A86) * ('Form responses 1'!$A$2:$A1000 &lt;= DATE(2024, 6, 30)))), 2), "-")
</f>
        <v>-</v>
      </c>
      <c r="I86" s="2" t="str">
        <f>IFERROR(ROUND(Data!B78/(SUMPRODUCT(('Form responses 1'!$B$2:$B1000 = A86) * ('Form responses 1'!$A$2:$A1000 &lt;= DATE(2024, 7, 31)))
+ SUMPRODUCT(('Form responses 1'!$C$2:$C1000 = A86) * ('Form responses 1'!$A$2:$A1000 &lt;= DATE(2024, 7, 31)))
+ SUMPRODUCT(('Form responses 1'!$D$2:$D1000 = A86) * ('Form responses 1'!$A$2:$A1000 &lt;= DATE(2024, 7, 31)))
+ SUMPRODUCT(('Form responses 1'!$E$2:$E1000 = A86) * ('Form responses 1'!$A$2:$A1000 &lt;= DATE(2024, 7, 31)))
+ SUMPRODUCT(('Form responses 1'!$F$2:$F1000 = A86) * ('Form responses 1'!$A$2:$A1000 &lt;= DATE(2024, 7, 31)))
+ SUMPRODUCT(('Form responses 1'!$G$2:$G1000 = A86) * ('Form responses 1'!$A$2:$A1000 &lt;= DATE(2024, 7, 31)))), 2), "-")
</f>
        <v>-</v>
      </c>
      <c r="J86" s="2" t="str">
        <f>IFERROR(ROUND(Data!B78/(SUMPRODUCT(('Form responses 1'!$B$2:$B1000 = A86) * ('Form responses 1'!$A$2:$A1000 &lt;= DATE(2024, 8, 31)))
+ SUMPRODUCT(('Form responses 1'!$C$2:$C1000 = A86) * ('Form responses 1'!$A$2:$A1000 &lt;= DATE(2024, 8, 31)))
+ SUMPRODUCT(('Form responses 1'!$D$2:$D1000 = A86) * ('Form responses 1'!$A$2:$A1000 &lt;= DATE(2024, 8, 31)))
+ SUMPRODUCT(('Form responses 1'!$E$2:$E1000 = A86) * ('Form responses 1'!$A$2:$A1000 &lt;= DATE(2024, 8, 31)))
+ SUMPRODUCT(('Form responses 1'!$F$2:$F1000 = A86) * ('Form responses 1'!$A$2:$A1000 &lt;= DATE(2024, 8, 31)))
+ SUMPRODUCT(('Form responses 1'!$G$2:$G1000 = A86) * ('Form responses 1'!$A$2:$A1000 &lt;= DATE(2024, 8, 31)))), 2), "-")
</f>
        <v>-</v>
      </c>
      <c r="K86" s="2" t="str">
        <f>IFERROR(ROUND(Data!B78/(SUMPRODUCT(('Form responses 1'!$B$2:$B1000 = A86) * ('Form responses 1'!$A$2:$A1000 &lt;= DATE(2024, 9, 30)))
+ SUMPRODUCT(('Form responses 1'!$C$2:$C1000 = A86) * ('Form responses 1'!$A$2:$A1000 &lt;= DATE(2024, 9, 30)))
+ SUMPRODUCT(('Form responses 1'!$D$2:$D1000 = A86) * ('Form responses 1'!$A$2:$A1000 &lt;= DATE(2024, 9, 30)))
+ SUMPRODUCT(('Form responses 1'!$E$2:$E1000 = A86) * ('Form responses 1'!$A$2:$A1000 &lt;= DATE(2024, 9, 30)))
+ SUMPRODUCT(('Form responses 1'!$F$2:$F1000 = A86) * ('Form responses 1'!$A$2:$A1000 &lt;= DATE(2024, 9, 30)))
+ SUMPRODUCT(('Form responses 1'!$G$2:$G1000 = A86) * ('Form responses 1'!$A$2:$A1000 &lt;= DATE(2024, 9, 30)))), 2), "-")
</f>
        <v>-</v>
      </c>
      <c r="L86" s="2" t="str">
        <f>IFERROR(ROUND(Data!B78/(SUMPRODUCT(('Form responses 1'!$B$2:$B1000 = A86) * ('Form responses 1'!$A$2:$A1000 &lt;= DATE(2024, 10, 31)))
+ SUMPRODUCT(('Form responses 1'!$C$2:$C1000 = A86) * ('Form responses 1'!$A$2:$A1000 &lt;= DATE(2024, 10, 31)))
+ SUMPRODUCT(('Form responses 1'!$D$2:$D1000 = A86) * ('Form responses 1'!$A$2:$A1000 &lt;= DATE(2024, 10, 31)))
+ SUMPRODUCT(('Form responses 1'!$E$2:$E1000 = A86) * ('Form responses 1'!$A$2:$A1000 &lt;= DATE(2024, 10, 31)))
+ SUMPRODUCT(('Form responses 1'!$F$2:$F1000 = A86) * ('Form responses 1'!$A$2:$A1000 &lt;= DATE(2024, 10, 31)))
+ SUMPRODUCT(('Form responses 1'!$G$2:$G1000 = A86) * ('Form responses 1'!$A$2:$A1000 &lt;= DATE(2024, 10, 31)))), 2), "-")
</f>
        <v>-</v>
      </c>
      <c r="M86" s="2" t="str">
        <f>IFERROR(ROUND(Data!B78/(SUMPRODUCT(('Form responses 1'!$B$2:$B1000 = A86) * ('Form responses 1'!$A$2:$A1000 &lt;= DATE(2024, 11, 30)))
+ SUMPRODUCT(('Form responses 1'!$C$2:$C1000 = A86) * ('Form responses 1'!$A$2:$A1000 &lt;= DATE(2024, 11, 30)))
+ SUMPRODUCT(('Form responses 1'!$D$2:$D1000 = A86) * ('Form responses 1'!$A$2:$A1000 &lt;= DATE(2024, 11, 30)))
+ SUMPRODUCT(('Form responses 1'!$E$2:$E1000 = A86) * ('Form responses 1'!$A$2:$A1000 &lt;= DATE(2024, 11, 30)))
+ SUMPRODUCT(('Form responses 1'!$F$2:$F1000 = A86) * ('Form responses 1'!$A$2:$A1000 &lt;= DATE(2024, 11, 30)))
+ SUMPRODUCT(('Form responses 1'!$G$2:$G1000 = A86) * ('Form responses 1'!$A$2:$A1000 &lt;= DATE(2024, 11, 30)))), 2), "-")
</f>
        <v>-</v>
      </c>
      <c r="N86" s="2" t="str">
        <f>IFERROR(ROUND(Data!B78/(SUMPRODUCT(('Form responses 1'!$B$2:$B1000 = A86) * ('Form responses 1'!$A$2:$A1000 &lt;= DATE(2024, 12, 31)))
+ SUMPRODUCT(('Form responses 1'!$C$2:$C1000 = A86) * ('Form responses 1'!$A$2:$A1000 &lt;= DATE(2024, 12, 31)))
+ SUMPRODUCT(('Form responses 1'!$D$2:$D1000 = A86) * ('Form responses 1'!$A$2:$A1000 &lt;= DATE(2024, 12, 31)))
+ SUMPRODUCT(('Form responses 1'!$E$2:$E1000 = A86) * ('Form responses 1'!$A$2:$A1000 &lt;= DATE(2024, 12, 31)))
+ SUMPRODUCT(('Form responses 1'!$F$2:$F1000 = A86) * ('Form responses 1'!$A$2:$A1000 &lt;= DATE(2024, 12, 31)))
+ SUMPRODUCT(('Form responses 1'!$G$2:$G1000 = A86) * ('Form responses 1'!$A$2:$A1000 &lt;= DATE(2024, 12, 31)))), 2), "-")
</f>
        <v>-</v>
      </c>
      <c r="O86" s="2" t="str">
        <f>IFERROR(ROUND(Data!B78/(SUMPRODUCT(('Form responses 1'!$B$2:$B1000 = A86) * ('Form responses 1'!$A$2:$A1000 &lt;= DATE(2025, 1, 31)))
+ SUMPRODUCT(('Form responses 1'!$C$2:$C1000 = A86) * ('Form responses 1'!$A$2:$A1000 &lt;= DATE(2025, 1, 31)))
+ SUMPRODUCT(('Form responses 1'!$D$2:$D1000 = A86) * ('Form responses 1'!$A$2:$A1000 &lt;= DATE(2025, 1, 31)))
+ SUMPRODUCT(('Form responses 1'!$E$2:$E1000 = A86) * ('Form responses 1'!$A$2:$A1000 &lt;= DATE(2025, 1, 31)))
+ SUMPRODUCT(('Form responses 1'!$F$2:$F1000 = A86) * ('Form responses 1'!$A$2:$A1000 &lt;= DATE(2025, 1, 31)))
+ SUMPRODUCT(('Form responses 1'!$G$2:$G1000 = A86) * ('Form responses 1'!$A$2:$A1000 &lt;= DATE(2025, 1, 31)))), 2), "-")
</f>
        <v>-</v>
      </c>
      <c r="P86" s="2" t="str">
        <f>IFERROR(ROUND(Data!B78/(SUMPRODUCT(('Form responses 1'!$B$2:$B1000 = A86) * ('Form responses 1'!$A$2:$A1000 &lt;= DATE(2025, 2, 28)))
+ SUMPRODUCT(('Form responses 1'!$C$2:$C1000 = A86) * ('Form responses 1'!$A$2:$A1000 &lt;= DATE(2025, 2, 28)))
+ SUMPRODUCT(('Form responses 1'!$D$2:$D1000 = A86) * ('Form responses 1'!$A$2:$A1000 &lt;= DATE(2025, 2, 28)))
+ SUMPRODUCT(('Form responses 1'!$E$2:$E1000 = A86) * ('Form responses 1'!$A$2:$A1000 &lt;= DATE(2025, 2, 28)))
+ SUMPRODUCT(('Form responses 1'!$F$2:$F1000 = A86) * ('Form responses 1'!$A$2:$A1000 &lt;= DATE(2025, 2, 28)))
+ SUMPRODUCT(('Form responses 1'!$G$2:$G1000 = A86) * ('Form responses 1'!$A$2:$A1000 &lt;= DATE(2025, 2, 28)))), 2), "-")
</f>
        <v>-</v>
      </c>
      <c r="Q86" s="2" t="str">
        <f>IFERROR(ROUND(Data!B78/(SUMPRODUCT(('Form responses 1'!$B$2:$B1000 = A86) * ('Form responses 1'!$A$2:$A1000 &lt;= DATE(2025, 3, 31)))
+ SUMPRODUCT(('Form responses 1'!$C$2:$C1000 = A86) * ('Form responses 1'!$A$2:$A1000 &lt;= DATE(2025, 3, 31)))
+ SUMPRODUCT(('Form responses 1'!$D$2:$D1000 = A86) * ('Form responses 1'!$A$2:$A1000 &lt;= DATE(2025, 3, 31)))
+ SUMPRODUCT(('Form responses 1'!$E$2:$E1000 = A86) * ('Form responses 1'!$A$2:$A1000 &lt;= DATE(2025, 3, 31)))
+ SUMPRODUCT(('Form responses 1'!$F$2:$F1000 = A86) * ('Form responses 1'!$A$2:$A1000 &lt;= DATE(2025, 3, 31)))
+ SUMPRODUCT(('Form responses 1'!$G$2:$G1000 = A86) * ('Form responses 1'!$A$2:$A1000 &lt;= DATE(2025, 3, 31)))),2),"-")</f>
        <v>-</v>
      </c>
      <c r="R86" s="2">
        <f>IFERROR(ROUND(Data!B78/(SUMPRODUCT(('Form responses 1'!$B$2:$B1000 = A86) * ('Form responses 1'!$A$2:$A1000 &lt;= DATE(2025, 4, 30)))
+ SUMPRODUCT(('Form responses 1'!$C$2:$C1000 = A86) * ('Form responses 1'!$A$2:$A1000 &lt;= DATE(2025, 4, 30)))
+ SUMPRODUCT(('Form responses 1'!$D$2:$D1000 = A86) * ('Form responses 1'!$A$2:$A1000 &lt;= DATE(2025, 4, 30)))
+ SUMPRODUCT(('Form responses 1'!$E$2:$E1000 = A86) * ('Form responses 1'!$A$2:$A1000 &lt;= DATE(2025, 4, 30)))
+ SUMPRODUCT(('Form responses 1'!$F$2:$F1000 = A86) * ('Form responses 1'!$A$2:$A1000 &lt;= DATE(2025, 4, 30)))
+ SUMPRODUCT(('Form responses 1'!$G$2:$G1000 = A86) * ('Form responses 1'!$A$2:$A1000 &lt;= DATE(2025, 4, 30)))), 2), "-")
</f>
        <v>25.5</v>
      </c>
      <c r="S86" s="2">
        <f>IFERROR(ROUND(Data!B78/(SUMPRODUCT(('Form responses 1'!$B$2:$B1000 = A86) * ('Form responses 1'!$A$2:$A1000 &lt;= DATE(2025, 5, 31)))
+ SUMPRODUCT(('Form responses 1'!$C$2:$C1000 = A86) * ('Form responses 1'!$A$2:$A1000 &lt;= DATE(2025, 5, 31)))
+ SUMPRODUCT(('Form responses 1'!$D$2:$D1000 = A86) * ('Form responses 1'!$A$2:$A1000 &lt;= DATE(2025, 5, 31)))
+ SUMPRODUCT(('Form responses 1'!$E$2:$E1000 = A86) * ('Form responses 1'!$A$2:$A1000 &lt;= DATE(2025, 5, 31)))
+ SUMPRODUCT(('Form responses 1'!$F$2:$F1000 = A86) * ('Form responses 1'!$A$2:$A1000 &lt;= DATE(2025, 5, 31)))
+ SUMPRODUCT(('Form responses 1'!$G$2:$G1000 = A86) * ('Form responses 1'!$A$2:$A1000 &lt;= DATE(2025, 5, 31)))), 2), "-")
</f>
        <v>14.57</v>
      </c>
      <c r="T86" s="2">
        <f>IFERROR(ROUND(Data!B78/(SUMPRODUCT(('Form responses 1'!$B$2:$B1000 = A86) * ('Form responses 1'!$A$2:$A1000 &lt;= DATE(2025, 6, 30)))
+ SUMPRODUCT(('Form responses 1'!$C$2:$C1000 = A86) * ('Form responses 1'!$A$2:$A1000 &lt;= DATE(2025, 6, 30)))
+ SUMPRODUCT(('Form responses 1'!$D$2:$D1000 = A86) * ('Form responses 1'!$A$2:$A1000 &lt;= DATE(2025, 6, 30)))
+ SUMPRODUCT(('Form responses 1'!$E$2:$E1000 = A86) * ('Form responses 1'!$A$2:$A1000 &lt;= DATE(2025, 6, 30)))
+ SUMPRODUCT(('Form responses 1'!$F$2:$F1000 = A86) * ('Form responses 1'!$A$2:$A1000 &lt;= DATE(2025, 6, 30)))
+ SUMPRODUCT(('Form responses 1'!$G$2:$G1000 = A86) * ('Form responses 1'!$A$2:$A1000 &lt;= DATE(2025, 6, 30)))), 2), "-")
</f>
        <v>11.33</v>
      </c>
      <c r="U86" s="2">
        <f>IFERROR(ROUND(Data!B78/(SUMPRODUCT(('Form responses 1'!$B$2:$B1000 = A86) * ('Form responses 1'!$A$2:$A1000 &lt;= DATE(2025, 7, 31)))
+ SUMPRODUCT(('Form responses 1'!$C$2:$C1000 = A86) * ('Form responses 1'!$A$2:$A1000 &lt;= DATE(2025, 7, 31)))
+ SUMPRODUCT(('Form responses 1'!$D$2:$D1000 = A86) * ('Form responses 1'!$A$2:$A1000 &lt;= DATE(2025, 7, 31)))
+ SUMPRODUCT(('Form responses 1'!$E$2:$E1000 = A86) * ('Form responses 1'!$A$2:$A1000 &lt;= DATE(2025, 7, 31)))
+ SUMPRODUCT(('Form responses 1'!$F$2:$F1000 = A86) * ('Form responses 1'!$A$2:$A1000 &lt;= DATE(2025, 7, 31)))
+ SUMPRODUCT(('Form responses 1'!$G$2:$G1000 = A86) * ('Form responses 1'!$A$2:$A1000 &lt;= DATE(2025, 7, 31)))), 2), "-")
</f>
        <v>11.33</v>
      </c>
      <c r="V86" s="2">
        <f>IFERROR(ROUND(Data!B78/(SUMPRODUCT(('Form responses 1'!$B$2:$B1000 = A86) * ('Form responses 1'!$A$2:$A1000 &lt;= DATE(2025, 8, 31)))
+ SUMPRODUCT(('Form responses 1'!$C$2:$C1000 = A86) * ('Form responses 1'!$A$2:$A1000 &lt;= DATE(2025, 8, 31)))
+ SUMPRODUCT(('Form responses 1'!$D$2:$D1000 = A86) * ('Form responses 1'!$A$2:$A1000 &lt;= DATE(2025, 8, 31)))
+ SUMPRODUCT(('Form responses 1'!$E$2:$E1000 = A86) * ('Form responses 1'!$A$2:$A1000 &lt;= DATE(2025, 8, 31)))
+ SUMPRODUCT(('Form responses 1'!$F$2:$F1000 = A86) * ('Form responses 1'!$A$2:$A1000 &lt;= DATE(2025, 8, 31)))
+ SUMPRODUCT(('Form responses 1'!$G$2:$G1000 = A86) * ('Form responses 1'!$A$2:$A1000 &lt;= DATE(2025, 8, 31)))), 2), "-")
</f>
        <v>11.33</v>
      </c>
      <c r="W86" s="2">
        <f>IFERROR(ROUND(Data!B78/(SUMPRODUCT(('Form responses 1'!$B$2:$B1000 = A86) * ('Form responses 1'!$A$2:$A1000 &lt;= DATE(2025, 9, 30)))
+ SUMPRODUCT(('Form responses 1'!$C$2:$C1000 = A86) * ('Form responses 1'!$A$2:$A1000 &lt;= DATE(2025, 9, 30)))
+ SUMPRODUCT(('Form responses 1'!$D$2:$D1000 = A86) * ('Form responses 1'!$A$2:$A1000 &lt;= DATE(2025, 9, 30)))
+ SUMPRODUCT(('Form responses 1'!$E$2:$E1000 = A86) * ('Form responses 1'!$A$2:$A1000 &lt;= DATE(2025, 9, 30)))
+ SUMPRODUCT(('Form responses 1'!$F$2:$F1000 = A86) * ('Form responses 1'!$A$2:$A1000 &lt;= DATE(2025, 9, 30)))
+ SUMPRODUCT(('Form responses 1'!$G$2:$G1000 = A86) * ('Form responses 1'!$A$2:$A1000 &lt;= DATE(2025, 9, 30)))), 2), "-")
</f>
        <v>11.33</v>
      </c>
      <c r="X86" s="2">
        <f>IFERROR(ROUND(Data!B78/(SUMPRODUCT(('Form responses 1'!$B$2:$B1000 = A86) * ('Form responses 1'!$A$2:$A1000 &lt;= DATE(2025, 10, 31)))
+ SUMPRODUCT(('Form responses 1'!$C$2:$C1000 = A86) * ('Form responses 1'!$A$2:$A1000 &lt;= DATE(2025, 10, 31)))
+ SUMPRODUCT(('Form responses 1'!$D$2:$D1000 = A86) * ('Form responses 1'!$A$2:$A1000 &lt;= DATE(2025, 10, 31)))
+ SUMPRODUCT(('Form responses 1'!$E$2:$E1000 = A86) * ('Form responses 1'!$A$2:$A1000 &lt;= DATE(2025, 10, 31)))
+ SUMPRODUCT(('Form responses 1'!$F$2:$F1000 = A86) * ('Form responses 1'!$A$2:$A1000 &lt;= DATE(2025, 10, 31)))
+ SUMPRODUCT(('Form responses 1'!$G$2:$G1000 = A86) * ('Form responses 1'!$A$2:$A1000 &lt;= DATE(2025, 10, 31)))), 2), "-")
</f>
        <v>7.85</v>
      </c>
      <c r="Y86" s="2">
        <f>IFERROR(ROUND(Data!B78/(SUMPRODUCT(('Form responses 1'!$B$2:$B1000 = A86) * ('Form responses 1'!$A$2:$A1000 &lt;= DATE(2025, 11, 30)))
+ SUMPRODUCT(('Form responses 1'!$C$2:$C1000 = A86) * ('Form responses 1'!$A$2:$A1000 &lt;= DATE(2025, 11, 30)))
+ SUMPRODUCT(('Form responses 1'!$D$2:$D1000 = A86) * ('Form responses 1'!$A$2:$A1000 &lt;= DATE(2025, 11, 30)))
+ SUMPRODUCT(('Form responses 1'!$E$2:$E1000 = A86) * ('Form responses 1'!$A$2:$A1000 &lt;= DATE(2025, 11, 30)))
+ SUMPRODUCT(('Form responses 1'!$F$2:$F1000 = A86) * ('Form responses 1'!$A$2:$A1000 &lt;= DATE(2025, 11, 30)))
+ SUMPRODUCT(('Form responses 1'!$G$2:$G1000 = A86) * ('Form responses 1'!$A$2:$A1000 &lt;= DATE(2025, 11, 30)))), 2), "-")
</f>
        <v>5.1</v>
      </c>
      <c r="Z86" s="2">
        <f>IFERROR(ROUND(Data!B78/(SUMPRODUCT(('Form responses 1'!$B$2:$B1000 = A86) * ('Form responses 1'!$A$2:$A1000 &lt;= DATE(2025, 12, 31)))
+ SUMPRODUCT(('Form responses 1'!$C$2:$C1000 = A86) * ('Form responses 1'!$A$2:$A1000 &lt;= DATE(2025, 12, 31)))
+ SUMPRODUCT(('Form responses 1'!$D$2:$D1000 = A86) * ('Form responses 1'!$A$2:$A1000 &lt;= DATE(2025, 12, 31)))
+ SUMPRODUCT(('Form responses 1'!$E$2:$E1000 = A86) * ('Form responses 1'!$A$2:$A1000 &lt;= DATE(2025, 12, 31)))
+ SUMPRODUCT(('Form responses 1'!$F$2:$F1000 = A86) * ('Form responses 1'!$A$2:$A1000 &lt;= DATE(2025, 12, 31)))
+ SUMPRODUCT(('Form responses 1'!$G$2:$G1000 = A86) * ('Form responses 1'!$A$2:$A1000 &lt;= DATE(2025, 12, 31)))), 2), "-")
</f>
        <v>3.92</v>
      </c>
      <c r="AA86" s="2">
        <f>IFERROR(ROUND(Data!$B86/(
  SUMPRODUCT(('Form responses 1'!$B$2:$B1000=$A86)*('Form responses 1'!$A$2:$A1000&lt;=EOMONTH(DATEVALUE("1 "&amp;AA$1),0)))+
  SUMPRODUCT(('Form responses 1'!$C$2:$C1000=$A86)*('Form responses 1'!$A$2:$A1000&lt;=EOMONTH(DATEVALUE("1 "&amp;AA$1),0)))+
  SUMPRODUCT(('Form responses 1'!$D$2:$D1000=$A86)*('Form responses 1'!$A$2:$A1000&lt;=EOMONTH(DATEVALUE("1 "&amp;AA$1),0)))+
  SUMPRODUCT(('Form responses 1'!$E$2:$E1000=$A86)*('Form responses 1'!$A$2:$A1000&lt;=EOMONTH(DATEVALUE("1 "&amp;AA$1),0)))+
  SUMPRODUCT(('Form responses 1'!$F$2:$F1000=$A86)*('Form responses 1'!$A$2:$A1000&lt;=EOMONTH(DATEVALUE("1 "&amp;AA$1),0)))+
  SUMPRODUCT(('Form responses 1'!$G$2:$G1000=$A86)*('Form responses 1'!$A$2:$A1000&lt;=EOMONTH(DATEVALUE("1 "&amp;AA$1),0)))
),2),"-")</f>
        <v>5.39</v>
      </c>
      <c r="AB86" s="2">
        <f>IFERROR(ROUND(Data!$B86/(
  SUMPRODUCT(('Form responses 1'!$B$2:$B1000=$A86)*('Form responses 1'!$A$2:$A1000&lt;=EOMONTH(DATEVALUE("1 "&amp;AB$1),0)))+
  SUMPRODUCT(('Form responses 1'!$C$2:$C1000=$A86)*('Form responses 1'!$A$2:$A1000&lt;=EOMONTH(DATEVALUE("1 "&amp;AB$1),0)))+
  SUMPRODUCT(('Form responses 1'!$D$2:$D1000=$A86)*('Form responses 1'!$A$2:$A1000&lt;=EOMONTH(DATEVALUE("1 "&amp;AB$1),0)))+
  SUMPRODUCT(('Form responses 1'!$E$2:$E1000=$A86)*('Form responses 1'!$A$2:$A1000&lt;=EOMONTH(DATEVALUE("1 "&amp;AB$1),0)))+
  SUMPRODUCT(('Form responses 1'!$F$2:$F1000=$A86)*('Form responses 1'!$A$2:$A1000&lt;=EOMONTH(DATEVALUE("1 "&amp;AB$1),0)))+
  SUMPRODUCT(('Form responses 1'!$G$2:$G1000=$A86)*('Form responses 1'!$A$2:$A1000&lt;=EOMONTH(DATEVALUE("1 "&amp;AB$1),0)))
),2),"-")</f>
        <v>3.79</v>
      </c>
      <c r="AC86" s="2">
        <f>IFERROR(ROUND(Data!$B86/(
  SUMPRODUCT(('Form responses 1'!$B$2:$B1000=$A86)*('Form responses 1'!$A$2:$A1000&lt;=EOMONTH(DATEVALUE("1 "&amp;AC$1),0)))+
  SUMPRODUCT(('Form responses 1'!$C$2:$C1000=$A86)*('Form responses 1'!$A$2:$A1000&lt;=EOMONTH(DATEVALUE("1 "&amp;AC$1),0)))+
  SUMPRODUCT(('Form responses 1'!$D$2:$D1000=$A86)*('Form responses 1'!$A$2:$A1000&lt;=EOMONTH(DATEVALUE("1 "&amp;AC$1),0)))+
  SUMPRODUCT(('Form responses 1'!$E$2:$E1000=$A86)*('Form responses 1'!$A$2:$A1000&lt;=EOMONTH(DATEVALUE("1 "&amp;AC$1),0)))+
  SUMPRODUCT(('Form responses 1'!$F$2:$F1000=$A86)*('Form responses 1'!$A$2:$A1000&lt;=EOMONTH(DATEVALUE("1 "&amp;AC$1),0)))+
  SUMPRODUCT(('Form responses 1'!$G$2:$G1000=$A86)*('Form responses 1'!$A$2:$A1000&lt;=EOMONTH(DATEVALUE("1 "&amp;AC$1),0)))
),2),"-")</f>
        <v>2.87</v>
      </c>
      <c r="AD86" s="2" t="str">
        <f>IFERROR(ROUND(Data!$B86/(
  SUMPRODUCT(('Form responses 1'!$B$2:$B1000=$A86)*('Form responses 1'!$A$2:$A1000&lt;=EOMONTH(DATEVALUE("1 "&amp;AD$1),0)))+
  SUMPRODUCT(('Form responses 1'!$C$2:$C1000=$A86)*('Form responses 1'!$A$2:$A1000&lt;=EOMONTH(DATEVALUE("1 "&amp;AD$1),0)))+
  SUMPRODUCT(('Form responses 1'!$D$2:$D1000=$A86)*('Form responses 1'!$A$2:$A1000&lt;=EOMONTH(DATEVALUE("1 "&amp;AD$1),0)))+
  SUMPRODUCT(('Form responses 1'!$E$2:$E1000=$A86)*('Form responses 1'!$A$2:$A1000&lt;=EOMONTH(DATEVALUE("1 "&amp;AD$1),0)))+
  SUMPRODUCT(('Form responses 1'!$F$2:$F1000=$A86)*('Form responses 1'!$A$2:$A1000&lt;=EOMONTH(DATEVALUE("1 "&amp;AD$1),0)))+
  SUMPRODUCT(('Form responses 1'!$G$2:$G1000=$A86)*('Form responses 1'!$A$2:$A1000&lt;=EOMONTH(DATEVALUE("1 "&amp;AD$1),0)))
),2),"-")</f>
        <v>-</v>
      </c>
      <c r="AE86" s="2" t="str">
        <f>IFERROR(ROUND(Data!$B86/(
  SUMPRODUCT(('Form responses 1'!$B$2:$B1000=$A86)*('Form responses 1'!$A$2:$A1000&lt;=EOMONTH(DATEVALUE("1 "&amp;AE$1),0)))+
  SUMPRODUCT(('Form responses 1'!$C$2:$C1000=$A86)*('Form responses 1'!$A$2:$A1000&lt;=EOMONTH(DATEVALUE("1 "&amp;AE$1),0)))+
  SUMPRODUCT(('Form responses 1'!$D$2:$D1000=$A86)*('Form responses 1'!$A$2:$A1000&lt;=EOMONTH(DATEVALUE("1 "&amp;AE$1),0)))+
  SUMPRODUCT(('Form responses 1'!$E$2:$E1000=$A86)*('Form responses 1'!$A$2:$A1000&lt;=EOMONTH(DATEVALUE("1 "&amp;AE$1),0)))+
  SUMPRODUCT(('Form responses 1'!$F$2:$F1000=$A86)*('Form responses 1'!$A$2:$A1000&lt;=EOMONTH(DATEVALUE("1 "&amp;AE$1),0)))+
  SUMPRODUCT(('Form responses 1'!$G$2:$G1000=$A86)*('Form responses 1'!$A$2:$A1000&lt;=EOMONTH(DATEVALUE("1 "&amp;AE$1),0)))
),2),"-")</f>
        <v>-</v>
      </c>
      <c r="AF86" s="2" t="str">
        <f>IFERROR(ROUND(Data!$B86/(
  SUMPRODUCT(('Form responses 1'!$B$2:$B1000=$A86)*('Form responses 1'!$A$2:$A1000&lt;=EOMONTH(DATEVALUE("1 "&amp;AF$1),0)))+
  SUMPRODUCT(('Form responses 1'!$C$2:$C1000=$A86)*('Form responses 1'!$A$2:$A1000&lt;=EOMONTH(DATEVALUE("1 "&amp;AF$1),0)))+
  SUMPRODUCT(('Form responses 1'!$D$2:$D1000=$A86)*('Form responses 1'!$A$2:$A1000&lt;=EOMONTH(DATEVALUE("1 "&amp;AF$1),0)))+
  SUMPRODUCT(('Form responses 1'!$E$2:$E1000=$A86)*('Form responses 1'!$A$2:$A1000&lt;=EOMONTH(DATEVALUE("1 "&amp;AF$1),0)))+
  SUMPRODUCT(('Form responses 1'!$F$2:$F1000=$A86)*('Form responses 1'!$A$2:$A1000&lt;=EOMONTH(DATEVALUE("1 "&amp;AF$1),0)))+
  SUMPRODUCT(('Form responses 1'!$G$2:$G1000=$A86)*('Form responses 1'!$A$2:$A1000&lt;=EOMONTH(DATEVALUE("1 "&amp;AF$1),0)))
),2),"-")</f>
        <v>-</v>
      </c>
      <c r="AG86" s="2" t="str">
        <f>IFERROR(ROUND(Data!$B86/(
  SUMPRODUCT(('Form responses 1'!$B$2:$B1000=$A86)*('Form responses 1'!$A$2:$A1000&lt;=EOMONTH(DATEVALUE("1 "&amp;AG$1),0)))+
  SUMPRODUCT(('Form responses 1'!$C$2:$C1000=$A86)*('Form responses 1'!$A$2:$A1000&lt;=EOMONTH(DATEVALUE("1 "&amp;AG$1),0)))+
  SUMPRODUCT(('Form responses 1'!$D$2:$D1000=$A86)*('Form responses 1'!$A$2:$A1000&lt;=EOMONTH(DATEVALUE("1 "&amp;AG$1),0)))+
  SUMPRODUCT(('Form responses 1'!$E$2:$E1000=$A86)*('Form responses 1'!$A$2:$A1000&lt;=EOMONTH(DATEVALUE("1 "&amp;AG$1),0)))+
  SUMPRODUCT(('Form responses 1'!$F$2:$F1000=$A86)*('Form responses 1'!$A$2:$A1000&lt;=EOMONTH(DATEVALUE("1 "&amp;AG$1),0)))+
  SUMPRODUCT(('Form responses 1'!$G$2:$G1000=$A86)*('Form responses 1'!$A$2:$A1000&lt;=EOMONTH(DATEVALUE("1 "&amp;AG$1),0)))
),2),"-")</f>
        <v>-</v>
      </c>
      <c r="AH86" s="2" t="str">
        <f>IFERROR(ROUND(Data!$B86/(
  SUMPRODUCT(('Form responses 1'!$B$2:$B1000=$A86)*('Form responses 1'!$A$2:$A1000&lt;=EOMONTH(DATEVALUE("1 "&amp;AH$1),0)))+
  SUMPRODUCT(('Form responses 1'!$C$2:$C1000=$A86)*('Form responses 1'!$A$2:$A1000&lt;=EOMONTH(DATEVALUE("1 "&amp;AH$1),0)))+
  SUMPRODUCT(('Form responses 1'!$D$2:$D1000=$A86)*('Form responses 1'!$A$2:$A1000&lt;=EOMONTH(DATEVALUE("1 "&amp;AH$1),0)))+
  SUMPRODUCT(('Form responses 1'!$E$2:$E1000=$A86)*('Form responses 1'!$A$2:$A1000&lt;=EOMONTH(DATEVALUE("1 "&amp;AH$1),0)))+
  SUMPRODUCT(('Form responses 1'!$F$2:$F1000=$A86)*('Form responses 1'!$A$2:$A1000&lt;=EOMONTH(DATEVALUE("1 "&amp;AH$1),0)))+
  SUMPRODUCT(('Form responses 1'!$G$2:$G1000=$A86)*('Form responses 1'!$A$2:$A1000&lt;=EOMONTH(DATEVALUE("1 "&amp;AH$1),0)))
),2),"-")</f>
        <v>-</v>
      </c>
      <c r="AI86" s="2" t="str">
        <f>IFERROR(ROUND(Data!$B86/(
  SUMPRODUCT(('Form responses 1'!$B$2:$B1000=$A86)*('Form responses 1'!$A$2:$A1000&lt;=EOMONTH(DATEVALUE("1 "&amp;AI$1),0)))+
  SUMPRODUCT(('Form responses 1'!$C$2:$C1000=$A86)*('Form responses 1'!$A$2:$A1000&lt;=EOMONTH(DATEVALUE("1 "&amp;AI$1),0)))+
  SUMPRODUCT(('Form responses 1'!$D$2:$D1000=$A86)*('Form responses 1'!$A$2:$A1000&lt;=EOMONTH(DATEVALUE("1 "&amp;AI$1),0)))+
  SUMPRODUCT(('Form responses 1'!$E$2:$E1000=$A86)*('Form responses 1'!$A$2:$A1000&lt;=EOMONTH(DATEVALUE("1 "&amp;AI$1),0)))+
  SUMPRODUCT(('Form responses 1'!$F$2:$F1000=$A86)*('Form responses 1'!$A$2:$A1000&lt;=EOMONTH(DATEVALUE("1 "&amp;AI$1),0)))+
  SUMPRODUCT(('Form responses 1'!$G$2:$G1000=$A86)*('Form responses 1'!$A$2:$A1000&lt;=EOMONTH(DATEVALUE("1 "&amp;AI$1),0)))
),2),"-")</f>
        <v>-</v>
      </c>
      <c r="AJ86" s="2" t="str">
        <f>IFERROR(ROUND(Data!$B86/(
  SUMPRODUCT(('Form responses 1'!$B$2:$B1000=$A86)*('Form responses 1'!$A$2:$A1000&lt;=EOMONTH(DATEVALUE("1 "&amp;AJ$1),0)))+
  SUMPRODUCT(('Form responses 1'!$C$2:$C1000=$A86)*('Form responses 1'!$A$2:$A1000&lt;=EOMONTH(DATEVALUE("1 "&amp;AJ$1),0)))+
  SUMPRODUCT(('Form responses 1'!$D$2:$D1000=$A86)*('Form responses 1'!$A$2:$A1000&lt;=EOMONTH(DATEVALUE("1 "&amp;AJ$1),0)))+
  SUMPRODUCT(('Form responses 1'!$E$2:$E1000=$A86)*('Form responses 1'!$A$2:$A1000&lt;=EOMONTH(DATEVALUE("1 "&amp;AJ$1),0)))+
  SUMPRODUCT(('Form responses 1'!$F$2:$F1000=$A86)*('Form responses 1'!$A$2:$A1000&lt;=EOMONTH(DATEVALUE("1 "&amp;AJ$1),0)))+
  SUMPRODUCT(('Form responses 1'!$G$2:$G1000=$A86)*('Form responses 1'!$A$2:$A1000&lt;=EOMONTH(DATEVALUE("1 "&amp;AJ$1),0)))
),2),"-")</f>
        <v>-</v>
      </c>
      <c r="AK86" s="2" t="str">
        <f>IFERROR(ROUND(Data!$B86/(
  SUMPRODUCT(('Form responses 1'!$B$2:$B1000=$A86)*('Form responses 1'!$A$2:$A1000&lt;=EOMONTH(DATEVALUE("1 "&amp;AK$1),0)))+
  SUMPRODUCT(('Form responses 1'!$C$2:$C1000=$A86)*('Form responses 1'!$A$2:$A1000&lt;=EOMONTH(DATEVALUE("1 "&amp;AK$1),0)))+
  SUMPRODUCT(('Form responses 1'!$D$2:$D1000=$A86)*('Form responses 1'!$A$2:$A1000&lt;=EOMONTH(DATEVALUE("1 "&amp;AK$1),0)))+
  SUMPRODUCT(('Form responses 1'!$E$2:$E1000=$A86)*('Form responses 1'!$A$2:$A1000&lt;=EOMONTH(DATEVALUE("1 "&amp;AK$1),0)))+
  SUMPRODUCT(('Form responses 1'!$F$2:$F1000=$A86)*('Form responses 1'!$A$2:$A1000&lt;=EOMONTH(DATEVALUE("1 "&amp;AK$1),0)))+
  SUMPRODUCT(('Form responses 1'!$G$2:$G1000=$A86)*('Form responses 1'!$A$2:$A1000&lt;=EOMONTH(DATEVALUE("1 "&amp;AK$1),0)))
),2),"-")</f>
        <v>-</v>
      </c>
      <c r="AL86" s="2" t="str">
        <f>IFERROR(ROUND(Data!$B86/(
  SUMPRODUCT(('Form responses 1'!$B$2:$B1000=$A86)*('Form responses 1'!$A$2:$A1000&lt;=EOMONTH(DATEVALUE("1 "&amp;AL$1),0)))+
  SUMPRODUCT(('Form responses 1'!$C$2:$C1000=$A86)*('Form responses 1'!$A$2:$A1000&lt;=EOMONTH(DATEVALUE("1 "&amp;AL$1),0)))+
  SUMPRODUCT(('Form responses 1'!$D$2:$D1000=$A86)*('Form responses 1'!$A$2:$A1000&lt;=EOMONTH(DATEVALUE("1 "&amp;AL$1),0)))+
  SUMPRODUCT(('Form responses 1'!$E$2:$E1000=$A86)*('Form responses 1'!$A$2:$A1000&lt;=EOMONTH(DATEVALUE("1 "&amp;AL$1),0)))+
  SUMPRODUCT(('Form responses 1'!$F$2:$F1000=$A86)*('Form responses 1'!$A$2:$A1000&lt;=EOMONTH(DATEVALUE("1 "&amp;AL$1),0)))+
  SUMPRODUCT(('Form responses 1'!$G$2:$G1000=$A86)*('Form responses 1'!$A$2:$A1000&lt;=EOMONTH(DATEVALUE("1 "&amp;AL$1),0)))
),2),"-")</f>
        <v>-</v>
      </c>
    </row>
    <row r="87">
      <c r="A87" s="3" t="str">
        <f>IFERROR(__xludf.DUMMYFUNCTION("""COMPUTED_VALUE"""),"Bever bergschoenen")</f>
        <v>Bever bergschoenen</v>
      </c>
      <c r="B87" s="2">
        <f>Data!F79:F1000</f>
        <v>12.96</v>
      </c>
      <c r="C87" s="2" t="str">
        <f>IFERROR(ROUND(Data!B79/(SUMPRODUCT(('Form responses 1'!$B$2:$B1000 = A87) * ('Form responses 1'!$A$2:$A1000 &lt;= DATE(2024, 1, 31)))
+ SUMPRODUCT(('Form responses 1'!$C$2:$C1000 = A87) * ('Form responses 1'!$A$2:$A1000 &lt;= DATE(2024, 1, 31)))
+ SUMPRODUCT(('Form responses 1'!$D$2:$D1000 = A87) * ('Form responses 1'!$A$2:$A1000 &lt;= DATE(2024, 1, 31)))
+ SUMPRODUCT(('Form responses 1'!$E$2:$E1000 = A87) * ('Form responses 1'!$A$2:$A1000 &lt;= DATE(2024, 1, 31)))
+ SUMPRODUCT(('Form responses 1'!$F$2:$F1000 = A87) * ('Form responses 1'!$A$2:$A1000 &lt;= DATE(2024, 1, 31)))
+ SUMPRODUCT(('Form responses 1'!$G$2:$G1000 = A87) * ('Form responses 1'!$A$2:$A1000 &lt;= DATE(2024, 1, 31)))), 2), "-")
</f>
        <v>-</v>
      </c>
      <c r="D87" s="2" t="str">
        <f>IFERROR(ROUND(Data!B79/(SUMPRODUCT(('Form responses 1'!$B$2:$B1000 = A87) * ('Form responses 1'!$A$2:$A1000 &lt;= DATE(2024, 2, 29)))
+ SUMPRODUCT(('Form responses 1'!$C$2:$C1000 = A87) * ('Form responses 1'!$A$2:$A1000 &lt;= DATE(2024, 2, 29)))
+ SUMPRODUCT(('Form responses 1'!$D$2:$D1000 = A87) * ('Form responses 1'!$A$2:$A1000 &lt;= DATE(2024, 2, 29)))
+ SUMPRODUCT(('Form responses 1'!$E$2:$E1000 = A87) * ('Form responses 1'!$A$2:$A1000 &lt;= DATE(2024, 2, 29)))
+ SUMPRODUCT(('Form responses 1'!$F$2:$F1000 = A87) * ('Form responses 1'!$A$2:$A1000 &lt;= DATE(2024, 2, 29)))
+ SUMPRODUCT(('Form responses 1'!$G$2:$G1000 = A87) * ('Form responses 1'!$A$2:$A1000 &lt;= DATE(2024, 2, 29)))), 2), "-")
</f>
        <v>-</v>
      </c>
      <c r="E87" s="2" t="str">
        <f>IFERROR(ROUND(Data!B79/(SUMPRODUCT(('Form responses 1'!$B$2:$B1000 = A87) * ('Form responses 1'!$A$2:$A1000 &lt;= DATE(2024, 3, 31)))
+ SUMPRODUCT(('Form responses 1'!$C$2:$C1000 = A87) * ('Form responses 1'!$A$2:$A1000 &lt;= DATE(2024, 3, 31)))
+ SUMPRODUCT(('Form responses 1'!$D$2:$D1000 = A87) * ('Form responses 1'!$A$2:$A1000 &lt;= DATE(2024, 3, 31)))
+ SUMPRODUCT(('Form responses 1'!$E$2:$E1000 = A87) * ('Form responses 1'!$A$2:$A1000 &lt;= DATE(2024, 3, 31)))
+ SUMPRODUCT(('Form responses 1'!$F$2:$F1000 = A87) * ('Form responses 1'!$A$2:$A1000 &lt;= DATE(2024, 3, 31)))
+ SUMPRODUCT(('Form responses 1'!$G$2:$G1000 = A87) * ('Form responses 1'!$A$2:$A1000 &lt;= DATE(2024, 3, 31)))), 2), "-")
</f>
        <v>-</v>
      </c>
      <c r="F87" s="2" t="str">
        <f>IFERROR(ROUND(Data!B79/(SUMPRODUCT(('Form responses 1'!$B$2:$B1000 = A87) * ('Form responses 1'!$A$2:$A1000 &lt;= DATE(2024, 4, 30)))
+ SUMPRODUCT(('Form responses 1'!$C$2:$C1000 = A87) * ('Form responses 1'!$A$2:$A1000 &lt;= DATE(2024, 4, 30)))
+ SUMPRODUCT(('Form responses 1'!$D$2:$D1000 = A87) * ('Form responses 1'!$A$2:$A1000 &lt;= DATE(2024, 4, 30)))
+ SUMPRODUCT(('Form responses 1'!$E$2:$E1000 = A87) * ('Form responses 1'!$A$2:$A1000 &lt;= DATE(2024, 4, 30)))
+ SUMPRODUCT(('Form responses 1'!$F$2:$F1000 = A87) * ('Form responses 1'!$A$2:$A1000 &lt;= DATE(2024, 4, 30)))
+ SUMPRODUCT(('Form responses 1'!$G$2:$G1000 = A87) * ('Form responses 1'!$A$2:$A1000 &lt;= DATE(2024, 4, 30)))), 2), "-")
</f>
        <v>-</v>
      </c>
      <c r="G87" s="2" t="str">
        <f>IFERROR(ROUND(Data!B79/(SUMPRODUCT(('Form responses 1'!$B$2:$B1000 = A87) * ('Form responses 1'!$A$2:$A1000 &lt;= DATE(2024, 5, 31)))
+ SUMPRODUCT(('Form responses 1'!$C$2:$C1000 = A87) * ('Form responses 1'!$A$2:$A1000 &lt;= DATE(2024, 5, 31)))
+ SUMPRODUCT(('Form responses 1'!$D$2:$D1000 = A87) * ('Form responses 1'!$A$2:$A1000 &lt;= DATE(2024, 5, 31)))
+ SUMPRODUCT(('Form responses 1'!$E$2:$E1000 = A87) * ('Form responses 1'!$A$2:$A1000 &lt;= DATE(2024, 5, 31)))
+ SUMPRODUCT(('Form responses 1'!$F$2:$F1000 = A87) * ('Form responses 1'!$A$2:$A1000 &lt;= DATE(2024, 5, 31)))
+ SUMPRODUCT(('Form responses 1'!$G$2:$G1000 = A87) * ('Form responses 1'!$A$2:$A1000 &lt;= DATE(2024, 5, 31)))), 2), "-")
</f>
        <v>-</v>
      </c>
      <c r="H87" s="2" t="str">
        <f>IFERROR(ROUND(Data!B79/(SUMPRODUCT(('Form responses 1'!$B$2:$B1000 = A87) * ('Form responses 1'!$A$2:$A1000 &lt;= DATE(2024, 6, 30)))
+ SUMPRODUCT(('Form responses 1'!$C$2:$C1000 = A87) * ('Form responses 1'!$A$2:$A1000 &lt;= DATE(2024, 6, 30)))
+ SUMPRODUCT(('Form responses 1'!$D$2:$D1000 = A87) * ('Form responses 1'!$A$2:$A1000 &lt;= DATE(2024, 6, 30)))
+ SUMPRODUCT(('Form responses 1'!$E$2:$E1000 = A87) * ('Form responses 1'!$A$2:$A1000 &lt;= DATE(2024, 6, 30)))
+ SUMPRODUCT(('Form responses 1'!$F$2:$F1000 = A87) * ('Form responses 1'!$A$2:$A1000 &lt;= DATE(2024, 6, 30)))
+ SUMPRODUCT(('Form responses 1'!$G$2:$G1000 = A87) * ('Form responses 1'!$A$2:$A1000 &lt;= DATE(2024, 6, 30)))), 2), "-")
</f>
        <v>-</v>
      </c>
      <c r="I87" s="2" t="str">
        <f>IFERROR(ROUND(Data!B79/(SUMPRODUCT(('Form responses 1'!$B$2:$B1000 = A87) * ('Form responses 1'!$A$2:$A1000 &lt;= DATE(2024, 7, 31)))
+ SUMPRODUCT(('Form responses 1'!$C$2:$C1000 = A87) * ('Form responses 1'!$A$2:$A1000 &lt;= DATE(2024, 7, 31)))
+ SUMPRODUCT(('Form responses 1'!$D$2:$D1000 = A87) * ('Form responses 1'!$A$2:$A1000 &lt;= DATE(2024, 7, 31)))
+ SUMPRODUCT(('Form responses 1'!$E$2:$E1000 = A87) * ('Form responses 1'!$A$2:$A1000 &lt;= DATE(2024, 7, 31)))
+ SUMPRODUCT(('Form responses 1'!$F$2:$F1000 = A87) * ('Form responses 1'!$A$2:$A1000 &lt;= DATE(2024, 7, 31)))
+ SUMPRODUCT(('Form responses 1'!$G$2:$G1000 = A87) * ('Form responses 1'!$A$2:$A1000 &lt;= DATE(2024, 7, 31)))), 2), "-")
</f>
        <v>-</v>
      </c>
      <c r="J87" s="2" t="str">
        <f>IFERROR(ROUND(Data!B79/(SUMPRODUCT(('Form responses 1'!$B$2:$B1000 = A87) * ('Form responses 1'!$A$2:$A1000 &lt;= DATE(2024, 8, 31)))
+ SUMPRODUCT(('Form responses 1'!$C$2:$C1000 = A87) * ('Form responses 1'!$A$2:$A1000 &lt;= DATE(2024, 8, 31)))
+ SUMPRODUCT(('Form responses 1'!$D$2:$D1000 = A87) * ('Form responses 1'!$A$2:$A1000 &lt;= DATE(2024, 8, 31)))
+ SUMPRODUCT(('Form responses 1'!$E$2:$E1000 = A87) * ('Form responses 1'!$A$2:$A1000 &lt;= DATE(2024, 8, 31)))
+ SUMPRODUCT(('Form responses 1'!$F$2:$F1000 = A87) * ('Form responses 1'!$A$2:$A1000 &lt;= DATE(2024, 8, 31)))
+ SUMPRODUCT(('Form responses 1'!$G$2:$G1000 = A87) * ('Form responses 1'!$A$2:$A1000 &lt;= DATE(2024, 8, 31)))), 2), "-")
</f>
        <v>-</v>
      </c>
      <c r="K87" s="2" t="str">
        <f>IFERROR(ROUND(Data!B79/(SUMPRODUCT(('Form responses 1'!$B$2:$B1000 = A87) * ('Form responses 1'!$A$2:$A1000 &lt;= DATE(2024, 9, 30)))
+ SUMPRODUCT(('Form responses 1'!$C$2:$C1000 = A87) * ('Form responses 1'!$A$2:$A1000 &lt;= DATE(2024, 9, 30)))
+ SUMPRODUCT(('Form responses 1'!$D$2:$D1000 = A87) * ('Form responses 1'!$A$2:$A1000 &lt;= DATE(2024, 9, 30)))
+ SUMPRODUCT(('Form responses 1'!$E$2:$E1000 = A87) * ('Form responses 1'!$A$2:$A1000 &lt;= DATE(2024, 9, 30)))
+ SUMPRODUCT(('Form responses 1'!$F$2:$F1000 = A87) * ('Form responses 1'!$A$2:$A1000 &lt;= DATE(2024, 9, 30)))
+ SUMPRODUCT(('Form responses 1'!$G$2:$G1000 = A87) * ('Form responses 1'!$A$2:$A1000 &lt;= DATE(2024, 9, 30)))), 2), "-")
</f>
        <v>-</v>
      </c>
      <c r="L87" s="2" t="str">
        <f>IFERROR(ROUND(Data!B79/(SUMPRODUCT(('Form responses 1'!$B$2:$B1000 = A87) * ('Form responses 1'!$A$2:$A1000 &lt;= DATE(2024, 10, 31)))
+ SUMPRODUCT(('Form responses 1'!$C$2:$C1000 = A87) * ('Form responses 1'!$A$2:$A1000 &lt;= DATE(2024, 10, 31)))
+ SUMPRODUCT(('Form responses 1'!$D$2:$D1000 = A87) * ('Form responses 1'!$A$2:$A1000 &lt;= DATE(2024, 10, 31)))
+ SUMPRODUCT(('Form responses 1'!$E$2:$E1000 = A87) * ('Form responses 1'!$A$2:$A1000 &lt;= DATE(2024, 10, 31)))
+ SUMPRODUCT(('Form responses 1'!$F$2:$F1000 = A87) * ('Form responses 1'!$A$2:$A1000 &lt;= DATE(2024, 10, 31)))
+ SUMPRODUCT(('Form responses 1'!$G$2:$G1000 = A87) * ('Form responses 1'!$A$2:$A1000 &lt;= DATE(2024, 10, 31)))), 2), "-")
</f>
        <v>-</v>
      </c>
      <c r="M87" s="2" t="str">
        <f>IFERROR(ROUND(Data!B79/(SUMPRODUCT(('Form responses 1'!$B$2:$B1000 = A87) * ('Form responses 1'!$A$2:$A1000 &lt;= DATE(2024, 11, 30)))
+ SUMPRODUCT(('Form responses 1'!$C$2:$C1000 = A87) * ('Form responses 1'!$A$2:$A1000 &lt;= DATE(2024, 11, 30)))
+ SUMPRODUCT(('Form responses 1'!$D$2:$D1000 = A87) * ('Form responses 1'!$A$2:$A1000 &lt;= DATE(2024, 11, 30)))
+ SUMPRODUCT(('Form responses 1'!$E$2:$E1000 = A87) * ('Form responses 1'!$A$2:$A1000 &lt;= DATE(2024, 11, 30)))
+ SUMPRODUCT(('Form responses 1'!$F$2:$F1000 = A87) * ('Form responses 1'!$A$2:$A1000 &lt;= DATE(2024, 11, 30)))
+ SUMPRODUCT(('Form responses 1'!$G$2:$G1000 = A87) * ('Form responses 1'!$A$2:$A1000 &lt;= DATE(2024, 11, 30)))), 2), "-")
</f>
        <v>-</v>
      </c>
      <c r="N87" s="2" t="str">
        <f>IFERROR(ROUND(Data!B79/(SUMPRODUCT(('Form responses 1'!$B$2:$B1000 = A87) * ('Form responses 1'!$A$2:$A1000 &lt;= DATE(2024, 12, 31)))
+ SUMPRODUCT(('Form responses 1'!$C$2:$C1000 = A87) * ('Form responses 1'!$A$2:$A1000 &lt;= DATE(2024, 12, 31)))
+ SUMPRODUCT(('Form responses 1'!$D$2:$D1000 = A87) * ('Form responses 1'!$A$2:$A1000 &lt;= DATE(2024, 12, 31)))
+ SUMPRODUCT(('Form responses 1'!$E$2:$E1000 = A87) * ('Form responses 1'!$A$2:$A1000 &lt;= DATE(2024, 12, 31)))
+ SUMPRODUCT(('Form responses 1'!$F$2:$F1000 = A87) * ('Form responses 1'!$A$2:$A1000 &lt;= DATE(2024, 12, 31)))
+ SUMPRODUCT(('Form responses 1'!$G$2:$G1000 = A87) * ('Form responses 1'!$A$2:$A1000 &lt;= DATE(2024, 12, 31)))), 2), "-")
</f>
        <v>-</v>
      </c>
      <c r="O87" s="2" t="str">
        <f>IFERROR(ROUND(Data!B79/(SUMPRODUCT(('Form responses 1'!$B$2:$B1000 = A87) * ('Form responses 1'!$A$2:$A1000 &lt;= DATE(2025, 1, 31)))
+ SUMPRODUCT(('Form responses 1'!$C$2:$C1000 = A87) * ('Form responses 1'!$A$2:$A1000 &lt;= DATE(2025, 1, 31)))
+ SUMPRODUCT(('Form responses 1'!$D$2:$D1000 = A87) * ('Form responses 1'!$A$2:$A1000 &lt;= DATE(2025, 1, 31)))
+ SUMPRODUCT(('Form responses 1'!$E$2:$E1000 = A87) * ('Form responses 1'!$A$2:$A1000 &lt;= DATE(2025, 1, 31)))
+ SUMPRODUCT(('Form responses 1'!$F$2:$F1000 = A87) * ('Form responses 1'!$A$2:$A1000 &lt;= DATE(2025, 1, 31)))
+ SUMPRODUCT(('Form responses 1'!$G$2:$G1000 = A87) * ('Form responses 1'!$A$2:$A1000 &lt;= DATE(2025, 1, 31)))), 2), "-")
</f>
        <v>-</v>
      </c>
      <c r="P87" s="2" t="str">
        <f>IFERROR(ROUND(Data!B79/(SUMPRODUCT(('Form responses 1'!$B$2:$B1000 = A87) * ('Form responses 1'!$A$2:$A1000 &lt;= DATE(2025, 2, 28)))
+ SUMPRODUCT(('Form responses 1'!$C$2:$C1000 = A87) * ('Form responses 1'!$A$2:$A1000 &lt;= DATE(2025, 2, 28)))
+ SUMPRODUCT(('Form responses 1'!$D$2:$D1000 = A87) * ('Form responses 1'!$A$2:$A1000 &lt;= DATE(2025, 2, 28)))
+ SUMPRODUCT(('Form responses 1'!$E$2:$E1000 = A87) * ('Form responses 1'!$A$2:$A1000 &lt;= DATE(2025, 2, 28)))
+ SUMPRODUCT(('Form responses 1'!$F$2:$F1000 = A87) * ('Form responses 1'!$A$2:$A1000 &lt;= DATE(2025, 2, 28)))
+ SUMPRODUCT(('Form responses 1'!$G$2:$G1000 = A87) * ('Form responses 1'!$A$2:$A1000 &lt;= DATE(2025, 2, 28)))), 2), "-")
</f>
        <v>-</v>
      </c>
      <c r="Q87" s="2" t="str">
        <f>IFERROR(ROUND(Data!B79/(SUMPRODUCT(('Form responses 1'!$B$2:$B1000 = A87) * ('Form responses 1'!$A$2:$A1000 &lt;= DATE(2025, 3, 31)))
+ SUMPRODUCT(('Form responses 1'!$C$2:$C1000 = A87) * ('Form responses 1'!$A$2:$A1000 &lt;= DATE(2025, 3, 31)))
+ SUMPRODUCT(('Form responses 1'!$D$2:$D1000 = A87) * ('Form responses 1'!$A$2:$A1000 &lt;= DATE(2025, 3, 31)))
+ SUMPRODUCT(('Form responses 1'!$E$2:$E1000 = A87) * ('Form responses 1'!$A$2:$A1000 &lt;= DATE(2025, 3, 31)))
+ SUMPRODUCT(('Form responses 1'!$F$2:$F1000 = A87) * ('Form responses 1'!$A$2:$A1000 &lt;= DATE(2025, 3, 31)))
+ SUMPRODUCT(('Form responses 1'!$G$2:$G1000 = A87) * ('Form responses 1'!$A$2:$A1000 &lt;= DATE(2025, 3, 31)))),2),"-")</f>
        <v>-</v>
      </c>
      <c r="R87" s="2">
        <f>IFERROR(ROUND(Data!B79/(SUMPRODUCT(('Form responses 1'!$B$2:$B1000 = A87) * ('Form responses 1'!$A$2:$A1000 &lt;= DATE(2025, 4, 30)))
+ SUMPRODUCT(('Form responses 1'!$C$2:$C1000 = A87) * ('Form responses 1'!$A$2:$A1000 &lt;= DATE(2025, 4, 30)))
+ SUMPRODUCT(('Form responses 1'!$D$2:$D1000 = A87) * ('Form responses 1'!$A$2:$A1000 &lt;= DATE(2025, 4, 30)))
+ SUMPRODUCT(('Form responses 1'!$E$2:$E1000 = A87) * ('Form responses 1'!$A$2:$A1000 &lt;= DATE(2025, 4, 30)))
+ SUMPRODUCT(('Form responses 1'!$F$2:$F1000 = A87) * ('Form responses 1'!$A$2:$A1000 &lt;= DATE(2025, 4, 30)))
+ SUMPRODUCT(('Form responses 1'!$G$2:$G1000 = A87) * ('Form responses 1'!$A$2:$A1000 &lt;= DATE(2025, 4, 30)))), 2), "-")
</f>
        <v>1.4</v>
      </c>
      <c r="S87" s="2">
        <f>IFERROR(ROUND(Data!B79/(SUMPRODUCT(('Form responses 1'!$B$2:$B1000 = A87) * ('Form responses 1'!$A$2:$A1000 &lt;= DATE(2025, 5, 31)))
+ SUMPRODUCT(('Form responses 1'!$C$2:$C1000 = A87) * ('Form responses 1'!$A$2:$A1000 &lt;= DATE(2025, 5, 31)))
+ SUMPRODUCT(('Form responses 1'!$D$2:$D1000 = A87) * ('Form responses 1'!$A$2:$A1000 &lt;= DATE(2025, 5, 31)))
+ SUMPRODUCT(('Form responses 1'!$E$2:$E1000 = A87) * ('Form responses 1'!$A$2:$A1000 &lt;= DATE(2025, 5, 31)))
+ SUMPRODUCT(('Form responses 1'!$F$2:$F1000 = A87) * ('Form responses 1'!$A$2:$A1000 &lt;= DATE(2025, 5, 31)))
+ SUMPRODUCT(('Form responses 1'!$G$2:$G1000 = A87) * ('Form responses 1'!$A$2:$A1000 &lt;= DATE(2025, 5, 31)))), 2), "-")
</f>
        <v>1.28</v>
      </c>
      <c r="T87" s="2">
        <f>IFERROR(ROUND(Data!B79/(SUMPRODUCT(('Form responses 1'!$B$2:$B1000 = A87) * ('Form responses 1'!$A$2:$A1000 &lt;= DATE(2025, 6, 30)))
+ SUMPRODUCT(('Form responses 1'!$C$2:$C1000 = A87) * ('Form responses 1'!$A$2:$A1000 &lt;= DATE(2025, 6, 30)))
+ SUMPRODUCT(('Form responses 1'!$D$2:$D1000 = A87) * ('Form responses 1'!$A$2:$A1000 &lt;= DATE(2025, 6, 30)))
+ SUMPRODUCT(('Form responses 1'!$E$2:$E1000 = A87) * ('Form responses 1'!$A$2:$A1000 &lt;= DATE(2025, 6, 30)))
+ SUMPRODUCT(('Form responses 1'!$F$2:$F1000 = A87) * ('Form responses 1'!$A$2:$A1000 &lt;= DATE(2025, 6, 30)))
+ SUMPRODUCT(('Form responses 1'!$G$2:$G1000 = A87) * ('Form responses 1'!$A$2:$A1000 &lt;= DATE(2025, 6, 30)))), 2), "-")
</f>
        <v>1.18</v>
      </c>
      <c r="U87" s="2">
        <f>IFERROR(ROUND(Data!B79/(SUMPRODUCT(('Form responses 1'!$B$2:$B1000 = A87) * ('Form responses 1'!$A$2:$A1000 &lt;= DATE(2025, 7, 31)))
+ SUMPRODUCT(('Form responses 1'!$C$2:$C1000 = A87) * ('Form responses 1'!$A$2:$A1000 &lt;= DATE(2025, 7, 31)))
+ SUMPRODUCT(('Form responses 1'!$D$2:$D1000 = A87) * ('Form responses 1'!$A$2:$A1000 &lt;= DATE(2025, 7, 31)))
+ SUMPRODUCT(('Form responses 1'!$E$2:$E1000 = A87) * ('Form responses 1'!$A$2:$A1000 &lt;= DATE(2025, 7, 31)))
+ SUMPRODUCT(('Form responses 1'!$F$2:$F1000 = A87) * ('Form responses 1'!$A$2:$A1000 &lt;= DATE(2025, 7, 31)))
+ SUMPRODUCT(('Form responses 1'!$G$2:$G1000 = A87) * ('Form responses 1'!$A$2:$A1000 &lt;= DATE(2025, 7, 31)))), 2), "-")
</f>
        <v>0.57</v>
      </c>
      <c r="V87" s="2">
        <f>IFERROR(ROUND(Data!B79/(SUMPRODUCT(('Form responses 1'!$B$2:$B1000 = A87) * ('Form responses 1'!$A$2:$A1000 &lt;= DATE(2025, 8, 31)))
+ SUMPRODUCT(('Form responses 1'!$C$2:$C1000 = A87) * ('Form responses 1'!$A$2:$A1000 &lt;= DATE(2025, 8, 31)))
+ SUMPRODUCT(('Form responses 1'!$D$2:$D1000 = A87) * ('Form responses 1'!$A$2:$A1000 &lt;= DATE(2025, 8, 31)))
+ SUMPRODUCT(('Form responses 1'!$E$2:$E1000 = A87) * ('Form responses 1'!$A$2:$A1000 &lt;= DATE(2025, 8, 31)))
+ SUMPRODUCT(('Form responses 1'!$F$2:$F1000 = A87) * ('Form responses 1'!$A$2:$A1000 &lt;= DATE(2025, 8, 31)))
+ SUMPRODUCT(('Form responses 1'!$G$2:$G1000 = A87) * ('Form responses 1'!$A$2:$A1000 &lt;= DATE(2025, 8, 31)))), 2), "-")
</f>
        <v>0.57</v>
      </c>
      <c r="W87" s="2">
        <f>IFERROR(ROUND(Data!B79/(SUMPRODUCT(('Form responses 1'!$B$2:$B1000 = A87) * ('Form responses 1'!$A$2:$A1000 &lt;= DATE(2025, 9, 30)))
+ SUMPRODUCT(('Form responses 1'!$C$2:$C1000 = A87) * ('Form responses 1'!$A$2:$A1000 &lt;= DATE(2025, 9, 30)))
+ SUMPRODUCT(('Form responses 1'!$D$2:$D1000 = A87) * ('Form responses 1'!$A$2:$A1000 &lt;= DATE(2025, 9, 30)))
+ SUMPRODUCT(('Form responses 1'!$E$2:$E1000 = A87) * ('Form responses 1'!$A$2:$A1000 &lt;= DATE(2025, 9, 30)))
+ SUMPRODUCT(('Form responses 1'!$F$2:$F1000 = A87) * ('Form responses 1'!$A$2:$A1000 &lt;= DATE(2025, 9, 30)))
+ SUMPRODUCT(('Form responses 1'!$G$2:$G1000 = A87) * ('Form responses 1'!$A$2:$A1000 &lt;= DATE(2025, 9, 30)))), 2), "-")
</f>
        <v>0.57</v>
      </c>
      <c r="X87" s="2">
        <f>IFERROR(ROUND(Data!B79/(SUMPRODUCT(('Form responses 1'!$B$2:$B1000 = A87) * ('Form responses 1'!$A$2:$A1000 &lt;= DATE(2025, 10, 31)))
+ SUMPRODUCT(('Form responses 1'!$C$2:$C1000 = A87) * ('Form responses 1'!$A$2:$A1000 &lt;= DATE(2025, 10, 31)))
+ SUMPRODUCT(('Form responses 1'!$D$2:$D1000 = A87) * ('Form responses 1'!$A$2:$A1000 &lt;= DATE(2025, 10, 31)))
+ SUMPRODUCT(('Form responses 1'!$E$2:$E1000 = A87) * ('Form responses 1'!$A$2:$A1000 &lt;= DATE(2025, 10, 31)))
+ SUMPRODUCT(('Form responses 1'!$F$2:$F1000 = A87) * ('Form responses 1'!$A$2:$A1000 &lt;= DATE(2025, 10, 31)))
+ SUMPRODUCT(('Form responses 1'!$G$2:$G1000 = A87) * ('Form responses 1'!$A$2:$A1000 &lt;= DATE(2025, 10, 31)))), 2), "-")
</f>
        <v>0.57</v>
      </c>
      <c r="Y87" s="2">
        <f>IFERROR(ROUND(Data!B79/(SUMPRODUCT(('Form responses 1'!$B$2:$B1000 = A87) * ('Form responses 1'!$A$2:$A1000 &lt;= DATE(2025, 11, 30)))
+ SUMPRODUCT(('Form responses 1'!$C$2:$C1000 = A87) * ('Form responses 1'!$A$2:$A1000 &lt;= DATE(2025, 11, 30)))
+ SUMPRODUCT(('Form responses 1'!$D$2:$D1000 = A87) * ('Form responses 1'!$A$2:$A1000 &lt;= DATE(2025, 11, 30)))
+ SUMPRODUCT(('Form responses 1'!$E$2:$E1000 = A87) * ('Form responses 1'!$A$2:$A1000 &lt;= DATE(2025, 11, 30)))
+ SUMPRODUCT(('Form responses 1'!$F$2:$F1000 = A87) * ('Form responses 1'!$A$2:$A1000 &lt;= DATE(2025, 11, 30)))
+ SUMPRODUCT(('Form responses 1'!$G$2:$G1000 = A87) * ('Form responses 1'!$A$2:$A1000 &lt;= DATE(2025, 11, 30)))), 2), "-")
</f>
        <v>0.57</v>
      </c>
      <c r="Z87" s="2">
        <f>IFERROR(ROUND(Data!B79/(SUMPRODUCT(('Form responses 1'!$B$2:$B1000 = A87) * ('Form responses 1'!$A$2:$A1000 &lt;= DATE(2025, 12, 31)))
+ SUMPRODUCT(('Form responses 1'!$C$2:$C1000 = A87) * ('Form responses 1'!$A$2:$A1000 &lt;= DATE(2025, 12, 31)))
+ SUMPRODUCT(('Form responses 1'!$D$2:$D1000 = A87) * ('Form responses 1'!$A$2:$A1000 &lt;= DATE(2025, 12, 31)))
+ SUMPRODUCT(('Form responses 1'!$E$2:$E1000 = A87) * ('Form responses 1'!$A$2:$A1000 &lt;= DATE(2025, 12, 31)))
+ SUMPRODUCT(('Form responses 1'!$F$2:$F1000 = A87) * ('Form responses 1'!$A$2:$A1000 &lt;= DATE(2025, 12, 31)))
+ SUMPRODUCT(('Form responses 1'!$G$2:$G1000 = A87) * ('Form responses 1'!$A$2:$A1000 &lt;= DATE(2025, 12, 31)))), 2), "-")
</f>
        <v>0.57</v>
      </c>
      <c r="AA87" s="2">
        <f>IFERROR(ROUND(Data!$B87/(
  SUMPRODUCT(('Form responses 1'!$B$2:$B1000=$A87)*('Form responses 1'!$A$2:$A1000&lt;=EOMONTH(DATEVALUE("1 "&amp;AA$1),0)))+
  SUMPRODUCT(('Form responses 1'!$C$2:$C1000=$A87)*('Form responses 1'!$A$2:$A1000&lt;=EOMONTH(DATEVALUE("1 "&amp;AA$1),0)))+
  SUMPRODUCT(('Form responses 1'!$D$2:$D1000=$A87)*('Form responses 1'!$A$2:$A1000&lt;=EOMONTH(DATEVALUE("1 "&amp;AA$1),0)))+
  SUMPRODUCT(('Form responses 1'!$E$2:$E1000=$A87)*('Form responses 1'!$A$2:$A1000&lt;=EOMONTH(DATEVALUE("1 "&amp;AA$1),0)))+
  SUMPRODUCT(('Form responses 1'!$F$2:$F1000=$A87)*('Form responses 1'!$A$2:$A1000&lt;=EOMONTH(DATEVALUE("1 "&amp;AA$1),0)))+
  SUMPRODUCT(('Form responses 1'!$G$2:$G1000=$A87)*('Form responses 1'!$A$2:$A1000&lt;=EOMONTH(DATEVALUE("1 "&amp;AA$1),0)))
),2),"-")</f>
        <v>12.96</v>
      </c>
      <c r="AB87" s="2">
        <f>IFERROR(ROUND(Data!$B87/(
  SUMPRODUCT(('Form responses 1'!$B$2:$B1000=$A87)*('Form responses 1'!$A$2:$A1000&lt;=EOMONTH(DATEVALUE("1 "&amp;AB$1),0)))+
  SUMPRODUCT(('Form responses 1'!$C$2:$C1000=$A87)*('Form responses 1'!$A$2:$A1000&lt;=EOMONTH(DATEVALUE("1 "&amp;AB$1),0)))+
  SUMPRODUCT(('Form responses 1'!$D$2:$D1000=$A87)*('Form responses 1'!$A$2:$A1000&lt;=EOMONTH(DATEVALUE("1 "&amp;AB$1),0)))+
  SUMPRODUCT(('Form responses 1'!$E$2:$E1000=$A87)*('Form responses 1'!$A$2:$A1000&lt;=EOMONTH(DATEVALUE("1 "&amp;AB$1),0)))+
  SUMPRODUCT(('Form responses 1'!$F$2:$F1000=$A87)*('Form responses 1'!$A$2:$A1000&lt;=EOMONTH(DATEVALUE("1 "&amp;AB$1),0)))+
  SUMPRODUCT(('Form responses 1'!$G$2:$G1000=$A87)*('Form responses 1'!$A$2:$A1000&lt;=EOMONTH(DATEVALUE("1 "&amp;AB$1),0)))
),2),"-")</f>
        <v>12.96</v>
      </c>
      <c r="AC87" s="2">
        <f>IFERROR(ROUND(Data!$B87/(
  SUMPRODUCT(('Form responses 1'!$B$2:$B1000=$A87)*('Form responses 1'!$A$2:$A1000&lt;=EOMONTH(DATEVALUE("1 "&amp;AC$1),0)))+
  SUMPRODUCT(('Form responses 1'!$C$2:$C1000=$A87)*('Form responses 1'!$A$2:$A1000&lt;=EOMONTH(DATEVALUE("1 "&amp;AC$1),0)))+
  SUMPRODUCT(('Form responses 1'!$D$2:$D1000=$A87)*('Form responses 1'!$A$2:$A1000&lt;=EOMONTH(DATEVALUE("1 "&amp;AC$1),0)))+
  SUMPRODUCT(('Form responses 1'!$E$2:$E1000=$A87)*('Form responses 1'!$A$2:$A1000&lt;=EOMONTH(DATEVALUE("1 "&amp;AC$1),0)))+
  SUMPRODUCT(('Form responses 1'!$F$2:$F1000=$A87)*('Form responses 1'!$A$2:$A1000&lt;=EOMONTH(DATEVALUE("1 "&amp;AC$1),0)))+
  SUMPRODUCT(('Form responses 1'!$G$2:$G1000=$A87)*('Form responses 1'!$A$2:$A1000&lt;=EOMONTH(DATEVALUE("1 "&amp;AC$1),0)))
),2),"-")</f>
        <v>12.96</v>
      </c>
      <c r="AD87" s="2" t="str">
        <f>IFERROR(ROUND(Data!$B87/(
  SUMPRODUCT(('Form responses 1'!$B$2:$B1000=$A87)*('Form responses 1'!$A$2:$A1000&lt;=EOMONTH(DATEVALUE("1 "&amp;AD$1),0)))+
  SUMPRODUCT(('Form responses 1'!$C$2:$C1000=$A87)*('Form responses 1'!$A$2:$A1000&lt;=EOMONTH(DATEVALUE("1 "&amp;AD$1),0)))+
  SUMPRODUCT(('Form responses 1'!$D$2:$D1000=$A87)*('Form responses 1'!$A$2:$A1000&lt;=EOMONTH(DATEVALUE("1 "&amp;AD$1),0)))+
  SUMPRODUCT(('Form responses 1'!$E$2:$E1000=$A87)*('Form responses 1'!$A$2:$A1000&lt;=EOMONTH(DATEVALUE("1 "&amp;AD$1),0)))+
  SUMPRODUCT(('Form responses 1'!$F$2:$F1000=$A87)*('Form responses 1'!$A$2:$A1000&lt;=EOMONTH(DATEVALUE("1 "&amp;AD$1),0)))+
  SUMPRODUCT(('Form responses 1'!$G$2:$G1000=$A87)*('Form responses 1'!$A$2:$A1000&lt;=EOMONTH(DATEVALUE("1 "&amp;AD$1),0)))
),2),"-")</f>
        <v>-</v>
      </c>
      <c r="AE87" s="2" t="str">
        <f>IFERROR(ROUND(Data!$B87/(
  SUMPRODUCT(('Form responses 1'!$B$2:$B1000=$A87)*('Form responses 1'!$A$2:$A1000&lt;=EOMONTH(DATEVALUE("1 "&amp;AE$1),0)))+
  SUMPRODUCT(('Form responses 1'!$C$2:$C1000=$A87)*('Form responses 1'!$A$2:$A1000&lt;=EOMONTH(DATEVALUE("1 "&amp;AE$1),0)))+
  SUMPRODUCT(('Form responses 1'!$D$2:$D1000=$A87)*('Form responses 1'!$A$2:$A1000&lt;=EOMONTH(DATEVALUE("1 "&amp;AE$1),0)))+
  SUMPRODUCT(('Form responses 1'!$E$2:$E1000=$A87)*('Form responses 1'!$A$2:$A1000&lt;=EOMONTH(DATEVALUE("1 "&amp;AE$1),0)))+
  SUMPRODUCT(('Form responses 1'!$F$2:$F1000=$A87)*('Form responses 1'!$A$2:$A1000&lt;=EOMONTH(DATEVALUE("1 "&amp;AE$1),0)))+
  SUMPRODUCT(('Form responses 1'!$G$2:$G1000=$A87)*('Form responses 1'!$A$2:$A1000&lt;=EOMONTH(DATEVALUE("1 "&amp;AE$1),0)))
),2),"-")</f>
        <v>-</v>
      </c>
      <c r="AF87" s="2" t="str">
        <f>IFERROR(ROUND(Data!$B87/(
  SUMPRODUCT(('Form responses 1'!$B$2:$B1000=$A87)*('Form responses 1'!$A$2:$A1000&lt;=EOMONTH(DATEVALUE("1 "&amp;AF$1),0)))+
  SUMPRODUCT(('Form responses 1'!$C$2:$C1000=$A87)*('Form responses 1'!$A$2:$A1000&lt;=EOMONTH(DATEVALUE("1 "&amp;AF$1),0)))+
  SUMPRODUCT(('Form responses 1'!$D$2:$D1000=$A87)*('Form responses 1'!$A$2:$A1000&lt;=EOMONTH(DATEVALUE("1 "&amp;AF$1),0)))+
  SUMPRODUCT(('Form responses 1'!$E$2:$E1000=$A87)*('Form responses 1'!$A$2:$A1000&lt;=EOMONTH(DATEVALUE("1 "&amp;AF$1),0)))+
  SUMPRODUCT(('Form responses 1'!$F$2:$F1000=$A87)*('Form responses 1'!$A$2:$A1000&lt;=EOMONTH(DATEVALUE("1 "&amp;AF$1),0)))+
  SUMPRODUCT(('Form responses 1'!$G$2:$G1000=$A87)*('Form responses 1'!$A$2:$A1000&lt;=EOMONTH(DATEVALUE("1 "&amp;AF$1),0)))
),2),"-")</f>
        <v>-</v>
      </c>
      <c r="AG87" s="2" t="str">
        <f>IFERROR(ROUND(Data!$B87/(
  SUMPRODUCT(('Form responses 1'!$B$2:$B1000=$A87)*('Form responses 1'!$A$2:$A1000&lt;=EOMONTH(DATEVALUE("1 "&amp;AG$1),0)))+
  SUMPRODUCT(('Form responses 1'!$C$2:$C1000=$A87)*('Form responses 1'!$A$2:$A1000&lt;=EOMONTH(DATEVALUE("1 "&amp;AG$1),0)))+
  SUMPRODUCT(('Form responses 1'!$D$2:$D1000=$A87)*('Form responses 1'!$A$2:$A1000&lt;=EOMONTH(DATEVALUE("1 "&amp;AG$1),0)))+
  SUMPRODUCT(('Form responses 1'!$E$2:$E1000=$A87)*('Form responses 1'!$A$2:$A1000&lt;=EOMONTH(DATEVALUE("1 "&amp;AG$1),0)))+
  SUMPRODUCT(('Form responses 1'!$F$2:$F1000=$A87)*('Form responses 1'!$A$2:$A1000&lt;=EOMONTH(DATEVALUE("1 "&amp;AG$1),0)))+
  SUMPRODUCT(('Form responses 1'!$G$2:$G1000=$A87)*('Form responses 1'!$A$2:$A1000&lt;=EOMONTH(DATEVALUE("1 "&amp;AG$1),0)))
),2),"-")</f>
        <v>-</v>
      </c>
      <c r="AH87" s="2" t="str">
        <f>IFERROR(ROUND(Data!$B87/(
  SUMPRODUCT(('Form responses 1'!$B$2:$B1000=$A87)*('Form responses 1'!$A$2:$A1000&lt;=EOMONTH(DATEVALUE("1 "&amp;AH$1),0)))+
  SUMPRODUCT(('Form responses 1'!$C$2:$C1000=$A87)*('Form responses 1'!$A$2:$A1000&lt;=EOMONTH(DATEVALUE("1 "&amp;AH$1),0)))+
  SUMPRODUCT(('Form responses 1'!$D$2:$D1000=$A87)*('Form responses 1'!$A$2:$A1000&lt;=EOMONTH(DATEVALUE("1 "&amp;AH$1),0)))+
  SUMPRODUCT(('Form responses 1'!$E$2:$E1000=$A87)*('Form responses 1'!$A$2:$A1000&lt;=EOMONTH(DATEVALUE("1 "&amp;AH$1),0)))+
  SUMPRODUCT(('Form responses 1'!$F$2:$F1000=$A87)*('Form responses 1'!$A$2:$A1000&lt;=EOMONTH(DATEVALUE("1 "&amp;AH$1),0)))+
  SUMPRODUCT(('Form responses 1'!$G$2:$G1000=$A87)*('Form responses 1'!$A$2:$A1000&lt;=EOMONTH(DATEVALUE("1 "&amp;AH$1),0)))
),2),"-")</f>
        <v>-</v>
      </c>
      <c r="AI87" s="2" t="str">
        <f>IFERROR(ROUND(Data!$B87/(
  SUMPRODUCT(('Form responses 1'!$B$2:$B1000=$A87)*('Form responses 1'!$A$2:$A1000&lt;=EOMONTH(DATEVALUE("1 "&amp;AI$1),0)))+
  SUMPRODUCT(('Form responses 1'!$C$2:$C1000=$A87)*('Form responses 1'!$A$2:$A1000&lt;=EOMONTH(DATEVALUE("1 "&amp;AI$1),0)))+
  SUMPRODUCT(('Form responses 1'!$D$2:$D1000=$A87)*('Form responses 1'!$A$2:$A1000&lt;=EOMONTH(DATEVALUE("1 "&amp;AI$1),0)))+
  SUMPRODUCT(('Form responses 1'!$E$2:$E1000=$A87)*('Form responses 1'!$A$2:$A1000&lt;=EOMONTH(DATEVALUE("1 "&amp;AI$1),0)))+
  SUMPRODUCT(('Form responses 1'!$F$2:$F1000=$A87)*('Form responses 1'!$A$2:$A1000&lt;=EOMONTH(DATEVALUE("1 "&amp;AI$1),0)))+
  SUMPRODUCT(('Form responses 1'!$G$2:$G1000=$A87)*('Form responses 1'!$A$2:$A1000&lt;=EOMONTH(DATEVALUE("1 "&amp;AI$1),0)))
),2),"-")</f>
        <v>-</v>
      </c>
      <c r="AJ87" s="2" t="str">
        <f>IFERROR(ROUND(Data!$B87/(
  SUMPRODUCT(('Form responses 1'!$B$2:$B1000=$A87)*('Form responses 1'!$A$2:$A1000&lt;=EOMONTH(DATEVALUE("1 "&amp;AJ$1),0)))+
  SUMPRODUCT(('Form responses 1'!$C$2:$C1000=$A87)*('Form responses 1'!$A$2:$A1000&lt;=EOMONTH(DATEVALUE("1 "&amp;AJ$1),0)))+
  SUMPRODUCT(('Form responses 1'!$D$2:$D1000=$A87)*('Form responses 1'!$A$2:$A1000&lt;=EOMONTH(DATEVALUE("1 "&amp;AJ$1),0)))+
  SUMPRODUCT(('Form responses 1'!$E$2:$E1000=$A87)*('Form responses 1'!$A$2:$A1000&lt;=EOMONTH(DATEVALUE("1 "&amp;AJ$1),0)))+
  SUMPRODUCT(('Form responses 1'!$F$2:$F1000=$A87)*('Form responses 1'!$A$2:$A1000&lt;=EOMONTH(DATEVALUE("1 "&amp;AJ$1),0)))+
  SUMPRODUCT(('Form responses 1'!$G$2:$G1000=$A87)*('Form responses 1'!$A$2:$A1000&lt;=EOMONTH(DATEVALUE("1 "&amp;AJ$1),0)))
),2),"-")</f>
        <v>-</v>
      </c>
      <c r="AK87" s="2" t="str">
        <f>IFERROR(ROUND(Data!$B87/(
  SUMPRODUCT(('Form responses 1'!$B$2:$B1000=$A87)*('Form responses 1'!$A$2:$A1000&lt;=EOMONTH(DATEVALUE("1 "&amp;AK$1),0)))+
  SUMPRODUCT(('Form responses 1'!$C$2:$C1000=$A87)*('Form responses 1'!$A$2:$A1000&lt;=EOMONTH(DATEVALUE("1 "&amp;AK$1),0)))+
  SUMPRODUCT(('Form responses 1'!$D$2:$D1000=$A87)*('Form responses 1'!$A$2:$A1000&lt;=EOMONTH(DATEVALUE("1 "&amp;AK$1),0)))+
  SUMPRODUCT(('Form responses 1'!$E$2:$E1000=$A87)*('Form responses 1'!$A$2:$A1000&lt;=EOMONTH(DATEVALUE("1 "&amp;AK$1),0)))+
  SUMPRODUCT(('Form responses 1'!$F$2:$F1000=$A87)*('Form responses 1'!$A$2:$A1000&lt;=EOMONTH(DATEVALUE("1 "&amp;AK$1),0)))+
  SUMPRODUCT(('Form responses 1'!$G$2:$G1000=$A87)*('Form responses 1'!$A$2:$A1000&lt;=EOMONTH(DATEVALUE("1 "&amp;AK$1),0)))
),2),"-")</f>
        <v>-</v>
      </c>
      <c r="AL87" s="2" t="str">
        <f>IFERROR(ROUND(Data!$B87/(
  SUMPRODUCT(('Form responses 1'!$B$2:$B1000=$A87)*('Form responses 1'!$A$2:$A1000&lt;=EOMONTH(DATEVALUE("1 "&amp;AL$1),0)))+
  SUMPRODUCT(('Form responses 1'!$C$2:$C1000=$A87)*('Form responses 1'!$A$2:$A1000&lt;=EOMONTH(DATEVALUE("1 "&amp;AL$1),0)))+
  SUMPRODUCT(('Form responses 1'!$D$2:$D1000=$A87)*('Form responses 1'!$A$2:$A1000&lt;=EOMONTH(DATEVALUE("1 "&amp;AL$1),0)))+
  SUMPRODUCT(('Form responses 1'!$E$2:$E1000=$A87)*('Form responses 1'!$A$2:$A1000&lt;=EOMONTH(DATEVALUE("1 "&amp;AL$1),0)))+
  SUMPRODUCT(('Form responses 1'!$F$2:$F1000=$A87)*('Form responses 1'!$A$2:$A1000&lt;=EOMONTH(DATEVALUE("1 "&amp;AL$1),0)))+
  SUMPRODUCT(('Form responses 1'!$G$2:$G1000=$A87)*('Form responses 1'!$A$2:$A1000&lt;=EOMONTH(DATEVALUE("1 "&amp;AL$1),0)))
),2),"-")</f>
        <v>-</v>
      </c>
    </row>
    <row r="88">
      <c r="A88" s="3" t="str">
        <f>IFERROR(__xludf.DUMMYFUNCTION("""COMPUTED_VALUE"""),"Jack en Jones t-shirt")</f>
        <v>Jack en Jones t-shirt</v>
      </c>
      <c r="B88" s="2">
        <f>Data!F80:F1000</f>
        <v>0.53</v>
      </c>
      <c r="C88" s="2" t="str">
        <f>IFERROR(ROUND(Data!B80/(SUMPRODUCT(('Form responses 1'!$B$2:$B1000 = A88) * ('Form responses 1'!$A$2:$A1000 &lt;= DATE(2024, 1, 31)))
+ SUMPRODUCT(('Form responses 1'!$C$2:$C1000 = A88) * ('Form responses 1'!$A$2:$A1000 &lt;= DATE(2024, 1, 31)))
+ SUMPRODUCT(('Form responses 1'!$D$2:$D1000 = A88) * ('Form responses 1'!$A$2:$A1000 &lt;= DATE(2024, 1, 31)))
+ SUMPRODUCT(('Form responses 1'!$E$2:$E1000 = A88) * ('Form responses 1'!$A$2:$A1000 &lt;= DATE(2024, 1, 31)))
+ SUMPRODUCT(('Form responses 1'!$F$2:$F1000 = A88) * ('Form responses 1'!$A$2:$A1000 &lt;= DATE(2024, 1, 31)))
+ SUMPRODUCT(('Form responses 1'!$G$2:$G1000 = A88) * ('Form responses 1'!$A$2:$A1000 &lt;= DATE(2024, 1, 31)))), 2), "-")
</f>
        <v>-</v>
      </c>
      <c r="D88" s="2" t="str">
        <f>IFERROR(ROUND(Data!B80/(SUMPRODUCT(('Form responses 1'!$B$2:$B1000 = A88) * ('Form responses 1'!$A$2:$A1000 &lt;= DATE(2024, 2, 29)))
+ SUMPRODUCT(('Form responses 1'!$C$2:$C1000 = A88) * ('Form responses 1'!$A$2:$A1000 &lt;= DATE(2024, 2, 29)))
+ SUMPRODUCT(('Form responses 1'!$D$2:$D1000 = A88) * ('Form responses 1'!$A$2:$A1000 &lt;= DATE(2024, 2, 29)))
+ SUMPRODUCT(('Form responses 1'!$E$2:$E1000 = A88) * ('Form responses 1'!$A$2:$A1000 &lt;= DATE(2024, 2, 29)))
+ SUMPRODUCT(('Form responses 1'!$F$2:$F1000 = A88) * ('Form responses 1'!$A$2:$A1000 &lt;= DATE(2024, 2, 29)))
+ SUMPRODUCT(('Form responses 1'!$G$2:$G1000 = A88) * ('Form responses 1'!$A$2:$A1000 &lt;= DATE(2024, 2, 29)))), 2), "-")
</f>
        <v>-</v>
      </c>
      <c r="E88" s="2" t="str">
        <f>IFERROR(ROUND(Data!B80/(SUMPRODUCT(('Form responses 1'!$B$2:$B1000 = A88) * ('Form responses 1'!$A$2:$A1000 &lt;= DATE(2024, 3, 31)))
+ SUMPRODUCT(('Form responses 1'!$C$2:$C1000 = A88) * ('Form responses 1'!$A$2:$A1000 &lt;= DATE(2024, 3, 31)))
+ SUMPRODUCT(('Form responses 1'!$D$2:$D1000 = A88) * ('Form responses 1'!$A$2:$A1000 &lt;= DATE(2024, 3, 31)))
+ SUMPRODUCT(('Form responses 1'!$E$2:$E1000 = A88) * ('Form responses 1'!$A$2:$A1000 &lt;= DATE(2024, 3, 31)))
+ SUMPRODUCT(('Form responses 1'!$F$2:$F1000 = A88) * ('Form responses 1'!$A$2:$A1000 &lt;= DATE(2024, 3, 31)))
+ SUMPRODUCT(('Form responses 1'!$G$2:$G1000 = A88) * ('Form responses 1'!$A$2:$A1000 &lt;= DATE(2024, 3, 31)))), 2), "-")
</f>
        <v>-</v>
      </c>
      <c r="F88" s="2" t="str">
        <f>IFERROR(ROUND(Data!B80/(SUMPRODUCT(('Form responses 1'!$B$2:$B1000 = A88) * ('Form responses 1'!$A$2:$A1000 &lt;= DATE(2024, 4, 30)))
+ SUMPRODUCT(('Form responses 1'!$C$2:$C1000 = A88) * ('Form responses 1'!$A$2:$A1000 &lt;= DATE(2024, 4, 30)))
+ SUMPRODUCT(('Form responses 1'!$D$2:$D1000 = A88) * ('Form responses 1'!$A$2:$A1000 &lt;= DATE(2024, 4, 30)))
+ SUMPRODUCT(('Form responses 1'!$E$2:$E1000 = A88) * ('Form responses 1'!$A$2:$A1000 &lt;= DATE(2024, 4, 30)))
+ SUMPRODUCT(('Form responses 1'!$F$2:$F1000 = A88) * ('Form responses 1'!$A$2:$A1000 &lt;= DATE(2024, 4, 30)))
+ SUMPRODUCT(('Form responses 1'!$G$2:$G1000 = A88) * ('Form responses 1'!$A$2:$A1000 &lt;= DATE(2024, 4, 30)))), 2), "-")
</f>
        <v>-</v>
      </c>
      <c r="G88" s="2" t="str">
        <f>IFERROR(ROUND(Data!B80/(SUMPRODUCT(('Form responses 1'!$B$2:$B1000 = A88) * ('Form responses 1'!$A$2:$A1000 &lt;= DATE(2024, 5, 31)))
+ SUMPRODUCT(('Form responses 1'!$C$2:$C1000 = A88) * ('Form responses 1'!$A$2:$A1000 &lt;= DATE(2024, 5, 31)))
+ SUMPRODUCT(('Form responses 1'!$D$2:$D1000 = A88) * ('Form responses 1'!$A$2:$A1000 &lt;= DATE(2024, 5, 31)))
+ SUMPRODUCT(('Form responses 1'!$E$2:$E1000 = A88) * ('Form responses 1'!$A$2:$A1000 &lt;= DATE(2024, 5, 31)))
+ SUMPRODUCT(('Form responses 1'!$F$2:$F1000 = A88) * ('Form responses 1'!$A$2:$A1000 &lt;= DATE(2024, 5, 31)))
+ SUMPRODUCT(('Form responses 1'!$G$2:$G1000 = A88) * ('Form responses 1'!$A$2:$A1000 &lt;= DATE(2024, 5, 31)))), 2), "-")
</f>
        <v>-</v>
      </c>
      <c r="H88" s="2" t="str">
        <f>IFERROR(ROUND(Data!B80/(SUMPRODUCT(('Form responses 1'!$B$2:$B1000 = A88) * ('Form responses 1'!$A$2:$A1000 &lt;= DATE(2024, 6, 30)))
+ SUMPRODUCT(('Form responses 1'!$C$2:$C1000 = A88) * ('Form responses 1'!$A$2:$A1000 &lt;= DATE(2024, 6, 30)))
+ SUMPRODUCT(('Form responses 1'!$D$2:$D1000 = A88) * ('Form responses 1'!$A$2:$A1000 &lt;= DATE(2024, 6, 30)))
+ SUMPRODUCT(('Form responses 1'!$E$2:$E1000 = A88) * ('Form responses 1'!$A$2:$A1000 &lt;= DATE(2024, 6, 30)))
+ SUMPRODUCT(('Form responses 1'!$F$2:$F1000 = A88) * ('Form responses 1'!$A$2:$A1000 &lt;= DATE(2024, 6, 30)))
+ SUMPRODUCT(('Form responses 1'!$G$2:$G1000 = A88) * ('Form responses 1'!$A$2:$A1000 &lt;= DATE(2024, 6, 30)))), 2), "-")
</f>
        <v>-</v>
      </c>
      <c r="I88" s="2" t="str">
        <f>IFERROR(ROUND(Data!B80/(SUMPRODUCT(('Form responses 1'!$B$2:$B1000 = A88) * ('Form responses 1'!$A$2:$A1000 &lt;= DATE(2024, 7, 31)))
+ SUMPRODUCT(('Form responses 1'!$C$2:$C1000 = A88) * ('Form responses 1'!$A$2:$A1000 &lt;= DATE(2024, 7, 31)))
+ SUMPRODUCT(('Form responses 1'!$D$2:$D1000 = A88) * ('Form responses 1'!$A$2:$A1000 &lt;= DATE(2024, 7, 31)))
+ SUMPRODUCT(('Form responses 1'!$E$2:$E1000 = A88) * ('Form responses 1'!$A$2:$A1000 &lt;= DATE(2024, 7, 31)))
+ SUMPRODUCT(('Form responses 1'!$F$2:$F1000 = A88) * ('Form responses 1'!$A$2:$A1000 &lt;= DATE(2024, 7, 31)))
+ SUMPRODUCT(('Form responses 1'!$G$2:$G1000 = A88) * ('Form responses 1'!$A$2:$A1000 &lt;= DATE(2024, 7, 31)))), 2), "-")
</f>
        <v>-</v>
      </c>
      <c r="J88" s="2" t="str">
        <f>IFERROR(ROUND(Data!B80/(SUMPRODUCT(('Form responses 1'!$B$2:$B1000 = A88) * ('Form responses 1'!$A$2:$A1000 &lt;= DATE(2024, 8, 31)))
+ SUMPRODUCT(('Form responses 1'!$C$2:$C1000 = A88) * ('Form responses 1'!$A$2:$A1000 &lt;= DATE(2024, 8, 31)))
+ SUMPRODUCT(('Form responses 1'!$D$2:$D1000 = A88) * ('Form responses 1'!$A$2:$A1000 &lt;= DATE(2024, 8, 31)))
+ SUMPRODUCT(('Form responses 1'!$E$2:$E1000 = A88) * ('Form responses 1'!$A$2:$A1000 &lt;= DATE(2024, 8, 31)))
+ SUMPRODUCT(('Form responses 1'!$F$2:$F1000 = A88) * ('Form responses 1'!$A$2:$A1000 &lt;= DATE(2024, 8, 31)))
+ SUMPRODUCT(('Form responses 1'!$G$2:$G1000 = A88) * ('Form responses 1'!$A$2:$A1000 &lt;= DATE(2024, 8, 31)))), 2), "-")
</f>
        <v>-</v>
      </c>
      <c r="K88" s="2" t="str">
        <f>IFERROR(ROUND(Data!B80/(SUMPRODUCT(('Form responses 1'!$B$2:$B1000 = A88) * ('Form responses 1'!$A$2:$A1000 &lt;= DATE(2024, 9, 30)))
+ SUMPRODUCT(('Form responses 1'!$C$2:$C1000 = A88) * ('Form responses 1'!$A$2:$A1000 &lt;= DATE(2024, 9, 30)))
+ SUMPRODUCT(('Form responses 1'!$D$2:$D1000 = A88) * ('Form responses 1'!$A$2:$A1000 &lt;= DATE(2024, 9, 30)))
+ SUMPRODUCT(('Form responses 1'!$E$2:$E1000 = A88) * ('Form responses 1'!$A$2:$A1000 &lt;= DATE(2024, 9, 30)))
+ SUMPRODUCT(('Form responses 1'!$F$2:$F1000 = A88) * ('Form responses 1'!$A$2:$A1000 &lt;= DATE(2024, 9, 30)))
+ SUMPRODUCT(('Form responses 1'!$G$2:$G1000 = A88) * ('Form responses 1'!$A$2:$A1000 &lt;= DATE(2024, 9, 30)))), 2), "-")
</f>
        <v>-</v>
      </c>
      <c r="L88" s="2" t="str">
        <f>IFERROR(ROUND(Data!B80/(SUMPRODUCT(('Form responses 1'!$B$2:$B1000 = A88) * ('Form responses 1'!$A$2:$A1000 &lt;= DATE(2024, 10, 31)))
+ SUMPRODUCT(('Form responses 1'!$C$2:$C1000 = A88) * ('Form responses 1'!$A$2:$A1000 &lt;= DATE(2024, 10, 31)))
+ SUMPRODUCT(('Form responses 1'!$D$2:$D1000 = A88) * ('Form responses 1'!$A$2:$A1000 &lt;= DATE(2024, 10, 31)))
+ SUMPRODUCT(('Form responses 1'!$E$2:$E1000 = A88) * ('Form responses 1'!$A$2:$A1000 &lt;= DATE(2024, 10, 31)))
+ SUMPRODUCT(('Form responses 1'!$F$2:$F1000 = A88) * ('Form responses 1'!$A$2:$A1000 &lt;= DATE(2024, 10, 31)))
+ SUMPRODUCT(('Form responses 1'!$G$2:$G1000 = A88) * ('Form responses 1'!$A$2:$A1000 &lt;= DATE(2024, 10, 31)))), 2), "-")
</f>
        <v>-</v>
      </c>
      <c r="M88" s="2" t="str">
        <f>IFERROR(ROUND(Data!B80/(SUMPRODUCT(('Form responses 1'!$B$2:$B1000 = A88) * ('Form responses 1'!$A$2:$A1000 &lt;= DATE(2024, 11, 30)))
+ SUMPRODUCT(('Form responses 1'!$C$2:$C1000 = A88) * ('Form responses 1'!$A$2:$A1000 &lt;= DATE(2024, 11, 30)))
+ SUMPRODUCT(('Form responses 1'!$D$2:$D1000 = A88) * ('Form responses 1'!$A$2:$A1000 &lt;= DATE(2024, 11, 30)))
+ SUMPRODUCT(('Form responses 1'!$E$2:$E1000 = A88) * ('Form responses 1'!$A$2:$A1000 &lt;= DATE(2024, 11, 30)))
+ SUMPRODUCT(('Form responses 1'!$F$2:$F1000 = A88) * ('Form responses 1'!$A$2:$A1000 &lt;= DATE(2024, 11, 30)))
+ SUMPRODUCT(('Form responses 1'!$G$2:$G1000 = A88) * ('Form responses 1'!$A$2:$A1000 &lt;= DATE(2024, 11, 30)))), 2), "-")
</f>
        <v>-</v>
      </c>
      <c r="N88" s="2" t="str">
        <f>IFERROR(ROUND(Data!B80/(SUMPRODUCT(('Form responses 1'!$B$2:$B1000 = A88) * ('Form responses 1'!$A$2:$A1000 &lt;= DATE(2024, 12, 31)))
+ SUMPRODUCT(('Form responses 1'!$C$2:$C1000 = A88) * ('Form responses 1'!$A$2:$A1000 &lt;= DATE(2024, 12, 31)))
+ SUMPRODUCT(('Form responses 1'!$D$2:$D1000 = A88) * ('Form responses 1'!$A$2:$A1000 &lt;= DATE(2024, 12, 31)))
+ SUMPRODUCT(('Form responses 1'!$E$2:$E1000 = A88) * ('Form responses 1'!$A$2:$A1000 &lt;= DATE(2024, 12, 31)))
+ SUMPRODUCT(('Form responses 1'!$F$2:$F1000 = A88) * ('Form responses 1'!$A$2:$A1000 &lt;= DATE(2024, 12, 31)))
+ SUMPRODUCT(('Form responses 1'!$G$2:$G1000 = A88) * ('Form responses 1'!$A$2:$A1000 &lt;= DATE(2024, 12, 31)))), 2), "-")
</f>
        <v>-</v>
      </c>
      <c r="O88" s="2" t="str">
        <f>IFERROR(ROUND(Data!B80/(SUMPRODUCT(('Form responses 1'!$B$2:$B1000 = A88) * ('Form responses 1'!$A$2:$A1000 &lt;= DATE(2025, 1, 31)))
+ SUMPRODUCT(('Form responses 1'!$C$2:$C1000 = A88) * ('Form responses 1'!$A$2:$A1000 &lt;= DATE(2025, 1, 31)))
+ SUMPRODUCT(('Form responses 1'!$D$2:$D1000 = A88) * ('Form responses 1'!$A$2:$A1000 &lt;= DATE(2025, 1, 31)))
+ SUMPRODUCT(('Form responses 1'!$E$2:$E1000 = A88) * ('Form responses 1'!$A$2:$A1000 &lt;= DATE(2025, 1, 31)))
+ SUMPRODUCT(('Form responses 1'!$F$2:$F1000 = A88) * ('Form responses 1'!$A$2:$A1000 &lt;= DATE(2025, 1, 31)))
+ SUMPRODUCT(('Form responses 1'!$G$2:$G1000 = A88) * ('Form responses 1'!$A$2:$A1000 &lt;= DATE(2025, 1, 31)))), 2), "-")
</f>
        <v>-</v>
      </c>
      <c r="P88" s="2" t="str">
        <f>IFERROR(ROUND(Data!B80/(SUMPRODUCT(('Form responses 1'!$B$2:$B1000 = A88) * ('Form responses 1'!$A$2:$A1000 &lt;= DATE(2025, 2, 28)))
+ SUMPRODUCT(('Form responses 1'!$C$2:$C1000 = A88) * ('Form responses 1'!$A$2:$A1000 &lt;= DATE(2025, 2, 28)))
+ SUMPRODUCT(('Form responses 1'!$D$2:$D1000 = A88) * ('Form responses 1'!$A$2:$A1000 &lt;= DATE(2025, 2, 28)))
+ SUMPRODUCT(('Form responses 1'!$E$2:$E1000 = A88) * ('Form responses 1'!$A$2:$A1000 &lt;= DATE(2025, 2, 28)))
+ SUMPRODUCT(('Form responses 1'!$F$2:$F1000 = A88) * ('Form responses 1'!$A$2:$A1000 &lt;= DATE(2025, 2, 28)))
+ SUMPRODUCT(('Form responses 1'!$G$2:$G1000 = A88) * ('Form responses 1'!$A$2:$A1000 &lt;= DATE(2025, 2, 28)))), 2), "-")
</f>
        <v>-</v>
      </c>
      <c r="Q88" s="2" t="str">
        <f>IFERROR(ROUND(Data!B80/(SUMPRODUCT(('Form responses 1'!$B$2:$B1000 = A88) * ('Form responses 1'!$A$2:$A1000 &lt;= DATE(2025, 3, 31)))
+ SUMPRODUCT(('Form responses 1'!$C$2:$C1000 = A88) * ('Form responses 1'!$A$2:$A1000 &lt;= DATE(2025, 3, 31)))
+ SUMPRODUCT(('Form responses 1'!$D$2:$D1000 = A88) * ('Form responses 1'!$A$2:$A1000 &lt;= DATE(2025, 3, 31)))
+ SUMPRODUCT(('Form responses 1'!$E$2:$E1000 = A88) * ('Form responses 1'!$A$2:$A1000 &lt;= DATE(2025, 3, 31)))
+ SUMPRODUCT(('Form responses 1'!$F$2:$F1000 = A88) * ('Form responses 1'!$A$2:$A1000 &lt;= DATE(2025, 3, 31)))
+ SUMPRODUCT(('Form responses 1'!$G$2:$G1000 = A88) * ('Form responses 1'!$A$2:$A1000 &lt;= DATE(2025, 3, 31)))),2),"-")</f>
        <v>-</v>
      </c>
      <c r="R88" s="2" t="str">
        <f>IFERROR(ROUND(Data!B80/(SUMPRODUCT(('Form responses 1'!$B$2:$B1000 = A88) * ('Form responses 1'!$A$2:$A1000 &lt;= DATE(2025, 4, 30)))
+ SUMPRODUCT(('Form responses 1'!$C$2:$C1000 = A88) * ('Form responses 1'!$A$2:$A1000 &lt;= DATE(2025, 4, 30)))
+ SUMPRODUCT(('Form responses 1'!$D$2:$D1000 = A88) * ('Form responses 1'!$A$2:$A1000 &lt;= DATE(2025, 4, 30)))
+ SUMPRODUCT(('Form responses 1'!$E$2:$E1000 = A88) * ('Form responses 1'!$A$2:$A1000 &lt;= DATE(2025, 4, 30)))
+ SUMPRODUCT(('Form responses 1'!$F$2:$F1000 = A88) * ('Form responses 1'!$A$2:$A1000 &lt;= DATE(2025, 4, 30)))
+ SUMPRODUCT(('Form responses 1'!$G$2:$G1000 = A88) * ('Form responses 1'!$A$2:$A1000 &lt;= DATE(2025, 4, 30)))), 2), "-")
</f>
        <v>-</v>
      </c>
      <c r="S88" s="2" t="str">
        <f>IFERROR(ROUND(Data!B80/(SUMPRODUCT(('Form responses 1'!$B$2:$B1000 = A88) * ('Form responses 1'!$A$2:$A1000 &lt;= DATE(2025, 5, 31)))
+ SUMPRODUCT(('Form responses 1'!$C$2:$C1000 = A88) * ('Form responses 1'!$A$2:$A1000 &lt;= DATE(2025, 5, 31)))
+ SUMPRODUCT(('Form responses 1'!$D$2:$D1000 = A88) * ('Form responses 1'!$A$2:$A1000 &lt;= DATE(2025, 5, 31)))
+ SUMPRODUCT(('Form responses 1'!$E$2:$E1000 = A88) * ('Form responses 1'!$A$2:$A1000 &lt;= DATE(2025, 5, 31)))
+ SUMPRODUCT(('Form responses 1'!$F$2:$F1000 = A88) * ('Form responses 1'!$A$2:$A1000 &lt;= DATE(2025, 5, 31)))
+ SUMPRODUCT(('Form responses 1'!$G$2:$G1000 = A88) * ('Form responses 1'!$A$2:$A1000 &lt;= DATE(2025, 5, 31)))), 2), "-")
</f>
        <v>-</v>
      </c>
      <c r="T88" s="2" t="str">
        <f>IFERROR(ROUND(Data!B80/(SUMPRODUCT(('Form responses 1'!$B$2:$B1000 = A88) * ('Form responses 1'!$A$2:$A1000 &lt;= DATE(2025, 6, 30)))
+ SUMPRODUCT(('Form responses 1'!$C$2:$C1000 = A88) * ('Form responses 1'!$A$2:$A1000 &lt;= DATE(2025, 6, 30)))
+ SUMPRODUCT(('Form responses 1'!$D$2:$D1000 = A88) * ('Form responses 1'!$A$2:$A1000 &lt;= DATE(2025, 6, 30)))
+ SUMPRODUCT(('Form responses 1'!$E$2:$E1000 = A88) * ('Form responses 1'!$A$2:$A1000 &lt;= DATE(2025, 6, 30)))
+ SUMPRODUCT(('Form responses 1'!$F$2:$F1000 = A88) * ('Form responses 1'!$A$2:$A1000 &lt;= DATE(2025, 6, 30)))
+ SUMPRODUCT(('Form responses 1'!$G$2:$G1000 = A88) * ('Form responses 1'!$A$2:$A1000 &lt;= DATE(2025, 6, 30)))), 2), "-")
</f>
        <v>-</v>
      </c>
      <c r="U88" s="2">
        <f>IFERROR(ROUND(Data!B80/(SUMPRODUCT(('Form responses 1'!$B$2:$B1000 = A88) * ('Form responses 1'!$A$2:$A1000 &lt;= DATE(2025, 7, 31)))
+ SUMPRODUCT(('Form responses 1'!$C$2:$C1000 = A88) * ('Form responses 1'!$A$2:$A1000 &lt;= DATE(2025, 7, 31)))
+ SUMPRODUCT(('Form responses 1'!$D$2:$D1000 = A88) * ('Form responses 1'!$A$2:$A1000 &lt;= DATE(2025, 7, 31)))
+ SUMPRODUCT(('Form responses 1'!$E$2:$E1000 = A88) * ('Form responses 1'!$A$2:$A1000 &lt;= DATE(2025, 7, 31)))
+ SUMPRODUCT(('Form responses 1'!$F$2:$F1000 = A88) * ('Form responses 1'!$A$2:$A1000 &lt;= DATE(2025, 7, 31)))
+ SUMPRODUCT(('Form responses 1'!$G$2:$G1000 = A88) * ('Form responses 1'!$A$2:$A1000 &lt;= DATE(2025, 7, 31)))), 2), "-")
</f>
        <v>8</v>
      </c>
      <c r="V88" s="2">
        <f>IFERROR(ROUND(Data!B80/(SUMPRODUCT(('Form responses 1'!$B$2:$B1000 = A88) * ('Form responses 1'!$A$2:$A1000 &lt;= DATE(2025, 8, 31)))
+ SUMPRODUCT(('Form responses 1'!$C$2:$C1000 = A88) * ('Form responses 1'!$A$2:$A1000 &lt;= DATE(2025, 8, 31)))
+ SUMPRODUCT(('Form responses 1'!$D$2:$D1000 = A88) * ('Form responses 1'!$A$2:$A1000 &lt;= DATE(2025, 8, 31)))
+ SUMPRODUCT(('Form responses 1'!$E$2:$E1000 = A88) * ('Form responses 1'!$A$2:$A1000 &lt;= DATE(2025, 8, 31)))
+ SUMPRODUCT(('Form responses 1'!$F$2:$F1000 = A88) * ('Form responses 1'!$A$2:$A1000 &lt;= DATE(2025, 8, 31)))
+ SUMPRODUCT(('Form responses 1'!$G$2:$G1000 = A88) * ('Form responses 1'!$A$2:$A1000 &lt;= DATE(2025, 8, 31)))), 2), "-")
</f>
        <v>5.71</v>
      </c>
      <c r="W88" s="2">
        <f>IFERROR(ROUND(Data!B80/(SUMPRODUCT(('Form responses 1'!$B$2:$B1000 = A88) * ('Form responses 1'!$A$2:$A1000 &lt;= DATE(2025, 9, 30)))
+ SUMPRODUCT(('Form responses 1'!$C$2:$C1000 = A88) * ('Form responses 1'!$A$2:$A1000 &lt;= DATE(2025, 9, 30)))
+ SUMPRODUCT(('Form responses 1'!$D$2:$D1000 = A88) * ('Form responses 1'!$A$2:$A1000 &lt;= DATE(2025, 9, 30)))
+ SUMPRODUCT(('Form responses 1'!$E$2:$E1000 = A88) * ('Form responses 1'!$A$2:$A1000 &lt;= DATE(2025, 9, 30)))
+ SUMPRODUCT(('Form responses 1'!$F$2:$F1000 = A88) * ('Form responses 1'!$A$2:$A1000 &lt;= DATE(2025, 9, 30)))
+ SUMPRODUCT(('Form responses 1'!$G$2:$G1000 = A88) * ('Form responses 1'!$A$2:$A1000 &lt;= DATE(2025, 9, 30)))), 2), "-")
</f>
        <v>5.71</v>
      </c>
      <c r="X88" s="2">
        <f>IFERROR(ROUND(Data!B80/(SUMPRODUCT(('Form responses 1'!$B$2:$B1000 = A88) * ('Form responses 1'!$A$2:$A1000 &lt;= DATE(2025, 10, 31)))
+ SUMPRODUCT(('Form responses 1'!$C$2:$C1000 = A88) * ('Form responses 1'!$A$2:$A1000 &lt;= DATE(2025, 10, 31)))
+ SUMPRODUCT(('Form responses 1'!$D$2:$D1000 = A88) * ('Form responses 1'!$A$2:$A1000 &lt;= DATE(2025, 10, 31)))
+ SUMPRODUCT(('Form responses 1'!$E$2:$E1000 = A88) * ('Form responses 1'!$A$2:$A1000 &lt;= DATE(2025, 10, 31)))
+ SUMPRODUCT(('Form responses 1'!$F$2:$F1000 = A88) * ('Form responses 1'!$A$2:$A1000 &lt;= DATE(2025, 10, 31)))
+ SUMPRODUCT(('Form responses 1'!$G$2:$G1000 = A88) * ('Form responses 1'!$A$2:$A1000 &lt;= DATE(2025, 10, 31)))), 2), "-")
</f>
        <v>5.71</v>
      </c>
      <c r="Y88" s="2">
        <f>IFERROR(ROUND(Data!B80/(SUMPRODUCT(('Form responses 1'!$B$2:$B1000 = A88) * ('Form responses 1'!$A$2:$A1000 &lt;= DATE(2025, 11, 30)))
+ SUMPRODUCT(('Form responses 1'!$C$2:$C1000 = A88) * ('Form responses 1'!$A$2:$A1000 &lt;= DATE(2025, 11, 30)))
+ SUMPRODUCT(('Form responses 1'!$D$2:$D1000 = A88) * ('Form responses 1'!$A$2:$A1000 &lt;= DATE(2025, 11, 30)))
+ SUMPRODUCT(('Form responses 1'!$E$2:$E1000 = A88) * ('Form responses 1'!$A$2:$A1000 &lt;= DATE(2025, 11, 30)))
+ SUMPRODUCT(('Form responses 1'!$F$2:$F1000 = A88) * ('Form responses 1'!$A$2:$A1000 &lt;= DATE(2025, 11, 30)))
+ SUMPRODUCT(('Form responses 1'!$G$2:$G1000 = A88) * ('Form responses 1'!$A$2:$A1000 &lt;= DATE(2025, 11, 30)))), 2), "-")
</f>
        <v>5.71</v>
      </c>
      <c r="Z88" s="2">
        <f>IFERROR(ROUND(Data!B80/(SUMPRODUCT(('Form responses 1'!$B$2:$B1000 = A88) * ('Form responses 1'!$A$2:$A1000 &lt;= DATE(2025, 12, 31)))
+ SUMPRODUCT(('Form responses 1'!$C$2:$C1000 = A88) * ('Form responses 1'!$A$2:$A1000 &lt;= DATE(2025, 12, 31)))
+ SUMPRODUCT(('Form responses 1'!$D$2:$D1000 = A88) * ('Form responses 1'!$A$2:$A1000 &lt;= DATE(2025, 12, 31)))
+ SUMPRODUCT(('Form responses 1'!$E$2:$E1000 = A88) * ('Form responses 1'!$A$2:$A1000 &lt;= DATE(2025, 12, 31)))
+ SUMPRODUCT(('Form responses 1'!$F$2:$F1000 = A88) * ('Form responses 1'!$A$2:$A1000 &lt;= DATE(2025, 12, 31)))
+ SUMPRODUCT(('Form responses 1'!$G$2:$G1000 = A88) * ('Form responses 1'!$A$2:$A1000 &lt;= DATE(2025, 12, 31)))), 2), "-")
</f>
        <v>5.71</v>
      </c>
      <c r="AA88" s="2">
        <f>IFERROR(ROUND(Data!$B88/(
  SUMPRODUCT(('Form responses 1'!$B$2:$B1000=$A88)*('Form responses 1'!$A$2:$A1000&lt;=EOMONTH(DATEVALUE("1 "&amp;AA$1),0)))+
  SUMPRODUCT(('Form responses 1'!$C$2:$C1000=$A88)*('Form responses 1'!$A$2:$A1000&lt;=EOMONTH(DATEVALUE("1 "&amp;AA$1),0)))+
  SUMPRODUCT(('Form responses 1'!$D$2:$D1000=$A88)*('Form responses 1'!$A$2:$A1000&lt;=EOMONTH(DATEVALUE("1 "&amp;AA$1),0)))+
  SUMPRODUCT(('Form responses 1'!$E$2:$E1000=$A88)*('Form responses 1'!$A$2:$A1000&lt;=EOMONTH(DATEVALUE("1 "&amp;AA$1),0)))+
  SUMPRODUCT(('Form responses 1'!$F$2:$F1000=$A88)*('Form responses 1'!$A$2:$A1000&lt;=EOMONTH(DATEVALUE("1 "&amp;AA$1),0)))+
  SUMPRODUCT(('Form responses 1'!$G$2:$G1000=$A88)*('Form responses 1'!$A$2:$A1000&lt;=EOMONTH(DATEVALUE("1 "&amp;AA$1),0)))
),2),"-")</f>
        <v>1.14</v>
      </c>
      <c r="AB88" s="2">
        <f>IFERROR(ROUND(Data!$B88/(
  SUMPRODUCT(('Form responses 1'!$B$2:$B1000=$A88)*('Form responses 1'!$A$2:$A1000&lt;=EOMONTH(DATEVALUE("1 "&amp;AB$1),0)))+
  SUMPRODUCT(('Form responses 1'!$C$2:$C1000=$A88)*('Form responses 1'!$A$2:$A1000&lt;=EOMONTH(DATEVALUE("1 "&amp;AB$1),0)))+
  SUMPRODUCT(('Form responses 1'!$D$2:$D1000=$A88)*('Form responses 1'!$A$2:$A1000&lt;=EOMONTH(DATEVALUE("1 "&amp;AB$1),0)))+
  SUMPRODUCT(('Form responses 1'!$E$2:$E1000=$A88)*('Form responses 1'!$A$2:$A1000&lt;=EOMONTH(DATEVALUE("1 "&amp;AB$1),0)))+
  SUMPRODUCT(('Form responses 1'!$F$2:$F1000=$A88)*('Form responses 1'!$A$2:$A1000&lt;=EOMONTH(DATEVALUE("1 "&amp;AB$1),0)))+
  SUMPRODUCT(('Form responses 1'!$G$2:$G1000=$A88)*('Form responses 1'!$A$2:$A1000&lt;=EOMONTH(DATEVALUE("1 "&amp;AB$1),0)))
),2),"-")</f>
        <v>1.14</v>
      </c>
      <c r="AC88" s="2">
        <f>IFERROR(ROUND(Data!$B88/(
  SUMPRODUCT(('Form responses 1'!$B$2:$B1000=$A88)*('Form responses 1'!$A$2:$A1000&lt;=EOMONTH(DATEVALUE("1 "&amp;AC$1),0)))+
  SUMPRODUCT(('Form responses 1'!$C$2:$C1000=$A88)*('Form responses 1'!$A$2:$A1000&lt;=EOMONTH(DATEVALUE("1 "&amp;AC$1),0)))+
  SUMPRODUCT(('Form responses 1'!$D$2:$D1000=$A88)*('Form responses 1'!$A$2:$A1000&lt;=EOMONTH(DATEVALUE("1 "&amp;AC$1),0)))+
  SUMPRODUCT(('Form responses 1'!$E$2:$E1000=$A88)*('Form responses 1'!$A$2:$A1000&lt;=EOMONTH(DATEVALUE("1 "&amp;AC$1),0)))+
  SUMPRODUCT(('Form responses 1'!$F$2:$F1000=$A88)*('Form responses 1'!$A$2:$A1000&lt;=EOMONTH(DATEVALUE("1 "&amp;AC$1),0)))+
  SUMPRODUCT(('Form responses 1'!$G$2:$G1000=$A88)*('Form responses 1'!$A$2:$A1000&lt;=EOMONTH(DATEVALUE("1 "&amp;AC$1),0)))
),2),"-")</f>
        <v>1.14</v>
      </c>
      <c r="AD88" s="2" t="str">
        <f>IFERROR(ROUND(Data!$B88/(
  SUMPRODUCT(('Form responses 1'!$B$2:$B1000=$A88)*('Form responses 1'!$A$2:$A1000&lt;=EOMONTH(DATEVALUE("1 "&amp;AD$1),0)))+
  SUMPRODUCT(('Form responses 1'!$C$2:$C1000=$A88)*('Form responses 1'!$A$2:$A1000&lt;=EOMONTH(DATEVALUE("1 "&amp;AD$1),0)))+
  SUMPRODUCT(('Form responses 1'!$D$2:$D1000=$A88)*('Form responses 1'!$A$2:$A1000&lt;=EOMONTH(DATEVALUE("1 "&amp;AD$1),0)))+
  SUMPRODUCT(('Form responses 1'!$E$2:$E1000=$A88)*('Form responses 1'!$A$2:$A1000&lt;=EOMONTH(DATEVALUE("1 "&amp;AD$1),0)))+
  SUMPRODUCT(('Form responses 1'!$F$2:$F1000=$A88)*('Form responses 1'!$A$2:$A1000&lt;=EOMONTH(DATEVALUE("1 "&amp;AD$1),0)))+
  SUMPRODUCT(('Form responses 1'!$G$2:$G1000=$A88)*('Form responses 1'!$A$2:$A1000&lt;=EOMONTH(DATEVALUE("1 "&amp;AD$1),0)))
),2),"-")</f>
        <v>-</v>
      </c>
      <c r="AE88" s="2" t="str">
        <f>IFERROR(ROUND(Data!$B88/(
  SUMPRODUCT(('Form responses 1'!$B$2:$B1000=$A88)*('Form responses 1'!$A$2:$A1000&lt;=EOMONTH(DATEVALUE("1 "&amp;AE$1),0)))+
  SUMPRODUCT(('Form responses 1'!$C$2:$C1000=$A88)*('Form responses 1'!$A$2:$A1000&lt;=EOMONTH(DATEVALUE("1 "&amp;AE$1),0)))+
  SUMPRODUCT(('Form responses 1'!$D$2:$D1000=$A88)*('Form responses 1'!$A$2:$A1000&lt;=EOMONTH(DATEVALUE("1 "&amp;AE$1),0)))+
  SUMPRODUCT(('Form responses 1'!$E$2:$E1000=$A88)*('Form responses 1'!$A$2:$A1000&lt;=EOMONTH(DATEVALUE("1 "&amp;AE$1),0)))+
  SUMPRODUCT(('Form responses 1'!$F$2:$F1000=$A88)*('Form responses 1'!$A$2:$A1000&lt;=EOMONTH(DATEVALUE("1 "&amp;AE$1),0)))+
  SUMPRODUCT(('Form responses 1'!$G$2:$G1000=$A88)*('Form responses 1'!$A$2:$A1000&lt;=EOMONTH(DATEVALUE("1 "&amp;AE$1),0)))
),2),"-")</f>
        <v>-</v>
      </c>
      <c r="AF88" s="2" t="str">
        <f>IFERROR(ROUND(Data!$B88/(
  SUMPRODUCT(('Form responses 1'!$B$2:$B1000=$A88)*('Form responses 1'!$A$2:$A1000&lt;=EOMONTH(DATEVALUE("1 "&amp;AF$1),0)))+
  SUMPRODUCT(('Form responses 1'!$C$2:$C1000=$A88)*('Form responses 1'!$A$2:$A1000&lt;=EOMONTH(DATEVALUE("1 "&amp;AF$1),0)))+
  SUMPRODUCT(('Form responses 1'!$D$2:$D1000=$A88)*('Form responses 1'!$A$2:$A1000&lt;=EOMONTH(DATEVALUE("1 "&amp;AF$1),0)))+
  SUMPRODUCT(('Form responses 1'!$E$2:$E1000=$A88)*('Form responses 1'!$A$2:$A1000&lt;=EOMONTH(DATEVALUE("1 "&amp;AF$1),0)))+
  SUMPRODUCT(('Form responses 1'!$F$2:$F1000=$A88)*('Form responses 1'!$A$2:$A1000&lt;=EOMONTH(DATEVALUE("1 "&amp;AF$1),0)))+
  SUMPRODUCT(('Form responses 1'!$G$2:$G1000=$A88)*('Form responses 1'!$A$2:$A1000&lt;=EOMONTH(DATEVALUE("1 "&amp;AF$1),0)))
),2),"-")</f>
        <v>-</v>
      </c>
      <c r="AG88" s="2" t="str">
        <f>IFERROR(ROUND(Data!$B88/(
  SUMPRODUCT(('Form responses 1'!$B$2:$B1000=$A88)*('Form responses 1'!$A$2:$A1000&lt;=EOMONTH(DATEVALUE("1 "&amp;AG$1),0)))+
  SUMPRODUCT(('Form responses 1'!$C$2:$C1000=$A88)*('Form responses 1'!$A$2:$A1000&lt;=EOMONTH(DATEVALUE("1 "&amp;AG$1),0)))+
  SUMPRODUCT(('Form responses 1'!$D$2:$D1000=$A88)*('Form responses 1'!$A$2:$A1000&lt;=EOMONTH(DATEVALUE("1 "&amp;AG$1),0)))+
  SUMPRODUCT(('Form responses 1'!$E$2:$E1000=$A88)*('Form responses 1'!$A$2:$A1000&lt;=EOMONTH(DATEVALUE("1 "&amp;AG$1),0)))+
  SUMPRODUCT(('Form responses 1'!$F$2:$F1000=$A88)*('Form responses 1'!$A$2:$A1000&lt;=EOMONTH(DATEVALUE("1 "&amp;AG$1),0)))+
  SUMPRODUCT(('Form responses 1'!$G$2:$G1000=$A88)*('Form responses 1'!$A$2:$A1000&lt;=EOMONTH(DATEVALUE("1 "&amp;AG$1),0)))
),2),"-")</f>
        <v>-</v>
      </c>
      <c r="AH88" s="2" t="str">
        <f>IFERROR(ROUND(Data!$B88/(
  SUMPRODUCT(('Form responses 1'!$B$2:$B1000=$A88)*('Form responses 1'!$A$2:$A1000&lt;=EOMONTH(DATEVALUE("1 "&amp;AH$1),0)))+
  SUMPRODUCT(('Form responses 1'!$C$2:$C1000=$A88)*('Form responses 1'!$A$2:$A1000&lt;=EOMONTH(DATEVALUE("1 "&amp;AH$1),0)))+
  SUMPRODUCT(('Form responses 1'!$D$2:$D1000=$A88)*('Form responses 1'!$A$2:$A1000&lt;=EOMONTH(DATEVALUE("1 "&amp;AH$1),0)))+
  SUMPRODUCT(('Form responses 1'!$E$2:$E1000=$A88)*('Form responses 1'!$A$2:$A1000&lt;=EOMONTH(DATEVALUE("1 "&amp;AH$1),0)))+
  SUMPRODUCT(('Form responses 1'!$F$2:$F1000=$A88)*('Form responses 1'!$A$2:$A1000&lt;=EOMONTH(DATEVALUE("1 "&amp;AH$1),0)))+
  SUMPRODUCT(('Form responses 1'!$G$2:$G1000=$A88)*('Form responses 1'!$A$2:$A1000&lt;=EOMONTH(DATEVALUE("1 "&amp;AH$1),0)))
),2),"-")</f>
        <v>-</v>
      </c>
      <c r="AI88" s="2" t="str">
        <f>IFERROR(ROUND(Data!$B88/(
  SUMPRODUCT(('Form responses 1'!$B$2:$B1000=$A88)*('Form responses 1'!$A$2:$A1000&lt;=EOMONTH(DATEVALUE("1 "&amp;AI$1),0)))+
  SUMPRODUCT(('Form responses 1'!$C$2:$C1000=$A88)*('Form responses 1'!$A$2:$A1000&lt;=EOMONTH(DATEVALUE("1 "&amp;AI$1),0)))+
  SUMPRODUCT(('Form responses 1'!$D$2:$D1000=$A88)*('Form responses 1'!$A$2:$A1000&lt;=EOMONTH(DATEVALUE("1 "&amp;AI$1),0)))+
  SUMPRODUCT(('Form responses 1'!$E$2:$E1000=$A88)*('Form responses 1'!$A$2:$A1000&lt;=EOMONTH(DATEVALUE("1 "&amp;AI$1),0)))+
  SUMPRODUCT(('Form responses 1'!$F$2:$F1000=$A88)*('Form responses 1'!$A$2:$A1000&lt;=EOMONTH(DATEVALUE("1 "&amp;AI$1),0)))+
  SUMPRODUCT(('Form responses 1'!$G$2:$G1000=$A88)*('Form responses 1'!$A$2:$A1000&lt;=EOMONTH(DATEVALUE("1 "&amp;AI$1),0)))
),2),"-")</f>
        <v>-</v>
      </c>
      <c r="AJ88" s="2" t="str">
        <f>IFERROR(ROUND(Data!$B88/(
  SUMPRODUCT(('Form responses 1'!$B$2:$B1000=$A88)*('Form responses 1'!$A$2:$A1000&lt;=EOMONTH(DATEVALUE("1 "&amp;AJ$1),0)))+
  SUMPRODUCT(('Form responses 1'!$C$2:$C1000=$A88)*('Form responses 1'!$A$2:$A1000&lt;=EOMONTH(DATEVALUE("1 "&amp;AJ$1),0)))+
  SUMPRODUCT(('Form responses 1'!$D$2:$D1000=$A88)*('Form responses 1'!$A$2:$A1000&lt;=EOMONTH(DATEVALUE("1 "&amp;AJ$1),0)))+
  SUMPRODUCT(('Form responses 1'!$E$2:$E1000=$A88)*('Form responses 1'!$A$2:$A1000&lt;=EOMONTH(DATEVALUE("1 "&amp;AJ$1),0)))+
  SUMPRODUCT(('Form responses 1'!$F$2:$F1000=$A88)*('Form responses 1'!$A$2:$A1000&lt;=EOMONTH(DATEVALUE("1 "&amp;AJ$1),0)))+
  SUMPRODUCT(('Form responses 1'!$G$2:$G1000=$A88)*('Form responses 1'!$A$2:$A1000&lt;=EOMONTH(DATEVALUE("1 "&amp;AJ$1),0)))
),2),"-")</f>
        <v>-</v>
      </c>
      <c r="AK88" s="2" t="str">
        <f>IFERROR(ROUND(Data!$B88/(
  SUMPRODUCT(('Form responses 1'!$B$2:$B1000=$A88)*('Form responses 1'!$A$2:$A1000&lt;=EOMONTH(DATEVALUE("1 "&amp;AK$1),0)))+
  SUMPRODUCT(('Form responses 1'!$C$2:$C1000=$A88)*('Form responses 1'!$A$2:$A1000&lt;=EOMONTH(DATEVALUE("1 "&amp;AK$1),0)))+
  SUMPRODUCT(('Form responses 1'!$D$2:$D1000=$A88)*('Form responses 1'!$A$2:$A1000&lt;=EOMONTH(DATEVALUE("1 "&amp;AK$1),0)))+
  SUMPRODUCT(('Form responses 1'!$E$2:$E1000=$A88)*('Form responses 1'!$A$2:$A1000&lt;=EOMONTH(DATEVALUE("1 "&amp;AK$1),0)))+
  SUMPRODUCT(('Form responses 1'!$F$2:$F1000=$A88)*('Form responses 1'!$A$2:$A1000&lt;=EOMONTH(DATEVALUE("1 "&amp;AK$1),0)))+
  SUMPRODUCT(('Form responses 1'!$G$2:$G1000=$A88)*('Form responses 1'!$A$2:$A1000&lt;=EOMONTH(DATEVALUE("1 "&amp;AK$1),0)))
),2),"-")</f>
        <v>-</v>
      </c>
      <c r="AL88" s="2" t="str">
        <f>IFERROR(ROUND(Data!$B88/(
  SUMPRODUCT(('Form responses 1'!$B$2:$B1000=$A88)*('Form responses 1'!$A$2:$A1000&lt;=EOMONTH(DATEVALUE("1 "&amp;AL$1),0)))+
  SUMPRODUCT(('Form responses 1'!$C$2:$C1000=$A88)*('Form responses 1'!$A$2:$A1000&lt;=EOMONTH(DATEVALUE("1 "&amp;AL$1),0)))+
  SUMPRODUCT(('Form responses 1'!$D$2:$D1000=$A88)*('Form responses 1'!$A$2:$A1000&lt;=EOMONTH(DATEVALUE("1 "&amp;AL$1),0)))+
  SUMPRODUCT(('Form responses 1'!$E$2:$E1000=$A88)*('Form responses 1'!$A$2:$A1000&lt;=EOMONTH(DATEVALUE("1 "&amp;AL$1),0)))+
  SUMPRODUCT(('Form responses 1'!$F$2:$F1000=$A88)*('Form responses 1'!$A$2:$A1000&lt;=EOMONTH(DATEVALUE("1 "&amp;AL$1),0)))+
  SUMPRODUCT(('Form responses 1'!$G$2:$G1000=$A88)*('Form responses 1'!$A$2:$A1000&lt;=EOMONTH(DATEVALUE("1 "&amp;AL$1),0)))
),2),"-")</f>
        <v>-</v>
      </c>
    </row>
    <row r="89">
      <c r="A89" s="3" t="str">
        <f>IFERROR(__xludf.DUMMYFUNCTION("""COMPUTED_VALUE"""),"Rode lange mouwen polo")</f>
        <v>Rode lange mouwen polo</v>
      </c>
      <c r="B89" s="2">
        <f>Data!F81:F1000</f>
        <v>3.29</v>
      </c>
      <c r="C89" s="2" t="str">
        <f>IFERROR(ROUND(Data!B81/(SUMPRODUCT(('Form responses 1'!$B$2:$B1000 = A89) * ('Form responses 1'!$A$2:$A1000 &lt;= DATE(2024, 1, 31)))
+ SUMPRODUCT(('Form responses 1'!$C$2:$C1000 = A89) * ('Form responses 1'!$A$2:$A1000 &lt;= DATE(2024, 1, 31)))
+ SUMPRODUCT(('Form responses 1'!$D$2:$D1000 = A89) * ('Form responses 1'!$A$2:$A1000 &lt;= DATE(2024, 1, 31)))
+ SUMPRODUCT(('Form responses 1'!$E$2:$E1000 = A89) * ('Form responses 1'!$A$2:$A1000 &lt;= DATE(2024, 1, 31)))
+ SUMPRODUCT(('Form responses 1'!$F$2:$F1000 = A89) * ('Form responses 1'!$A$2:$A1000 &lt;= DATE(2024, 1, 31)))
+ SUMPRODUCT(('Form responses 1'!$G$2:$G1000 = A89) * ('Form responses 1'!$A$2:$A1000 &lt;= DATE(2024, 1, 31)))), 2), "-")
</f>
        <v>-</v>
      </c>
      <c r="D89" s="2" t="str">
        <f>IFERROR(ROUND(Data!B81/(SUMPRODUCT(('Form responses 1'!$B$2:$B1000 = A89) * ('Form responses 1'!$A$2:$A1000 &lt;= DATE(2024, 2, 29)))
+ SUMPRODUCT(('Form responses 1'!$C$2:$C1000 = A89) * ('Form responses 1'!$A$2:$A1000 &lt;= DATE(2024, 2, 29)))
+ SUMPRODUCT(('Form responses 1'!$D$2:$D1000 = A89) * ('Form responses 1'!$A$2:$A1000 &lt;= DATE(2024, 2, 29)))
+ SUMPRODUCT(('Form responses 1'!$E$2:$E1000 = A89) * ('Form responses 1'!$A$2:$A1000 &lt;= DATE(2024, 2, 29)))
+ SUMPRODUCT(('Form responses 1'!$F$2:$F1000 = A89) * ('Form responses 1'!$A$2:$A1000 &lt;= DATE(2024, 2, 29)))
+ SUMPRODUCT(('Form responses 1'!$G$2:$G1000 = A89) * ('Form responses 1'!$A$2:$A1000 &lt;= DATE(2024, 2, 29)))), 2), "-")
</f>
        <v>-</v>
      </c>
      <c r="E89" s="2" t="str">
        <f>IFERROR(ROUND(Data!B81/(SUMPRODUCT(('Form responses 1'!$B$2:$B1000 = A89) * ('Form responses 1'!$A$2:$A1000 &lt;= DATE(2024, 3, 31)))
+ SUMPRODUCT(('Form responses 1'!$C$2:$C1000 = A89) * ('Form responses 1'!$A$2:$A1000 &lt;= DATE(2024, 3, 31)))
+ SUMPRODUCT(('Form responses 1'!$D$2:$D1000 = A89) * ('Form responses 1'!$A$2:$A1000 &lt;= DATE(2024, 3, 31)))
+ SUMPRODUCT(('Form responses 1'!$E$2:$E1000 = A89) * ('Form responses 1'!$A$2:$A1000 &lt;= DATE(2024, 3, 31)))
+ SUMPRODUCT(('Form responses 1'!$F$2:$F1000 = A89) * ('Form responses 1'!$A$2:$A1000 &lt;= DATE(2024, 3, 31)))
+ SUMPRODUCT(('Form responses 1'!$G$2:$G1000 = A89) * ('Form responses 1'!$A$2:$A1000 &lt;= DATE(2024, 3, 31)))), 2), "-")
</f>
        <v>-</v>
      </c>
      <c r="F89" s="2" t="str">
        <f>IFERROR(ROUND(Data!B81/(SUMPRODUCT(('Form responses 1'!$B$2:$B1000 = A89) * ('Form responses 1'!$A$2:$A1000 &lt;= DATE(2024, 4, 30)))
+ SUMPRODUCT(('Form responses 1'!$C$2:$C1000 = A89) * ('Form responses 1'!$A$2:$A1000 &lt;= DATE(2024, 4, 30)))
+ SUMPRODUCT(('Form responses 1'!$D$2:$D1000 = A89) * ('Form responses 1'!$A$2:$A1000 &lt;= DATE(2024, 4, 30)))
+ SUMPRODUCT(('Form responses 1'!$E$2:$E1000 = A89) * ('Form responses 1'!$A$2:$A1000 &lt;= DATE(2024, 4, 30)))
+ SUMPRODUCT(('Form responses 1'!$F$2:$F1000 = A89) * ('Form responses 1'!$A$2:$A1000 &lt;= DATE(2024, 4, 30)))
+ SUMPRODUCT(('Form responses 1'!$G$2:$G1000 = A89) * ('Form responses 1'!$A$2:$A1000 &lt;= DATE(2024, 4, 30)))), 2), "-")
</f>
        <v>-</v>
      </c>
      <c r="G89" s="2" t="str">
        <f>IFERROR(ROUND(Data!B81/(SUMPRODUCT(('Form responses 1'!$B$2:$B1000 = A89) * ('Form responses 1'!$A$2:$A1000 &lt;= DATE(2024, 5, 31)))
+ SUMPRODUCT(('Form responses 1'!$C$2:$C1000 = A89) * ('Form responses 1'!$A$2:$A1000 &lt;= DATE(2024, 5, 31)))
+ SUMPRODUCT(('Form responses 1'!$D$2:$D1000 = A89) * ('Form responses 1'!$A$2:$A1000 &lt;= DATE(2024, 5, 31)))
+ SUMPRODUCT(('Form responses 1'!$E$2:$E1000 = A89) * ('Form responses 1'!$A$2:$A1000 &lt;= DATE(2024, 5, 31)))
+ SUMPRODUCT(('Form responses 1'!$F$2:$F1000 = A89) * ('Form responses 1'!$A$2:$A1000 &lt;= DATE(2024, 5, 31)))
+ SUMPRODUCT(('Form responses 1'!$G$2:$G1000 = A89) * ('Form responses 1'!$A$2:$A1000 &lt;= DATE(2024, 5, 31)))), 2), "-")
</f>
        <v>-</v>
      </c>
      <c r="H89" s="2" t="str">
        <f>IFERROR(ROUND(Data!B81/(SUMPRODUCT(('Form responses 1'!$B$2:$B1000 = A89) * ('Form responses 1'!$A$2:$A1000 &lt;= DATE(2024, 6, 30)))
+ SUMPRODUCT(('Form responses 1'!$C$2:$C1000 = A89) * ('Form responses 1'!$A$2:$A1000 &lt;= DATE(2024, 6, 30)))
+ SUMPRODUCT(('Form responses 1'!$D$2:$D1000 = A89) * ('Form responses 1'!$A$2:$A1000 &lt;= DATE(2024, 6, 30)))
+ SUMPRODUCT(('Form responses 1'!$E$2:$E1000 = A89) * ('Form responses 1'!$A$2:$A1000 &lt;= DATE(2024, 6, 30)))
+ SUMPRODUCT(('Form responses 1'!$F$2:$F1000 = A89) * ('Form responses 1'!$A$2:$A1000 &lt;= DATE(2024, 6, 30)))
+ SUMPRODUCT(('Form responses 1'!$G$2:$G1000 = A89) * ('Form responses 1'!$A$2:$A1000 &lt;= DATE(2024, 6, 30)))), 2), "-")
</f>
        <v>-</v>
      </c>
      <c r="I89" s="2" t="str">
        <f>IFERROR(ROUND(Data!B81/(SUMPRODUCT(('Form responses 1'!$B$2:$B1000 = A89) * ('Form responses 1'!$A$2:$A1000 &lt;= DATE(2024, 7, 31)))
+ SUMPRODUCT(('Form responses 1'!$C$2:$C1000 = A89) * ('Form responses 1'!$A$2:$A1000 &lt;= DATE(2024, 7, 31)))
+ SUMPRODUCT(('Form responses 1'!$D$2:$D1000 = A89) * ('Form responses 1'!$A$2:$A1000 &lt;= DATE(2024, 7, 31)))
+ SUMPRODUCT(('Form responses 1'!$E$2:$E1000 = A89) * ('Form responses 1'!$A$2:$A1000 &lt;= DATE(2024, 7, 31)))
+ SUMPRODUCT(('Form responses 1'!$F$2:$F1000 = A89) * ('Form responses 1'!$A$2:$A1000 &lt;= DATE(2024, 7, 31)))
+ SUMPRODUCT(('Form responses 1'!$G$2:$G1000 = A89) * ('Form responses 1'!$A$2:$A1000 &lt;= DATE(2024, 7, 31)))), 2), "-")
</f>
        <v>-</v>
      </c>
      <c r="J89" s="2" t="str">
        <f>IFERROR(ROUND(Data!B81/(SUMPRODUCT(('Form responses 1'!$B$2:$B1000 = A89) * ('Form responses 1'!$A$2:$A1000 &lt;= DATE(2024, 8, 31)))
+ SUMPRODUCT(('Form responses 1'!$C$2:$C1000 = A89) * ('Form responses 1'!$A$2:$A1000 &lt;= DATE(2024, 8, 31)))
+ SUMPRODUCT(('Form responses 1'!$D$2:$D1000 = A89) * ('Form responses 1'!$A$2:$A1000 &lt;= DATE(2024, 8, 31)))
+ SUMPRODUCT(('Form responses 1'!$E$2:$E1000 = A89) * ('Form responses 1'!$A$2:$A1000 &lt;= DATE(2024, 8, 31)))
+ SUMPRODUCT(('Form responses 1'!$F$2:$F1000 = A89) * ('Form responses 1'!$A$2:$A1000 &lt;= DATE(2024, 8, 31)))
+ SUMPRODUCT(('Form responses 1'!$G$2:$G1000 = A89) * ('Form responses 1'!$A$2:$A1000 &lt;= DATE(2024, 8, 31)))), 2), "-")
</f>
        <v>-</v>
      </c>
      <c r="K89" s="2" t="str">
        <f>IFERROR(ROUND(Data!B81/(SUMPRODUCT(('Form responses 1'!$B$2:$B1000 = A89) * ('Form responses 1'!$A$2:$A1000 &lt;= DATE(2024, 9, 30)))
+ SUMPRODUCT(('Form responses 1'!$C$2:$C1000 = A89) * ('Form responses 1'!$A$2:$A1000 &lt;= DATE(2024, 9, 30)))
+ SUMPRODUCT(('Form responses 1'!$D$2:$D1000 = A89) * ('Form responses 1'!$A$2:$A1000 &lt;= DATE(2024, 9, 30)))
+ SUMPRODUCT(('Form responses 1'!$E$2:$E1000 = A89) * ('Form responses 1'!$A$2:$A1000 &lt;= DATE(2024, 9, 30)))
+ SUMPRODUCT(('Form responses 1'!$F$2:$F1000 = A89) * ('Form responses 1'!$A$2:$A1000 &lt;= DATE(2024, 9, 30)))
+ SUMPRODUCT(('Form responses 1'!$G$2:$G1000 = A89) * ('Form responses 1'!$A$2:$A1000 &lt;= DATE(2024, 9, 30)))), 2), "-")
</f>
        <v>-</v>
      </c>
      <c r="L89" s="2" t="str">
        <f>IFERROR(ROUND(Data!B81/(SUMPRODUCT(('Form responses 1'!$B$2:$B1000 = A89) * ('Form responses 1'!$A$2:$A1000 &lt;= DATE(2024, 10, 31)))
+ SUMPRODUCT(('Form responses 1'!$C$2:$C1000 = A89) * ('Form responses 1'!$A$2:$A1000 &lt;= DATE(2024, 10, 31)))
+ SUMPRODUCT(('Form responses 1'!$D$2:$D1000 = A89) * ('Form responses 1'!$A$2:$A1000 &lt;= DATE(2024, 10, 31)))
+ SUMPRODUCT(('Form responses 1'!$E$2:$E1000 = A89) * ('Form responses 1'!$A$2:$A1000 &lt;= DATE(2024, 10, 31)))
+ SUMPRODUCT(('Form responses 1'!$F$2:$F1000 = A89) * ('Form responses 1'!$A$2:$A1000 &lt;= DATE(2024, 10, 31)))
+ SUMPRODUCT(('Form responses 1'!$G$2:$G1000 = A89) * ('Form responses 1'!$A$2:$A1000 &lt;= DATE(2024, 10, 31)))), 2), "-")
</f>
        <v>-</v>
      </c>
      <c r="M89" s="2" t="str">
        <f>IFERROR(ROUND(Data!B81/(SUMPRODUCT(('Form responses 1'!$B$2:$B1000 = A89) * ('Form responses 1'!$A$2:$A1000 &lt;= DATE(2024, 11, 30)))
+ SUMPRODUCT(('Form responses 1'!$C$2:$C1000 = A89) * ('Form responses 1'!$A$2:$A1000 &lt;= DATE(2024, 11, 30)))
+ SUMPRODUCT(('Form responses 1'!$D$2:$D1000 = A89) * ('Form responses 1'!$A$2:$A1000 &lt;= DATE(2024, 11, 30)))
+ SUMPRODUCT(('Form responses 1'!$E$2:$E1000 = A89) * ('Form responses 1'!$A$2:$A1000 &lt;= DATE(2024, 11, 30)))
+ SUMPRODUCT(('Form responses 1'!$F$2:$F1000 = A89) * ('Form responses 1'!$A$2:$A1000 &lt;= DATE(2024, 11, 30)))
+ SUMPRODUCT(('Form responses 1'!$G$2:$G1000 = A89) * ('Form responses 1'!$A$2:$A1000 &lt;= DATE(2024, 11, 30)))), 2), "-")
</f>
        <v>-</v>
      </c>
      <c r="N89" s="2" t="str">
        <f>IFERROR(ROUND(Data!B81/(SUMPRODUCT(('Form responses 1'!$B$2:$B1000 = A89) * ('Form responses 1'!$A$2:$A1000 &lt;= DATE(2024, 12, 31)))
+ SUMPRODUCT(('Form responses 1'!$C$2:$C1000 = A89) * ('Form responses 1'!$A$2:$A1000 &lt;= DATE(2024, 12, 31)))
+ SUMPRODUCT(('Form responses 1'!$D$2:$D1000 = A89) * ('Form responses 1'!$A$2:$A1000 &lt;= DATE(2024, 12, 31)))
+ SUMPRODUCT(('Form responses 1'!$E$2:$E1000 = A89) * ('Form responses 1'!$A$2:$A1000 &lt;= DATE(2024, 12, 31)))
+ SUMPRODUCT(('Form responses 1'!$F$2:$F1000 = A89) * ('Form responses 1'!$A$2:$A1000 &lt;= DATE(2024, 12, 31)))
+ SUMPRODUCT(('Form responses 1'!$G$2:$G1000 = A89) * ('Form responses 1'!$A$2:$A1000 &lt;= DATE(2024, 12, 31)))), 2), "-")
</f>
        <v>-</v>
      </c>
      <c r="O89" s="2" t="str">
        <f>IFERROR(ROUND(Data!B81/(SUMPRODUCT(('Form responses 1'!$B$2:$B1000 = A89) * ('Form responses 1'!$A$2:$A1000 &lt;= DATE(2025, 1, 31)))
+ SUMPRODUCT(('Form responses 1'!$C$2:$C1000 = A89) * ('Form responses 1'!$A$2:$A1000 &lt;= DATE(2025, 1, 31)))
+ SUMPRODUCT(('Form responses 1'!$D$2:$D1000 = A89) * ('Form responses 1'!$A$2:$A1000 &lt;= DATE(2025, 1, 31)))
+ SUMPRODUCT(('Form responses 1'!$E$2:$E1000 = A89) * ('Form responses 1'!$A$2:$A1000 &lt;= DATE(2025, 1, 31)))
+ SUMPRODUCT(('Form responses 1'!$F$2:$F1000 = A89) * ('Form responses 1'!$A$2:$A1000 &lt;= DATE(2025, 1, 31)))
+ SUMPRODUCT(('Form responses 1'!$G$2:$G1000 = A89) * ('Form responses 1'!$A$2:$A1000 &lt;= DATE(2025, 1, 31)))), 2), "-")
</f>
        <v>-</v>
      </c>
      <c r="P89" s="2" t="str">
        <f>IFERROR(ROUND(Data!B81/(SUMPRODUCT(('Form responses 1'!$B$2:$B1000 = A89) * ('Form responses 1'!$A$2:$A1000 &lt;= DATE(2025, 2, 28)))
+ SUMPRODUCT(('Form responses 1'!$C$2:$C1000 = A89) * ('Form responses 1'!$A$2:$A1000 &lt;= DATE(2025, 2, 28)))
+ SUMPRODUCT(('Form responses 1'!$D$2:$D1000 = A89) * ('Form responses 1'!$A$2:$A1000 &lt;= DATE(2025, 2, 28)))
+ SUMPRODUCT(('Form responses 1'!$E$2:$E1000 = A89) * ('Form responses 1'!$A$2:$A1000 &lt;= DATE(2025, 2, 28)))
+ SUMPRODUCT(('Form responses 1'!$F$2:$F1000 = A89) * ('Form responses 1'!$A$2:$A1000 &lt;= DATE(2025, 2, 28)))
+ SUMPRODUCT(('Form responses 1'!$G$2:$G1000 = A89) * ('Form responses 1'!$A$2:$A1000 &lt;= DATE(2025, 2, 28)))), 2), "-")
</f>
        <v>-</v>
      </c>
      <c r="Q89" s="2" t="str">
        <f>IFERROR(ROUND(Data!B81/(SUMPRODUCT(('Form responses 1'!$B$2:$B1000 = A89) * ('Form responses 1'!$A$2:$A1000 &lt;= DATE(2025, 3, 31)))
+ SUMPRODUCT(('Form responses 1'!$C$2:$C1000 = A89) * ('Form responses 1'!$A$2:$A1000 &lt;= DATE(2025, 3, 31)))
+ SUMPRODUCT(('Form responses 1'!$D$2:$D1000 = A89) * ('Form responses 1'!$A$2:$A1000 &lt;= DATE(2025, 3, 31)))
+ SUMPRODUCT(('Form responses 1'!$E$2:$E1000 = A89) * ('Form responses 1'!$A$2:$A1000 &lt;= DATE(2025, 3, 31)))
+ SUMPRODUCT(('Form responses 1'!$F$2:$F1000 = A89) * ('Form responses 1'!$A$2:$A1000 &lt;= DATE(2025, 3, 31)))
+ SUMPRODUCT(('Form responses 1'!$G$2:$G1000 = A89) * ('Form responses 1'!$A$2:$A1000 &lt;= DATE(2025, 3, 31)))),2),"-")</f>
        <v>-</v>
      </c>
      <c r="R89" s="2" t="str">
        <f>IFERROR(ROUND(Data!B81/(SUMPRODUCT(('Form responses 1'!$B$2:$B1000 = A89) * ('Form responses 1'!$A$2:$A1000 &lt;= DATE(2025, 4, 30)))
+ SUMPRODUCT(('Form responses 1'!$C$2:$C1000 = A89) * ('Form responses 1'!$A$2:$A1000 &lt;= DATE(2025, 4, 30)))
+ SUMPRODUCT(('Form responses 1'!$D$2:$D1000 = A89) * ('Form responses 1'!$A$2:$A1000 &lt;= DATE(2025, 4, 30)))
+ SUMPRODUCT(('Form responses 1'!$E$2:$E1000 = A89) * ('Form responses 1'!$A$2:$A1000 &lt;= DATE(2025, 4, 30)))
+ SUMPRODUCT(('Form responses 1'!$F$2:$F1000 = A89) * ('Form responses 1'!$A$2:$A1000 &lt;= DATE(2025, 4, 30)))
+ SUMPRODUCT(('Form responses 1'!$G$2:$G1000 = A89) * ('Form responses 1'!$A$2:$A1000 &lt;= DATE(2025, 4, 30)))), 2), "-")
</f>
        <v>-</v>
      </c>
      <c r="S89" s="2" t="str">
        <f>IFERROR(ROUND(Data!B81/(SUMPRODUCT(('Form responses 1'!$B$2:$B1000 = A89) * ('Form responses 1'!$A$2:$A1000 &lt;= DATE(2025, 5, 31)))
+ SUMPRODUCT(('Form responses 1'!$C$2:$C1000 = A89) * ('Form responses 1'!$A$2:$A1000 &lt;= DATE(2025, 5, 31)))
+ SUMPRODUCT(('Form responses 1'!$D$2:$D1000 = A89) * ('Form responses 1'!$A$2:$A1000 &lt;= DATE(2025, 5, 31)))
+ SUMPRODUCT(('Form responses 1'!$E$2:$E1000 = A89) * ('Form responses 1'!$A$2:$A1000 &lt;= DATE(2025, 5, 31)))
+ SUMPRODUCT(('Form responses 1'!$F$2:$F1000 = A89) * ('Form responses 1'!$A$2:$A1000 &lt;= DATE(2025, 5, 31)))
+ SUMPRODUCT(('Form responses 1'!$G$2:$G1000 = A89) * ('Form responses 1'!$A$2:$A1000 &lt;= DATE(2025, 5, 31)))), 2), "-")
</f>
        <v>-</v>
      </c>
      <c r="T89" s="2" t="str">
        <f>IFERROR(ROUND(Data!B81/(SUMPRODUCT(('Form responses 1'!$B$2:$B1000 = A89) * ('Form responses 1'!$A$2:$A1000 &lt;= DATE(2025, 6, 30)))
+ SUMPRODUCT(('Form responses 1'!$C$2:$C1000 = A89) * ('Form responses 1'!$A$2:$A1000 &lt;= DATE(2025, 6, 30)))
+ SUMPRODUCT(('Form responses 1'!$D$2:$D1000 = A89) * ('Form responses 1'!$A$2:$A1000 &lt;= DATE(2025, 6, 30)))
+ SUMPRODUCT(('Form responses 1'!$E$2:$E1000 = A89) * ('Form responses 1'!$A$2:$A1000 &lt;= DATE(2025, 6, 30)))
+ SUMPRODUCT(('Form responses 1'!$F$2:$F1000 = A89) * ('Form responses 1'!$A$2:$A1000 &lt;= DATE(2025, 6, 30)))
+ SUMPRODUCT(('Form responses 1'!$G$2:$G1000 = A89) * ('Form responses 1'!$A$2:$A1000 &lt;= DATE(2025, 6, 30)))), 2), "-")
</f>
        <v>-</v>
      </c>
      <c r="U89" s="2" t="str">
        <f>IFERROR(ROUND(Data!B81/(SUMPRODUCT(('Form responses 1'!$B$2:$B1000 = A89) * ('Form responses 1'!$A$2:$A1000 &lt;= DATE(2025, 7, 31)))
+ SUMPRODUCT(('Form responses 1'!$C$2:$C1000 = A89) * ('Form responses 1'!$A$2:$A1000 &lt;= DATE(2025, 7, 31)))
+ SUMPRODUCT(('Form responses 1'!$D$2:$D1000 = A89) * ('Form responses 1'!$A$2:$A1000 &lt;= DATE(2025, 7, 31)))
+ SUMPRODUCT(('Form responses 1'!$E$2:$E1000 = A89) * ('Form responses 1'!$A$2:$A1000 &lt;= DATE(2025, 7, 31)))
+ SUMPRODUCT(('Form responses 1'!$F$2:$F1000 = A89) * ('Form responses 1'!$A$2:$A1000 &lt;= DATE(2025, 7, 31)))
+ SUMPRODUCT(('Form responses 1'!$G$2:$G1000 = A89) * ('Form responses 1'!$A$2:$A1000 &lt;= DATE(2025, 7, 31)))), 2), "-")
</f>
        <v>-</v>
      </c>
      <c r="V89" s="2" t="str">
        <f>IFERROR(ROUND(Data!B81/(SUMPRODUCT(('Form responses 1'!$B$2:$B1000 = A89) * ('Form responses 1'!$A$2:$A1000 &lt;= DATE(2025, 8, 31)))
+ SUMPRODUCT(('Form responses 1'!$C$2:$C1000 = A89) * ('Form responses 1'!$A$2:$A1000 &lt;= DATE(2025, 8, 31)))
+ SUMPRODUCT(('Form responses 1'!$D$2:$D1000 = A89) * ('Form responses 1'!$A$2:$A1000 &lt;= DATE(2025, 8, 31)))
+ SUMPRODUCT(('Form responses 1'!$E$2:$E1000 = A89) * ('Form responses 1'!$A$2:$A1000 &lt;= DATE(2025, 8, 31)))
+ SUMPRODUCT(('Form responses 1'!$F$2:$F1000 = A89) * ('Form responses 1'!$A$2:$A1000 &lt;= DATE(2025, 8, 31)))
+ SUMPRODUCT(('Form responses 1'!$G$2:$G1000 = A89) * ('Form responses 1'!$A$2:$A1000 &lt;= DATE(2025, 8, 31)))), 2), "-")
</f>
        <v>-</v>
      </c>
      <c r="W89" s="2" t="str">
        <f>IFERROR(ROUND(Data!B81/(SUMPRODUCT(('Form responses 1'!$B$2:$B1000 = A89) * ('Form responses 1'!$A$2:$A1000 &lt;= DATE(2025, 9, 30)))
+ SUMPRODUCT(('Form responses 1'!$C$2:$C1000 = A89) * ('Form responses 1'!$A$2:$A1000 &lt;= DATE(2025, 9, 30)))
+ SUMPRODUCT(('Form responses 1'!$D$2:$D1000 = A89) * ('Form responses 1'!$A$2:$A1000 &lt;= DATE(2025, 9, 30)))
+ SUMPRODUCT(('Form responses 1'!$E$2:$E1000 = A89) * ('Form responses 1'!$A$2:$A1000 &lt;= DATE(2025, 9, 30)))
+ SUMPRODUCT(('Form responses 1'!$F$2:$F1000 = A89) * ('Form responses 1'!$A$2:$A1000 &lt;= DATE(2025, 9, 30)))
+ SUMPRODUCT(('Form responses 1'!$G$2:$G1000 = A89) * ('Form responses 1'!$A$2:$A1000 &lt;= DATE(2025, 9, 30)))), 2), "-")
</f>
        <v>-</v>
      </c>
      <c r="X89" s="2" t="str">
        <f>IFERROR(ROUND(Data!B81/(SUMPRODUCT(('Form responses 1'!$B$2:$B1000 = A89) * ('Form responses 1'!$A$2:$A1000 &lt;= DATE(2025, 10, 31)))
+ SUMPRODUCT(('Form responses 1'!$C$2:$C1000 = A89) * ('Form responses 1'!$A$2:$A1000 &lt;= DATE(2025, 10, 31)))
+ SUMPRODUCT(('Form responses 1'!$D$2:$D1000 = A89) * ('Form responses 1'!$A$2:$A1000 &lt;= DATE(2025, 10, 31)))
+ SUMPRODUCT(('Form responses 1'!$E$2:$E1000 = A89) * ('Form responses 1'!$A$2:$A1000 &lt;= DATE(2025, 10, 31)))
+ SUMPRODUCT(('Form responses 1'!$F$2:$F1000 = A89) * ('Form responses 1'!$A$2:$A1000 &lt;= DATE(2025, 10, 31)))
+ SUMPRODUCT(('Form responses 1'!$G$2:$G1000 = A89) * ('Form responses 1'!$A$2:$A1000 &lt;= DATE(2025, 10, 31)))), 2), "-")
</f>
        <v>-</v>
      </c>
      <c r="Y89" s="2" t="str">
        <f>IFERROR(ROUND(Data!B81/(SUMPRODUCT(('Form responses 1'!$B$2:$B1000 = A89) * ('Form responses 1'!$A$2:$A1000 &lt;= DATE(2025, 11, 30)))
+ SUMPRODUCT(('Form responses 1'!$C$2:$C1000 = A89) * ('Form responses 1'!$A$2:$A1000 &lt;= DATE(2025, 11, 30)))
+ SUMPRODUCT(('Form responses 1'!$D$2:$D1000 = A89) * ('Form responses 1'!$A$2:$A1000 &lt;= DATE(2025, 11, 30)))
+ SUMPRODUCT(('Form responses 1'!$E$2:$E1000 = A89) * ('Form responses 1'!$A$2:$A1000 &lt;= DATE(2025, 11, 30)))
+ SUMPRODUCT(('Form responses 1'!$F$2:$F1000 = A89) * ('Form responses 1'!$A$2:$A1000 &lt;= DATE(2025, 11, 30)))
+ SUMPRODUCT(('Form responses 1'!$G$2:$G1000 = A89) * ('Form responses 1'!$A$2:$A1000 &lt;= DATE(2025, 11, 30)))), 2), "-")
</f>
        <v>-</v>
      </c>
      <c r="Z89" s="2" t="str">
        <f>IFERROR(ROUND(Data!B81/(SUMPRODUCT(('Form responses 1'!$B$2:$B1000 = A89) * ('Form responses 1'!$A$2:$A1000 &lt;= DATE(2025, 12, 31)))
+ SUMPRODUCT(('Form responses 1'!$C$2:$C1000 = A89) * ('Form responses 1'!$A$2:$A1000 &lt;= DATE(2025, 12, 31)))
+ SUMPRODUCT(('Form responses 1'!$D$2:$D1000 = A89) * ('Form responses 1'!$A$2:$A1000 &lt;= DATE(2025, 12, 31)))
+ SUMPRODUCT(('Form responses 1'!$E$2:$E1000 = A89) * ('Form responses 1'!$A$2:$A1000 &lt;= DATE(2025, 12, 31)))
+ SUMPRODUCT(('Form responses 1'!$F$2:$F1000 = A89) * ('Form responses 1'!$A$2:$A1000 &lt;= DATE(2025, 12, 31)))
+ SUMPRODUCT(('Form responses 1'!$G$2:$G1000 = A89) * ('Form responses 1'!$A$2:$A1000 &lt;= DATE(2025, 12, 31)))), 2), "-")
</f>
        <v>-</v>
      </c>
      <c r="AA89" s="2" t="str">
        <f>IFERROR(ROUND(Data!$B89/(
  SUMPRODUCT(('Form responses 1'!$B$2:$B1000=$A89)*('Form responses 1'!$A$2:$A1000&lt;=EOMONTH(DATEVALUE("1 "&amp;AA$1),0)))+
  SUMPRODUCT(('Form responses 1'!$C$2:$C1000=$A89)*('Form responses 1'!$A$2:$A1000&lt;=EOMONTH(DATEVALUE("1 "&amp;AA$1),0)))+
  SUMPRODUCT(('Form responses 1'!$D$2:$D1000=$A89)*('Form responses 1'!$A$2:$A1000&lt;=EOMONTH(DATEVALUE("1 "&amp;AA$1),0)))+
  SUMPRODUCT(('Form responses 1'!$E$2:$E1000=$A89)*('Form responses 1'!$A$2:$A1000&lt;=EOMONTH(DATEVALUE("1 "&amp;AA$1),0)))+
  SUMPRODUCT(('Form responses 1'!$F$2:$F1000=$A89)*('Form responses 1'!$A$2:$A1000&lt;=EOMONTH(DATEVALUE("1 "&amp;AA$1),0)))+
  SUMPRODUCT(('Form responses 1'!$G$2:$G1000=$A89)*('Form responses 1'!$A$2:$A1000&lt;=EOMONTH(DATEVALUE("1 "&amp;AA$1),0)))
),2),"-")</f>
        <v>-</v>
      </c>
      <c r="AB89" s="2" t="str">
        <f>IFERROR(ROUND(Data!$B89/(
  SUMPRODUCT(('Form responses 1'!$B$2:$B1000=$A89)*('Form responses 1'!$A$2:$A1000&lt;=EOMONTH(DATEVALUE("1 "&amp;AB$1),0)))+
  SUMPRODUCT(('Form responses 1'!$C$2:$C1000=$A89)*('Form responses 1'!$A$2:$A1000&lt;=EOMONTH(DATEVALUE("1 "&amp;AB$1),0)))+
  SUMPRODUCT(('Form responses 1'!$D$2:$D1000=$A89)*('Form responses 1'!$A$2:$A1000&lt;=EOMONTH(DATEVALUE("1 "&amp;AB$1),0)))+
  SUMPRODUCT(('Form responses 1'!$E$2:$E1000=$A89)*('Form responses 1'!$A$2:$A1000&lt;=EOMONTH(DATEVALUE("1 "&amp;AB$1),0)))+
  SUMPRODUCT(('Form responses 1'!$F$2:$F1000=$A89)*('Form responses 1'!$A$2:$A1000&lt;=EOMONTH(DATEVALUE("1 "&amp;AB$1),0)))+
  SUMPRODUCT(('Form responses 1'!$G$2:$G1000=$A89)*('Form responses 1'!$A$2:$A1000&lt;=EOMONTH(DATEVALUE("1 "&amp;AB$1),0)))
),2),"-")</f>
        <v>-</v>
      </c>
      <c r="AC89" s="2" t="str">
        <f>IFERROR(ROUND(Data!$B89/(
  SUMPRODUCT(('Form responses 1'!$B$2:$B1000=$A89)*('Form responses 1'!$A$2:$A1000&lt;=EOMONTH(DATEVALUE("1 "&amp;AC$1),0)))+
  SUMPRODUCT(('Form responses 1'!$C$2:$C1000=$A89)*('Form responses 1'!$A$2:$A1000&lt;=EOMONTH(DATEVALUE("1 "&amp;AC$1),0)))+
  SUMPRODUCT(('Form responses 1'!$D$2:$D1000=$A89)*('Form responses 1'!$A$2:$A1000&lt;=EOMONTH(DATEVALUE("1 "&amp;AC$1),0)))+
  SUMPRODUCT(('Form responses 1'!$E$2:$E1000=$A89)*('Form responses 1'!$A$2:$A1000&lt;=EOMONTH(DATEVALUE("1 "&amp;AC$1),0)))+
  SUMPRODUCT(('Form responses 1'!$F$2:$F1000=$A89)*('Form responses 1'!$A$2:$A1000&lt;=EOMONTH(DATEVALUE("1 "&amp;AC$1),0)))+
  SUMPRODUCT(('Form responses 1'!$G$2:$G1000=$A89)*('Form responses 1'!$A$2:$A1000&lt;=EOMONTH(DATEVALUE("1 "&amp;AC$1),0)))
),2),"-")</f>
        <v>-</v>
      </c>
      <c r="AD89" s="2" t="str">
        <f>IFERROR(ROUND(Data!$B89/(
  SUMPRODUCT(('Form responses 1'!$B$2:$B1000=$A89)*('Form responses 1'!$A$2:$A1000&lt;=EOMONTH(DATEVALUE("1 "&amp;AD$1),0)))+
  SUMPRODUCT(('Form responses 1'!$C$2:$C1000=$A89)*('Form responses 1'!$A$2:$A1000&lt;=EOMONTH(DATEVALUE("1 "&amp;AD$1),0)))+
  SUMPRODUCT(('Form responses 1'!$D$2:$D1000=$A89)*('Form responses 1'!$A$2:$A1000&lt;=EOMONTH(DATEVALUE("1 "&amp;AD$1),0)))+
  SUMPRODUCT(('Form responses 1'!$E$2:$E1000=$A89)*('Form responses 1'!$A$2:$A1000&lt;=EOMONTH(DATEVALUE("1 "&amp;AD$1),0)))+
  SUMPRODUCT(('Form responses 1'!$F$2:$F1000=$A89)*('Form responses 1'!$A$2:$A1000&lt;=EOMONTH(DATEVALUE("1 "&amp;AD$1),0)))+
  SUMPRODUCT(('Form responses 1'!$G$2:$G1000=$A89)*('Form responses 1'!$A$2:$A1000&lt;=EOMONTH(DATEVALUE("1 "&amp;AD$1),0)))
),2),"-")</f>
        <v>-</v>
      </c>
      <c r="AE89" s="2" t="str">
        <f>IFERROR(ROUND(Data!$B89/(
  SUMPRODUCT(('Form responses 1'!$B$2:$B1000=$A89)*('Form responses 1'!$A$2:$A1000&lt;=EOMONTH(DATEVALUE("1 "&amp;AE$1),0)))+
  SUMPRODUCT(('Form responses 1'!$C$2:$C1000=$A89)*('Form responses 1'!$A$2:$A1000&lt;=EOMONTH(DATEVALUE("1 "&amp;AE$1),0)))+
  SUMPRODUCT(('Form responses 1'!$D$2:$D1000=$A89)*('Form responses 1'!$A$2:$A1000&lt;=EOMONTH(DATEVALUE("1 "&amp;AE$1),0)))+
  SUMPRODUCT(('Form responses 1'!$E$2:$E1000=$A89)*('Form responses 1'!$A$2:$A1000&lt;=EOMONTH(DATEVALUE("1 "&amp;AE$1),0)))+
  SUMPRODUCT(('Form responses 1'!$F$2:$F1000=$A89)*('Form responses 1'!$A$2:$A1000&lt;=EOMONTH(DATEVALUE("1 "&amp;AE$1),0)))+
  SUMPRODUCT(('Form responses 1'!$G$2:$G1000=$A89)*('Form responses 1'!$A$2:$A1000&lt;=EOMONTH(DATEVALUE("1 "&amp;AE$1),0)))
),2),"-")</f>
        <v>-</v>
      </c>
      <c r="AF89" s="2" t="str">
        <f>IFERROR(ROUND(Data!$B89/(
  SUMPRODUCT(('Form responses 1'!$B$2:$B1000=$A89)*('Form responses 1'!$A$2:$A1000&lt;=EOMONTH(DATEVALUE("1 "&amp;AF$1),0)))+
  SUMPRODUCT(('Form responses 1'!$C$2:$C1000=$A89)*('Form responses 1'!$A$2:$A1000&lt;=EOMONTH(DATEVALUE("1 "&amp;AF$1),0)))+
  SUMPRODUCT(('Form responses 1'!$D$2:$D1000=$A89)*('Form responses 1'!$A$2:$A1000&lt;=EOMONTH(DATEVALUE("1 "&amp;AF$1),0)))+
  SUMPRODUCT(('Form responses 1'!$E$2:$E1000=$A89)*('Form responses 1'!$A$2:$A1000&lt;=EOMONTH(DATEVALUE("1 "&amp;AF$1),0)))+
  SUMPRODUCT(('Form responses 1'!$F$2:$F1000=$A89)*('Form responses 1'!$A$2:$A1000&lt;=EOMONTH(DATEVALUE("1 "&amp;AF$1),0)))+
  SUMPRODUCT(('Form responses 1'!$G$2:$G1000=$A89)*('Form responses 1'!$A$2:$A1000&lt;=EOMONTH(DATEVALUE("1 "&amp;AF$1),0)))
),2),"-")</f>
        <v>-</v>
      </c>
      <c r="AG89" s="2" t="str">
        <f>IFERROR(ROUND(Data!$B89/(
  SUMPRODUCT(('Form responses 1'!$B$2:$B1000=$A89)*('Form responses 1'!$A$2:$A1000&lt;=EOMONTH(DATEVALUE("1 "&amp;AG$1),0)))+
  SUMPRODUCT(('Form responses 1'!$C$2:$C1000=$A89)*('Form responses 1'!$A$2:$A1000&lt;=EOMONTH(DATEVALUE("1 "&amp;AG$1),0)))+
  SUMPRODUCT(('Form responses 1'!$D$2:$D1000=$A89)*('Form responses 1'!$A$2:$A1000&lt;=EOMONTH(DATEVALUE("1 "&amp;AG$1),0)))+
  SUMPRODUCT(('Form responses 1'!$E$2:$E1000=$A89)*('Form responses 1'!$A$2:$A1000&lt;=EOMONTH(DATEVALUE("1 "&amp;AG$1),0)))+
  SUMPRODUCT(('Form responses 1'!$F$2:$F1000=$A89)*('Form responses 1'!$A$2:$A1000&lt;=EOMONTH(DATEVALUE("1 "&amp;AG$1),0)))+
  SUMPRODUCT(('Form responses 1'!$G$2:$G1000=$A89)*('Form responses 1'!$A$2:$A1000&lt;=EOMONTH(DATEVALUE("1 "&amp;AG$1),0)))
),2),"-")</f>
        <v>-</v>
      </c>
      <c r="AH89" s="2" t="str">
        <f>IFERROR(ROUND(Data!$B89/(
  SUMPRODUCT(('Form responses 1'!$B$2:$B1000=$A89)*('Form responses 1'!$A$2:$A1000&lt;=EOMONTH(DATEVALUE("1 "&amp;AH$1),0)))+
  SUMPRODUCT(('Form responses 1'!$C$2:$C1000=$A89)*('Form responses 1'!$A$2:$A1000&lt;=EOMONTH(DATEVALUE("1 "&amp;AH$1),0)))+
  SUMPRODUCT(('Form responses 1'!$D$2:$D1000=$A89)*('Form responses 1'!$A$2:$A1000&lt;=EOMONTH(DATEVALUE("1 "&amp;AH$1),0)))+
  SUMPRODUCT(('Form responses 1'!$E$2:$E1000=$A89)*('Form responses 1'!$A$2:$A1000&lt;=EOMONTH(DATEVALUE("1 "&amp;AH$1),0)))+
  SUMPRODUCT(('Form responses 1'!$F$2:$F1000=$A89)*('Form responses 1'!$A$2:$A1000&lt;=EOMONTH(DATEVALUE("1 "&amp;AH$1),0)))+
  SUMPRODUCT(('Form responses 1'!$G$2:$G1000=$A89)*('Form responses 1'!$A$2:$A1000&lt;=EOMONTH(DATEVALUE("1 "&amp;AH$1),0)))
),2),"-")</f>
        <v>-</v>
      </c>
      <c r="AI89" s="2" t="str">
        <f>IFERROR(ROUND(Data!$B89/(
  SUMPRODUCT(('Form responses 1'!$B$2:$B1000=$A89)*('Form responses 1'!$A$2:$A1000&lt;=EOMONTH(DATEVALUE("1 "&amp;AI$1),0)))+
  SUMPRODUCT(('Form responses 1'!$C$2:$C1000=$A89)*('Form responses 1'!$A$2:$A1000&lt;=EOMONTH(DATEVALUE("1 "&amp;AI$1),0)))+
  SUMPRODUCT(('Form responses 1'!$D$2:$D1000=$A89)*('Form responses 1'!$A$2:$A1000&lt;=EOMONTH(DATEVALUE("1 "&amp;AI$1),0)))+
  SUMPRODUCT(('Form responses 1'!$E$2:$E1000=$A89)*('Form responses 1'!$A$2:$A1000&lt;=EOMONTH(DATEVALUE("1 "&amp;AI$1),0)))+
  SUMPRODUCT(('Form responses 1'!$F$2:$F1000=$A89)*('Form responses 1'!$A$2:$A1000&lt;=EOMONTH(DATEVALUE("1 "&amp;AI$1),0)))+
  SUMPRODUCT(('Form responses 1'!$G$2:$G1000=$A89)*('Form responses 1'!$A$2:$A1000&lt;=EOMONTH(DATEVALUE("1 "&amp;AI$1),0)))
),2),"-")</f>
        <v>-</v>
      </c>
      <c r="AJ89" s="2" t="str">
        <f>IFERROR(ROUND(Data!$B89/(
  SUMPRODUCT(('Form responses 1'!$B$2:$B1000=$A89)*('Form responses 1'!$A$2:$A1000&lt;=EOMONTH(DATEVALUE("1 "&amp;AJ$1),0)))+
  SUMPRODUCT(('Form responses 1'!$C$2:$C1000=$A89)*('Form responses 1'!$A$2:$A1000&lt;=EOMONTH(DATEVALUE("1 "&amp;AJ$1),0)))+
  SUMPRODUCT(('Form responses 1'!$D$2:$D1000=$A89)*('Form responses 1'!$A$2:$A1000&lt;=EOMONTH(DATEVALUE("1 "&amp;AJ$1),0)))+
  SUMPRODUCT(('Form responses 1'!$E$2:$E1000=$A89)*('Form responses 1'!$A$2:$A1000&lt;=EOMONTH(DATEVALUE("1 "&amp;AJ$1),0)))+
  SUMPRODUCT(('Form responses 1'!$F$2:$F1000=$A89)*('Form responses 1'!$A$2:$A1000&lt;=EOMONTH(DATEVALUE("1 "&amp;AJ$1),0)))+
  SUMPRODUCT(('Form responses 1'!$G$2:$G1000=$A89)*('Form responses 1'!$A$2:$A1000&lt;=EOMONTH(DATEVALUE("1 "&amp;AJ$1),0)))
),2),"-")</f>
        <v>-</v>
      </c>
      <c r="AK89" s="2" t="str">
        <f>IFERROR(ROUND(Data!$B89/(
  SUMPRODUCT(('Form responses 1'!$B$2:$B1000=$A89)*('Form responses 1'!$A$2:$A1000&lt;=EOMONTH(DATEVALUE("1 "&amp;AK$1),0)))+
  SUMPRODUCT(('Form responses 1'!$C$2:$C1000=$A89)*('Form responses 1'!$A$2:$A1000&lt;=EOMONTH(DATEVALUE("1 "&amp;AK$1),0)))+
  SUMPRODUCT(('Form responses 1'!$D$2:$D1000=$A89)*('Form responses 1'!$A$2:$A1000&lt;=EOMONTH(DATEVALUE("1 "&amp;AK$1),0)))+
  SUMPRODUCT(('Form responses 1'!$E$2:$E1000=$A89)*('Form responses 1'!$A$2:$A1000&lt;=EOMONTH(DATEVALUE("1 "&amp;AK$1),0)))+
  SUMPRODUCT(('Form responses 1'!$F$2:$F1000=$A89)*('Form responses 1'!$A$2:$A1000&lt;=EOMONTH(DATEVALUE("1 "&amp;AK$1),0)))+
  SUMPRODUCT(('Form responses 1'!$G$2:$G1000=$A89)*('Form responses 1'!$A$2:$A1000&lt;=EOMONTH(DATEVALUE("1 "&amp;AK$1),0)))
),2),"-")</f>
        <v>-</v>
      </c>
      <c r="AL89" s="2" t="str">
        <f>IFERROR(ROUND(Data!$B89/(
  SUMPRODUCT(('Form responses 1'!$B$2:$B1000=$A89)*('Form responses 1'!$A$2:$A1000&lt;=EOMONTH(DATEVALUE("1 "&amp;AL$1),0)))+
  SUMPRODUCT(('Form responses 1'!$C$2:$C1000=$A89)*('Form responses 1'!$A$2:$A1000&lt;=EOMONTH(DATEVALUE("1 "&amp;AL$1),0)))+
  SUMPRODUCT(('Form responses 1'!$D$2:$D1000=$A89)*('Form responses 1'!$A$2:$A1000&lt;=EOMONTH(DATEVALUE("1 "&amp;AL$1),0)))+
  SUMPRODUCT(('Form responses 1'!$E$2:$E1000=$A89)*('Form responses 1'!$A$2:$A1000&lt;=EOMONTH(DATEVALUE("1 "&amp;AL$1),0)))+
  SUMPRODUCT(('Form responses 1'!$F$2:$F1000=$A89)*('Form responses 1'!$A$2:$A1000&lt;=EOMONTH(DATEVALUE("1 "&amp;AL$1),0)))+
  SUMPRODUCT(('Form responses 1'!$G$2:$G1000=$A89)*('Form responses 1'!$A$2:$A1000&lt;=EOMONTH(DATEVALUE("1 "&amp;AL$1),0)))
),2),"-")</f>
        <v>-</v>
      </c>
    </row>
    <row r="90">
      <c r="A90" s="3" t="str">
        <f>IFERROR(__xludf.DUMMYFUNCTION("""COMPUTED_VALUE"""),"Blauwe korte broek")</f>
        <v>Blauwe korte broek</v>
      </c>
      <c r="B90" s="2">
        <f>Data!F82:F1000</f>
        <v>0.26</v>
      </c>
      <c r="C90" s="2" t="str">
        <f>IFERROR(ROUND(Data!B82/(SUMPRODUCT(('Form responses 1'!$B$2:$B1000 = A90) * ('Form responses 1'!$A$2:$A1000 &lt;= DATE(2024, 1, 31)))
+ SUMPRODUCT(('Form responses 1'!$C$2:$C1000 = A90) * ('Form responses 1'!$A$2:$A1000 &lt;= DATE(2024, 1, 31)))
+ SUMPRODUCT(('Form responses 1'!$D$2:$D1000 = A90) * ('Form responses 1'!$A$2:$A1000 &lt;= DATE(2024, 1, 31)))
+ SUMPRODUCT(('Form responses 1'!$E$2:$E1000 = A90) * ('Form responses 1'!$A$2:$A1000 &lt;= DATE(2024, 1, 31)))
+ SUMPRODUCT(('Form responses 1'!$F$2:$F1000 = A90) * ('Form responses 1'!$A$2:$A1000 &lt;= DATE(2024, 1, 31)))
+ SUMPRODUCT(('Form responses 1'!$G$2:$G1000 = A90) * ('Form responses 1'!$A$2:$A1000 &lt;= DATE(2024, 1, 31)))), 2), "-")
</f>
        <v>-</v>
      </c>
      <c r="D90" s="2" t="str">
        <f>IFERROR(ROUND(Data!B82/(SUMPRODUCT(('Form responses 1'!$B$2:$B1000 = A90) * ('Form responses 1'!$A$2:$A1000 &lt;= DATE(2024, 2, 29)))
+ SUMPRODUCT(('Form responses 1'!$C$2:$C1000 = A90) * ('Form responses 1'!$A$2:$A1000 &lt;= DATE(2024, 2, 29)))
+ SUMPRODUCT(('Form responses 1'!$D$2:$D1000 = A90) * ('Form responses 1'!$A$2:$A1000 &lt;= DATE(2024, 2, 29)))
+ SUMPRODUCT(('Form responses 1'!$E$2:$E1000 = A90) * ('Form responses 1'!$A$2:$A1000 &lt;= DATE(2024, 2, 29)))
+ SUMPRODUCT(('Form responses 1'!$F$2:$F1000 = A90) * ('Form responses 1'!$A$2:$A1000 &lt;= DATE(2024, 2, 29)))
+ SUMPRODUCT(('Form responses 1'!$G$2:$G1000 = A90) * ('Form responses 1'!$A$2:$A1000 &lt;= DATE(2024, 2, 29)))), 2), "-")
</f>
        <v>-</v>
      </c>
      <c r="E90" s="2" t="str">
        <f>IFERROR(ROUND(Data!B82/(SUMPRODUCT(('Form responses 1'!$B$2:$B1000 = A90) * ('Form responses 1'!$A$2:$A1000 &lt;= DATE(2024, 3, 31)))
+ SUMPRODUCT(('Form responses 1'!$C$2:$C1000 = A90) * ('Form responses 1'!$A$2:$A1000 &lt;= DATE(2024, 3, 31)))
+ SUMPRODUCT(('Form responses 1'!$D$2:$D1000 = A90) * ('Form responses 1'!$A$2:$A1000 &lt;= DATE(2024, 3, 31)))
+ SUMPRODUCT(('Form responses 1'!$E$2:$E1000 = A90) * ('Form responses 1'!$A$2:$A1000 &lt;= DATE(2024, 3, 31)))
+ SUMPRODUCT(('Form responses 1'!$F$2:$F1000 = A90) * ('Form responses 1'!$A$2:$A1000 &lt;= DATE(2024, 3, 31)))
+ SUMPRODUCT(('Form responses 1'!$G$2:$G1000 = A90) * ('Form responses 1'!$A$2:$A1000 &lt;= DATE(2024, 3, 31)))), 2), "-")
</f>
        <v>-</v>
      </c>
      <c r="F90" s="2" t="str">
        <f>IFERROR(ROUND(Data!B82/(SUMPRODUCT(('Form responses 1'!$B$2:$B1000 = A90) * ('Form responses 1'!$A$2:$A1000 &lt;= DATE(2024, 4, 30)))
+ SUMPRODUCT(('Form responses 1'!$C$2:$C1000 = A90) * ('Form responses 1'!$A$2:$A1000 &lt;= DATE(2024, 4, 30)))
+ SUMPRODUCT(('Form responses 1'!$D$2:$D1000 = A90) * ('Form responses 1'!$A$2:$A1000 &lt;= DATE(2024, 4, 30)))
+ SUMPRODUCT(('Form responses 1'!$E$2:$E1000 = A90) * ('Form responses 1'!$A$2:$A1000 &lt;= DATE(2024, 4, 30)))
+ SUMPRODUCT(('Form responses 1'!$F$2:$F1000 = A90) * ('Form responses 1'!$A$2:$A1000 &lt;= DATE(2024, 4, 30)))
+ SUMPRODUCT(('Form responses 1'!$G$2:$G1000 = A90) * ('Form responses 1'!$A$2:$A1000 &lt;= DATE(2024, 4, 30)))), 2), "-")
</f>
        <v>-</v>
      </c>
      <c r="G90" s="2" t="str">
        <f>IFERROR(ROUND(Data!B82/(SUMPRODUCT(('Form responses 1'!$B$2:$B1000 = A90) * ('Form responses 1'!$A$2:$A1000 &lt;= DATE(2024, 5, 31)))
+ SUMPRODUCT(('Form responses 1'!$C$2:$C1000 = A90) * ('Form responses 1'!$A$2:$A1000 &lt;= DATE(2024, 5, 31)))
+ SUMPRODUCT(('Form responses 1'!$D$2:$D1000 = A90) * ('Form responses 1'!$A$2:$A1000 &lt;= DATE(2024, 5, 31)))
+ SUMPRODUCT(('Form responses 1'!$E$2:$E1000 = A90) * ('Form responses 1'!$A$2:$A1000 &lt;= DATE(2024, 5, 31)))
+ SUMPRODUCT(('Form responses 1'!$F$2:$F1000 = A90) * ('Form responses 1'!$A$2:$A1000 &lt;= DATE(2024, 5, 31)))
+ SUMPRODUCT(('Form responses 1'!$G$2:$G1000 = A90) * ('Form responses 1'!$A$2:$A1000 &lt;= DATE(2024, 5, 31)))), 2), "-")
</f>
        <v>-</v>
      </c>
      <c r="H90" s="2" t="str">
        <f>IFERROR(ROUND(Data!B82/(SUMPRODUCT(('Form responses 1'!$B$2:$B1000 = A90) * ('Form responses 1'!$A$2:$A1000 &lt;= DATE(2024, 6, 30)))
+ SUMPRODUCT(('Form responses 1'!$C$2:$C1000 = A90) * ('Form responses 1'!$A$2:$A1000 &lt;= DATE(2024, 6, 30)))
+ SUMPRODUCT(('Form responses 1'!$D$2:$D1000 = A90) * ('Form responses 1'!$A$2:$A1000 &lt;= DATE(2024, 6, 30)))
+ SUMPRODUCT(('Form responses 1'!$E$2:$E1000 = A90) * ('Form responses 1'!$A$2:$A1000 &lt;= DATE(2024, 6, 30)))
+ SUMPRODUCT(('Form responses 1'!$F$2:$F1000 = A90) * ('Form responses 1'!$A$2:$A1000 &lt;= DATE(2024, 6, 30)))
+ SUMPRODUCT(('Form responses 1'!$G$2:$G1000 = A90) * ('Form responses 1'!$A$2:$A1000 &lt;= DATE(2024, 6, 30)))), 2), "-")
</f>
        <v>-</v>
      </c>
      <c r="I90" s="2" t="str">
        <f>IFERROR(ROUND(Data!B82/(SUMPRODUCT(('Form responses 1'!$B$2:$B1000 = A90) * ('Form responses 1'!$A$2:$A1000 &lt;= DATE(2024, 7, 31)))
+ SUMPRODUCT(('Form responses 1'!$C$2:$C1000 = A90) * ('Form responses 1'!$A$2:$A1000 &lt;= DATE(2024, 7, 31)))
+ SUMPRODUCT(('Form responses 1'!$D$2:$D1000 = A90) * ('Form responses 1'!$A$2:$A1000 &lt;= DATE(2024, 7, 31)))
+ SUMPRODUCT(('Form responses 1'!$E$2:$E1000 = A90) * ('Form responses 1'!$A$2:$A1000 &lt;= DATE(2024, 7, 31)))
+ SUMPRODUCT(('Form responses 1'!$F$2:$F1000 = A90) * ('Form responses 1'!$A$2:$A1000 &lt;= DATE(2024, 7, 31)))
+ SUMPRODUCT(('Form responses 1'!$G$2:$G1000 = A90) * ('Form responses 1'!$A$2:$A1000 &lt;= DATE(2024, 7, 31)))), 2), "-")
</f>
        <v>-</v>
      </c>
      <c r="J90" s="2" t="str">
        <f>IFERROR(ROUND(Data!B82/(SUMPRODUCT(('Form responses 1'!$B$2:$B1000 = A90) * ('Form responses 1'!$A$2:$A1000 &lt;= DATE(2024, 8, 31)))
+ SUMPRODUCT(('Form responses 1'!$C$2:$C1000 = A90) * ('Form responses 1'!$A$2:$A1000 &lt;= DATE(2024, 8, 31)))
+ SUMPRODUCT(('Form responses 1'!$D$2:$D1000 = A90) * ('Form responses 1'!$A$2:$A1000 &lt;= DATE(2024, 8, 31)))
+ SUMPRODUCT(('Form responses 1'!$E$2:$E1000 = A90) * ('Form responses 1'!$A$2:$A1000 &lt;= DATE(2024, 8, 31)))
+ SUMPRODUCT(('Form responses 1'!$F$2:$F1000 = A90) * ('Form responses 1'!$A$2:$A1000 &lt;= DATE(2024, 8, 31)))
+ SUMPRODUCT(('Form responses 1'!$G$2:$G1000 = A90) * ('Form responses 1'!$A$2:$A1000 &lt;= DATE(2024, 8, 31)))), 2), "-")
</f>
        <v>-</v>
      </c>
      <c r="K90" s="2" t="str">
        <f>IFERROR(ROUND(Data!B82/(SUMPRODUCT(('Form responses 1'!$B$2:$B1000 = A90) * ('Form responses 1'!$A$2:$A1000 &lt;= DATE(2024, 9, 30)))
+ SUMPRODUCT(('Form responses 1'!$C$2:$C1000 = A90) * ('Form responses 1'!$A$2:$A1000 &lt;= DATE(2024, 9, 30)))
+ SUMPRODUCT(('Form responses 1'!$D$2:$D1000 = A90) * ('Form responses 1'!$A$2:$A1000 &lt;= DATE(2024, 9, 30)))
+ SUMPRODUCT(('Form responses 1'!$E$2:$E1000 = A90) * ('Form responses 1'!$A$2:$A1000 &lt;= DATE(2024, 9, 30)))
+ SUMPRODUCT(('Form responses 1'!$F$2:$F1000 = A90) * ('Form responses 1'!$A$2:$A1000 &lt;= DATE(2024, 9, 30)))
+ SUMPRODUCT(('Form responses 1'!$G$2:$G1000 = A90) * ('Form responses 1'!$A$2:$A1000 &lt;= DATE(2024, 9, 30)))), 2), "-")
</f>
        <v>-</v>
      </c>
      <c r="L90" s="2" t="str">
        <f>IFERROR(ROUND(Data!B82/(SUMPRODUCT(('Form responses 1'!$B$2:$B1000 = A90) * ('Form responses 1'!$A$2:$A1000 &lt;= DATE(2024, 10, 31)))
+ SUMPRODUCT(('Form responses 1'!$C$2:$C1000 = A90) * ('Form responses 1'!$A$2:$A1000 &lt;= DATE(2024, 10, 31)))
+ SUMPRODUCT(('Form responses 1'!$D$2:$D1000 = A90) * ('Form responses 1'!$A$2:$A1000 &lt;= DATE(2024, 10, 31)))
+ SUMPRODUCT(('Form responses 1'!$E$2:$E1000 = A90) * ('Form responses 1'!$A$2:$A1000 &lt;= DATE(2024, 10, 31)))
+ SUMPRODUCT(('Form responses 1'!$F$2:$F1000 = A90) * ('Form responses 1'!$A$2:$A1000 &lt;= DATE(2024, 10, 31)))
+ SUMPRODUCT(('Form responses 1'!$G$2:$G1000 = A90) * ('Form responses 1'!$A$2:$A1000 &lt;= DATE(2024, 10, 31)))), 2), "-")
</f>
        <v>-</v>
      </c>
      <c r="M90" s="2" t="str">
        <f>IFERROR(ROUND(Data!B82/(SUMPRODUCT(('Form responses 1'!$B$2:$B1000 = A90) * ('Form responses 1'!$A$2:$A1000 &lt;= DATE(2024, 11, 30)))
+ SUMPRODUCT(('Form responses 1'!$C$2:$C1000 = A90) * ('Form responses 1'!$A$2:$A1000 &lt;= DATE(2024, 11, 30)))
+ SUMPRODUCT(('Form responses 1'!$D$2:$D1000 = A90) * ('Form responses 1'!$A$2:$A1000 &lt;= DATE(2024, 11, 30)))
+ SUMPRODUCT(('Form responses 1'!$E$2:$E1000 = A90) * ('Form responses 1'!$A$2:$A1000 &lt;= DATE(2024, 11, 30)))
+ SUMPRODUCT(('Form responses 1'!$F$2:$F1000 = A90) * ('Form responses 1'!$A$2:$A1000 &lt;= DATE(2024, 11, 30)))
+ SUMPRODUCT(('Form responses 1'!$G$2:$G1000 = A90) * ('Form responses 1'!$A$2:$A1000 &lt;= DATE(2024, 11, 30)))), 2), "-")
</f>
        <v>-</v>
      </c>
      <c r="N90" s="2" t="str">
        <f>IFERROR(ROUND(Data!B82/(SUMPRODUCT(('Form responses 1'!$B$2:$B1000 = A90) * ('Form responses 1'!$A$2:$A1000 &lt;= DATE(2024, 12, 31)))
+ SUMPRODUCT(('Form responses 1'!$C$2:$C1000 = A90) * ('Form responses 1'!$A$2:$A1000 &lt;= DATE(2024, 12, 31)))
+ SUMPRODUCT(('Form responses 1'!$D$2:$D1000 = A90) * ('Form responses 1'!$A$2:$A1000 &lt;= DATE(2024, 12, 31)))
+ SUMPRODUCT(('Form responses 1'!$E$2:$E1000 = A90) * ('Form responses 1'!$A$2:$A1000 &lt;= DATE(2024, 12, 31)))
+ SUMPRODUCT(('Form responses 1'!$F$2:$F1000 = A90) * ('Form responses 1'!$A$2:$A1000 &lt;= DATE(2024, 12, 31)))
+ SUMPRODUCT(('Form responses 1'!$G$2:$G1000 = A90) * ('Form responses 1'!$A$2:$A1000 &lt;= DATE(2024, 12, 31)))), 2), "-")
</f>
        <v>-</v>
      </c>
      <c r="O90" s="2" t="str">
        <f>IFERROR(ROUND(Data!B82/(SUMPRODUCT(('Form responses 1'!$B$2:$B1000 = A90) * ('Form responses 1'!$A$2:$A1000 &lt;= DATE(2025, 1, 31)))
+ SUMPRODUCT(('Form responses 1'!$C$2:$C1000 = A90) * ('Form responses 1'!$A$2:$A1000 &lt;= DATE(2025, 1, 31)))
+ SUMPRODUCT(('Form responses 1'!$D$2:$D1000 = A90) * ('Form responses 1'!$A$2:$A1000 &lt;= DATE(2025, 1, 31)))
+ SUMPRODUCT(('Form responses 1'!$E$2:$E1000 = A90) * ('Form responses 1'!$A$2:$A1000 &lt;= DATE(2025, 1, 31)))
+ SUMPRODUCT(('Form responses 1'!$F$2:$F1000 = A90) * ('Form responses 1'!$A$2:$A1000 &lt;= DATE(2025, 1, 31)))
+ SUMPRODUCT(('Form responses 1'!$G$2:$G1000 = A90) * ('Form responses 1'!$A$2:$A1000 &lt;= DATE(2025, 1, 31)))), 2), "-")
</f>
        <v>-</v>
      </c>
      <c r="P90" s="2" t="str">
        <f>IFERROR(ROUND(Data!B82/(SUMPRODUCT(('Form responses 1'!$B$2:$B1000 = A90) * ('Form responses 1'!$A$2:$A1000 &lt;= DATE(2025, 2, 28)))
+ SUMPRODUCT(('Form responses 1'!$C$2:$C1000 = A90) * ('Form responses 1'!$A$2:$A1000 &lt;= DATE(2025, 2, 28)))
+ SUMPRODUCT(('Form responses 1'!$D$2:$D1000 = A90) * ('Form responses 1'!$A$2:$A1000 &lt;= DATE(2025, 2, 28)))
+ SUMPRODUCT(('Form responses 1'!$E$2:$E1000 = A90) * ('Form responses 1'!$A$2:$A1000 &lt;= DATE(2025, 2, 28)))
+ SUMPRODUCT(('Form responses 1'!$F$2:$F1000 = A90) * ('Form responses 1'!$A$2:$A1000 &lt;= DATE(2025, 2, 28)))
+ SUMPRODUCT(('Form responses 1'!$G$2:$G1000 = A90) * ('Form responses 1'!$A$2:$A1000 &lt;= DATE(2025, 2, 28)))), 2), "-")
</f>
        <v>-</v>
      </c>
      <c r="Q90" s="2" t="str">
        <f>IFERROR(ROUND(Data!B82/(SUMPRODUCT(('Form responses 1'!$B$2:$B1000 = A90) * ('Form responses 1'!$A$2:$A1000 &lt;= DATE(2025, 3, 31)))
+ SUMPRODUCT(('Form responses 1'!$C$2:$C1000 = A90) * ('Form responses 1'!$A$2:$A1000 &lt;= DATE(2025, 3, 31)))
+ SUMPRODUCT(('Form responses 1'!$D$2:$D1000 = A90) * ('Form responses 1'!$A$2:$A1000 &lt;= DATE(2025, 3, 31)))
+ SUMPRODUCT(('Form responses 1'!$E$2:$E1000 = A90) * ('Form responses 1'!$A$2:$A1000 &lt;= DATE(2025, 3, 31)))
+ SUMPRODUCT(('Form responses 1'!$F$2:$F1000 = A90) * ('Form responses 1'!$A$2:$A1000 &lt;= DATE(2025, 3, 31)))
+ SUMPRODUCT(('Form responses 1'!$G$2:$G1000 = A90) * ('Form responses 1'!$A$2:$A1000 &lt;= DATE(2025, 3, 31)))),2),"-")</f>
        <v>-</v>
      </c>
      <c r="R90" s="2" t="str">
        <f>IFERROR(ROUND(Data!B82/(SUMPRODUCT(('Form responses 1'!$B$2:$B1000 = A90) * ('Form responses 1'!$A$2:$A1000 &lt;= DATE(2025, 4, 30)))
+ SUMPRODUCT(('Form responses 1'!$C$2:$C1000 = A90) * ('Form responses 1'!$A$2:$A1000 &lt;= DATE(2025, 4, 30)))
+ SUMPRODUCT(('Form responses 1'!$D$2:$D1000 = A90) * ('Form responses 1'!$A$2:$A1000 &lt;= DATE(2025, 4, 30)))
+ SUMPRODUCT(('Form responses 1'!$E$2:$E1000 = A90) * ('Form responses 1'!$A$2:$A1000 &lt;= DATE(2025, 4, 30)))
+ SUMPRODUCT(('Form responses 1'!$F$2:$F1000 = A90) * ('Form responses 1'!$A$2:$A1000 &lt;= DATE(2025, 4, 30)))
+ SUMPRODUCT(('Form responses 1'!$G$2:$G1000 = A90) * ('Form responses 1'!$A$2:$A1000 &lt;= DATE(2025, 4, 30)))), 2), "-")
</f>
        <v>-</v>
      </c>
      <c r="S90" s="2" t="str">
        <f>IFERROR(ROUND(Data!B82/(SUMPRODUCT(('Form responses 1'!$B$2:$B1000 = A90) * ('Form responses 1'!$A$2:$A1000 &lt;= DATE(2025, 5, 31)))
+ SUMPRODUCT(('Form responses 1'!$C$2:$C1000 = A90) * ('Form responses 1'!$A$2:$A1000 &lt;= DATE(2025, 5, 31)))
+ SUMPRODUCT(('Form responses 1'!$D$2:$D1000 = A90) * ('Form responses 1'!$A$2:$A1000 &lt;= DATE(2025, 5, 31)))
+ SUMPRODUCT(('Form responses 1'!$E$2:$E1000 = A90) * ('Form responses 1'!$A$2:$A1000 &lt;= DATE(2025, 5, 31)))
+ SUMPRODUCT(('Form responses 1'!$F$2:$F1000 = A90) * ('Form responses 1'!$A$2:$A1000 &lt;= DATE(2025, 5, 31)))
+ SUMPRODUCT(('Form responses 1'!$G$2:$G1000 = A90) * ('Form responses 1'!$A$2:$A1000 &lt;= DATE(2025, 5, 31)))), 2), "-")
</f>
        <v>-</v>
      </c>
      <c r="T90" s="2" t="str">
        <f>IFERROR(ROUND(Data!B82/(SUMPRODUCT(('Form responses 1'!$B$2:$B1000 = A90) * ('Form responses 1'!$A$2:$A1000 &lt;= DATE(2025, 6, 30)))
+ SUMPRODUCT(('Form responses 1'!$C$2:$C1000 = A90) * ('Form responses 1'!$A$2:$A1000 &lt;= DATE(2025, 6, 30)))
+ SUMPRODUCT(('Form responses 1'!$D$2:$D1000 = A90) * ('Form responses 1'!$A$2:$A1000 &lt;= DATE(2025, 6, 30)))
+ SUMPRODUCT(('Form responses 1'!$E$2:$E1000 = A90) * ('Form responses 1'!$A$2:$A1000 &lt;= DATE(2025, 6, 30)))
+ SUMPRODUCT(('Form responses 1'!$F$2:$F1000 = A90) * ('Form responses 1'!$A$2:$A1000 &lt;= DATE(2025, 6, 30)))
+ SUMPRODUCT(('Form responses 1'!$G$2:$G1000 = A90) * ('Form responses 1'!$A$2:$A1000 &lt;= DATE(2025, 6, 30)))), 2), "-")
</f>
        <v>-</v>
      </c>
      <c r="U90" s="2">
        <f>IFERROR(ROUND(Data!B82/(SUMPRODUCT(('Form responses 1'!$B$2:$B1000 = A90) * ('Form responses 1'!$A$2:$A1000 &lt;= DATE(2025, 7, 31)))
+ SUMPRODUCT(('Form responses 1'!$C$2:$C1000 = A90) * ('Form responses 1'!$A$2:$A1000 &lt;= DATE(2025, 7, 31)))
+ SUMPRODUCT(('Form responses 1'!$D$2:$D1000 = A90) * ('Form responses 1'!$A$2:$A1000 &lt;= DATE(2025, 7, 31)))
+ SUMPRODUCT(('Form responses 1'!$E$2:$E1000 = A90) * ('Form responses 1'!$A$2:$A1000 &lt;= DATE(2025, 7, 31)))
+ SUMPRODUCT(('Form responses 1'!$F$2:$F1000 = A90) * ('Form responses 1'!$A$2:$A1000 &lt;= DATE(2025, 7, 31)))
+ SUMPRODUCT(('Form responses 1'!$G$2:$G1000 = A90) * ('Form responses 1'!$A$2:$A1000 &lt;= DATE(2025, 7, 31)))), 2), "-")
</f>
        <v>13.88</v>
      </c>
      <c r="V90" s="2">
        <f>IFERROR(ROUND(Data!B82/(SUMPRODUCT(('Form responses 1'!$B$2:$B1000 = A90) * ('Form responses 1'!$A$2:$A1000 &lt;= DATE(2025, 8, 31)))
+ SUMPRODUCT(('Form responses 1'!$C$2:$C1000 = A90) * ('Form responses 1'!$A$2:$A1000 &lt;= DATE(2025, 8, 31)))
+ SUMPRODUCT(('Form responses 1'!$D$2:$D1000 = A90) * ('Form responses 1'!$A$2:$A1000 &lt;= DATE(2025, 8, 31)))
+ SUMPRODUCT(('Form responses 1'!$E$2:$E1000 = A90) * ('Form responses 1'!$A$2:$A1000 &lt;= DATE(2025, 8, 31)))
+ SUMPRODUCT(('Form responses 1'!$F$2:$F1000 = A90) * ('Form responses 1'!$A$2:$A1000 &lt;= DATE(2025, 8, 31)))
+ SUMPRODUCT(('Form responses 1'!$G$2:$G1000 = A90) * ('Form responses 1'!$A$2:$A1000 &lt;= DATE(2025, 8, 31)))), 2), "-")
</f>
        <v>10.41</v>
      </c>
      <c r="W90" s="2">
        <f>IFERROR(ROUND(Data!B82/(SUMPRODUCT(('Form responses 1'!$B$2:$B1000 = A90) * ('Form responses 1'!$A$2:$A1000 &lt;= DATE(2025, 9, 30)))
+ SUMPRODUCT(('Form responses 1'!$C$2:$C1000 = A90) * ('Form responses 1'!$A$2:$A1000 &lt;= DATE(2025, 9, 30)))
+ SUMPRODUCT(('Form responses 1'!$D$2:$D1000 = A90) * ('Form responses 1'!$A$2:$A1000 &lt;= DATE(2025, 9, 30)))
+ SUMPRODUCT(('Form responses 1'!$E$2:$E1000 = A90) * ('Form responses 1'!$A$2:$A1000 &lt;= DATE(2025, 9, 30)))
+ SUMPRODUCT(('Form responses 1'!$F$2:$F1000 = A90) * ('Form responses 1'!$A$2:$A1000 &lt;= DATE(2025, 9, 30)))
+ SUMPRODUCT(('Form responses 1'!$G$2:$G1000 = A90) * ('Form responses 1'!$A$2:$A1000 &lt;= DATE(2025, 9, 30)))), 2), "-")
</f>
        <v>10.41</v>
      </c>
      <c r="X90" s="2">
        <f>IFERROR(ROUND(Data!B82/(SUMPRODUCT(('Form responses 1'!$B$2:$B1000 = A90) * ('Form responses 1'!$A$2:$A1000 &lt;= DATE(2025, 10, 31)))
+ SUMPRODUCT(('Form responses 1'!$C$2:$C1000 = A90) * ('Form responses 1'!$A$2:$A1000 &lt;= DATE(2025, 10, 31)))
+ SUMPRODUCT(('Form responses 1'!$D$2:$D1000 = A90) * ('Form responses 1'!$A$2:$A1000 &lt;= DATE(2025, 10, 31)))
+ SUMPRODUCT(('Form responses 1'!$E$2:$E1000 = A90) * ('Form responses 1'!$A$2:$A1000 &lt;= DATE(2025, 10, 31)))
+ SUMPRODUCT(('Form responses 1'!$F$2:$F1000 = A90) * ('Form responses 1'!$A$2:$A1000 &lt;= DATE(2025, 10, 31)))
+ SUMPRODUCT(('Form responses 1'!$G$2:$G1000 = A90) * ('Form responses 1'!$A$2:$A1000 &lt;= DATE(2025, 10, 31)))), 2), "-")
</f>
        <v>10.41</v>
      </c>
      <c r="Y90" s="2">
        <f>IFERROR(ROUND(Data!B82/(SUMPRODUCT(('Form responses 1'!$B$2:$B1000 = A90) * ('Form responses 1'!$A$2:$A1000 &lt;= DATE(2025, 11, 30)))
+ SUMPRODUCT(('Form responses 1'!$C$2:$C1000 = A90) * ('Form responses 1'!$A$2:$A1000 &lt;= DATE(2025, 11, 30)))
+ SUMPRODUCT(('Form responses 1'!$D$2:$D1000 = A90) * ('Form responses 1'!$A$2:$A1000 &lt;= DATE(2025, 11, 30)))
+ SUMPRODUCT(('Form responses 1'!$E$2:$E1000 = A90) * ('Form responses 1'!$A$2:$A1000 &lt;= DATE(2025, 11, 30)))
+ SUMPRODUCT(('Form responses 1'!$F$2:$F1000 = A90) * ('Form responses 1'!$A$2:$A1000 &lt;= DATE(2025, 11, 30)))
+ SUMPRODUCT(('Form responses 1'!$G$2:$G1000 = A90) * ('Form responses 1'!$A$2:$A1000 &lt;= DATE(2025, 11, 30)))), 2), "-")
</f>
        <v>10.41</v>
      </c>
      <c r="Z90" s="2">
        <f>IFERROR(ROUND(Data!B82/(SUMPRODUCT(('Form responses 1'!$B$2:$B1000 = A90) * ('Form responses 1'!$A$2:$A1000 &lt;= DATE(2025, 12, 31)))
+ SUMPRODUCT(('Form responses 1'!$C$2:$C1000 = A90) * ('Form responses 1'!$A$2:$A1000 &lt;= DATE(2025, 12, 31)))
+ SUMPRODUCT(('Form responses 1'!$D$2:$D1000 = A90) * ('Form responses 1'!$A$2:$A1000 &lt;= DATE(2025, 12, 31)))
+ SUMPRODUCT(('Form responses 1'!$E$2:$E1000 = A90) * ('Form responses 1'!$A$2:$A1000 &lt;= DATE(2025, 12, 31)))
+ SUMPRODUCT(('Form responses 1'!$F$2:$F1000 = A90) * ('Form responses 1'!$A$2:$A1000 &lt;= DATE(2025, 12, 31)))
+ SUMPRODUCT(('Form responses 1'!$G$2:$G1000 = A90) * ('Form responses 1'!$A$2:$A1000 &lt;= DATE(2025, 12, 31)))), 2), "-")
</f>
        <v>10.41</v>
      </c>
      <c r="AA90" s="2">
        <f>IFERROR(ROUND(Data!$B90/(
  SUMPRODUCT(('Form responses 1'!$B$2:$B1000=$A90)*('Form responses 1'!$A$2:$A1000&lt;=EOMONTH(DATEVALUE("1 "&amp;AA$1),0)))+
  SUMPRODUCT(('Form responses 1'!$C$2:$C1000=$A90)*('Form responses 1'!$A$2:$A1000&lt;=EOMONTH(DATEVALUE("1 "&amp;AA$1),0)))+
  SUMPRODUCT(('Form responses 1'!$D$2:$D1000=$A90)*('Form responses 1'!$A$2:$A1000&lt;=EOMONTH(DATEVALUE("1 "&amp;AA$1),0)))+
  SUMPRODUCT(('Form responses 1'!$E$2:$E1000=$A90)*('Form responses 1'!$A$2:$A1000&lt;=EOMONTH(DATEVALUE("1 "&amp;AA$1),0)))+
  SUMPRODUCT(('Form responses 1'!$F$2:$F1000=$A90)*('Form responses 1'!$A$2:$A1000&lt;=EOMONTH(DATEVALUE("1 "&amp;AA$1),0)))+
  SUMPRODUCT(('Form responses 1'!$G$2:$G1000=$A90)*('Form responses 1'!$A$2:$A1000&lt;=EOMONTH(DATEVALUE("1 "&amp;AA$1),0)))
),2),"-")</f>
        <v>0.74</v>
      </c>
      <c r="AB90" s="2">
        <f>IFERROR(ROUND(Data!$B90/(
  SUMPRODUCT(('Form responses 1'!$B$2:$B1000=$A90)*('Form responses 1'!$A$2:$A1000&lt;=EOMONTH(DATEVALUE("1 "&amp;AB$1),0)))+
  SUMPRODUCT(('Form responses 1'!$C$2:$C1000=$A90)*('Form responses 1'!$A$2:$A1000&lt;=EOMONTH(DATEVALUE("1 "&amp;AB$1),0)))+
  SUMPRODUCT(('Form responses 1'!$D$2:$D1000=$A90)*('Form responses 1'!$A$2:$A1000&lt;=EOMONTH(DATEVALUE("1 "&amp;AB$1),0)))+
  SUMPRODUCT(('Form responses 1'!$E$2:$E1000=$A90)*('Form responses 1'!$A$2:$A1000&lt;=EOMONTH(DATEVALUE("1 "&amp;AB$1),0)))+
  SUMPRODUCT(('Form responses 1'!$F$2:$F1000=$A90)*('Form responses 1'!$A$2:$A1000&lt;=EOMONTH(DATEVALUE("1 "&amp;AB$1),0)))+
  SUMPRODUCT(('Form responses 1'!$G$2:$G1000=$A90)*('Form responses 1'!$A$2:$A1000&lt;=EOMONTH(DATEVALUE("1 "&amp;AB$1),0)))
),2),"-")</f>
        <v>0.74</v>
      </c>
      <c r="AC90" s="2">
        <f>IFERROR(ROUND(Data!$B90/(
  SUMPRODUCT(('Form responses 1'!$B$2:$B1000=$A90)*('Form responses 1'!$A$2:$A1000&lt;=EOMONTH(DATEVALUE("1 "&amp;AC$1),0)))+
  SUMPRODUCT(('Form responses 1'!$C$2:$C1000=$A90)*('Form responses 1'!$A$2:$A1000&lt;=EOMONTH(DATEVALUE("1 "&amp;AC$1),0)))+
  SUMPRODUCT(('Form responses 1'!$D$2:$D1000=$A90)*('Form responses 1'!$A$2:$A1000&lt;=EOMONTH(DATEVALUE("1 "&amp;AC$1),0)))+
  SUMPRODUCT(('Form responses 1'!$E$2:$E1000=$A90)*('Form responses 1'!$A$2:$A1000&lt;=EOMONTH(DATEVALUE("1 "&amp;AC$1),0)))+
  SUMPRODUCT(('Form responses 1'!$F$2:$F1000=$A90)*('Form responses 1'!$A$2:$A1000&lt;=EOMONTH(DATEVALUE("1 "&amp;AC$1),0)))+
  SUMPRODUCT(('Form responses 1'!$G$2:$G1000=$A90)*('Form responses 1'!$A$2:$A1000&lt;=EOMONTH(DATEVALUE("1 "&amp;AC$1),0)))
),2),"-")</f>
        <v>0.74</v>
      </c>
      <c r="AD90" s="2" t="str">
        <f>IFERROR(ROUND(Data!$B90/(
  SUMPRODUCT(('Form responses 1'!$B$2:$B1000=$A90)*('Form responses 1'!$A$2:$A1000&lt;=EOMONTH(DATEVALUE("1 "&amp;AD$1),0)))+
  SUMPRODUCT(('Form responses 1'!$C$2:$C1000=$A90)*('Form responses 1'!$A$2:$A1000&lt;=EOMONTH(DATEVALUE("1 "&amp;AD$1),0)))+
  SUMPRODUCT(('Form responses 1'!$D$2:$D1000=$A90)*('Form responses 1'!$A$2:$A1000&lt;=EOMONTH(DATEVALUE("1 "&amp;AD$1),0)))+
  SUMPRODUCT(('Form responses 1'!$E$2:$E1000=$A90)*('Form responses 1'!$A$2:$A1000&lt;=EOMONTH(DATEVALUE("1 "&amp;AD$1),0)))+
  SUMPRODUCT(('Form responses 1'!$F$2:$F1000=$A90)*('Form responses 1'!$A$2:$A1000&lt;=EOMONTH(DATEVALUE("1 "&amp;AD$1),0)))+
  SUMPRODUCT(('Form responses 1'!$G$2:$G1000=$A90)*('Form responses 1'!$A$2:$A1000&lt;=EOMONTH(DATEVALUE("1 "&amp;AD$1),0)))
),2),"-")</f>
        <v>-</v>
      </c>
      <c r="AE90" s="2" t="str">
        <f>IFERROR(ROUND(Data!$B90/(
  SUMPRODUCT(('Form responses 1'!$B$2:$B1000=$A90)*('Form responses 1'!$A$2:$A1000&lt;=EOMONTH(DATEVALUE("1 "&amp;AE$1),0)))+
  SUMPRODUCT(('Form responses 1'!$C$2:$C1000=$A90)*('Form responses 1'!$A$2:$A1000&lt;=EOMONTH(DATEVALUE("1 "&amp;AE$1),0)))+
  SUMPRODUCT(('Form responses 1'!$D$2:$D1000=$A90)*('Form responses 1'!$A$2:$A1000&lt;=EOMONTH(DATEVALUE("1 "&amp;AE$1),0)))+
  SUMPRODUCT(('Form responses 1'!$E$2:$E1000=$A90)*('Form responses 1'!$A$2:$A1000&lt;=EOMONTH(DATEVALUE("1 "&amp;AE$1),0)))+
  SUMPRODUCT(('Form responses 1'!$F$2:$F1000=$A90)*('Form responses 1'!$A$2:$A1000&lt;=EOMONTH(DATEVALUE("1 "&amp;AE$1),0)))+
  SUMPRODUCT(('Form responses 1'!$G$2:$G1000=$A90)*('Form responses 1'!$A$2:$A1000&lt;=EOMONTH(DATEVALUE("1 "&amp;AE$1),0)))
),2),"-")</f>
        <v>-</v>
      </c>
      <c r="AF90" s="2" t="str">
        <f>IFERROR(ROUND(Data!$B90/(
  SUMPRODUCT(('Form responses 1'!$B$2:$B1000=$A90)*('Form responses 1'!$A$2:$A1000&lt;=EOMONTH(DATEVALUE("1 "&amp;AF$1),0)))+
  SUMPRODUCT(('Form responses 1'!$C$2:$C1000=$A90)*('Form responses 1'!$A$2:$A1000&lt;=EOMONTH(DATEVALUE("1 "&amp;AF$1),0)))+
  SUMPRODUCT(('Form responses 1'!$D$2:$D1000=$A90)*('Form responses 1'!$A$2:$A1000&lt;=EOMONTH(DATEVALUE("1 "&amp;AF$1),0)))+
  SUMPRODUCT(('Form responses 1'!$E$2:$E1000=$A90)*('Form responses 1'!$A$2:$A1000&lt;=EOMONTH(DATEVALUE("1 "&amp;AF$1),0)))+
  SUMPRODUCT(('Form responses 1'!$F$2:$F1000=$A90)*('Form responses 1'!$A$2:$A1000&lt;=EOMONTH(DATEVALUE("1 "&amp;AF$1),0)))+
  SUMPRODUCT(('Form responses 1'!$G$2:$G1000=$A90)*('Form responses 1'!$A$2:$A1000&lt;=EOMONTH(DATEVALUE("1 "&amp;AF$1),0)))
),2),"-")</f>
        <v>-</v>
      </c>
      <c r="AG90" s="2" t="str">
        <f>IFERROR(ROUND(Data!$B90/(
  SUMPRODUCT(('Form responses 1'!$B$2:$B1000=$A90)*('Form responses 1'!$A$2:$A1000&lt;=EOMONTH(DATEVALUE("1 "&amp;AG$1),0)))+
  SUMPRODUCT(('Form responses 1'!$C$2:$C1000=$A90)*('Form responses 1'!$A$2:$A1000&lt;=EOMONTH(DATEVALUE("1 "&amp;AG$1),0)))+
  SUMPRODUCT(('Form responses 1'!$D$2:$D1000=$A90)*('Form responses 1'!$A$2:$A1000&lt;=EOMONTH(DATEVALUE("1 "&amp;AG$1),0)))+
  SUMPRODUCT(('Form responses 1'!$E$2:$E1000=$A90)*('Form responses 1'!$A$2:$A1000&lt;=EOMONTH(DATEVALUE("1 "&amp;AG$1),0)))+
  SUMPRODUCT(('Form responses 1'!$F$2:$F1000=$A90)*('Form responses 1'!$A$2:$A1000&lt;=EOMONTH(DATEVALUE("1 "&amp;AG$1),0)))+
  SUMPRODUCT(('Form responses 1'!$G$2:$G1000=$A90)*('Form responses 1'!$A$2:$A1000&lt;=EOMONTH(DATEVALUE("1 "&amp;AG$1),0)))
),2),"-")</f>
        <v>-</v>
      </c>
      <c r="AH90" s="2" t="str">
        <f>IFERROR(ROUND(Data!$B90/(
  SUMPRODUCT(('Form responses 1'!$B$2:$B1000=$A90)*('Form responses 1'!$A$2:$A1000&lt;=EOMONTH(DATEVALUE("1 "&amp;AH$1),0)))+
  SUMPRODUCT(('Form responses 1'!$C$2:$C1000=$A90)*('Form responses 1'!$A$2:$A1000&lt;=EOMONTH(DATEVALUE("1 "&amp;AH$1),0)))+
  SUMPRODUCT(('Form responses 1'!$D$2:$D1000=$A90)*('Form responses 1'!$A$2:$A1000&lt;=EOMONTH(DATEVALUE("1 "&amp;AH$1),0)))+
  SUMPRODUCT(('Form responses 1'!$E$2:$E1000=$A90)*('Form responses 1'!$A$2:$A1000&lt;=EOMONTH(DATEVALUE("1 "&amp;AH$1),0)))+
  SUMPRODUCT(('Form responses 1'!$F$2:$F1000=$A90)*('Form responses 1'!$A$2:$A1000&lt;=EOMONTH(DATEVALUE("1 "&amp;AH$1),0)))+
  SUMPRODUCT(('Form responses 1'!$G$2:$G1000=$A90)*('Form responses 1'!$A$2:$A1000&lt;=EOMONTH(DATEVALUE("1 "&amp;AH$1),0)))
),2),"-")</f>
        <v>-</v>
      </c>
      <c r="AI90" s="2" t="str">
        <f>IFERROR(ROUND(Data!$B90/(
  SUMPRODUCT(('Form responses 1'!$B$2:$B1000=$A90)*('Form responses 1'!$A$2:$A1000&lt;=EOMONTH(DATEVALUE("1 "&amp;AI$1),0)))+
  SUMPRODUCT(('Form responses 1'!$C$2:$C1000=$A90)*('Form responses 1'!$A$2:$A1000&lt;=EOMONTH(DATEVALUE("1 "&amp;AI$1),0)))+
  SUMPRODUCT(('Form responses 1'!$D$2:$D1000=$A90)*('Form responses 1'!$A$2:$A1000&lt;=EOMONTH(DATEVALUE("1 "&amp;AI$1),0)))+
  SUMPRODUCT(('Form responses 1'!$E$2:$E1000=$A90)*('Form responses 1'!$A$2:$A1000&lt;=EOMONTH(DATEVALUE("1 "&amp;AI$1),0)))+
  SUMPRODUCT(('Form responses 1'!$F$2:$F1000=$A90)*('Form responses 1'!$A$2:$A1000&lt;=EOMONTH(DATEVALUE("1 "&amp;AI$1),0)))+
  SUMPRODUCT(('Form responses 1'!$G$2:$G1000=$A90)*('Form responses 1'!$A$2:$A1000&lt;=EOMONTH(DATEVALUE("1 "&amp;AI$1),0)))
),2),"-")</f>
        <v>-</v>
      </c>
      <c r="AJ90" s="2" t="str">
        <f>IFERROR(ROUND(Data!$B90/(
  SUMPRODUCT(('Form responses 1'!$B$2:$B1000=$A90)*('Form responses 1'!$A$2:$A1000&lt;=EOMONTH(DATEVALUE("1 "&amp;AJ$1),0)))+
  SUMPRODUCT(('Form responses 1'!$C$2:$C1000=$A90)*('Form responses 1'!$A$2:$A1000&lt;=EOMONTH(DATEVALUE("1 "&amp;AJ$1),0)))+
  SUMPRODUCT(('Form responses 1'!$D$2:$D1000=$A90)*('Form responses 1'!$A$2:$A1000&lt;=EOMONTH(DATEVALUE("1 "&amp;AJ$1),0)))+
  SUMPRODUCT(('Form responses 1'!$E$2:$E1000=$A90)*('Form responses 1'!$A$2:$A1000&lt;=EOMONTH(DATEVALUE("1 "&amp;AJ$1),0)))+
  SUMPRODUCT(('Form responses 1'!$F$2:$F1000=$A90)*('Form responses 1'!$A$2:$A1000&lt;=EOMONTH(DATEVALUE("1 "&amp;AJ$1),0)))+
  SUMPRODUCT(('Form responses 1'!$G$2:$G1000=$A90)*('Form responses 1'!$A$2:$A1000&lt;=EOMONTH(DATEVALUE("1 "&amp;AJ$1),0)))
),2),"-")</f>
        <v>-</v>
      </c>
      <c r="AK90" s="2" t="str">
        <f>IFERROR(ROUND(Data!$B90/(
  SUMPRODUCT(('Form responses 1'!$B$2:$B1000=$A90)*('Form responses 1'!$A$2:$A1000&lt;=EOMONTH(DATEVALUE("1 "&amp;AK$1),0)))+
  SUMPRODUCT(('Form responses 1'!$C$2:$C1000=$A90)*('Form responses 1'!$A$2:$A1000&lt;=EOMONTH(DATEVALUE("1 "&amp;AK$1),0)))+
  SUMPRODUCT(('Form responses 1'!$D$2:$D1000=$A90)*('Form responses 1'!$A$2:$A1000&lt;=EOMONTH(DATEVALUE("1 "&amp;AK$1),0)))+
  SUMPRODUCT(('Form responses 1'!$E$2:$E1000=$A90)*('Form responses 1'!$A$2:$A1000&lt;=EOMONTH(DATEVALUE("1 "&amp;AK$1),0)))+
  SUMPRODUCT(('Form responses 1'!$F$2:$F1000=$A90)*('Form responses 1'!$A$2:$A1000&lt;=EOMONTH(DATEVALUE("1 "&amp;AK$1),0)))+
  SUMPRODUCT(('Form responses 1'!$G$2:$G1000=$A90)*('Form responses 1'!$A$2:$A1000&lt;=EOMONTH(DATEVALUE("1 "&amp;AK$1),0)))
),2),"-")</f>
        <v>-</v>
      </c>
      <c r="AL90" s="2" t="str">
        <f>IFERROR(ROUND(Data!$B90/(
  SUMPRODUCT(('Form responses 1'!$B$2:$B1000=$A90)*('Form responses 1'!$A$2:$A1000&lt;=EOMONTH(DATEVALUE("1 "&amp;AL$1),0)))+
  SUMPRODUCT(('Form responses 1'!$C$2:$C1000=$A90)*('Form responses 1'!$A$2:$A1000&lt;=EOMONTH(DATEVALUE("1 "&amp;AL$1),0)))+
  SUMPRODUCT(('Form responses 1'!$D$2:$D1000=$A90)*('Form responses 1'!$A$2:$A1000&lt;=EOMONTH(DATEVALUE("1 "&amp;AL$1),0)))+
  SUMPRODUCT(('Form responses 1'!$E$2:$E1000=$A90)*('Form responses 1'!$A$2:$A1000&lt;=EOMONTH(DATEVALUE("1 "&amp;AL$1),0)))+
  SUMPRODUCT(('Form responses 1'!$F$2:$F1000=$A90)*('Form responses 1'!$A$2:$A1000&lt;=EOMONTH(DATEVALUE("1 "&amp;AL$1),0)))+
  SUMPRODUCT(('Form responses 1'!$G$2:$G1000=$A90)*('Form responses 1'!$A$2:$A1000&lt;=EOMONTH(DATEVALUE("1 "&amp;AL$1),0)))
),2),"-")</f>
        <v>-</v>
      </c>
    </row>
    <row r="91">
      <c r="A91" s="3" t="str">
        <f>IFERROR(__xludf.DUMMYFUNCTION("""COMPUTED_VALUE"""),"Daily Paper t-shirt")</f>
        <v>Daily Paper t-shirt</v>
      </c>
      <c r="B91" s="2">
        <f>Data!F83:F1000</f>
        <v>1.31</v>
      </c>
      <c r="C91" s="2" t="str">
        <f>IFERROR(ROUND(Data!B83/(SUMPRODUCT(('Form responses 1'!$B$2:$B1000 = A91) * ('Form responses 1'!$A$2:$A1000 &lt;= DATE(2024, 1, 31)))
+ SUMPRODUCT(('Form responses 1'!$C$2:$C1000 = A91) * ('Form responses 1'!$A$2:$A1000 &lt;= DATE(2024, 1, 31)))
+ SUMPRODUCT(('Form responses 1'!$D$2:$D1000 = A91) * ('Form responses 1'!$A$2:$A1000 &lt;= DATE(2024, 1, 31)))
+ SUMPRODUCT(('Form responses 1'!$E$2:$E1000 = A91) * ('Form responses 1'!$A$2:$A1000 &lt;= DATE(2024, 1, 31)))
+ SUMPRODUCT(('Form responses 1'!$F$2:$F1000 = A91) * ('Form responses 1'!$A$2:$A1000 &lt;= DATE(2024, 1, 31)))
+ SUMPRODUCT(('Form responses 1'!$G$2:$G1000 = A91) * ('Form responses 1'!$A$2:$A1000 &lt;= DATE(2024, 1, 31)))), 2), "-")
</f>
        <v>-</v>
      </c>
      <c r="D91" s="2" t="str">
        <f>IFERROR(ROUND(Data!B83/(SUMPRODUCT(('Form responses 1'!$B$2:$B1000 = A91) * ('Form responses 1'!$A$2:$A1000 &lt;= DATE(2024, 2, 29)))
+ SUMPRODUCT(('Form responses 1'!$C$2:$C1000 = A91) * ('Form responses 1'!$A$2:$A1000 &lt;= DATE(2024, 2, 29)))
+ SUMPRODUCT(('Form responses 1'!$D$2:$D1000 = A91) * ('Form responses 1'!$A$2:$A1000 &lt;= DATE(2024, 2, 29)))
+ SUMPRODUCT(('Form responses 1'!$E$2:$E1000 = A91) * ('Form responses 1'!$A$2:$A1000 &lt;= DATE(2024, 2, 29)))
+ SUMPRODUCT(('Form responses 1'!$F$2:$F1000 = A91) * ('Form responses 1'!$A$2:$A1000 &lt;= DATE(2024, 2, 29)))
+ SUMPRODUCT(('Form responses 1'!$G$2:$G1000 = A91) * ('Form responses 1'!$A$2:$A1000 &lt;= DATE(2024, 2, 29)))), 2), "-")
</f>
        <v>-</v>
      </c>
      <c r="E91" s="2" t="str">
        <f>IFERROR(ROUND(Data!B83/(SUMPRODUCT(('Form responses 1'!$B$2:$B1000 = A91) * ('Form responses 1'!$A$2:$A1000 &lt;= DATE(2024, 3, 31)))
+ SUMPRODUCT(('Form responses 1'!$C$2:$C1000 = A91) * ('Form responses 1'!$A$2:$A1000 &lt;= DATE(2024, 3, 31)))
+ SUMPRODUCT(('Form responses 1'!$D$2:$D1000 = A91) * ('Form responses 1'!$A$2:$A1000 &lt;= DATE(2024, 3, 31)))
+ SUMPRODUCT(('Form responses 1'!$E$2:$E1000 = A91) * ('Form responses 1'!$A$2:$A1000 &lt;= DATE(2024, 3, 31)))
+ SUMPRODUCT(('Form responses 1'!$F$2:$F1000 = A91) * ('Form responses 1'!$A$2:$A1000 &lt;= DATE(2024, 3, 31)))
+ SUMPRODUCT(('Form responses 1'!$G$2:$G1000 = A91) * ('Form responses 1'!$A$2:$A1000 &lt;= DATE(2024, 3, 31)))), 2), "-")
</f>
        <v>-</v>
      </c>
      <c r="F91" s="2" t="str">
        <f>IFERROR(ROUND(Data!B83/(SUMPRODUCT(('Form responses 1'!$B$2:$B1000 = A91) * ('Form responses 1'!$A$2:$A1000 &lt;= DATE(2024, 4, 30)))
+ SUMPRODUCT(('Form responses 1'!$C$2:$C1000 = A91) * ('Form responses 1'!$A$2:$A1000 &lt;= DATE(2024, 4, 30)))
+ SUMPRODUCT(('Form responses 1'!$D$2:$D1000 = A91) * ('Form responses 1'!$A$2:$A1000 &lt;= DATE(2024, 4, 30)))
+ SUMPRODUCT(('Form responses 1'!$E$2:$E1000 = A91) * ('Form responses 1'!$A$2:$A1000 &lt;= DATE(2024, 4, 30)))
+ SUMPRODUCT(('Form responses 1'!$F$2:$F1000 = A91) * ('Form responses 1'!$A$2:$A1000 &lt;= DATE(2024, 4, 30)))
+ SUMPRODUCT(('Form responses 1'!$G$2:$G1000 = A91) * ('Form responses 1'!$A$2:$A1000 &lt;= DATE(2024, 4, 30)))), 2), "-")
</f>
        <v>-</v>
      </c>
      <c r="G91" s="2" t="str">
        <f>IFERROR(ROUND(Data!B83/(SUMPRODUCT(('Form responses 1'!$B$2:$B1000 = A91) * ('Form responses 1'!$A$2:$A1000 &lt;= DATE(2024, 5, 31)))
+ SUMPRODUCT(('Form responses 1'!$C$2:$C1000 = A91) * ('Form responses 1'!$A$2:$A1000 &lt;= DATE(2024, 5, 31)))
+ SUMPRODUCT(('Form responses 1'!$D$2:$D1000 = A91) * ('Form responses 1'!$A$2:$A1000 &lt;= DATE(2024, 5, 31)))
+ SUMPRODUCT(('Form responses 1'!$E$2:$E1000 = A91) * ('Form responses 1'!$A$2:$A1000 &lt;= DATE(2024, 5, 31)))
+ SUMPRODUCT(('Form responses 1'!$F$2:$F1000 = A91) * ('Form responses 1'!$A$2:$A1000 &lt;= DATE(2024, 5, 31)))
+ SUMPRODUCT(('Form responses 1'!$G$2:$G1000 = A91) * ('Form responses 1'!$A$2:$A1000 &lt;= DATE(2024, 5, 31)))), 2), "-")
</f>
        <v>-</v>
      </c>
      <c r="H91" s="2" t="str">
        <f>IFERROR(ROUND(Data!B83/(SUMPRODUCT(('Form responses 1'!$B$2:$B1000 = A91) * ('Form responses 1'!$A$2:$A1000 &lt;= DATE(2024, 6, 30)))
+ SUMPRODUCT(('Form responses 1'!$C$2:$C1000 = A91) * ('Form responses 1'!$A$2:$A1000 &lt;= DATE(2024, 6, 30)))
+ SUMPRODUCT(('Form responses 1'!$D$2:$D1000 = A91) * ('Form responses 1'!$A$2:$A1000 &lt;= DATE(2024, 6, 30)))
+ SUMPRODUCT(('Form responses 1'!$E$2:$E1000 = A91) * ('Form responses 1'!$A$2:$A1000 &lt;= DATE(2024, 6, 30)))
+ SUMPRODUCT(('Form responses 1'!$F$2:$F1000 = A91) * ('Form responses 1'!$A$2:$A1000 &lt;= DATE(2024, 6, 30)))
+ SUMPRODUCT(('Form responses 1'!$G$2:$G1000 = A91) * ('Form responses 1'!$A$2:$A1000 &lt;= DATE(2024, 6, 30)))), 2), "-")
</f>
        <v>-</v>
      </c>
      <c r="I91" s="2" t="str">
        <f>IFERROR(ROUND(Data!B83/(SUMPRODUCT(('Form responses 1'!$B$2:$B1000 = A91) * ('Form responses 1'!$A$2:$A1000 &lt;= DATE(2024, 7, 31)))
+ SUMPRODUCT(('Form responses 1'!$C$2:$C1000 = A91) * ('Form responses 1'!$A$2:$A1000 &lt;= DATE(2024, 7, 31)))
+ SUMPRODUCT(('Form responses 1'!$D$2:$D1000 = A91) * ('Form responses 1'!$A$2:$A1000 &lt;= DATE(2024, 7, 31)))
+ SUMPRODUCT(('Form responses 1'!$E$2:$E1000 = A91) * ('Form responses 1'!$A$2:$A1000 &lt;= DATE(2024, 7, 31)))
+ SUMPRODUCT(('Form responses 1'!$F$2:$F1000 = A91) * ('Form responses 1'!$A$2:$A1000 &lt;= DATE(2024, 7, 31)))
+ SUMPRODUCT(('Form responses 1'!$G$2:$G1000 = A91) * ('Form responses 1'!$A$2:$A1000 &lt;= DATE(2024, 7, 31)))), 2), "-")
</f>
        <v>-</v>
      </c>
      <c r="J91" s="2" t="str">
        <f>IFERROR(ROUND(Data!B83/(SUMPRODUCT(('Form responses 1'!$B$2:$B1000 = A91) * ('Form responses 1'!$A$2:$A1000 &lt;= DATE(2024, 8, 31)))
+ SUMPRODUCT(('Form responses 1'!$C$2:$C1000 = A91) * ('Form responses 1'!$A$2:$A1000 &lt;= DATE(2024, 8, 31)))
+ SUMPRODUCT(('Form responses 1'!$D$2:$D1000 = A91) * ('Form responses 1'!$A$2:$A1000 &lt;= DATE(2024, 8, 31)))
+ SUMPRODUCT(('Form responses 1'!$E$2:$E1000 = A91) * ('Form responses 1'!$A$2:$A1000 &lt;= DATE(2024, 8, 31)))
+ SUMPRODUCT(('Form responses 1'!$F$2:$F1000 = A91) * ('Form responses 1'!$A$2:$A1000 &lt;= DATE(2024, 8, 31)))
+ SUMPRODUCT(('Form responses 1'!$G$2:$G1000 = A91) * ('Form responses 1'!$A$2:$A1000 &lt;= DATE(2024, 8, 31)))), 2), "-")
</f>
        <v>-</v>
      </c>
      <c r="K91" s="2" t="str">
        <f>IFERROR(ROUND(Data!B83/(SUMPRODUCT(('Form responses 1'!$B$2:$B1000 = A91) * ('Form responses 1'!$A$2:$A1000 &lt;= DATE(2024, 9, 30)))
+ SUMPRODUCT(('Form responses 1'!$C$2:$C1000 = A91) * ('Form responses 1'!$A$2:$A1000 &lt;= DATE(2024, 9, 30)))
+ SUMPRODUCT(('Form responses 1'!$D$2:$D1000 = A91) * ('Form responses 1'!$A$2:$A1000 &lt;= DATE(2024, 9, 30)))
+ SUMPRODUCT(('Form responses 1'!$E$2:$E1000 = A91) * ('Form responses 1'!$A$2:$A1000 &lt;= DATE(2024, 9, 30)))
+ SUMPRODUCT(('Form responses 1'!$F$2:$F1000 = A91) * ('Form responses 1'!$A$2:$A1000 &lt;= DATE(2024, 9, 30)))
+ SUMPRODUCT(('Form responses 1'!$G$2:$G1000 = A91) * ('Form responses 1'!$A$2:$A1000 &lt;= DATE(2024, 9, 30)))), 2), "-")
</f>
        <v>-</v>
      </c>
      <c r="L91" s="2" t="str">
        <f>IFERROR(ROUND(Data!B83/(SUMPRODUCT(('Form responses 1'!$B$2:$B1000 = A91) * ('Form responses 1'!$A$2:$A1000 &lt;= DATE(2024, 10, 31)))
+ SUMPRODUCT(('Form responses 1'!$C$2:$C1000 = A91) * ('Form responses 1'!$A$2:$A1000 &lt;= DATE(2024, 10, 31)))
+ SUMPRODUCT(('Form responses 1'!$D$2:$D1000 = A91) * ('Form responses 1'!$A$2:$A1000 &lt;= DATE(2024, 10, 31)))
+ SUMPRODUCT(('Form responses 1'!$E$2:$E1000 = A91) * ('Form responses 1'!$A$2:$A1000 &lt;= DATE(2024, 10, 31)))
+ SUMPRODUCT(('Form responses 1'!$F$2:$F1000 = A91) * ('Form responses 1'!$A$2:$A1000 &lt;= DATE(2024, 10, 31)))
+ SUMPRODUCT(('Form responses 1'!$G$2:$G1000 = A91) * ('Form responses 1'!$A$2:$A1000 &lt;= DATE(2024, 10, 31)))), 2), "-")
</f>
        <v>-</v>
      </c>
      <c r="M91" s="2" t="str">
        <f>IFERROR(ROUND(Data!B83/(SUMPRODUCT(('Form responses 1'!$B$2:$B1000 = A91) * ('Form responses 1'!$A$2:$A1000 &lt;= DATE(2024, 11, 30)))
+ SUMPRODUCT(('Form responses 1'!$C$2:$C1000 = A91) * ('Form responses 1'!$A$2:$A1000 &lt;= DATE(2024, 11, 30)))
+ SUMPRODUCT(('Form responses 1'!$D$2:$D1000 = A91) * ('Form responses 1'!$A$2:$A1000 &lt;= DATE(2024, 11, 30)))
+ SUMPRODUCT(('Form responses 1'!$E$2:$E1000 = A91) * ('Form responses 1'!$A$2:$A1000 &lt;= DATE(2024, 11, 30)))
+ SUMPRODUCT(('Form responses 1'!$F$2:$F1000 = A91) * ('Form responses 1'!$A$2:$A1000 &lt;= DATE(2024, 11, 30)))
+ SUMPRODUCT(('Form responses 1'!$G$2:$G1000 = A91) * ('Form responses 1'!$A$2:$A1000 &lt;= DATE(2024, 11, 30)))), 2), "-")
</f>
        <v>-</v>
      </c>
      <c r="N91" s="2" t="str">
        <f>IFERROR(ROUND(Data!B83/(SUMPRODUCT(('Form responses 1'!$B$2:$B1000 = A91) * ('Form responses 1'!$A$2:$A1000 &lt;= DATE(2024, 12, 31)))
+ SUMPRODUCT(('Form responses 1'!$C$2:$C1000 = A91) * ('Form responses 1'!$A$2:$A1000 &lt;= DATE(2024, 12, 31)))
+ SUMPRODUCT(('Form responses 1'!$D$2:$D1000 = A91) * ('Form responses 1'!$A$2:$A1000 &lt;= DATE(2024, 12, 31)))
+ SUMPRODUCT(('Form responses 1'!$E$2:$E1000 = A91) * ('Form responses 1'!$A$2:$A1000 &lt;= DATE(2024, 12, 31)))
+ SUMPRODUCT(('Form responses 1'!$F$2:$F1000 = A91) * ('Form responses 1'!$A$2:$A1000 &lt;= DATE(2024, 12, 31)))
+ SUMPRODUCT(('Form responses 1'!$G$2:$G1000 = A91) * ('Form responses 1'!$A$2:$A1000 &lt;= DATE(2024, 12, 31)))), 2), "-")
</f>
        <v>-</v>
      </c>
      <c r="O91" s="2" t="str">
        <f>IFERROR(ROUND(Data!B83/(SUMPRODUCT(('Form responses 1'!$B$2:$B1000 = A91) * ('Form responses 1'!$A$2:$A1000 &lt;= DATE(2025, 1, 31)))
+ SUMPRODUCT(('Form responses 1'!$C$2:$C1000 = A91) * ('Form responses 1'!$A$2:$A1000 &lt;= DATE(2025, 1, 31)))
+ SUMPRODUCT(('Form responses 1'!$D$2:$D1000 = A91) * ('Form responses 1'!$A$2:$A1000 &lt;= DATE(2025, 1, 31)))
+ SUMPRODUCT(('Form responses 1'!$E$2:$E1000 = A91) * ('Form responses 1'!$A$2:$A1000 &lt;= DATE(2025, 1, 31)))
+ SUMPRODUCT(('Form responses 1'!$F$2:$F1000 = A91) * ('Form responses 1'!$A$2:$A1000 &lt;= DATE(2025, 1, 31)))
+ SUMPRODUCT(('Form responses 1'!$G$2:$G1000 = A91) * ('Form responses 1'!$A$2:$A1000 &lt;= DATE(2025, 1, 31)))), 2), "-")
</f>
        <v>-</v>
      </c>
      <c r="P91" s="2" t="str">
        <f>IFERROR(ROUND(Data!B83/(SUMPRODUCT(('Form responses 1'!$B$2:$B1000 = A91) * ('Form responses 1'!$A$2:$A1000 &lt;= DATE(2025, 2, 28)))
+ SUMPRODUCT(('Form responses 1'!$C$2:$C1000 = A91) * ('Form responses 1'!$A$2:$A1000 &lt;= DATE(2025, 2, 28)))
+ SUMPRODUCT(('Form responses 1'!$D$2:$D1000 = A91) * ('Form responses 1'!$A$2:$A1000 &lt;= DATE(2025, 2, 28)))
+ SUMPRODUCT(('Form responses 1'!$E$2:$E1000 = A91) * ('Form responses 1'!$A$2:$A1000 &lt;= DATE(2025, 2, 28)))
+ SUMPRODUCT(('Form responses 1'!$F$2:$F1000 = A91) * ('Form responses 1'!$A$2:$A1000 &lt;= DATE(2025, 2, 28)))
+ SUMPRODUCT(('Form responses 1'!$G$2:$G1000 = A91) * ('Form responses 1'!$A$2:$A1000 &lt;= DATE(2025, 2, 28)))), 2), "-")
</f>
        <v>-</v>
      </c>
      <c r="Q91" s="2" t="str">
        <f>IFERROR(ROUND(Data!B83/(SUMPRODUCT(('Form responses 1'!$B$2:$B1000 = A91) * ('Form responses 1'!$A$2:$A1000 &lt;= DATE(2025, 3, 31)))
+ SUMPRODUCT(('Form responses 1'!$C$2:$C1000 = A91) * ('Form responses 1'!$A$2:$A1000 &lt;= DATE(2025, 3, 31)))
+ SUMPRODUCT(('Form responses 1'!$D$2:$D1000 = A91) * ('Form responses 1'!$A$2:$A1000 &lt;= DATE(2025, 3, 31)))
+ SUMPRODUCT(('Form responses 1'!$E$2:$E1000 = A91) * ('Form responses 1'!$A$2:$A1000 &lt;= DATE(2025, 3, 31)))
+ SUMPRODUCT(('Form responses 1'!$F$2:$F1000 = A91) * ('Form responses 1'!$A$2:$A1000 &lt;= DATE(2025, 3, 31)))
+ SUMPRODUCT(('Form responses 1'!$G$2:$G1000 = A91) * ('Form responses 1'!$A$2:$A1000 &lt;= DATE(2025, 3, 31)))),2),"-")</f>
        <v>-</v>
      </c>
      <c r="R91" s="2" t="str">
        <f>IFERROR(ROUND(Data!B83/(SUMPRODUCT(('Form responses 1'!$B$2:$B1000 = A91) * ('Form responses 1'!$A$2:$A1000 &lt;= DATE(2025, 4, 30)))
+ SUMPRODUCT(('Form responses 1'!$C$2:$C1000 = A91) * ('Form responses 1'!$A$2:$A1000 &lt;= DATE(2025, 4, 30)))
+ SUMPRODUCT(('Form responses 1'!$D$2:$D1000 = A91) * ('Form responses 1'!$A$2:$A1000 &lt;= DATE(2025, 4, 30)))
+ SUMPRODUCT(('Form responses 1'!$E$2:$E1000 = A91) * ('Form responses 1'!$A$2:$A1000 &lt;= DATE(2025, 4, 30)))
+ SUMPRODUCT(('Form responses 1'!$F$2:$F1000 = A91) * ('Form responses 1'!$A$2:$A1000 &lt;= DATE(2025, 4, 30)))
+ SUMPRODUCT(('Form responses 1'!$G$2:$G1000 = A91) * ('Form responses 1'!$A$2:$A1000 &lt;= DATE(2025, 4, 30)))), 2), "-")
</f>
        <v>-</v>
      </c>
      <c r="S91" s="2" t="str">
        <f>IFERROR(ROUND(Data!B83/(SUMPRODUCT(('Form responses 1'!$B$2:$B1000 = A91) * ('Form responses 1'!$A$2:$A1000 &lt;= DATE(2025, 5, 31)))
+ SUMPRODUCT(('Form responses 1'!$C$2:$C1000 = A91) * ('Form responses 1'!$A$2:$A1000 &lt;= DATE(2025, 5, 31)))
+ SUMPRODUCT(('Form responses 1'!$D$2:$D1000 = A91) * ('Form responses 1'!$A$2:$A1000 &lt;= DATE(2025, 5, 31)))
+ SUMPRODUCT(('Form responses 1'!$E$2:$E1000 = A91) * ('Form responses 1'!$A$2:$A1000 &lt;= DATE(2025, 5, 31)))
+ SUMPRODUCT(('Form responses 1'!$F$2:$F1000 = A91) * ('Form responses 1'!$A$2:$A1000 &lt;= DATE(2025, 5, 31)))
+ SUMPRODUCT(('Form responses 1'!$G$2:$G1000 = A91) * ('Form responses 1'!$A$2:$A1000 &lt;= DATE(2025, 5, 31)))), 2), "-")
</f>
        <v>-</v>
      </c>
      <c r="T91" s="2" t="str">
        <f>IFERROR(ROUND(Data!B83/(SUMPRODUCT(('Form responses 1'!$B$2:$B1000 = A91) * ('Form responses 1'!$A$2:$A1000 &lt;= DATE(2025, 6, 30)))
+ SUMPRODUCT(('Form responses 1'!$C$2:$C1000 = A91) * ('Form responses 1'!$A$2:$A1000 &lt;= DATE(2025, 6, 30)))
+ SUMPRODUCT(('Form responses 1'!$D$2:$D1000 = A91) * ('Form responses 1'!$A$2:$A1000 &lt;= DATE(2025, 6, 30)))
+ SUMPRODUCT(('Form responses 1'!$E$2:$E1000 = A91) * ('Form responses 1'!$A$2:$A1000 &lt;= DATE(2025, 6, 30)))
+ SUMPRODUCT(('Form responses 1'!$F$2:$F1000 = A91) * ('Form responses 1'!$A$2:$A1000 &lt;= DATE(2025, 6, 30)))
+ SUMPRODUCT(('Form responses 1'!$G$2:$G1000 = A91) * ('Form responses 1'!$A$2:$A1000 &lt;= DATE(2025, 6, 30)))), 2), "-")
</f>
        <v>-</v>
      </c>
      <c r="U91" s="2">
        <f>IFERROR(ROUND(Data!B83/(SUMPRODUCT(('Form responses 1'!$B$2:$B1000 = A91) * ('Form responses 1'!$A$2:$A1000 &lt;= DATE(2025, 7, 31)))
+ SUMPRODUCT(('Form responses 1'!$C$2:$C1000 = A91) * ('Form responses 1'!$A$2:$A1000 &lt;= DATE(2025, 7, 31)))
+ SUMPRODUCT(('Form responses 1'!$D$2:$D1000 = A91) * ('Form responses 1'!$A$2:$A1000 &lt;= DATE(2025, 7, 31)))
+ SUMPRODUCT(('Form responses 1'!$E$2:$E1000 = A91) * ('Form responses 1'!$A$2:$A1000 &lt;= DATE(2025, 7, 31)))
+ SUMPRODUCT(('Form responses 1'!$F$2:$F1000 = A91) * ('Form responses 1'!$A$2:$A1000 &lt;= DATE(2025, 7, 31)))
+ SUMPRODUCT(('Form responses 1'!$G$2:$G1000 = A91) * ('Form responses 1'!$A$2:$A1000 &lt;= DATE(2025, 7, 31)))), 2), "-")
</f>
        <v>25</v>
      </c>
      <c r="V91" s="2">
        <f>IFERROR(ROUND(Data!B83/(SUMPRODUCT(('Form responses 1'!$B$2:$B1000 = A91) * ('Form responses 1'!$A$2:$A1000 &lt;= DATE(2025, 8, 31)))
+ SUMPRODUCT(('Form responses 1'!$C$2:$C1000 = A91) * ('Form responses 1'!$A$2:$A1000 &lt;= DATE(2025, 8, 31)))
+ SUMPRODUCT(('Form responses 1'!$D$2:$D1000 = A91) * ('Form responses 1'!$A$2:$A1000 &lt;= DATE(2025, 8, 31)))
+ SUMPRODUCT(('Form responses 1'!$E$2:$E1000 = A91) * ('Form responses 1'!$A$2:$A1000 &lt;= DATE(2025, 8, 31)))
+ SUMPRODUCT(('Form responses 1'!$F$2:$F1000 = A91) * ('Form responses 1'!$A$2:$A1000 &lt;= DATE(2025, 8, 31)))
+ SUMPRODUCT(('Form responses 1'!$G$2:$G1000 = A91) * ('Form responses 1'!$A$2:$A1000 &lt;= DATE(2025, 8, 31)))), 2), "-")
</f>
        <v>25</v>
      </c>
      <c r="W91" s="2">
        <f>IFERROR(ROUND(Data!B83/(SUMPRODUCT(('Form responses 1'!$B$2:$B1000 = A91) * ('Form responses 1'!$A$2:$A1000 &lt;= DATE(2025, 9, 30)))
+ SUMPRODUCT(('Form responses 1'!$C$2:$C1000 = A91) * ('Form responses 1'!$A$2:$A1000 &lt;= DATE(2025, 9, 30)))
+ SUMPRODUCT(('Form responses 1'!$D$2:$D1000 = A91) * ('Form responses 1'!$A$2:$A1000 &lt;= DATE(2025, 9, 30)))
+ SUMPRODUCT(('Form responses 1'!$E$2:$E1000 = A91) * ('Form responses 1'!$A$2:$A1000 &lt;= DATE(2025, 9, 30)))
+ SUMPRODUCT(('Form responses 1'!$F$2:$F1000 = A91) * ('Form responses 1'!$A$2:$A1000 &lt;= DATE(2025, 9, 30)))
+ SUMPRODUCT(('Form responses 1'!$G$2:$G1000 = A91) * ('Form responses 1'!$A$2:$A1000 &lt;= DATE(2025, 9, 30)))), 2), "-")
</f>
        <v>25</v>
      </c>
      <c r="X91" s="2">
        <f>IFERROR(ROUND(Data!B83/(SUMPRODUCT(('Form responses 1'!$B$2:$B1000 = A91) * ('Form responses 1'!$A$2:$A1000 &lt;= DATE(2025, 10, 31)))
+ SUMPRODUCT(('Form responses 1'!$C$2:$C1000 = A91) * ('Form responses 1'!$A$2:$A1000 &lt;= DATE(2025, 10, 31)))
+ SUMPRODUCT(('Form responses 1'!$D$2:$D1000 = A91) * ('Form responses 1'!$A$2:$A1000 &lt;= DATE(2025, 10, 31)))
+ SUMPRODUCT(('Form responses 1'!$E$2:$E1000 = A91) * ('Form responses 1'!$A$2:$A1000 &lt;= DATE(2025, 10, 31)))
+ SUMPRODUCT(('Form responses 1'!$F$2:$F1000 = A91) * ('Form responses 1'!$A$2:$A1000 &lt;= DATE(2025, 10, 31)))
+ SUMPRODUCT(('Form responses 1'!$G$2:$G1000 = A91) * ('Form responses 1'!$A$2:$A1000 &lt;= DATE(2025, 10, 31)))), 2), "-")
</f>
        <v>25</v>
      </c>
      <c r="Y91" s="2">
        <f>IFERROR(ROUND(Data!B83/(SUMPRODUCT(('Form responses 1'!$B$2:$B1000 = A91) * ('Form responses 1'!$A$2:$A1000 &lt;= DATE(2025, 11, 30)))
+ SUMPRODUCT(('Form responses 1'!$C$2:$C1000 = A91) * ('Form responses 1'!$A$2:$A1000 &lt;= DATE(2025, 11, 30)))
+ SUMPRODUCT(('Form responses 1'!$D$2:$D1000 = A91) * ('Form responses 1'!$A$2:$A1000 &lt;= DATE(2025, 11, 30)))
+ SUMPRODUCT(('Form responses 1'!$E$2:$E1000 = A91) * ('Form responses 1'!$A$2:$A1000 &lt;= DATE(2025, 11, 30)))
+ SUMPRODUCT(('Form responses 1'!$F$2:$F1000 = A91) * ('Form responses 1'!$A$2:$A1000 &lt;= DATE(2025, 11, 30)))
+ SUMPRODUCT(('Form responses 1'!$G$2:$G1000 = A91) * ('Form responses 1'!$A$2:$A1000 &lt;= DATE(2025, 11, 30)))), 2), "-")
</f>
        <v>25</v>
      </c>
      <c r="Z91" s="2">
        <f>IFERROR(ROUND(Data!B83/(SUMPRODUCT(('Form responses 1'!$B$2:$B1000 = A91) * ('Form responses 1'!$A$2:$A1000 &lt;= DATE(2025, 12, 31)))
+ SUMPRODUCT(('Form responses 1'!$C$2:$C1000 = A91) * ('Form responses 1'!$A$2:$A1000 &lt;= DATE(2025, 12, 31)))
+ SUMPRODUCT(('Form responses 1'!$D$2:$D1000 = A91) * ('Form responses 1'!$A$2:$A1000 &lt;= DATE(2025, 12, 31)))
+ SUMPRODUCT(('Form responses 1'!$E$2:$E1000 = A91) * ('Form responses 1'!$A$2:$A1000 &lt;= DATE(2025, 12, 31)))
+ SUMPRODUCT(('Form responses 1'!$F$2:$F1000 = A91) * ('Form responses 1'!$A$2:$A1000 &lt;= DATE(2025, 12, 31)))
+ SUMPRODUCT(('Form responses 1'!$G$2:$G1000 = A91) * ('Form responses 1'!$A$2:$A1000 &lt;= DATE(2025, 12, 31)))), 2), "-")
</f>
        <v>25</v>
      </c>
      <c r="AA91" s="2">
        <f>IFERROR(ROUND(Data!$B91/(
  SUMPRODUCT(('Form responses 1'!$B$2:$B1000=$A91)*('Form responses 1'!$A$2:$A1000&lt;=EOMONTH(DATEVALUE("1 "&amp;AA$1),0)))+
  SUMPRODUCT(('Form responses 1'!$C$2:$C1000=$A91)*('Form responses 1'!$A$2:$A1000&lt;=EOMONTH(DATEVALUE("1 "&amp;AA$1),0)))+
  SUMPRODUCT(('Form responses 1'!$D$2:$D1000=$A91)*('Form responses 1'!$A$2:$A1000&lt;=EOMONTH(DATEVALUE("1 "&amp;AA$1),0)))+
  SUMPRODUCT(('Form responses 1'!$E$2:$E1000=$A91)*('Form responses 1'!$A$2:$A1000&lt;=EOMONTH(DATEVALUE("1 "&amp;AA$1),0)))+
  SUMPRODUCT(('Form responses 1'!$F$2:$F1000=$A91)*('Form responses 1'!$A$2:$A1000&lt;=EOMONTH(DATEVALUE("1 "&amp;AA$1),0)))+
  SUMPRODUCT(('Form responses 1'!$G$2:$G1000=$A91)*('Form responses 1'!$A$2:$A1000&lt;=EOMONTH(DATEVALUE("1 "&amp;AA$1),0)))
),2),"-")</f>
        <v>5.9</v>
      </c>
      <c r="AB91" s="2">
        <f>IFERROR(ROUND(Data!$B91/(
  SUMPRODUCT(('Form responses 1'!$B$2:$B1000=$A91)*('Form responses 1'!$A$2:$A1000&lt;=EOMONTH(DATEVALUE("1 "&amp;AB$1),0)))+
  SUMPRODUCT(('Form responses 1'!$C$2:$C1000=$A91)*('Form responses 1'!$A$2:$A1000&lt;=EOMONTH(DATEVALUE("1 "&amp;AB$1),0)))+
  SUMPRODUCT(('Form responses 1'!$D$2:$D1000=$A91)*('Form responses 1'!$A$2:$A1000&lt;=EOMONTH(DATEVALUE("1 "&amp;AB$1),0)))+
  SUMPRODUCT(('Form responses 1'!$E$2:$E1000=$A91)*('Form responses 1'!$A$2:$A1000&lt;=EOMONTH(DATEVALUE("1 "&amp;AB$1),0)))+
  SUMPRODUCT(('Form responses 1'!$F$2:$F1000=$A91)*('Form responses 1'!$A$2:$A1000&lt;=EOMONTH(DATEVALUE("1 "&amp;AB$1),0)))+
  SUMPRODUCT(('Form responses 1'!$G$2:$G1000=$A91)*('Form responses 1'!$A$2:$A1000&lt;=EOMONTH(DATEVALUE("1 "&amp;AB$1),0)))
),2),"-")</f>
        <v>5.9</v>
      </c>
      <c r="AC91" s="2">
        <f>IFERROR(ROUND(Data!$B91/(
  SUMPRODUCT(('Form responses 1'!$B$2:$B1000=$A91)*('Form responses 1'!$A$2:$A1000&lt;=EOMONTH(DATEVALUE("1 "&amp;AC$1),0)))+
  SUMPRODUCT(('Form responses 1'!$C$2:$C1000=$A91)*('Form responses 1'!$A$2:$A1000&lt;=EOMONTH(DATEVALUE("1 "&amp;AC$1),0)))+
  SUMPRODUCT(('Form responses 1'!$D$2:$D1000=$A91)*('Form responses 1'!$A$2:$A1000&lt;=EOMONTH(DATEVALUE("1 "&amp;AC$1),0)))+
  SUMPRODUCT(('Form responses 1'!$E$2:$E1000=$A91)*('Form responses 1'!$A$2:$A1000&lt;=EOMONTH(DATEVALUE("1 "&amp;AC$1),0)))+
  SUMPRODUCT(('Form responses 1'!$F$2:$F1000=$A91)*('Form responses 1'!$A$2:$A1000&lt;=EOMONTH(DATEVALUE("1 "&amp;AC$1),0)))+
  SUMPRODUCT(('Form responses 1'!$G$2:$G1000=$A91)*('Form responses 1'!$A$2:$A1000&lt;=EOMONTH(DATEVALUE("1 "&amp;AC$1),0)))
),2),"-")</f>
        <v>5.9</v>
      </c>
      <c r="AD91" s="2" t="str">
        <f>IFERROR(ROUND(Data!$B91/(
  SUMPRODUCT(('Form responses 1'!$B$2:$B1000=$A91)*('Form responses 1'!$A$2:$A1000&lt;=EOMONTH(DATEVALUE("1 "&amp;AD$1),0)))+
  SUMPRODUCT(('Form responses 1'!$C$2:$C1000=$A91)*('Form responses 1'!$A$2:$A1000&lt;=EOMONTH(DATEVALUE("1 "&amp;AD$1),0)))+
  SUMPRODUCT(('Form responses 1'!$D$2:$D1000=$A91)*('Form responses 1'!$A$2:$A1000&lt;=EOMONTH(DATEVALUE("1 "&amp;AD$1),0)))+
  SUMPRODUCT(('Form responses 1'!$E$2:$E1000=$A91)*('Form responses 1'!$A$2:$A1000&lt;=EOMONTH(DATEVALUE("1 "&amp;AD$1),0)))+
  SUMPRODUCT(('Form responses 1'!$F$2:$F1000=$A91)*('Form responses 1'!$A$2:$A1000&lt;=EOMONTH(DATEVALUE("1 "&amp;AD$1),0)))+
  SUMPRODUCT(('Form responses 1'!$G$2:$G1000=$A91)*('Form responses 1'!$A$2:$A1000&lt;=EOMONTH(DATEVALUE("1 "&amp;AD$1),0)))
),2),"-")</f>
        <v>-</v>
      </c>
      <c r="AE91" s="2" t="str">
        <f>IFERROR(ROUND(Data!$B91/(
  SUMPRODUCT(('Form responses 1'!$B$2:$B1000=$A91)*('Form responses 1'!$A$2:$A1000&lt;=EOMONTH(DATEVALUE("1 "&amp;AE$1),0)))+
  SUMPRODUCT(('Form responses 1'!$C$2:$C1000=$A91)*('Form responses 1'!$A$2:$A1000&lt;=EOMONTH(DATEVALUE("1 "&amp;AE$1),0)))+
  SUMPRODUCT(('Form responses 1'!$D$2:$D1000=$A91)*('Form responses 1'!$A$2:$A1000&lt;=EOMONTH(DATEVALUE("1 "&amp;AE$1),0)))+
  SUMPRODUCT(('Form responses 1'!$E$2:$E1000=$A91)*('Form responses 1'!$A$2:$A1000&lt;=EOMONTH(DATEVALUE("1 "&amp;AE$1),0)))+
  SUMPRODUCT(('Form responses 1'!$F$2:$F1000=$A91)*('Form responses 1'!$A$2:$A1000&lt;=EOMONTH(DATEVALUE("1 "&amp;AE$1),0)))+
  SUMPRODUCT(('Form responses 1'!$G$2:$G1000=$A91)*('Form responses 1'!$A$2:$A1000&lt;=EOMONTH(DATEVALUE("1 "&amp;AE$1),0)))
),2),"-")</f>
        <v>-</v>
      </c>
      <c r="AF91" s="2" t="str">
        <f>IFERROR(ROUND(Data!$B91/(
  SUMPRODUCT(('Form responses 1'!$B$2:$B1000=$A91)*('Form responses 1'!$A$2:$A1000&lt;=EOMONTH(DATEVALUE("1 "&amp;AF$1),0)))+
  SUMPRODUCT(('Form responses 1'!$C$2:$C1000=$A91)*('Form responses 1'!$A$2:$A1000&lt;=EOMONTH(DATEVALUE("1 "&amp;AF$1),0)))+
  SUMPRODUCT(('Form responses 1'!$D$2:$D1000=$A91)*('Form responses 1'!$A$2:$A1000&lt;=EOMONTH(DATEVALUE("1 "&amp;AF$1),0)))+
  SUMPRODUCT(('Form responses 1'!$E$2:$E1000=$A91)*('Form responses 1'!$A$2:$A1000&lt;=EOMONTH(DATEVALUE("1 "&amp;AF$1),0)))+
  SUMPRODUCT(('Form responses 1'!$F$2:$F1000=$A91)*('Form responses 1'!$A$2:$A1000&lt;=EOMONTH(DATEVALUE("1 "&amp;AF$1),0)))+
  SUMPRODUCT(('Form responses 1'!$G$2:$G1000=$A91)*('Form responses 1'!$A$2:$A1000&lt;=EOMONTH(DATEVALUE("1 "&amp;AF$1),0)))
),2),"-")</f>
        <v>-</v>
      </c>
      <c r="AG91" s="2" t="str">
        <f>IFERROR(ROUND(Data!$B91/(
  SUMPRODUCT(('Form responses 1'!$B$2:$B1000=$A91)*('Form responses 1'!$A$2:$A1000&lt;=EOMONTH(DATEVALUE("1 "&amp;AG$1),0)))+
  SUMPRODUCT(('Form responses 1'!$C$2:$C1000=$A91)*('Form responses 1'!$A$2:$A1000&lt;=EOMONTH(DATEVALUE("1 "&amp;AG$1),0)))+
  SUMPRODUCT(('Form responses 1'!$D$2:$D1000=$A91)*('Form responses 1'!$A$2:$A1000&lt;=EOMONTH(DATEVALUE("1 "&amp;AG$1),0)))+
  SUMPRODUCT(('Form responses 1'!$E$2:$E1000=$A91)*('Form responses 1'!$A$2:$A1000&lt;=EOMONTH(DATEVALUE("1 "&amp;AG$1),0)))+
  SUMPRODUCT(('Form responses 1'!$F$2:$F1000=$A91)*('Form responses 1'!$A$2:$A1000&lt;=EOMONTH(DATEVALUE("1 "&amp;AG$1),0)))+
  SUMPRODUCT(('Form responses 1'!$G$2:$G1000=$A91)*('Form responses 1'!$A$2:$A1000&lt;=EOMONTH(DATEVALUE("1 "&amp;AG$1),0)))
),2),"-")</f>
        <v>-</v>
      </c>
      <c r="AH91" s="2" t="str">
        <f>IFERROR(ROUND(Data!$B91/(
  SUMPRODUCT(('Form responses 1'!$B$2:$B1000=$A91)*('Form responses 1'!$A$2:$A1000&lt;=EOMONTH(DATEVALUE("1 "&amp;AH$1),0)))+
  SUMPRODUCT(('Form responses 1'!$C$2:$C1000=$A91)*('Form responses 1'!$A$2:$A1000&lt;=EOMONTH(DATEVALUE("1 "&amp;AH$1),0)))+
  SUMPRODUCT(('Form responses 1'!$D$2:$D1000=$A91)*('Form responses 1'!$A$2:$A1000&lt;=EOMONTH(DATEVALUE("1 "&amp;AH$1),0)))+
  SUMPRODUCT(('Form responses 1'!$E$2:$E1000=$A91)*('Form responses 1'!$A$2:$A1000&lt;=EOMONTH(DATEVALUE("1 "&amp;AH$1),0)))+
  SUMPRODUCT(('Form responses 1'!$F$2:$F1000=$A91)*('Form responses 1'!$A$2:$A1000&lt;=EOMONTH(DATEVALUE("1 "&amp;AH$1),0)))+
  SUMPRODUCT(('Form responses 1'!$G$2:$G1000=$A91)*('Form responses 1'!$A$2:$A1000&lt;=EOMONTH(DATEVALUE("1 "&amp;AH$1),0)))
),2),"-")</f>
        <v>-</v>
      </c>
      <c r="AI91" s="2" t="str">
        <f>IFERROR(ROUND(Data!$B91/(
  SUMPRODUCT(('Form responses 1'!$B$2:$B1000=$A91)*('Form responses 1'!$A$2:$A1000&lt;=EOMONTH(DATEVALUE("1 "&amp;AI$1),0)))+
  SUMPRODUCT(('Form responses 1'!$C$2:$C1000=$A91)*('Form responses 1'!$A$2:$A1000&lt;=EOMONTH(DATEVALUE("1 "&amp;AI$1),0)))+
  SUMPRODUCT(('Form responses 1'!$D$2:$D1000=$A91)*('Form responses 1'!$A$2:$A1000&lt;=EOMONTH(DATEVALUE("1 "&amp;AI$1),0)))+
  SUMPRODUCT(('Form responses 1'!$E$2:$E1000=$A91)*('Form responses 1'!$A$2:$A1000&lt;=EOMONTH(DATEVALUE("1 "&amp;AI$1),0)))+
  SUMPRODUCT(('Form responses 1'!$F$2:$F1000=$A91)*('Form responses 1'!$A$2:$A1000&lt;=EOMONTH(DATEVALUE("1 "&amp;AI$1),0)))+
  SUMPRODUCT(('Form responses 1'!$G$2:$G1000=$A91)*('Form responses 1'!$A$2:$A1000&lt;=EOMONTH(DATEVALUE("1 "&amp;AI$1),0)))
),2),"-")</f>
        <v>-</v>
      </c>
      <c r="AJ91" s="2" t="str">
        <f>IFERROR(ROUND(Data!$B91/(
  SUMPRODUCT(('Form responses 1'!$B$2:$B1000=$A91)*('Form responses 1'!$A$2:$A1000&lt;=EOMONTH(DATEVALUE("1 "&amp;AJ$1),0)))+
  SUMPRODUCT(('Form responses 1'!$C$2:$C1000=$A91)*('Form responses 1'!$A$2:$A1000&lt;=EOMONTH(DATEVALUE("1 "&amp;AJ$1),0)))+
  SUMPRODUCT(('Form responses 1'!$D$2:$D1000=$A91)*('Form responses 1'!$A$2:$A1000&lt;=EOMONTH(DATEVALUE("1 "&amp;AJ$1),0)))+
  SUMPRODUCT(('Form responses 1'!$E$2:$E1000=$A91)*('Form responses 1'!$A$2:$A1000&lt;=EOMONTH(DATEVALUE("1 "&amp;AJ$1),0)))+
  SUMPRODUCT(('Form responses 1'!$F$2:$F1000=$A91)*('Form responses 1'!$A$2:$A1000&lt;=EOMONTH(DATEVALUE("1 "&amp;AJ$1),0)))+
  SUMPRODUCT(('Form responses 1'!$G$2:$G1000=$A91)*('Form responses 1'!$A$2:$A1000&lt;=EOMONTH(DATEVALUE("1 "&amp;AJ$1),0)))
),2),"-")</f>
        <v>-</v>
      </c>
      <c r="AK91" s="2" t="str">
        <f>IFERROR(ROUND(Data!$B91/(
  SUMPRODUCT(('Form responses 1'!$B$2:$B1000=$A91)*('Form responses 1'!$A$2:$A1000&lt;=EOMONTH(DATEVALUE("1 "&amp;AK$1),0)))+
  SUMPRODUCT(('Form responses 1'!$C$2:$C1000=$A91)*('Form responses 1'!$A$2:$A1000&lt;=EOMONTH(DATEVALUE("1 "&amp;AK$1),0)))+
  SUMPRODUCT(('Form responses 1'!$D$2:$D1000=$A91)*('Form responses 1'!$A$2:$A1000&lt;=EOMONTH(DATEVALUE("1 "&amp;AK$1),0)))+
  SUMPRODUCT(('Form responses 1'!$E$2:$E1000=$A91)*('Form responses 1'!$A$2:$A1000&lt;=EOMONTH(DATEVALUE("1 "&amp;AK$1),0)))+
  SUMPRODUCT(('Form responses 1'!$F$2:$F1000=$A91)*('Form responses 1'!$A$2:$A1000&lt;=EOMONTH(DATEVALUE("1 "&amp;AK$1),0)))+
  SUMPRODUCT(('Form responses 1'!$G$2:$G1000=$A91)*('Form responses 1'!$A$2:$A1000&lt;=EOMONTH(DATEVALUE("1 "&amp;AK$1),0)))
),2),"-")</f>
        <v>-</v>
      </c>
      <c r="AL91" s="2" t="str">
        <f>IFERROR(ROUND(Data!$B91/(
  SUMPRODUCT(('Form responses 1'!$B$2:$B1000=$A91)*('Form responses 1'!$A$2:$A1000&lt;=EOMONTH(DATEVALUE("1 "&amp;AL$1),0)))+
  SUMPRODUCT(('Form responses 1'!$C$2:$C1000=$A91)*('Form responses 1'!$A$2:$A1000&lt;=EOMONTH(DATEVALUE("1 "&amp;AL$1),0)))+
  SUMPRODUCT(('Form responses 1'!$D$2:$D1000=$A91)*('Form responses 1'!$A$2:$A1000&lt;=EOMONTH(DATEVALUE("1 "&amp;AL$1),0)))+
  SUMPRODUCT(('Form responses 1'!$E$2:$E1000=$A91)*('Form responses 1'!$A$2:$A1000&lt;=EOMONTH(DATEVALUE("1 "&amp;AL$1),0)))+
  SUMPRODUCT(('Form responses 1'!$F$2:$F1000=$A91)*('Form responses 1'!$A$2:$A1000&lt;=EOMONTH(DATEVALUE("1 "&amp;AL$1),0)))+
  SUMPRODUCT(('Form responses 1'!$G$2:$G1000=$A91)*('Form responses 1'!$A$2:$A1000&lt;=EOMONTH(DATEVALUE("1 "&amp;AL$1),0)))
),2),"-")</f>
        <v>-</v>
      </c>
    </row>
    <row r="92">
      <c r="A92" s="3" t="str">
        <f>IFERROR(__xludf.DUMMYFUNCTION("""COMPUTED_VALUE"""),"Flowfrog t-shirt")</f>
        <v>Flowfrog t-shirt</v>
      </c>
      <c r="B92" s="2">
        <f>Data!F84:F1000</f>
        <v>0.45</v>
      </c>
      <c r="C92" s="2" t="str">
        <f>IFERROR(ROUND(Data!B84/(SUMPRODUCT(('Form responses 1'!$B$2:$B1000 = A92) * ('Form responses 1'!$A$2:$A1000 &lt;= DATE(2024, 1, 31)))
+ SUMPRODUCT(('Form responses 1'!$C$2:$C1000 = A92) * ('Form responses 1'!$A$2:$A1000 &lt;= DATE(2024, 1, 31)))
+ SUMPRODUCT(('Form responses 1'!$D$2:$D1000 = A92) * ('Form responses 1'!$A$2:$A1000 &lt;= DATE(2024, 1, 31)))
+ SUMPRODUCT(('Form responses 1'!$E$2:$E1000 = A92) * ('Form responses 1'!$A$2:$A1000 &lt;= DATE(2024, 1, 31)))
+ SUMPRODUCT(('Form responses 1'!$F$2:$F1000 = A92) * ('Form responses 1'!$A$2:$A1000 &lt;= DATE(2024, 1, 31)))
+ SUMPRODUCT(('Form responses 1'!$G$2:$G1000 = A92) * ('Form responses 1'!$A$2:$A1000 &lt;= DATE(2024, 1, 31)))), 2), "-")
</f>
        <v>-</v>
      </c>
      <c r="D92" s="2" t="str">
        <f>IFERROR(ROUND(Data!B84/(SUMPRODUCT(('Form responses 1'!$B$2:$B1000 = A92) * ('Form responses 1'!$A$2:$A1000 &lt;= DATE(2024, 2, 29)))
+ SUMPRODUCT(('Form responses 1'!$C$2:$C1000 = A92) * ('Form responses 1'!$A$2:$A1000 &lt;= DATE(2024, 2, 29)))
+ SUMPRODUCT(('Form responses 1'!$D$2:$D1000 = A92) * ('Form responses 1'!$A$2:$A1000 &lt;= DATE(2024, 2, 29)))
+ SUMPRODUCT(('Form responses 1'!$E$2:$E1000 = A92) * ('Form responses 1'!$A$2:$A1000 &lt;= DATE(2024, 2, 29)))
+ SUMPRODUCT(('Form responses 1'!$F$2:$F1000 = A92) * ('Form responses 1'!$A$2:$A1000 &lt;= DATE(2024, 2, 29)))
+ SUMPRODUCT(('Form responses 1'!$G$2:$G1000 = A92) * ('Form responses 1'!$A$2:$A1000 &lt;= DATE(2024, 2, 29)))), 2), "-")
</f>
        <v>-</v>
      </c>
      <c r="E92" s="2" t="str">
        <f>IFERROR(ROUND(Data!B84/(SUMPRODUCT(('Form responses 1'!$B$2:$B1000 = A92) * ('Form responses 1'!$A$2:$A1000 &lt;= DATE(2024, 3, 31)))
+ SUMPRODUCT(('Form responses 1'!$C$2:$C1000 = A92) * ('Form responses 1'!$A$2:$A1000 &lt;= DATE(2024, 3, 31)))
+ SUMPRODUCT(('Form responses 1'!$D$2:$D1000 = A92) * ('Form responses 1'!$A$2:$A1000 &lt;= DATE(2024, 3, 31)))
+ SUMPRODUCT(('Form responses 1'!$E$2:$E1000 = A92) * ('Form responses 1'!$A$2:$A1000 &lt;= DATE(2024, 3, 31)))
+ SUMPRODUCT(('Form responses 1'!$F$2:$F1000 = A92) * ('Form responses 1'!$A$2:$A1000 &lt;= DATE(2024, 3, 31)))
+ SUMPRODUCT(('Form responses 1'!$G$2:$G1000 = A92) * ('Form responses 1'!$A$2:$A1000 &lt;= DATE(2024, 3, 31)))), 2), "-")
</f>
        <v>-</v>
      </c>
      <c r="F92" s="2" t="str">
        <f>IFERROR(ROUND(Data!B84/(SUMPRODUCT(('Form responses 1'!$B$2:$B1000 = A92) * ('Form responses 1'!$A$2:$A1000 &lt;= DATE(2024, 4, 30)))
+ SUMPRODUCT(('Form responses 1'!$C$2:$C1000 = A92) * ('Form responses 1'!$A$2:$A1000 &lt;= DATE(2024, 4, 30)))
+ SUMPRODUCT(('Form responses 1'!$D$2:$D1000 = A92) * ('Form responses 1'!$A$2:$A1000 &lt;= DATE(2024, 4, 30)))
+ SUMPRODUCT(('Form responses 1'!$E$2:$E1000 = A92) * ('Form responses 1'!$A$2:$A1000 &lt;= DATE(2024, 4, 30)))
+ SUMPRODUCT(('Form responses 1'!$F$2:$F1000 = A92) * ('Form responses 1'!$A$2:$A1000 &lt;= DATE(2024, 4, 30)))
+ SUMPRODUCT(('Form responses 1'!$G$2:$G1000 = A92) * ('Form responses 1'!$A$2:$A1000 &lt;= DATE(2024, 4, 30)))), 2), "-")
</f>
        <v>-</v>
      </c>
      <c r="G92" s="2" t="str">
        <f>IFERROR(ROUND(Data!B84/(SUMPRODUCT(('Form responses 1'!$B$2:$B1000 = A92) * ('Form responses 1'!$A$2:$A1000 &lt;= DATE(2024, 5, 31)))
+ SUMPRODUCT(('Form responses 1'!$C$2:$C1000 = A92) * ('Form responses 1'!$A$2:$A1000 &lt;= DATE(2024, 5, 31)))
+ SUMPRODUCT(('Form responses 1'!$D$2:$D1000 = A92) * ('Form responses 1'!$A$2:$A1000 &lt;= DATE(2024, 5, 31)))
+ SUMPRODUCT(('Form responses 1'!$E$2:$E1000 = A92) * ('Form responses 1'!$A$2:$A1000 &lt;= DATE(2024, 5, 31)))
+ SUMPRODUCT(('Form responses 1'!$F$2:$F1000 = A92) * ('Form responses 1'!$A$2:$A1000 &lt;= DATE(2024, 5, 31)))
+ SUMPRODUCT(('Form responses 1'!$G$2:$G1000 = A92) * ('Form responses 1'!$A$2:$A1000 &lt;= DATE(2024, 5, 31)))), 2), "-")
</f>
        <v>-</v>
      </c>
      <c r="H92" s="2" t="str">
        <f>IFERROR(ROUND(Data!B84/(SUMPRODUCT(('Form responses 1'!$B$2:$B1000 = A92) * ('Form responses 1'!$A$2:$A1000 &lt;= DATE(2024, 6, 30)))
+ SUMPRODUCT(('Form responses 1'!$C$2:$C1000 = A92) * ('Form responses 1'!$A$2:$A1000 &lt;= DATE(2024, 6, 30)))
+ SUMPRODUCT(('Form responses 1'!$D$2:$D1000 = A92) * ('Form responses 1'!$A$2:$A1000 &lt;= DATE(2024, 6, 30)))
+ SUMPRODUCT(('Form responses 1'!$E$2:$E1000 = A92) * ('Form responses 1'!$A$2:$A1000 &lt;= DATE(2024, 6, 30)))
+ SUMPRODUCT(('Form responses 1'!$F$2:$F1000 = A92) * ('Form responses 1'!$A$2:$A1000 &lt;= DATE(2024, 6, 30)))
+ SUMPRODUCT(('Form responses 1'!$G$2:$G1000 = A92) * ('Form responses 1'!$A$2:$A1000 &lt;= DATE(2024, 6, 30)))), 2), "-")
</f>
        <v>-</v>
      </c>
      <c r="I92" s="2" t="str">
        <f>IFERROR(ROUND(Data!B84/(SUMPRODUCT(('Form responses 1'!$B$2:$B1000 = A92) * ('Form responses 1'!$A$2:$A1000 &lt;= DATE(2024, 7, 31)))
+ SUMPRODUCT(('Form responses 1'!$C$2:$C1000 = A92) * ('Form responses 1'!$A$2:$A1000 &lt;= DATE(2024, 7, 31)))
+ SUMPRODUCT(('Form responses 1'!$D$2:$D1000 = A92) * ('Form responses 1'!$A$2:$A1000 &lt;= DATE(2024, 7, 31)))
+ SUMPRODUCT(('Form responses 1'!$E$2:$E1000 = A92) * ('Form responses 1'!$A$2:$A1000 &lt;= DATE(2024, 7, 31)))
+ SUMPRODUCT(('Form responses 1'!$F$2:$F1000 = A92) * ('Form responses 1'!$A$2:$A1000 &lt;= DATE(2024, 7, 31)))
+ SUMPRODUCT(('Form responses 1'!$G$2:$G1000 = A92) * ('Form responses 1'!$A$2:$A1000 &lt;= DATE(2024, 7, 31)))), 2), "-")
</f>
        <v>-</v>
      </c>
      <c r="J92" s="2" t="str">
        <f>IFERROR(ROUND(Data!B84/(SUMPRODUCT(('Form responses 1'!$B$2:$B1000 = A92) * ('Form responses 1'!$A$2:$A1000 &lt;= DATE(2024, 8, 31)))
+ SUMPRODUCT(('Form responses 1'!$C$2:$C1000 = A92) * ('Form responses 1'!$A$2:$A1000 &lt;= DATE(2024, 8, 31)))
+ SUMPRODUCT(('Form responses 1'!$D$2:$D1000 = A92) * ('Form responses 1'!$A$2:$A1000 &lt;= DATE(2024, 8, 31)))
+ SUMPRODUCT(('Form responses 1'!$E$2:$E1000 = A92) * ('Form responses 1'!$A$2:$A1000 &lt;= DATE(2024, 8, 31)))
+ SUMPRODUCT(('Form responses 1'!$F$2:$F1000 = A92) * ('Form responses 1'!$A$2:$A1000 &lt;= DATE(2024, 8, 31)))
+ SUMPRODUCT(('Form responses 1'!$G$2:$G1000 = A92) * ('Form responses 1'!$A$2:$A1000 &lt;= DATE(2024, 8, 31)))), 2), "-")
</f>
        <v>-</v>
      </c>
      <c r="K92" s="2" t="str">
        <f>IFERROR(ROUND(Data!B84/(SUMPRODUCT(('Form responses 1'!$B$2:$B1000 = A92) * ('Form responses 1'!$A$2:$A1000 &lt;= DATE(2024, 9, 30)))
+ SUMPRODUCT(('Form responses 1'!$C$2:$C1000 = A92) * ('Form responses 1'!$A$2:$A1000 &lt;= DATE(2024, 9, 30)))
+ SUMPRODUCT(('Form responses 1'!$D$2:$D1000 = A92) * ('Form responses 1'!$A$2:$A1000 &lt;= DATE(2024, 9, 30)))
+ SUMPRODUCT(('Form responses 1'!$E$2:$E1000 = A92) * ('Form responses 1'!$A$2:$A1000 &lt;= DATE(2024, 9, 30)))
+ SUMPRODUCT(('Form responses 1'!$F$2:$F1000 = A92) * ('Form responses 1'!$A$2:$A1000 &lt;= DATE(2024, 9, 30)))
+ SUMPRODUCT(('Form responses 1'!$G$2:$G1000 = A92) * ('Form responses 1'!$A$2:$A1000 &lt;= DATE(2024, 9, 30)))), 2), "-")
</f>
        <v>-</v>
      </c>
      <c r="L92" s="2" t="str">
        <f>IFERROR(ROUND(Data!B84/(SUMPRODUCT(('Form responses 1'!$B$2:$B1000 = A92) * ('Form responses 1'!$A$2:$A1000 &lt;= DATE(2024, 10, 31)))
+ SUMPRODUCT(('Form responses 1'!$C$2:$C1000 = A92) * ('Form responses 1'!$A$2:$A1000 &lt;= DATE(2024, 10, 31)))
+ SUMPRODUCT(('Form responses 1'!$D$2:$D1000 = A92) * ('Form responses 1'!$A$2:$A1000 &lt;= DATE(2024, 10, 31)))
+ SUMPRODUCT(('Form responses 1'!$E$2:$E1000 = A92) * ('Form responses 1'!$A$2:$A1000 &lt;= DATE(2024, 10, 31)))
+ SUMPRODUCT(('Form responses 1'!$F$2:$F1000 = A92) * ('Form responses 1'!$A$2:$A1000 &lt;= DATE(2024, 10, 31)))
+ SUMPRODUCT(('Form responses 1'!$G$2:$G1000 = A92) * ('Form responses 1'!$A$2:$A1000 &lt;= DATE(2024, 10, 31)))), 2), "-")
</f>
        <v>-</v>
      </c>
      <c r="M92" s="2" t="str">
        <f>IFERROR(ROUND(Data!B84/(SUMPRODUCT(('Form responses 1'!$B$2:$B1000 = A92) * ('Form responses 1'!$A$2:$A1000 &lt;= DATE(2024, 11, 30)))
+ SUMPRODUCT(('Form responses 1'!$C$2:$C1000 = A92) * ('Form responses 1'!$A$2:$A1000 &lt;= DATE(2024, 11, 30)))
+ SUMPRODUCT(('Form responses 1'!$D$2:$D1000 = A92) * ('Form responses 1'!$A$2:$A1000 &lt;= DATE(2024, 11, 30)))
+ SUMPRODUCT(('Form responses 1'!$E$2:$E1000 = A92) * ('Form responses 1'!$A$2:$A1000 &lt;= DATE(2024, 11, 30)))
+ SUMPRODUCT(('Form responses 1'!$F$2:$F1000 = A92) * ('Form responses 1'!$A$2:$A1000 &lt;= DATE(2024, 11, 30)))
+ SUMPRODUCT(('Form responses 1'!$G$2:$G1000 = A92) * ('Form responses 1'!$A$2:$A1000 &lt;= DATE(2024, 11, 30)))), 2), "-")
</f>
        <v>-</v>
      </c>
      <c r="N92" s="2" t="str">
        <f>IFERROR(ROUND(Data!B84/(SUMPRODUCT(('Form responses 1'!$B$2:$B1000 = A92) * ('Form responses 1'!$A$2:$A1000 &lt;= DATE(2024, 12, 31)))
+ SUMPRODUCT(('Form responses 1'!$C$2:$C1000 = A92) * ('Form responses 1'!$A$2:$A1000 &lt;= DATE(2024, 12, 31)))
+ SUMPRODUCT(('Form responses 1'!$D$2:$D1000 = A92) * ('Form responses 1'!$A$2:$A1000 &lt;= DATE(2024, 12, 31)))
+ SUMPRODUCT(('Form responses 1'!$E$2:$E1000 = A92) * ('Form responses 1'!$A$2:$A1000 &lt;= DATE(2024, 12, 31)))
+ SUMPRODUCT(('Form responses 1'!$F$2:$F1000 = A92) * ('Form responses 1'!$A$2:$A1000 &lt;= DATE(2024, 12, 31)))
+ SUMPRODUCT(('Form responses 1'!$G$2:$G1000 = A92) * ('Form responses 1'!$A$2:$A1000 &lt;= DATE(2024, 12, 31)))), 2), "-")
</f>
        <v>-</v>
      </c>
      <c r="O92" s="2" t="str">
        <f>IFERROR(ROUND(Data!B84/(SUMPRODUCT(('Form responses 1'!$B$2:$B1000 = A92) * ('Form responses 1'!$A$2:$A1000 &lt;= DATE(2025, 1, 31)))
+ SUMPRODUCT(('Form responses 1'!$C$2:$C1000 = A92) * ('Form responses 1'!$A$2:$A1000 &lt;= DATE(2025, 1, 31)))
+ SUMPRODUCT(('Form responses 1'!$D$2:$D1000 = A92) * ('Form responses 1'!$A$2:$A1000 &lt;= DATE(2025, 1, 31)))
+ SUMPRODUCT(('Form responses 1'!$E$2:$E1000 = A92) * ('Form responses 1'!$A$2:$A1000 &lt;= DATE(2025, 1, 31)))
+ SUMPRODUCT(('Form responses 1'!$F$2:$F1000 = A92) * ('Form responses 1'!$A$2:$A1000 &lt;= DATE(2025, 1, 31)))
+ SUMPRODUCT(('Form responses 1'!$G$2:$G1000 = A92) * ('Form responses 1'!$A$2:$A1000 &lt;= DATE(2025, 1, 31)))), 2), "-")
</f>
        <v>-</v>
      </c>
      <c r="P92" s="2" t="str">
        <f>IFERROR(ROUND(Data!B84/(SUMPRODUCT(('Form responses 1'!$B$2:$B1000 = A92) * ('Form responses 1'!$A$2:$A1000 &lt;= DATE(2025, 2, 28)))
+ SUMPRODUCT(('Form responses 1'!$C$2:$C1000 = A92) * ('Form responses 1'!$A$2:$A1000 &lt;= DATE(2025, 2, 28)))
+ SUMPRODUCT(('Form responses 1'!$D$2:$D1000 = A92) * ('Form responses 1'!$A$2:$A1000 &lt;= DATE(2025, 2, 28)))
+ SUMPRODUCT(('Form responses 1'!$E$2:$E1000 = A92) * ('Form responses 1'!$A$2:$A1000 &lt;= DATE(2025, 2, 28)))
+ SUMPRODUCT(('Form responses 1'!$F$2:$F1000 = A92) * ('Form responses 1'!$A$2:$A1000 &lt;= DATE(2025, 2, 28)))
+ SUMPRODUCT(('Form responses 1'!$G$2:$G1000 = A92) * ('Form responses 1'!$A$2:$A1000 &lt;= DATE(2025, 2, 28)))), 2), "-")
</f>
        <v>-</v>
      </c>
      <c r="Q92" s="2" t="str">
        <f>IFERROR(ROUND(Data!B84/(SUMPRODUCT(('Form responses 1'!$B$2:$B1000 = A92) * ('Form responses 1'!$A$2:$A1000 &lt;= DATE(2025, 3, 31)))
+ SUMPRODUCT(('Form responses 1'!$C$2:$C1000 = A92) * ('Form responses 1'!$A$2:$A1000 &lt;= DATE(2025, 3, 31)))
+ SUMPRODUCT(('Form responses 1'!$D$2:$D1000 = A92) * ('Form responses 1'!$A$2:$A1000 &lt;= DATE(2025, 3, 31)))
+ SUMPRODUCT(('Form responses 1'!$E$2:$E1000 = A92) * ('Form responses 1'!$A$2:$A1000 &lt;= DATE(2025, 3, 31)))
+ SUMPRODUCT(('Form responses 1'!$F$2:$F1000 = A92) * ('Form responses 1'!$A$2:$A1000 &lt;= DATE(2025, 3, 31)))
+ SUMPRODUCT(('Form responses 1'!$G$2:$G1000 = A92) * ('Form responses 1'!$A$2:$A1000 &lt;= DATE(2025, 3, 31)))),2),"-")</f>
        <v>-</v>
      </c>
      <c r="R92" s="2" t="str">
        <f>IFERROR(ROUND(Data!B84/(SUMPRODUCT(('Form responses 1'!$B$2:$B1000 = A92) * ('Form responses 1'!$A$2:$A1000 &lt;= DATE(2025, 4, 30)))
+ SUMPRODUCT(('Form responses 1'!$C$2:$C1000 = A92) * ('Form responses 1'!$A$2:$A1000 &lt;= DATE(2025, 4, 30)))
+ SUMPRODUCT(('Form responses 1'!$D$2:$D1000 = A92) * ('Form responses 1'!$A$2:$A1000 &lt;= DATE(2025, 4, 30)))
+ SUMPRODUCT(('Form responses 1'!$E$2:$E1000 = A92) * ('Form responses 1'!$A$2:$A1000 &lt;= DATE(2025, 4, 30)))
+ SUMPRODUCT(('Form responses 1'!$F$2:$F1000 = A92) * ('Form responses 1'!$A$2:$A1000 &lt;= DATE(2025, 4, 30)))
+ SUMPRODUCT(('Form responses 1'!$G$2:$G1000 = A92) * ('Form responses 1'!$A$2:$A1000 &lt;= DATE(2025, 4, 30)))), 2), "-")
</f>
        <v>-</v>
      </c>
      <c r="S92" s="2" t="str">
        <f>IFERROR(ROUND(Data!B84/(SUMPRODUCT(('Form responses 1'!$B$2:$B1000 = A92) * ('Form responses 1'!$A$2:$A1000 &lt;= DATE(2025, 5, 31)))
+ SUMPRODUCT(('Form responses 1'!$C$2:$C1000 = A92) * ('Form responses 1'!$A$2:$A1000 &lt;= DATE(2025, 5, 31)))
+ SUMPRODUCT(('Form responses 1'!$D$2:$D1000 = A92) * ('Form responses 1'!$A$2:$A1000 &lt;= DATE(2025, 5, 31)))
+ SUMPRODUCT(('Form responses 1'!$E$2:$E1000 = A92) * ('Form responses 1'!$A$2:$A1000 &lt;= DATE(2025, 5, 31)))
+ SUMPRODUCT(('Form responses 1'!$F$2:$F1000 = A92) * ('Form responses 1'!$A$2:$A1000 &lt;= DATE(2025, 5, 31)))
+ SUMPRODUCT(('Form responses 1'!$G$2:$G1000 = A92) * ('Form responses 1'!$A$2:$A1000 &lt;= DATE(2025, 5, 31)))), 2), "-")
</f>
        <v>-</v>
      </c>
      <c r="T92" s="2" t="str">
        <f>IFERROR(ROUND(Data!B84/(SUMPRODUCT(('Form responses 1'!$B$2:$B1000 = A92) * ('Form responses 1'!$A$2:$A1000 &lt;= DATE(2025, 6, 30)))
+ SUMPRODUCT(('Form responses 1'!$C$2:$C1000 = A92) * ('Form responses 1'!$A$2:$A1000 &lt;= DATE(2025, 6, 30)))
+ SUMPRODUCT(('Form responses 1'!$D$2:$D1000 = A92) * ('Form responses 1'!$A$2:$A1000 &lt;= DATE(2025, 6, 30)))
+ SUMPRODUCT(('Form responses 1'!$E$2:$E1000 = A92) * ('Form responses 1'!$A$2:$A1000 &lt;= DATE(2025, 6, 30)))
+ SUMPRODUCT(('Form responses 1'!$F$2:$F1000 = A92) * ('Form responses 1'!$A$2:$A1000 &lt;= DATE(2025, 6, 30)))
+ SUMPRODUCT(('Form responses 1'!$G$2:$G1000 = A92) * ('Form responses 1'!$A$2:$A1000 &lt;= DATE(2025, 6, 30)))), 2), "-")
</f>
        <v>-</v>
      </c>
      <c r="U92" s="2">
        <f>IFERROR(ROUND(Data!B84/(SUMPRODUCT(('Form responses 1'!$B$2:$B1000 = A92) * ('Form responses 1'!$A$2:$A1000 &lt;= DATE(2025, 7, 31)))
+ SUMPRODUCT(('Form responses 1'!$C$2:$C1000 = A92) * ('Form responses 1'!$A$2:$A1000 &lt;= DATE(2025, 7, 31)))
+ SUMPRODUCT(('Form responses 1'!$D$2:$D1000 = A92) * ('Form responses 1'!$A$2:$A1000 &lt;= DATE(2025, 7, 31)))
+ SUMPRODUCT(('Form responses 1'!$E$2:$E1000 = A92) * ('Form responses 1'!$A$2:$A1000 &lt;= DATE(2025, 7, 31)))
+ SUMPRODUCT(('Form responses 1'!$F$2:$F1000 = A92) * ('Form responses 1'!$A$2:$A1000 &lt;= DATE(2025, 7, 31)))
+ SUMPRODUCT(('Form responses 1'!$G$2:$G1000 = A92) * ('Form responses 1'!$A$2:$A1000 &lt;= DATE(2025, 7, 31)))), 2), "-")
</f>
        <v>35</v>
      </c>
      <c r="V92" s="2">
        <f>IFERROR(ROUND(Data!B84/(SUMPRODUCT(('Form responses 1'!$B$2:$B1000 = A92) * ('Form responses 1'!$A$2:$A1000 &lt;= DATE(2025, 8, 31)))
+ SUMPRODUCT(('Form responses 1'!$C$2:$C1000 = A92) * ('Form responses 1'!$A$2:$A1000 &lt;= DATE(2025, 8, 31)))
+ SUMPRODUCT(('Form responses 1'!$D$2:$D1000 = A92) * ('Form responses 1'!$A$2:$A1000 &lt;= DATE(2025, 8, 31)))
+ SUMPRODUCT(('Form responses 1'!$E$2:$E1000 = A92) * ('Form responses 1'!$A$2:$A1000 &lt;= DATE(2025, 8, 31)))
+ SUMPRODUCT(('Form responses 1'!$F$2:$F1000 = A92) * ('Form responses 1'!$A$2:$A1000 &lt;= DATE(2025, 8, 31)))
+ SUMPRODUCT(('Form responses 1'!$G$2:$G1000 = A92) * ('Form responses 1'!$A$2:$A1000 &lt;= DATE(2025, 8, 31)))), 2), "-")
</f>
        <v>23.33</v>
      </c>
      <c r="W92" s="2">
        <f>IFERROR(ROUND(Data!B84/(SUMPRODUCT(('Form responses 1'!$B$2:$B1000 = A92) * ('Form responses 1'!$A$2:$A1000 &lt;= DATE(2025, 9, 30)))
+ SUMPRODUCT(('Form responses 1'!$C$2:$C1000 = A92) * ('Form responses 1'!$A$2:$A1000 &lt;= DATE(2025, 9, 30)))
+ SUMPRODUCT(('Form responses 1'!$D$2:$D1000 = A92) * ('Form responses 1'!$A$2:$A1000 &lt;= DATE(2025, 9, 30)))
+ SUMPRODUCT(('Form responses 1'!$E$2:$E1000 = A92) * ('Form responses 1'!$A$2:$A1000 &lt;= DATE(2025, 9, 30)))
+ SUMPRODUCT(('Form responses 1'!$F$2:$F1000 = A92) * ('Form responses 1'!$A$2:$A1000 &lt;= DATE(2025, 9, 30)))
+ SUMPRODUCT(('Form responses 1'!$G$2:$G1000 = A92) * ('Form responses 1'!$A$2:$A1000 &lt;= DATE(2025, 9, 30)))), 2), "-")
</f>
        <v>23.33</v>
      </c>
      <c r="X92" s="2">
        <f>IFERROR(ROUND(Data!B84/(SUMPRODUCT(('Form responses 1'!$B$2:$B1000 = A92) * ('Form responses 1'!$A$2:$A1000 &lt;= DATE(2025, 10, 31)))
+ SUMPRODUCT(('Form responses 1'!$C$2:$C1000 = A92) * ('Form responses 1'!$A$2:$A1000 &lt;= DATE(2025, 10, 31)))
+ SUMPRODUCT(('Form responses 1'!$D$2:$D1000 = A92) * ('Form responses 1'!$A$2:$A1000 &lt;= DATE(2025, 10, 31)))
+ SUMPRODUCT(('Form responses 1'!$E$2:$E1000 = A92) * ('Form responses 1'!$A$2:$A1000 &lt;= DATE(2025, 10, 31)))
+ SUMPRODUCT(('Form responses 1'!$F$2:$F1000 = A92) * ('Form responses 1'!$A$2:$A1000 &lt;= DATE(2025, 10, 31)))
+ SUMPRODUCT(('Form responses 1'!$G$2:$G1000 = A92) * ('Form responses 1'!$A$2:$A1000 &lt;= DATE(2025, 10, 31)))), 2), "-")
</f>
        <v>23.33</v>
      </c>
      <c r="Y92" s="2">
        <f>IFERROR(ROUND(Data!B84/(SUMPRODUCT(('Form responses 1'!$B$2:$B1000 = A92) * ('Form responses 1'!$A$2:$A1000 &lt;= DATE(2025, 11, 30)))
+ SUMPRODUCT(('Form responses 1'!$C$2:$C1000 = A92) * ('Form responses 1'!$A$2:$A1000 &lt;= DATE(2025, 11, 30)))
+ SUMPRODUCT(('Form responses 1'!$D$2:$D1000 = A92) * ('Form responses 1'!$A$2:$A1000 &lt;= DATE(2025, 11, 30)))
+ SUMPRODUCT(('Form responses 1'!$E$2:$E1000 = A92) * ('Form responses 1'!$A$2:$A1000 &lt;= DATE(2025, 11, 30)))
+ SUMPRODUCT(('Form responses 1'!$F$2:$F1000 = A92) * ('Form responses 1'!$A$2:$A1000 &lt;= DATE(2025, 11, 30)))
+ SUMPRODUCT(('Form responses 1'!$G$2:$G1000 = A92) * ('Form responses 1'!$A$2:$A1000 &lt;= DATE(2025, 11, 30)))), 2), "-")
</f>
        <v>23.33</v>
      </c>
      <c r="Z92" s="2">
        <f>IFERROR(ROUND(Data!B84/(SUMPRODUCT(('Form responses 1'!$B$2:$B1000 = A92) * ('Form responses 1'!$A$2:$A1000 &lt;= DATE(2025, 12, 31)))
+ SUMPRODUCT(('Form responses 1'!$C$2:$C1000 = A92) * ('Form responses 1'!$A$2:$A1000 &lt;= DATE(2025, 12, 31)))
+ SUMPRODUCT(('Form responses 1'!$D$2:$D1000 = A92) * ('Form responses 1'!$A$2:$A1000 &lt;= DATE(2025, 12, 31)))
+ SUMPRODUCT(('Form responses 1'!$E$2:$E1000 = A92) * ('Form responses 1'!$A$2:$A1000 &lt;= DATE(2025, 12, 31)))
+ SUMPRODUCT(('Form responses 1'!$F$2:$F1000 = A92) * ('Form responses 1'!$A$2:$A1000 &lt;= DATE(2025, 12, 31)))
+ SUMPRODUCT(('Form responses 1'!$G$2:$G1000 = A92) * ('Form responses 1'!$A$2:$A1000 &lt;= DATE(2025, 12, 31)))), 2), "-")
</f>
        <v>23.33</v>
      </c>
      <c r="AA92" s="2">
        <f>IFERROR(ROUND(Data!$B92/(
  SUMPRODUCT(('Form responses 1'!$B$2:$B1000=$A92)*('Form responses 1'!$A$2:$A1000&lt;=EOMONTH(DATEVALUE("1 "&amp;AA$1),0)))+
  SUMPRODUCT(('Form responses 1'!$C$2:$C1000=$A92)*('Form responses 1'!$A$2:$A1000&lt;=EOMONTH(DATEVALUE("1 "&amp;AA$1),0)))+
  SUMPRODUCT(('Form responses 1'!$D$2:$D1000=$A92)*('Form responses 1'!$A$2:$A1000&lt;=EOMONTH(DATEVALUE("1 "&amp;AA$1),0)))+
  SUMPRODUCT(('Form responses 1'!$E$2:$E1000=$A92)*('Form responses 1'!$A$2:$A1000&lt;=EOMONTH(DATEVALUE("1 "&amp;AA$1),0)))+
  SUMPRODUCT(('Form responses 1'!$F$2:$F1000=$A92)*('Form responses 1'!$A$2:$A1000&lt;=EOMONTH(DATEVALUE("1 "&amp;AA$1),0)))+
  SUMPRODUCT(('Form responses 1'!$G$2:$G1000=$A92)*('Form responses 1'!$A$2:$A1000&lt;=EOMONTH(DATEVALUE("1 "&amp;AA$1),0)))
),2),"-")</f>
        <v>1.27</v>
      </c>
      <c r="AB92" s="2">
        <f>IFERROR(ROUND(Data!$B92/(
  SUMPRODUCT(('Form responses 1'!$B$2:$B1000=$A92)*('Form responses 1'!$A$2:$A1000&lt;=EOMONTH(DATEVALUE("1 "&amp;AB$1),0)))+
  SUMPRODUCT(('Form responses 1'!$C$2:$C1000=$A92)*('Form responses 1'!$A$2:$A1000&lt;=EOMONTH(DATEVALUE("1 "&amp;AB$1),0)))+
  SUMPRODUCT(('Form responses 1'!$D$2:$D1000=$A92)*('Form responses 1'!$A$2:$A1000&lt;=EOMONTH(DATEVALUE("1 "&amp;AB$1),0)))+
  SUMPRODUCT(('Form responses 1'!$E$2:$E1000=$A92)*('Form responses 1'!$A$2:$A1000&lt;=EOMONTH(DATEVALUE("1 "&amp;AB$1),0)))+
  SUMPRODUCT(('Form responses 1'!$F$2:$F1000=$A92)*('Form responses 1'!$A$2:$A1000&lt;=EOMONTH(DATEVALUE("1 "&amp;AB$1),0)))+
  SUMPRODUCT(('Form responses 1'!$G$2:$G1000=$A92)*('Form responses 1'!$A$2:$A1000&lt;=EOMONTH(DATEVALUE("1 "&amp;AB$1),0)))
),2),"-")</f>
        <v>1.27</v>
      </c>
      <c r="AC92" s="2">
        <f>IFERROR(ROUND(Data!$B92/(
  SUMPRODUCT(('Form responses 1'!$B$2:$B1000=$A92)*('Form responses 1'!$A$2:$A1000&lt;=EOMONTH(DATEVALUE("1 "&amp;AC$1),0)))+
  SUMPRODUCT(('Form responses 1'!$C$2:$C1000=$A92)*('Form responses 1'!$A$2:$A1000&lt;=EOMONTH(DATEVALUE("1 "&amp;AC$1),0)))+
  SUMPRODUCT(('Form responses 1'!$D$2:$D1000=$A92)*('Form responses 1'!$A$2:$A1000&lt;=EOMONTH(DATEVALUE("1 "&amp;AC$1),0)))+
  SUMPRODUCT(('Form responses 1'!$E$2:$E1000=$A92)*('Form responses 1'!$A$2:$A1000&lt;=EOMONTH(DATEVALUE("1 "&amp;AC$1),0)))+
  SUMPRODUCT(('Form responses 1'!$F$2:$F1000=$A92)*('Form responses 1'!$A$2:$A1000&lt;=EOMONTH(DATEVALUE("1 "&amp;AC$1),0)))+
  SUMPRODUCT(('Form responses 1'!$G$2:$G1000=$A92)*('Form responses 1'!$A$2:$A1000&lt;=EOMONTH(DATEVALUE("1 "&amp;AC$1),0)))
),2),"-")</f>
        <v>1.27</v>
      </c>
      <c r="AD92" s="2" t="str">
        <f>IFERROR(ROUND(Data!$B92/(
  SUMPRODUCT(('Form responses 1'!$B$2:$B1000=$A92)*('Form responses 1'!$A$2:$A1000&lt;=EOMONTH(DATEVALUE("1 "&amp;AD$1),0)))+
  SUMPRODUCT(('Form responses 1'!$C$2:$C1000=$A92)*('Form responses 1'!$A$2:$A1000&lt;=EOMONTH(DATEVALUE("1 "&amp;AD$1),0)))+
  SUMPRODUCT(('Form responses 1'!$D$2:$D1000=$A92)*('Form responses 1'!$A$2:$A1000&lt;=EOMONTH(DATEVALUE("1 "&amp;AD$1),0)))+
  SUMPRODUCT(('Form responses 1'!$E$2:$E1000=$A92)*('Form responses 1'!$A$2:$A1000&lt;=EOMONTH(DATEVALUE("1 "&amp;AD$1),0)))+
  SUMPRODUCT(('Form responses 1'!$F$2:$F1000=$A92)*('Form responses 1'!$A$2:$A1000&lt;=EOMONTH(DATEVALUE("1 "&amp;AD$1),0)))+
  SUMPRODUCT(('Form responses 1'!$G$2:$G1000=$A92)*('Form responses 1'!$A$2:$A1000&lt;=EOMONTH(DATEVALUE("1 "&amp;AD$1),0)))
),2),"-")</f>
        <v>-</v>
      </c>
      <c r="AE92" s="2" t="str">
        <f>IFERROR(ROUND(Data!$B92/(
  SUMPRODUCT(('Form responses 1'!$B$2:$B1000=$A92)*('Form responses 1'!$A$2:$A1000&lt;=EOMONTH(DATEVALUE("1 "&amp;AE$1),0)))+
  SUMPRODUCT(('Form responses 1'!$C$2:$C1000=$A92)*('Form responses 1'!$A$2:$A1000&lt;=EOMONTH(DATEVALUE("1 "&amp;AE$1),0)))+
  SUMPRODUCT(('Form responses 1'!$D$2:$D1000=$A92)*('Form responses 1'!$A$2:$A1000&lt;=EOMONTH(DATEVALUE("1 "&amp;AE$1),0)))+
  SUMPRODUCT(('Form responses 1'!$E$2:$E1000=$A92)*('Form responses 1'!$A$2:$A1000&lt;=EOMONTH(DATEVALUE("1 "&amp;AE$1),0)))+
  SUMPRODUCT(('Form responses 1'!$F$2:$F1000=$A92)*('Form responses 1'!$A$2:$A1000&lt;=EOMONTH(DATEVALUE("1 "&amp;AE$1),0)))+
  SUMPRODUCT(('Form responses 1'!$G$2:$G1000=$A92)*('Form responses 1'!$A$2:$A1000&lt;=EOMONTH(DATEVALUE("1 "&amp;AE$1),0)))
),2),"-")</f>
        <v>-</v>
      </c>
      <c r="AF92" s="2" t="str">
        <f>IFERROR(ROUND(Data!$B92/(
  SUMPRODUCT(('Form responses 1'!$B$2:$B1000=$A92)*('Form responses 1'!$A$2:$A1000&lt;=EOMONTH(DATEVALUE("1 "&amp;AF$1),0)))+
  SUMPRODUCT(('Form responses 1'!$C$2:$C1000=$A92)*('Form responses 1'!$A$2:$A1000&lt;=EOMONTH(DATEVALUE("1 "&amp;AF$1),0)))+
  SUMPRODUCT(('Form responses 1'!$D$2:$D1000=$A92)*('Form responses 1'!$A$2:$A1000&lt;=EOMONTH(DATEVALUE("1 "&amp;AF$1),0)))+
  SUMPRODUCT(('Form responses 1'!$E$2:$E1000=$A92)*('Form responses 1'!$A$2:$A1000&lt;=EOMONTH(DATEVALUE("1 "&amp;AF$1),0)))+
  SUMPRODUCT(('Form responses 1'!$F$2:$F1000=$A92)*('Form responses 1'!$A$2:$A1000&lt;=EOMONTH(DATEVALUE("1 "&amp;AF$1),0)))+
  SUMPRODUCT(('Form responses 1'!$G$2:$G1000=$A92)*('Form responses 1'!$A$2:$A1000&lt;=EOMONTH(DATEVALUE("1 "&amp;AF$1),0)))
),2),"-")</f>
        <v>-</v>
      </c>
      <c r="AG92" s="2" t="str">
        <f>IFERROR(ROUND(Data!$B92/(
  SUMPRODUCT(('Form responses 1'!$B$2:$B1000=$A92)*('Form responses 1'!$A$2:$A1000&lt;=EOMONTH(DATEVALUE("1 "&amp;AG$1),0)))+
  SUMPRODUCT(('Form responses 1'!$C$2:$C1000=$A92)*('Form responses 1'!$A$2:$A1000&lt;=EOMONTH(DATEVALUE("1 "&amp;AG$1),0)))+
  SUMPRODUCT(('Form responses 1'!$D$2:$D1000=$A92)*('Form responses 1'!$A$2:$A1000&lt;=EOMONTH(DATEVALUE("1 "&amp;AG$1),0)))+
  SUMPRODUCT(('Form responses 1'!$E$2:$E1000=$A92)*('Form responses 1'!$A$2:$A1000&lt;=EOMONTH(DATEVALUE("1 "&amp;AG$1),0)))+
  SUMPRODUCT(('Form responses 1'!$F$2:$F1000=$A92)*('Form responses 1'!$A$2:$A1000&lt;=EOMONTH(DATEVALUE("1 "&amp;AG$1),0)))+
  SUMPRODUCT(('Form responses 1'!$G$2:$G1000=$A92)*('Form responses 1'!$A$2:$A1000&lt;=EOMONTH(DATEVALUE("1 "&amp;AG$1),0)))
),2),"-")</f>
        <v>-</v>
      </c>
      <c r="AH92" s="2" t="str">
        <f>IFERROR(ROUND(Data!$B92/(
  SUMPRODUCT(('Form responses 1'!$B$2:$B1000=$A92)*('Form responses 1'!$A$2:$A1000&lt;=EOMONTH(DATEVALUE("1 "&amp;AH$1),0)))+
  SUMPRODUCT(('Form responses 1'!$C$2:$C1000=$A92)*('Form responses 1'!$A$2:$A1000&lt;=EOMONTH(DATEVALUE("1 "&amp;AH$1),0)))+
  SUMPRODUCT(('Form responses 1'!$D$2:$D1000=$A92)*('Form responses 1'!$A$2:$A1000&lt;=EOMONTH(DATEVALUE("1 "&amp;AH$1),0)))+
  SUMPRODUCT(('Form responses 1'!$E$2:$E1000=$A92)*('Form responses 1'!$A$2:$A1000&lt;=EOMONTH(DATEVALUE("1 "&amp;AH$1),0)))+
  SUMPRODUCT(('Form responses 1'!$F$2:$F1000=$A92)*('Form responses 1'!$A$2:$A1000&lt;=EOMONTH(DATEVALUE("1 "&amp;AH$1),0)))+
  SUMPRODUCT(('Form responses 1'!$G$2:$G1000=$A92)*('Form responses 1'!$A$2:$A1000&lt;=EOMONTH(DATEVALUE("1 "&amp;AH$1),0)))
),2),"-")</f>
        <v>-</v>
      </c>
      <c r="AI92" s="2" t="str">
        <f>IFERROR(ROUND(Data!$B92/(
  SUMPRODUCT(('Form responses 1'!$B$2:$B1000=$A92)*('Form responses 1'!$A$2:$A1000&lt;=EOMONTH(DATEVALUE("1 "&amp;AI$1),0)))+
  SUMPRODUCT(('Form responses 1'!$C$2:$C1000=$A92)*('Form responses 1'!$A$2:$A1000&lt;=EOMONTH(DATEVALUE("1 "&amp;AI$1),0)))+
  SUMPRODUCT(('Form responses 1'!$D$2:$D1000=$A92)*('Form responses 1'!$A$2:$A1000&lt;=EOMONTH(DATEVALUE("1 "&amp;AI$1),0)))+
  SUMPRODUCT(('Form responses 1'!$E$2:$E1000=$A92)*('Form responses 1'!$A$2:$A1000&lt;=EOMONTH(DATEVALUE("1 "&amp;AI$1),0)))+
  SUMPRODUCT(('Form responses 1'!$F$2:$F1000=$A92)*('Form responses 1'!$A$2:$A1000&lt;=EOMONTH(DATEVALUE("1 "&amp;AI$1),0)))+
  SUMPRODUCT(('Form responses 1'!$G$2:$G1000=$A92)*('Form responses 1'!$A$2:$A1000&lt;=EOMONTH(DATEVALUE("1 "&amp;AI$1),0)))
),2),"-")</f>
        <v>-</v>
      </c>
      <c r="AJ92" s="2" t="str">
        <f>IFERROR(ROUND(Data!$B92/(
  SUMPRODUCT(('Form responses 1'!$B$2:$B1000=$A92)*('Form responses 1'!$A$2:$A1000&lt;=EOMONTH(DATEVALUE("1 "&amp;AJ$1),0)))+
  SUMPRODUCT(('Form responses 1'!$C$2:$C1000=$A92)*('Form responses 1'!$A$2:$A1000&lt;=EOMONTH(DATEVALUE("1 "&amp;AJ$1),0)))+
  SUMPRODUCT(('Form responses 1'!$D$2:$D1000=$A92)*('Form responses 1'!$A$2:$A1000&lt;=EOMONTH(DATEVALUE("1 "&amp;AJ$1),0)))+
  SUMPRODUCT(('Form responses 1'!$E$2:$E1000=$A92)*('Form responses 1'!$A$2:$A1000&lt;=EOMONTH(DATEVALUE("1 "&amp;AJ$1),0)))+
  SUMPRODUCT(('Form responses 1'!$F$2:$F1000=$A92)*('Form responses 1'!$A$2:$A1000&lt;=EOMONTH(DATEVALUE("1 "&amp;AJ$1),0)))+
  SUMPRODUCT(('Form responses 1'!$G$2:$G1000=$A92)*('Form responses 1'!$A$2:$A1000&lt;=EOMONTH(DATEVALUE("1 "&amp;AJ$1),0)))
),2),"-")</f>
        <v>-</v>
      </c>
      <c r="AK92" s="2" t="str">
        <f>IFERROR(ROUND(Data!$B92/(
  SUMPRODUCT(('Form responses 1'!$B$2:$B1000=$A92)*('Form responses 1'!$A$2:$A1000&lt;=EOMONTH(DATEVALUE("1 "&amp;AK$1),0)))+
  SUMPRODUCT(('Form responses 1'!$C$2:$C1000=$A92)*('Form responses 1'!$A$2:$A1000&lt;=EOMONTH(DATEVALUE("1 "&amp;AK$1),0)))+
  SUMPRODUCT(('Form responses 1'!$D$2:$D1000=$A92)*('Form responses 1'!$A$2:$A1000&lt;=EOMONTH(DATEVALUE("1 "&amp;AK$1),0)))+
  SUMPRODUCT(('Form responses 1'!$E$2:$E1000=$A92)*('Form responses 1'!$A$2:$A1000&lt;=EOMONTH(DATEVALUE("1 "&amp;AK$1),0)))+
  SUMPRODUCT(('Form responses 1'!$F$2:$F1000=$A92)*('Form responses 1'!$A$2:$A1000&lt;=EOMONTH(DATEVALUE("1 "&amp;AK$1),0)))+
  SUMPRODUCT(('Form responses 1'!$G$2:$G1000=$A92)*('Form responses 1'!$A$2:$A1000&lt;=EOMONTH(DATEVALUE("1 "&amp;AK$1),0)))
),2),"-")</f>
        <v>-</v>
      </c>
      <c r="AL92" s="2" t="str">
        <f>IFERROR(ROUND(Data!$B92/(
  SUMPRODUCT(('Form responses 1'!$B$2:$B1000=$A92)*('Form responses 1'!$A$2:$A1000&lt;=EOMONTH(DATEVALUE("1 "&amp;AL$1),0)))+
  SUMPRODUCT(('Form responses 1'!$C$2:$C1000=$A92)*('Form responses 1'!$A$2:$A1000&lt;=EOMONTH(DATEVALUE("1 "&amp;AL$1),0)))+
  SUMPRODUCT(('Form responses 1'!$D$2:$D1000=$A92)*('Form responses 1'!$A$2:$A1000&lt;=EOMONTH(DATEVALUE("1 "&amp;AL$1),0)))+
  SUMPRODUCT(('Form responses 1'!$E$2:$E1000=$A92)*('Form responses 1'!$A$2:$A1000&lt;=EOMONTH(DATEVALUE("1 "&amp;AL$1),0)))+
  SUMPRODUCT(('Form responses 1'!$F$2:$F1000=$A92)*('Form responses 1'!$A$2:$A1000&lt;=EOMONTH(DATEVALUE("1 "&amp;AL$1),0)))+
  SUMPRODUCT(('Form responses 1'!$G$2:$G1000=$A92)*('Form responses 1'!$A$2:$A1000&lt;=EOMONTH(DATEVALUE("1 "&amp;AL$1),0)))
),2),"-")</f>
        <v>-</v>
      </c>
    </row>
    <row r="93">
      <c r="A93" s="3" t="str">
        <f>IFERROR(__xludf.DUMMYFUNCTION("""COMPUTED_VALUE"""),"Vans Mte Crosspath Xc")</f>
        <v>Vans Mte Crosspath Xc</v>
      </c>
      <c r="B93" s="2">
        <f>Data!F85:F1000</f>
        <v>1.26</v>
      </c>
      <c r="C93" s="2" t="str">
        <f>IFERROR(ROUND(Data!B85/(SUMPRODUCT(('Form responses 1'!$B$2:$B1000 = A93) * ('Form responses 1'!$A$2:$A1000 &lt;= DATE(2024, 1, 31)))
+ SUMPRODUCT(('Form responses 1'!$C$2:$C1000 = A93) * ('Form responses 1'!$A$2:$A1000 &lt;= DATE(2024, 1, 31)))
+ SUMPRODUCT(('Form responses 1'!$D$2:$D1000 = A93) * ('Form responses 1'!$A$2:$A1000 &lt;= DATE(2024, 1, 31)))
+ SUMPRODUCT(('Form responses 1'!$E$2:$E1000 = A93) * ('Form responses 1'!$A$2:$A1000 &lt;= DATE(2024, 1, 31)))
+ SUMPRODUCT(('Form responses 1'!$F$2:$F1000 = A93) * ('Form responses 1'!$A$2:$A1000 &lt;= DATE(2024, 1, 31)))
+ SUMPRODUCT(('Form responses 1'!$G$2:$G1000 = A93) * ('Form responses 1'!$A$2:$A1000 &lt;= DATE(2024, 1, 31)))), 2), "-")
</f>
        <v>-</v>
      </c>
      <c r="D93" s="2" t="str">
        <f>IFERROR(ROUND(Data!B85/(SUMPRODUCT(('Form responses 1'!$B$2:$B1000 = A93) * ('Form responses 1'!$A$2:$A1000 &lt;= DATE(2024, 2, 29)))
+ SUMPRODUCT(('Form responses 1'!$C$2:$C1000 = A93) * ('Form responses 1'!$A$2:$A1000 &lt;= DATE(2024, 2, 29)))
+ SUMPRODUCT(('Form responses 1'!$D$2:$D1000 = A93) * ('Form responses 1'!$A$2:$A1000 &lt;= DATE(2024, 2, 29)))
+ SUMPRODUCT(('Form responses 1'!$E$2:$E1000 = A93) * ('Form responses 1'!$A$2:$A1000 &lt;= DATE(2024, 2, 29)))
+ SUMPRODUCT(('Form responses 1'!$F$2:$F1000 = A93) * ('Form responses 1'!$A$2:$A1000 &lt;= DATE(2024, 2, 29)))
+ SUMPRODUCT(('Form responses 1'!$G$2:$G1000 = A93) * ('Form responses 1'!$A$2:$A1000 &lt;= DATE(2024, 2, 29)))), 2), "-")
</f>
        <v>-</v>
      </c>
      <c r="E93" s="2" t="str">
        <f>IFERROR(ROUND(Data!B85/(SUMPRODUCT(('Form responses 1'!$B$2:$B1000 = A93) * ('Form responses 1'!$A$2:$A1000 &lt;= DATE(2024, 3, 31)))
+ SUMPRODUCT(('Form responses 1'!$C$2:$C1000 = A93) * ('Form responses 1'!$A$2:$A1000 &lt;= DATE(2024, 3, 31)))
+ SUMPRODUCT(('Form responses 1'!$D$2:$D1000 = A93) * ('Form responses 1'!$A$2:$A1000 &lt;= DATE(2024, 3, 31)))
+ SUMPRODUCT(('Form responses 1'!$E$2:$E1000 = A93) * ('Form responses 1'!$A$2:$A1000 &lt;= DATE(2024, 3, 31)))
+ SUMPRODUCT(('Form responses 1'!$F$2:$F1000 = A93) * ('Form responses 1'!$A$2:$A1000 &lt;= DATE(2024, 3, 31)))
+ SUMPRODUCT(('Form responses 1'!$G$2:$G1000 = A93) * ('Form responses 1'!$A$2:$A1000 &lt;= DATE(2024, 3, 31)))), 2), "-")
</f>
        <v>-</v>
      </c>
      <c r="F93" s="2" t="str">
        <f>IFERROR(ROUND(Data!B85/(SUMPRODUCT(('Form responses 1'!$B$2:$B1000 = A93) * ('Form responses 1'!$A$2:$A1000 &lt;= DATE(2024, 4, 30)))
+ SUMPRODUCT(('Form responses 1'!$C$2:$C1000 = A93) * ('Form responses 1'!$A$2:$A1000 &lt;= DATE(2024, 4, 30)))
+ SUMPRODUCT(('Form responses 1'!$D$2:$D1000 = A93) * ('Form responses 1'!$A$2:$A1000 &lt;= DATE(2024, 4, 30)))
+ SUMPRODUCT(('Form responses 1'!$E$2:$E1000 = A93) * ('Form responses 1'!$A$2:$A1000 &lt;= DATE(2024, 4, 30)))
+ SUMPRODUCT(('Form responses 1'!$F$2:$F1000 = A93) * ('Form responses 1'!$A$2:$A1000 &lt;= DATE(2024, 4, 30)))
+ SUMPRODUCT(('Form responses 1'!$G$2:$G1000 = A93) * ('Form responses 1'!$A$2:$A1000 &lt;= DATE(2024, 4, 30)))), 2), "-")
</f>
        <v>-</v>
      </c>
      <c r="G93" s="2" t="str">
        <f>IFERROR(ROUND(Data!B85/(SUMPRODUCT(('Form responses 1'!$B$2:$B1000 = A93) * ('Form responses 1'!$A$2:$A1000 &lt;= DATE(2024, 5, 31)))
+ SUMPRODUCT(('Form responses 1'!$C$2:$C1000 = A93) * ('Form responses 1'!$A$2:$A1000 &lt;= DATE(2024, 5, 31)))
+ SUMPRODUCT(('Form responses 1'!$D$2:$D1000 = A93) * ('Form responses 1'!$A$2:$A1000 &lt;= DATE(2024, 5, 31)))
+ SUMPRODUCT(('Form responses 1'!$E$2:$E1000 = A93) * ('Form responses 1'!$A$2:$A1000 &lt;= DATE(2024, 5, 31)))
+ SUMPRODUCT(('Form responses 1'!$F$2:$F1000 = A93) * ('Form responses 1'!$A$2:$A1000 &lt;= DATE(2024, 5, 31)))
+ SUMPRODUCT(('Form responses 1'!$G$2:$G1000 = A93) * ('Form responses 1'!$A$2:$A1000 &lt;= DATE(2024, 5, 31)))), 2), "-")
</f>
        <v>-</v>
      </c>
      <c r="H93" s="2" t="str">
        <f>IFERROR(ROUND(Data!B85/(SUMPRODUCT(('Form responses 1'!$B$2:$B1000 = A93) * ('Form responses 1'!$A$2:$A1000 &lt;= DATE(2024, 6, 30)))
+ SUMPRODUCT(('Form responses 1'!$C$2:$C1000 = A93) * ('Form responses 1'!$A$2:$A1000 &lt;= DATE(2024, 6, 30)))
+ SUMPRODUCT(('Form responses 1'!$D$2:$D1000 = A93) * ('Form responses 1'!$A$2:$A1000 &lt;= DATE(2024, 6, 30)))
+ SUMPRODUCT(('Form responses 1'!$E$2:$E1000 = A93) * ('Form responses 1'!$A$2:$A1000 &lt;= DATE(2024, 6, 30)))
+ SUMPRODUCT(('Form responses 1'!$F$2:$F1000 = A93) * ('Form responses 1'!$A$2:$A1000 &lt;= DATE(2024, 6, 30)))
+ SUMPRODUCT(('Form responses 1'!$G$2:$G1000 = A93) * ('Form responses 1'!$A$2:$A1000 &lt;= DATE(2024, 6, 30)))), 2), "-")
</f>
        <v>-</v>
      </c>
      <c r="I93" s="2" t="str">
        <f>IFERROR(ROUND(Data!B85/(SUMPRODUCT(('Form responses 1'!$B$2:$B1000 = A93) * ('Form responses 1'!$A$2:$A1000 &lt;= DATE(2024, 7, 31)))
+ SUMPRODUCT(('Form responses 1'!$C$2:$C1000 = A93) * ('Form responses 1'!$A$2:$A1000 &lt;= DATE(2024, 7, 31)))
+ SUMPRODUCT(('Form responses 1'!$D$2:$D1000 = A93) * ('Form responses 1'!$A$2:$A1000 &lt;= DATE(2024, 7, 31)))
+ SUMPRODUCT(('Form responses 1'!$E$2:$E1000 = A93) * ('Form responses 1'!$A$2:$A1000 &lt;= DATE(2024, 7, 31)))
+ SUMPRODUCT(('Form responses 1'!$F$2:$F1000 = A93) * ('Form responses 1'!$A$2:$A1000 &lt;= DATE(2024, 7, 31)))
+ SUMPRODUCT(('Form responses 1'!$G$2:$G1000 = A93) * ('Form responses 1'!$A$2:$A1000 &lt;= DATE(2024, 7, 31)))), 2), "-")
</f>
        <v>-</v>
      </c>
      <c r="J93" s="2" t="str">
        <f>IFERROR(ROUND(Data!B85/(SUMPRODUCT(('Form responses 1'!$B$2:$B1000 = A93) * ('Form responses 1'!$A$2:$A1000 &lt;= DATE(2024, 8, 31)))
+ SUMPRODUCT(('Form responses 1'!$C$2:$C1000 = A93) * ('Form responses 1'!$A$2:$A1000 &lt;= DATE(2024, 8, 31)))
+ SUMPRODUCT(('Form responses 1'!$D$2:$D1000 = A93) * ('Form responses 1'!$A$2:$A1000 &lt;= DATE(2024, 8, 31)))
+ SUMPRODUCT(('Form responses 1'!$E$2:$E1000 = A93) * ('Form responses 1'!$A$2:$A1000 &lt;= DATE(2024, 8, 31)))
+ SUMPRODUCT(('Form responses 1'!$F$2:$F1000 = A93) * ('Form responses 1'!$A$2:$A1000 &lt;= DATE(2024, 8, 31)))
+ SUMPRODUCT(('Form responses 1'!$G$2:$G1000 = A93) * ('Form responses 1'!$A$2:$A1000 &lt;= DATE(2024, 8, 31)))), 2), "-")
</f>
        <v>-</v>
      </c>
      <c r="K93" s="2" t="str">
        <f>IFERROR(ROUND(Data!B85/(SUMPRODUCT(('Form responses 1'!$B$2:$B1000 = A93) * ('Form responses 1'!$A$2:$A1000 &lt;= DATE(2024, 9, 30)))
+ SUMPRODUCT(('Form responses 1'!$C$2:$C1000 = A93) * ('Form responses 1'!$A$2:$A1000 &lt;= DATE(2024, 9, 30)))
+ SUMPRODUCT(('Form responses 1'!$D$2:$D1000 = A93) * ('Form responses 1'!$A$2:$A1000 &lt;= DATE(2024, 9, 30)))
+ SUMPRODUCT(('Form responses 1'!$E$2:$E1000 = A93) * ('Form responses 1'!$A$2:$A1000 &lt;= DATE(2024, 9, 30)))
+ SUMPRODUCT(('Form responses 1'!$F$2:$F1000 = A93) * ('Form responses 1'!$A$2:$A1000 &lt;= DATE(2024, 9, 30)))
+ SUMPRODUCT(('Form responses 1'!$G$2:$G1000 = A93) * ('Form responses 1'!$A$2:$A1000 &lt;= DATE(2024, 9, 30)))), 2), "-")
</f>
        <v>-</v>
      </c>
      <c r="L93" s="2" t="str">
        <f>IFERROR(ROUND(Data!B85/(SUMPRODUCT(('Form responses 1'!$B$2:$B1000 = A93) * ('Form responses 1'!$A$2:$A1000 &lt;= DATE(2024, 10, 31)))
+ SUMPRODUCT(('Form responses 1'!$C$2:$C1000 = A93) * ('Form responses 1'!$A$2:$A1000 &lt;= DATE(2024, 10, 31)))
+ SUMPRODUCT(('Form responses 1'!$D$2:$D1000 = A93) * ('Form responses 1'!$A$2:$A1000 &lt;= DATE(2024, 10, 31)))
+ SUMPRODUCT(('Form responses 1'!$E$2:$E1000 = A93) * ('Form responses 1'!$A$2:$A1000 &lt;= DATE(2024, 10, 31)))
+ SUMPRODUCT(('Form responses 1'!$F$2:$F1000 = A93) * ('Form responses 1'!$A$2:$A1000 &lt;= DATE(2024, 10, 31)))
+ SUMPRODUCT(('Form responses 1'!$G$2:$G1000 = A93) * ('Form responses 1'!$A$2:$A1000 &lt;= DATE(2024, 10, 31)))), 2), "-")
</f>
        <v>-</v>
      </c>
      <c r="M93" s="2" t="str">
        <f>IFERROR(ROUND(Data!B85/(SUMPRODUCT(('Form responses 1'!$B$2:$B1000 = A93) * ('Form responses 1'!$A$2:$A1000 &lt;= DATE(2024, 11, 30)))
+ SUMPRODUCT(('Form responses 1'!$C$2:$C1000 = A93) * ('Form responses 1'!$A$2:$A1000 &lt;= DATE(2024, 11, 30)))
+ SUMPRODUCT(('Form responses 1'!$D$2:$D1000 = A93) * ('Form responses 1'!$A$2:$A1000 &lt;= DATE(2024, 11, 30)))
+ SUMPRODUCT(('Form responses 1'!$E$2:$E1000 = A93) * ('Form responses 1'!$A$2:$A1000 &lt;= DATE(2024, 11, 30)))
+ SUMPRODUCT(('Form responses 1'!$F$2:$F1000 = A93) * ('Form responses 1'!$A$2:$A1000 &lt;= DATE(2024, 11, 30)))
+ SUMPRODUCT(('Form responses 1'!$G$2:$G1000 = A93) * ('Form responses 1'!$A$2:$A1000 &lt;= DATE(2024, 11, 30)))), 2), "-")
</f>
        <v>-</v>
      </c>
      <c r="N93" s="2" t="str">
        <f>IFERROR(ROUND(Data!B85/(SUMPRODUCT(('Form responses 1'!$B$2:$B1000 = A93) * ('Form responses 1'!$A$2:$A1000 &lt;= DATE(2024, 12, 31)))
+ SUMPRODUCT(('Form responses 1'!$C$2:$C1000 = A93) * ('Form responses 1'!$A$2:$A1000 &lt;= DATE(2024, 12, 31)))
+ SUMPRODUCT(('Form responses 1'!$D$2:$D1000 = A93) * ('Form responses 1'!$A$2:$A1000 &lt;= DATE(2024, 12, 31)))
+ SUMPRODUCT(('Form responses 1'!$E$2:$E1000 = A93) * ('Form responses 1'!$A$2:$A1000 &lt;= DATE(2024, 12, 31)))
+ SUMPRODUCT(('Form responses 1'!$F$2:$F1000 = A93) * ('Form responses 1'!$A$2:$A1000 &lt;= DATE(2024, 12, 31)))
+ SUMPRODUCT(('Form responses 1'!$G$2:$G1000 = A93) * ('Form responses 1'!$A$2:$A1000 &lt;= DATE(2024, 12, 31)))), 2), "-")
</f>
        <v>-</v>
      </c>
      <c r="O93" s="2" t="str">
        <f>IFERROR(ROUND(Data!B85/(SUMPRODUCT(('Form responses 1'!$B$2:$B1000 = A93) * ('Form responses 1'!$A$2:$A1000 &lt;= DATE(2025, 1, 31)))
+ SUMPRODUCT(('Form responses 1'!$C$2:$C1000 = A93) * ('Form responses 1'!$A$2:$A1000 &lt;= DATE(2025, 1, 31)))
+ SUMPRODUCT(('Form responses 1'!$D$2:$D1000 = A93) * ('Form responses 1'!$A$2:$A1000 &lt;= DATE(2025, 1, 31)))
+ SUMPRODUCT(('Form responses 1'!$E$2:$E1000 = A93) * ('Form responses 1'!$A$2:$A1000 &lt;= DATE(2025, 1, 31)))
+ SUMPRODUCT(('Form responses 1'!$F$2:$F1000 = A93) * ('Form responses 1'!$A$2:$A1000 &lt;= DATE(2025, 1, 31)))
+ SUMPRODUCT(('Form responses 1'!$G$2:$G1000 = A93) * ('Form responses 1'!$A$2:$A1000 &lt;= DATE(2025, 1, 31)))), 2), "-")
</f>
        <v>-</v>
      </c>
      <c r="P93" s="2" t="str">
        <f>IFERROR(ROUND(Data!B85/(SUMPRODUCT(('Form responses 1'!$B$2:$B1000 = A93) * ('Form responses 1'!$A$2:$A1000 &lt;= DATE(2025, 2, 28)))
+ SUMPRODUCT(('Form responses 1'!$C$2:$C1000 = A93) * ('Form responses 1'!$A$2:$A1000 &lt;= DATE(2025, 2, 28)))
+ SUMPRODUCT(('Form responses 1'!$D$2:$D1000 = A93) * ('Form responses 1'!$A$2:$A1000 &lt;= DATE(2025, 2, 28)))
+ SUMPRODUCT(('Form responses 1'!$E$2:$E1000 = A93) * ('Form responses 1'!$A$2:$A1000 &lt;= DATE(2025, 2, 28)))
+ SUMPRODUCT(('Form responses 1'!$F$2:$F1000 = A93) * ('Form responses 1'!$A$2:$A1000 &lt;= DATE(2025, 2, 28)))
+ SUMPRODUCT(('Form responses 1'!$G$2:$G1000 = A93) * ('Form responses 1'!$A$2:$A1000 &lt;= DATE(2025, 2, 28)))), 2), "-")
</f>
        <v>-</v>
      </c>
      <c r="Q93" s="2" t="str">
        <f>IFERROR(ROUND(Data!B85/(SUMPRODUCT(('Form responses 1'!$B$2:$B1000 = A93) * ('Form responses 1'!$A$2:$A1000 &lt;= DATE(2025, 3, 31)))
+ SUMPRODUCT(('Form responses 1'!$C$2:$C1000 = A93) * ('Form responses 1'!$A$2:$A1000 &lt;= DATE(2025, 3, 31)))
+ SUMPRODUCT(('Form responses 1'!$D$2:$D1000 = A93) * ('Form responses 1'!$A$2:$A1000 &lt;= DATE(2025, 3, 31)))
+ SUMPRODUCT(('Form responses 1'!$E$2:$E1000 = A93) * ('Form responses 1'!$A$2:$A1000 &lt;= DATE(2025, 3, 31)))
+ SUMPRODUCT(('Form responses 1'!$F$2:$F1000 = A93) * ('Form responses 1'!$A$2:$A1000 &lt;= DATE(2025, 3, 31)))
+ SUMPRODUCT(('Form responses 1'!$G$2:$G1000 = A93) * ('Form responses 1'!$A$2:$A1000 &lt;= DATE(2025, 3, 31)))),2),"-")</f>
        <v>-</v>
      </c>
      <c r="R93" s="2" t="str">
        <f>IFERROR(ROUND(Data!B85/(SUMPRODUCT(('Form responses 1'!$B$2:$B1000 = A93) * ('Form responses 1'!$A$2:$A1000 &lt;= DATE(2025, 4, 30)))
+ SUMPRODUCT(('Form responses 1'!$C$2:$C1000 = A93) * ('Form responses 1'!$A$2:$A1000 &lt;= DATE(2025, 4, 30)))
+ SUMPRODUCT(('Form responses 1'!$D$2:$D1000 = A93) * ('Form responses 1'!$A$2:$A1000 &lt;= DATE(2025, 4, 30)))
+ SUMPRODUCT(('Form responses 1'!$E$2:$E1000 = A93) * ('Form responses 1'!$A$2:$A1000 &lt;= DATE(2025, 4, 30)))
+ SUMPRODUCT(('Form responses 1'!$F$2:$F1000 = A93) * ('Form responses 1'!$A$2:$A1000 &lt;= DATE(2025, 4, 30)))
+ SUMPRODUCT(('Form responses 1'!$G$2:$G1000 = A93) * ('Form responses 1'!$A$2:$A1000 &lt;= DATE(2025, 4, 30)))), 2), "-")
</f>
        <v>-</v>
      </c>
      <c r="S93" s="2" t="str">
        <f>IFERROR(ROUND(Data!B85/(SUMPRODUCT(('Form responses 1'!$B$2:$B1000 = A93) * ('Form responses 1'!$A$2:$A1000 &lt;= DATE(2025, 5, 31)))
+ SUMPRODUCT(('Form responses 1'!$C$2:$C1000 = A93) * ('Form responses 1'!$A$2:$A1000 &lt;= DATE(2025, 5, 31)))
+ SUMPRODUCT(('Form responses 1'!$D$2:$D1000 = A93) * ('Form responses 1'!$A$2:$A1000 &lt;= DATE(2025, 5, 31)))
+ SUMPRODUCT(('Form responses 1'!$E$2:$E1000 = A93) * ('Form responses 1'!$A$2:$A1000 &lt;= DATE(2025, 5, 31)))
+ SUMPRODUCT(('Form responses 1'!$F$2:$F1000 = A93) * ('Form responses 1'!$A$2:$A1000 &lt;= DATE(2025, 5, 31)))
+ SUMPRODUCT(('Form responses 1'!$G$2:$G1000 = A93) * ('Form responses 1'!$A$2:$A1000 &lt;= DATE(2025, 5, 31)))), 2), "-")
</f>
        <v>-</v>
      </c>
      <c r="T93" s="2" t="str">
        <f>IFERROR(ROUND(Data!B85/(SUMPRODUCT(('Form responses 1'!$B$2:$B1000 = A93) * ('Form responses 1'!$A$2:$A1000 &lt;= DATE(2025, 6, 30)))
+ SUMPRODUCT(('Form responses 1'!$C$2:$C1000 = A93) * ('Form responses 1'!$A$2:$A1000 &lt;= DATE(2025, 6, 30)))
+ SUMPRODUCT(('Form responses 1'!$D$2:$D1000 = A93) * ('Form responses 1'!$A$2:$A1000 &lt;= DATE(2025, 6, 30)))
+ SUMPRODUCT(('Form responses 1'!$E$2:$E1000 = A93) * ('Form responses 1'!$A$2:$A1000 &lt;= DATE(2025, 6, 30)))
+ SUMPRODUCT(('Form responses 1'!$F$2:$F1000 = A93) * ('Form responses 1'!$A$2:$A1000 &lt;= DATE(2025, 6, 30)))
+ SUMPRODUCT(('Form responses 1'!$G$2:$G1000 = A93) * ('Form responses 1'!$A$2:$A1000 &lt;= DATE(2025, 6, 30)))), 2), "-")
</f>
        <v>-</v>
      </c>
      <c r="U93" s="2" t="str">
        <f>IFERROR(ROUND(Data!B85/(SUMPRODUCT(('Form responses 1'!$B$2:$B1000 = A93) * ('Form responses 1'!$A$2:$A1000 &lt;= DATE(2025, 7, 31)))
+ SUMPRODUCT(('Form responses 1'!$C$2:$C1000 = A93) * ('Form responses 1'!$A$2:$A1000 &lt;= DATE(2025, 7, 31)))
+ SUMPRODUCT(('Form responses 1'!$D$2:$D1000 = A93) * ('Form responses 1'!$A$2:$A1000 &lt;= DATE(2025, 7, 31)))
+ SUMPRODUCT(('Form responses 1'!$E$2:$E1000 = A93) * ('Form responses 1'!$A$2:$A1000 &lt;= DATE(2025, 7, 31)))
+ SUMPRODUCT(('Form responses 1'!$F$2:$F1000 = A93) * ('Form responses 1'!$A$2:$A1000 &lt;= DATE(2025, 7, 31)))
+ SUMPRODUCT(('Form responses 1'!$G$2:$G1000 = A93) * ('Form responses 1'!$A$2:$A1000 &lt;= DATE(2025, 7, 31)))), 2), "-")
</f>
        <v>-</v>
      </c>
      <c r="V93" s="2">
        <f>IFERROR(ROUND(Data!B85/(SUMPRODUCT(('Form responses 1'!$B$2:$B1000 = A93) * ('Form responses 1'!$A$2:$A1000 &lt;= DATE(2025, 8, 31)))
+ SUMPRODUCT(('Form responses 1'!$C$2:$C1000 = A93) * ('Form responses 1'!$A$2:$A1000 &lt;= DATE(2025, 8, 31)))
+ SUMPRODUCT(('Form responses 1'!$D$2:$D1000 = A93) * ('Form responses 1'!$A$2:$A1000 &lt;= DATE(2025, 8, 31)))
+ SUMPRODUCT(('Form responses 1'!$E$2:$E1000 = A93) * ('Form responses 1'!$A$2:$A1000 &lt;= DATE(2025, 8, 31)))
+ SUMPRODUCT(('Form responses 1'!$F$2:$F1000 = A93) * ('Form responses 1'!$A$2:$A1000 &lt;= DATE(2025, 8, 31)))
+ SUMPRODUCT(('Form responses 1'!$G$2:$G1000 = A93) * ('Form responses 1'!$A$2:$A1000 &lt;= DATE(2025, 8, 31)))), 2), "-")
</f>
        <v>1.99</v>
      </c>
      <c r="W93" s="2">
        <f>IFERROR(ROUND(Data!B85/(SUMPRODUCT(('Form responses 1'!$B$2:$B1000 = A93) * ('Form responses 1'!$A$2:$A1000 &lt;= DATE(2025, 9, 30)))
+ SUMPRODUCT(('Form responses 1'!$C$2:$C1000 = A93) * ('Form responses 1'!$A$2:$A1000 &lt;= DATE(2025, 9, 30)))
+ SUMPRODUCT(('Form responses 1'!$D$2:$D1000 = A93) * ('Form responses 1'!$A$2:$A1000 &lt;= DATE(2025, 9, 30)))
+ SUMPRODUCT(('Form responses 1'!$E$2:$E1000 = A93) * ('Form responses 1'!$A$2:$A1000 &lt;= DATE(2025, 9, 30)))
+ SUMPRODUCT(('Form responses 1'!$F$2:$F1000 = A93) * ('Form responses 1'!$A$2:$A1000 &lt;= DATE(2025, 9, 30)))
+ SUMPRODUCT(('Form responses 1'!$G$2:$G1000 = A93) * ('Form responses 1'!$A$2:$A1000 &lt;= DATE(2025, 9, 30)))), 2), "-")
</f>
        <v>0.91</v>
      </c>
      <c r="X93" s="2">
        <f>IFERROR(ROUND(Data!B85/(SUMPRODUCT(('Form responses 1'!$B$2:$B1000 = A93) * ('Form responses 1'!$A$2:$A1000 &lt;= DATE(2025, 10, 31)))
+ SUMPRODUCT(('Form responses 1'!$C$2:$C1000 = A93) * ('Form responses 1'!$A$2:$A1000 &lt;= DATE(2025, 10, 31)))
+ SUMPRODUCT(('Form responses 1'!$D$2:$D1000 = A93) * ('Form responses 1'!$A$2:$A1000 &lt;= DATE(2025, 10, 31)))
+ SUMPRODUCT(('Form responses 1'!$E$2:$E1000 = A93) * ('Form responses 1'!$A$2:$A1000 &lt;= DATE(2025, 10, 31)))
+ SUMPRODUCT(('Form responses 1'!$F$2:$F1000 = A93) * ('Form responses 1'!$A$2:$A1000 &lt;= DATE(2025, 10, 31)))
+ SUMPRODUCT(('Form responses 1'!$G$2:$G1000 = A93) * ('Form responses 1'!$A$2:$A1000 &lt;= DATE(2025, 10, 31)))), 2), "-")
</f>
        <v>0.75</v>
      </c>
      <c r="Y93" s="2">
        <f>IFERROR(ROUND(Data!B85/(SUMPRODUCT(('Form responses 1'!$B$2:$B1000 = A93) * ('Form responses 1'!$A$2:$A1000 &lt;= DATE(2025, 11, 30)))
+ SUMPRODUCT(('Form responses 1'!$C$2:$C1000 = A93) * ('Form responses 1'!$A$2:$A1000 &lt;= DATE(2025, 11, 30)))
+ SUMPRODUCT(('Form responses 1'!$D$2:$D1000 = A93) * ('Form responses 1'!$A$2:$A1000 &lt;= DATE(2025, 11, 30)))
+ SUMPRODUCT(('Form responses 1'!$E$2:$E1000 = A93) * ('Form responses 1'!$A$2:$A1000 &lt;= DATE(2025, 11, 30)))
+ SUMPRODUCT(('Form responses 1'!$F$2:$F1000 = A93) * ('Form responses 1'!$A$2:$A1000 &lt;= DATE(2025, 11, 30)))
+ SUMPRODUCT(('Form responses 1'!$G$2:$G1000 = A93) * ('Form responses 1'!$A$2:$A1000 &lt;= DATE(2025, 11, 30)))), 2), "-")
</f>
        <v>0.52</v>
      </c>
      <c r="Z93" s="2">
        <f>IFERROR(ROUND(Data!B85/(SUMPRODUCT(('Form responses 1'!$B$2:$B1000 = A93) * ('Form responses 1'!$A$2:$A1000 &lt;= DATE(2025, 12, 31)))
+ SUMPRODUCT(('Form responses 1'!$C$2:$C1000 = A93) * ('Form responses 1'!$A$2:$A1000 &lt;= DATE(2025, 12, 31)))
+ SUMPRODUCT(('Form responses 1'!$D$2:$D1000 = A93) * ('Form responses 1'!$A$2:$A1000 &lt;= DATE(2025, 12, 31)))
+ SUMPRODUCT(('Form responses 1'!$E$2:$E1000 = A93) * ('Form responses 1'!$A$2:$A1000 &lt;= DATE(2025, 12, 31)))
+ SUMPRODUCT(('Form responses 1'!$F$2:$F1000 = A93) * ('Form responses 1'!$A$2:$A1000 &lt;= DATE(2025, 12, 31)))
+ SUMPRODUCT(('Form responses 1'!$G$2:$G1000 = A93) * ('Form responses 1'!$A$2:$A1000 &lt;= DATE(2025, 12, 31)))), 2), "-")
</f>
        <v>0.48</v>
      </c>
      <c r="AA93" s="2">
        <f>IFERROR(ROUND(Data!$B93/(
  SUMPRODUCT(('Form responses 1'!$B$2:$B1000=$A93)*('Form responses 1'!$A$2:$A1000&lt;=EOMONTH(DATEVALUE("1 "&amp;AA$1),0)))+
  SUMPRODUCT(('Form responses 1'!$C$2:$C1000=$A93)*('Form responses 1'!$A$2:$A1000&lt;=EOMONTH(DATEVALUE("1 "&amp;AA$1),0)))+
  SUMPRODUCT(('Form responses 1'!$D$2:$D1000=$A93)*('Form responses 1'!$A$2:$A1000&lt;=EOMONTH(DATEVALUE("1 "&amp;AA$1),0)))+
  SUMPRODUCT(('Form responses 1'!$E$2:$E1000=$A93)*('Form responses 1'!$A$2:$A1000&lt;=EOMONTH(DATEVALUE("1 "&amp;AA$1),0)))+
  SUMPRODUCT(('Form responses 1'!$F$2:$F1000=$A93)*('Form responses 1'!$A$2:$A1000&lt;=EOMONTH(DATEVALUE("1 "&amp;AA$1),0)))+
  SUMPRODUCT(('Form responses 1'!$G$2:$G1000=$A93)*('Form responses 1'!$A$2:$A1000&lt;=EOMONTH(DATEVALUE("1 "&amp;AA$1),0)))
),2),"-")</f>
        <v>2.25</v>
      </c>
      <c r="AB93" s="2">
        <f>IFERROR(ROUND(Data!$B93/(
  SUMPRODUCT(('Form responses 1'!$B$2:$B1000=$A93)*('Form responses 1'!$A$2:$A1000&lt;=EOMONTH(DATEVALUE("1 "&amp;AB$1),0)))+
  SUMPRODUCT(('Form responses 1'!$C$2:$C1000=$A93)*('Form responses 1'!$A$2:$A1000&lt;=EOMONTH(DATEVALUE("1 "&amp;AB$1),0)))+
  SUMPRODUCT(('Form responses 1'!$D$2:$D1000=$A93)*('Form responses 1'!$A$2:$A1000&lt;=EOMONTH(DATEVALUE("1 "&amp;AB$1),0)))+
  SUMPRODUCT(('Form responses 1'!$E$2:$E1000=$A93)*('Form responses 1'!$A$2:$A1000&lt;=EOMONTH(DATEVALUE("1 "&amp;AB$1),0)))+
  SUMPRODUCT(('Form responses 1'!$F$2:$F1000=$A93)*('Form responses 1'!$A$2:$A1000&lt;=EOMONTH(DATEVALUE("1 "&amp;AB$1),0)))+
  SUMPRODUCT(('Form responses 1'!$G$2:$G1000=$A93)*('Form responses 1'!$A$2:$A1000&lt;=EOMONTH(DATEVALUE("1 "&amp;AB$1),0)))
),2),"-")</f>
        <v>2.21</v>
      </c>
      <c r="AC93" s="2">
        <f>IFERROR(ROUND(Data!$B93/(
  SUMPRODUCT(('Form responses 1'!$B$2:$B1000=$A93)*('Form responses 1'!$A$2:$A1000&lt;=EOMONTH(DATEVALUE("1 "&amp;AC$1),0)))+
  SUMPRODUCT(('Form responses 1'!$C$2:$C1000=$A93)*('Form responses 1'!$A$2:$A1000&lt;=EOMONTH(DATEVALUE("1 "&amp;AC$1),0)))+
  SUMPRODUCT(('Form responses 1'!$D$2:$D1000=$A93)*('Form responses 1'!$A$2:$A1000&lt;=EOMONTH(DATEVALUE("1 "&amp;AC$1),0)))+
  SUMPRODUCT(('Form responses 1'!$E$2:$E1000=$A93)*('Form responses 1'!$A$2:$A1000&lt;=EOMONTH(DATEVALUE("1 "&amp;AC$1),0)))+
  SUMPRODUCT(('Form responses 1'!$F$2:$F1000=$A93)*('Form responses 1'!$A$2:$A1000&lt;=EOMONTH(DATEVALUE("1 "&amp;AC$1),0)))+
  SUMPRODUCT(('Form responses 1'!$G$2:$G1000=$A93)*('Form responses 1'!$A$2:$A1000&lt;=EOMONTH(DATEVALUE("1 "&amp;AC$1),0)))
),2),"-")</f>
        <v>2.09</v>
      </c>
      <c r="AD93" s="2" t="str">
        <f>IFERROR(ROUND(Data!$B93/(
  SUMPRODUCT(('Form responses 1'!$B$2:$B1000=$A93)*('Form responses 1'!$A$2:$A1000&lt;=EOMONTH(DATEVALUE("1 "&amp;AD$1),0)))+
  SUMPRODUCT(('Form responses 1'!$C$2:$C1000=$A93)*('Form responses 1'!$A$2:$A1000&lt;=EOMONTH(DATEVALUE("1 "&amp;AD$1),0)))+
  SUMPRODUCT(('Form responses 1'!$D$2:$D1000=$A93)*('Form responses 1'!$A$2:$A1000&lt;=EOMONTH(DATEVALUE("1 "&amp;AD$1),0)))+
  SUMPRODUCT(('Form responses 1'!$E$2:$E1000=$A93)*('Form responses 1'!$A$2:$A1000&lt;=EOMONTH(DATEVALUE("1 "&amp;AD$1),0)))+
  SUMPRODUCT(('Form responses 1'!$F$2:$F1000=$A93)*('Form responses 1'!$A$2:$A1000&lt;=EOMONTH(DATEVALUE("1 "&amp;AD$1),0)))+
  SUMPRODUCT(('Form responses 1'!$G$2:$G1000=$A93)*('Form responses 1'!$A$2:$A1000&lt;=EOMONTH(DATEVALUE("1 "&amp;AD$1),0)))
),2),"-")</f>
        <v>-</v>
      </c>
      <c r="AE93" s="2" t="str">
        <f>IFERROR(ROUND(Data!$B93/(
  SUMPRODUCT(('Form responses 1'!$B$2:$B1000=$A93)*('Form responses 1'!$A$2:$A1000&lt;=EOMONTH(DATEVALUE("1 "&amp;AE$1),0)))+
  SUMPRODUCT(('Form responses 1'!$C$2:$C1000=$A93)*('Form responses 1'!$A$2:$A1000&lt;=EOMONTH(DATEVALUE("1 "&amp;AE$1),0)))+
  SUMPRODUCT(('Form responses 1'!$D$2:$D1000=$A93)*('Form responses 1'!$A$2:$A1000&lt;=EOMONTH(DATEVALUE("1 "&amp;AE$1),0)))+
  SUMPRODUCT(('Form responses 1'!$E$2:$E1000=$A93)*('Form responses 1'!$A$2:$A1000&lt;=EOMONTH(DATEVALUE("1 "&amp;AE$1),0)))+
  SUMPRODUCT(('Form responses 1'!$F$2:$F1000=$A93)*('Form responses 1'!$A$2:$A1000&lt;=EOMONTH(DATEVALUE("1 "&amp;AE$1),0)))+
  SUMPRODUCT(('Form responses 1'!$G$2:$G1000=$A93)*('Form responses 1'!$A$2:$A1000&lt;=EOMONTH(DATEVALUE("1 "&amp;AE$1),0)))
),2),"-")</f>
        <v>-</v>
      </c>
      <c r="AF93" s="2" t="str">
        <f>IFERROR(ROUND(Data!$B93/(
  SUMPRODUCT(('Form responses 1'!$B$2:$B1000=$A93)*('Form responses 1'!$A$2:$A1000&lt;=EOMONTH(DATEVALUE("1 "&amp;AF$1),0)))+
  SUMPRODUCT(('Form responses 1'!$C$2:$C1000=$A93)*('Form responses 1'!$A$2:$A1000&lt;=EOMONTH(DATEVALUE("1 "&amp;AF$1),0)))+
  SUMPRODUCT(('Form responses 1'!$D$2:$D1000=$A93)*('Form responses 1'!$A$2:$A1000&lt;=EOMONTH(DATEVALUE("1 "&amp;AF$1),0)))+
  SUMPRODUCT(('Form responses 1'!$E$2:$E1000=$A93)*('Form responses 1'!$A$2:$A1000&lt;=EOMONTH(DATEVALUE("1 "&amp;AF$1),0)))+
  SUMPRODUCT(('Form responses 1'!$F$2:$F1000=$A93)*('Form responses 1'!$A$2:$A1000&lt;=EOMONTH(DATEVALUE("1 "&amp;AF$1),0)))+
  SUMPRODUCT(('Form responses 1'!$G$2:$G1000=$A93)*('Form responses 1'!$A$2:$A1000&lt;=EOMONTH(DATEVALUE("1 "&amp;AF$1),0)))
),2),"-")</f>
        <v>-</v>
      </c>
      <c r="AG93" s="2" t="str">
        <f>IFERROR(ROUND(Data!$B93/(
  SUMPRODUCT(('Form responses 1'!$B$2:$B1000=$A93)*('Form responses 1'!$A$2:$A1000&lt;=EOMONTH(DATEVALUE("1 "&amp;AG$1),0)))+
  SUMPRODUCT(('Form responses 1'!$C$2:$C1000=$A93)*('Form responses 1'!$A$2:$A1000&lt;=EOMONTH(DATEVALUE("1 "&amp;AG$1),0)))+
  SUMPRODUCT(('Form responses 1'!$D$2:$D1000=$A93)*('Form responses 1'!$A$2:$A1000&lt;=EOMONTH(DATEVALUE("1 "&amp;AG$1),0)))+
  SUMPRODUCT(('Form responses 1'!$E$2:$E1000=$A93)*('Form responses 1'!$A$2:$A1000&lt;=EOMONTH(DATEVALUE("1 "&amp;AG$1),0)))+
  SUMPRODUCT(('Form responses 1'!$F$2:$F1000=$A93)*('Form responses 1'!$A$2:$A1000&lt;=EOMONTH(DATEVALUE("1 "&amp;AG$1),0)))+
  SUMPRODUCT(('Form responses 1'!$G$2:$G1000=$A93)*('Form responses 1'!$A$2:$A1000&lt;=EOMONTH(DATEVALUE("1 "&amp;AG$1),0)))
),2),"-")</f>
        <v>-</v>
      </c>
      <c r="AH93" s="2" t="str">
        <f>IFERROR(ROUND(Data!$B93/(
  SUMPRODUCT(('Form responses 1'!$B$2:$B1000=$A93)*('Form responses 1'!$A$2:$A1000&lt;=EOMONTH(DATEVALUE("1 "&amp;AH$1),0)))+
  SUMPRODUCT(('Form responses 1'!$C$2:$C1000=$A93)*('Form responses 1'!$A$2:$A1000&lt;=EOMONTH(DATEVALUE("1 "&amp;AH$1),0)))+
  SUMPRODUCT(('Form responses 1'!$D$2:$D1000=$A93)*('Form responses 1'!$A$2:$A1000&lt;=EOMONTH(DATEVALUE("1 "&amp;AH$1),0)))+
  SUMPRODUCT(('Form responses 1'!$E$2:$E1000=$A93)*('Form responses 1'!$A$2:$A1000&lt;=EOMONTH(DATEVALUE("1 "&amp;AH$1),0)))+
  SUMPRODUCT(('Form responses 1'!$F$2:$F1000=$A93)*('Form responses 1'!$A$2:$A1000&lt;=EOMONTH(DATEVALUE("1 "&amp;AH$1),0)))+
  SUMPRODUCT(('Form responses 1'!$G$2:$G1000=$A93)*('Form responses 1'!$A$2:$A1000&lt;=EOMONTH(DATEVALUE("1 "&amp;AH$1),0)))
),2),"-")</f>
        <v>-</v>
      </c>
      <c r="AI93" s="2" t="str">
        <f>IFERROR(ROUND(Data!$B93/(
  SUMPRODUCT(('Form responses 1'!$B$2:$B1000=$A93)*('Form responses 1'!$A$2:$A1000&lt;=EOMONTH(DATEVALUE("1 "&amp;AI$1),0)))+
  SUMPRODUCT(('Form responses 1'!$C$2:$C1000=$A93)*('Form responses 1'!$A$2:$A1000&lt;=EOMONTH(DATEVALUE("1 "&amp;AI$1),0)))+
  SUMPRODUCT(('Form responses 1'!$D$2:$D1000=$A93)*('Form responses 1'!$A$2:$A1000&lt;=EOMONTH(DATEVALUE("1 "&amp;AI$1),0)))+
  SUMPRODUCT(('Form responses 1'!$E$2:$E1000=$A93)*('Form responses 1'!$A$2:$A1000&lt;=EOMONTH(DATEVALUE("1 "&amp;AI$1),0)))+
  SUMPRODUCT(('Form responses 1'!$F$2:$F1000=$A93)*('Form responses 1'!$A$2:$A1000&lt;=EOMONTH(DATEVALUE("1 "&amp;AI$1),0)))+
  SUMPRODUCT(('Form responses 1'!$G$2:$G1000=$A93)*('Form responses 1'!$A$2:$A1000&lt;=EOMONTH(DATEVALUE("1 "&amp;AI$1),0)))
),2),"-")</f>
        <v>-</v>
      </c>
      <c r="AJ93" s="2" t="str">
        <f>IFERROR(ROUND(Data!$B93/(
  SUMPRODUCT(('Form responses 1'!$B$2:$B1000=$A93)*('Form responses 1'!$A$2:$A1000&lt;=EOMONTH(DATEVALUE("1 "&amp;AJ$1),0)))+
  SUMPRODUCT(('Form responses 1'!$C$2:$C1000=$A93)*('Form responses 1'!$A$2:$A1000&lt;=EOMONTH(DATEVALUE("1 "&amp;AJ$1),0)))+
  SUMPRODUCT(('Form responses 1'!$D$2:$D1000=$A93)*('Form responses 1'!$A$2:$A1000&lt;=EOMONTH(DATEVALUE("1 "&amp;AJ$1),0)))+
  SUMPRODUCT(('Form responses 1'!$E$2:$E1000=$A93)*('Form responses 1'!$A$2:$A1000&lt;=EOMONTH(DATEVALUE("1 "&amp;AJ$1),0)))+
  SUMPRODUCT(('Form responses 1'!$F$2:$F1000=$A93)*('Form responses 1'!$A$2:$A1000&lt;=EOMONTH(DATEVALUE("1 "&amp;AJ$1),0)))+
  SUMPRODUCT(('Form responses 1'!$G$2:$G1000=$A93)*('Form responses 1'!$A$2:$A1000&lt;=EOMONTH(DATEVALUE("1 "&amp;AJ$1),0)))
),2),"-")</f>
        <v>-</v>
      </c>
      <c r="AK93" s="2" t="str">
        <f>IFERROR(ROUND(Data!$B93/(
  SUMPRODUCT(('Form responses 1'!$B$2:$B1000=$A93)*('Form responses 1'!$A$2:$A1000&lt;=EOMONTH(DATEVALUE("1 "&amp;AK$1),0)))+
  SUMPRODUCT(('Form responses 1'!$C$2:$C1000=$A93)*('Form responses 1'!$A$2:$A1000&lt;=EOMONTH(DATEVALUE("1 "&amp;AK$1),0)))+
  SUMPRODUCT(('Form responses 1'!$D$2:$D1000=$A93)*('Form responses 1'!$A$2:$A1000&lt;=EOMONTH(DATEVALUE("1 "&amp;AK$1),0)))+
  SUMPRODUCT(('Form responses 1'!$E$2:$E1000=$A93)*('Form responses 1'!$A$2:$A1000&lt;=EOMONTH(DATEVALUE("1 "&amp;AK$1),0)))+
  SUMPRODUCT(('Form responses 1'!$F$2:$F1000=$A93)*('Form responses 1'!$A$2:$A1000&lt;=EOMONTH(DATEVALUE("1 "&amp;AK$1),0)))+
  SUMPRODUCT(('Form responses 1'!$G$2:$G1000=$A93)*('Form responses 1'!$A$2:$A1000&lt;=EOMONTH(DATEVALUE("1 "&amp;AK$1),0)))
),2),"-")</f>
        <v>-</v>
      </c>
      <c r="AL93" s="2" t="str">
        <f>IFERROR(ROUND(Data!$B93/(
  SUMPRODUCT(('Form responses 1'!$B$2:$B1000=$A93)*('Form responses 1'!$A$2:$A1000&lt;=EOMONTH(DATEVALUE("1 "&amp;AL$1),0)))+
  SUMPRODUCT(('Form responses 1'!$C$2:$C1000=$A93)*('Form responses 1'!$A$2:$A1000&lt;=EOMONTH(DATEVALUE("1 "&amp;AL$1),0)))+
  SUMPRODUCT(('Form responses 1'!$D$2:$D1000=$A93)*('Form responses 1'!$A$2:$A1000&lt;=EOMONTH(DATEVALUE("1 "&amp;AL$1),0)))+
  SUMPRODUCT(('Form responses 1'!$E$2:$E1000=$A93)*('Form responses 1'!$A$2:$A1000&lt;=EOMONTH(DATEVALUE("1 "&amp;AL$1),0)))+
  SUMPRODUCT(('Form responses 1'!$F$2:$F1000=$A93)*('Form responses 1'!$A$2:$A1000&lt;=EOMONTH(DATEVALUE("1 "&amp;AL$1),0)))+
  SUMPRODUCT(('Form responses 1'!$G$2:$G1000=$A93)*('Form responses 1'!$A$2:$A1000&lt;=EOMONTH(DATEVALUE("1 "&amp;AL$1),0)))
),2),"-")</f>
        <v>-</v>
      </c>
    </row>
    <row r="94">
      <c r="A94" s="3" t="str">
        <f>IFERROR(__xludf.DUMMYFUNCTION("""COMPUTED_VALUE"""),"Decathlon sportshirt wit")</f>
        <v>Decathlon sportshirt wit</v>
      </c>
      <c r="B94" s="2">
        <f>Data!F86:F1000</f>
        <v>0.72</v>
      </c>
      <c r="C94" s="2" t="str">
        <f>IFERROR(ROUND(#REF!/(SUMPRODUCT(('Form responses 1'!$B$2:$B1000 = A94) * ('Form responses 1'!$A$2:$A1000 &lt;= DATE(2024, 1, 31)))
+ SUMPRODUCT(('Form responses 1'!$C$2:$C1000 = A94) * ('Form responses 1'!$A$2:$A1000 &lt;= DATE(2024, 1, 31)))
+ SUMPRODUCT(('Form responses 1'!$D$2:$D1000 = A94) * ('Form responses 1'!$A$2:$A1000 &lt;= DATE(2024, 1, 31)))
+ SUMPRODUCT(('Form responses 1'!$E$2:$E1000 = A94) * ('Form responses 1'!$A$2:$A1000 &lt;= DATE(2024, 1, 31)))
+ SUMPRODUCT(('Form responses 1'!$F$2:$F1000 = A94) * ('Form responses 1'!$A$2:$A1000 &lt;= DATE(2024, 1, 31)))
+ SUMPRODUCT(('Form responses 1'!$G$2:$G1000 = A94) * ('Form responses 1'!$A$2:$A1000 &lt;= DATE(2024, 1, 31)))), 2), "-")
</f>
        <v>-</v>
      </c>
      <c r="D94" s="2" t="str">
        <f>IFERROR(ROUND(#REF!/(SUMPRODUCT(('Form responses 1'!$B$2:$B1000 = A94) * ('Form responses 1'!$A$2:$A1000 &lt;= DATE(2024, 2, 29)))
+ SUMPRODUCT(('Form responses 1'!$C$2:$C1000 = A94) * ('Form responses 1'!$A$2:$A1000 &lt;= DATE(2024, 2, 29)))
+ SUMPRODUCT(('Form responses 1'!$D$2:$D1000 = A94) * ('Form responses 1'!$A$2:$A1000 &lt;= DATE(2024, 2, 29)))
+ SUMPRODUCT(('Form responses 1'!$E$2:$E1000 = A94) * ('Form responses 1'!$A$2:$A1000 &lt;= DATE(2024, 2, 29)))
+ SUMPRODUCT(('Form responses 1'!$F$2:$F1000 = A94) * ('Form responses 1'!$A$2:$A1000 &lt;= DATE(2024, 2, 29)))
+ SUMPRODUCT(('Form responses 1'!$G$2:$G1000 = A94) * ('Form responses 1'!$A$2:$A1000 &lt;= DATE(2024, 2, 29)))), 2), "-")
</f>
        <v>-</v>
      </c>
      <c r="E94" s="2" t="str">
        <f>IFERROR(ROUND(#REF!/(SUMPRODUCT(('Form responses 1'!$B$2:$B1000 = A94) * ('Form responses 1'!$A$2:$A1000 &lt;= DATE(2024, 3, 31)))
+ SUMPRODUCT(('Form responses 1'!$C$2:$C1000 = A94) * ('Form responses 1'!$A$2:$A1000 &lt;= DATE(2024, 3, 31)))
+ SUMPRODUCT(('Form responses 1'!$D$2:$D1000 = A94) * ('Form responses 1'!$A$2:$A1000 &lt;= DATE(2024, 3, 31)))
+ SUMPRODUCT(('Form responses 1'!$E$2:$E1000 = A94) * ('Form responses 1'!$A$2:$A1000 &lt;= DATE(2024, 3, 31)))
+ SUMPRODUCT(('Form responses 1'!$F$2:$F1000 = A94) * ('Form responses 1'!$A$2:$A1000 &lt;= DATE(2024, 3, 31)))
+ SUMPRODUCT(('Form responses 1'!$G$2:$G1000 = A94) * ('Form responses 1'!$A$2:$A1000 &lt;= DATE(2024, 3, 31)))), 2), "-")
</f>
        <v>-</v>
      </c>
      <c r="F94" s="2" t="str">
        <f>IFERROR(ROUND(#REF!/(SUMPRODUCT(('Form responses 1'!$B$2:$B1000 = A94) * ('Form responses 1'!$A$2:$A1000 &lt;= DATE(2024, 4, 30)))
+ SUMPRODUCT(('Form responses 1'!$C$2:$C1000 = A94) * ('Form responses 1'!$A$2:$A1000 &lt;= DATE(2024, 4, 30)))
+ SUMPRODUCT(('Form responses 1'!$D$2:$D1000 = A94) * ('Form responses 1'!$A$2:$A1000 &lt;= DATE(2024, 4, 30)))
+ SUMPRODUCT(('Form responses 1'!$E$2:$E1000 = A94) * ('Form responses 1'!$A$2:$A1000 &lt;= DATE(2024, 4, 30)))
+ SUMPRODUCT(('Form responses 1'!$F$2:$F1000 = A94) * ('Form responses 1'!$A$2:$A1000 &lt;= DATE(2024, 4, 30)))
+ SUMPRODUCT(('Form responses 1'!$G$2:$G1000 = A94) * ('Form responses 1'!$A$2:$A1000 &lt;= DATE(2024, 4, 30)))), 2), "-")
</f>
        <v>-</v>
      </c>
      <c r="G94" s="2" t="str">
        <f>IFERROR(ROUND(#REF!/(SUMPRODUCT(('Form responses 1'!$B$2:$B1000 = A94) * ('Form responses 1'!$A$2:$A1000 &lt;= DATE(2024, 5, 31)))
+ SUMPRODUCT(('Form responses 1'!$C$2:$C1000 = A94) * ('Form responses 1'!$A$2:$A1000 &lt;= DATE(2024, 5, 31)))
+ SUMPRODUCT(('Form responses 1'!$D$2:$D1000 = A94) * ('Form responses 1'!$A$2:$A1000 &lt;= DATE(2024, 5, 31)))
+ SUMPRODUCT(('Form responses 1'!$E$2:$E1000 = A94) * ('Form responses 1'!$A$2:$A1000 &lt;= DATE(2024, 5, 31)))
+ SUMPRODUCT(('Form responses 1'!$F$2:$F1000 = A94) * ('Form responses 1'!$A$2:$A1000 &lt;= DATE(2024, 5, 31)))
+ SUMPRODUCT(('Form responses 1'!$G$2:$G1000 = A94) * ('Form responses 1'!$A$2:$A1000 &lt;= DATE(2024, 5, 31)))), 2), "-")
</f>
        <v>-</v>
      </c>
      <c r="H94" s="2" t="str">
        <f>IFERROR(ROUND(#REF!/(SUMPRODUCT(('Form responses 1'!$B$2:$B1000 = A94) * ('Form responses 1'!$A$2:$A1000 &lt;= DATE(2024, 6, 30)))
+ SUMPRODUCT(('Form responses 1'!$C$2:$C1000 = A94) * ('Form responses 1'!$A$2:$A1000 &lt;= DATE(2024, 6, 30)))
+ SUMPRODUCT(('Form responses 1'!$D$2:$D1000 = A94) * ('Form responses 1'!$A$2:$A1000 &lt;= DATE(2024, 6, 30)))
+ SUMPRODUCT(('Form responses 1'!$E$2:$E1000 = A94) * ('Form responses 1'!$A$2:$A1000 &lt;= DATE(2024, 6, 30)))
+ SUMPRODUCT(('Form responses 1'!$F$2:$F1000 = A94) * ('Form responses 1'!$A$2:$A1000 &lt;= DATE(2024, 6, 30)))
+ SUMPRODUCT(('Form responses 1'!$G$2:$G1000 = A94) * ('Form responses 1'!$A$2:$A1000 &lt;= DATE(2024, 6, 30)))), 2), "-")
</f>
        <v>-</v>
      </c>
      <c r="I94" s="2" t="str">
        <f>IFERROR(ROUND(#REF!/(SUMPRODUCT(('Form responses 1'!$B$2:$B1000 = A94) * ('Form responses 1'!$A$2:$A1000 &lt;= DATE(2024, 7, 31)))
+ SUMPRODUCT(('Form responses 1'!$C$2:$C1000 = A94) * ('Form responses 1'!$A$2:$A1000 &lt;= DATE(2024, 7, 31)))
+ SUMPRODUCT(('Form responses 1'!$D$2:$D1000 = A94) * ('Form responses 1'!$A$2:$A1000 &lt;= DATE(2024, 7, 31)))
+ SUMPRODUCT(('Form responses 1'!$E$2:$E1000 = A94) * ('Form responses 1'!$A$2:$A1000 &lt;= DATE(2024, 7, 31)))
+ SUMPRODUCT(('Form responses 1'!$F$2:$F1000 = A94) * ('Form responses 1'!$A$2:$A1000 &lt;= DATE(2024, 7, 31)))
+ SUMPRODUCT(('Form responses 1'!$G$2:$G1000 = A94) * ('Form responses 1'!$A$2:$A1000 &lt;= DATE(2024, 7, 31)))), 2), "-")
</f>
        <v>-</v>
      </c>
      <c r="J94" s="2" t="str">
        <f>IFERROR(ROUND(#REF!/(SUMPRODUCT(('Form responses 1'!$B$2:$B1000 = A94) * ('Form responses 1'!$A$2:$A1000 &lt;= DATE(2024, 8, 31)))
+ SUMPRODUCT(('Form responses 1'!$C$2:$C1000 = A94) * ('Form responses 1'!$A$2:$A1000 &lt;= DATE(2024, 8, 31)))
+ SUMPRODUCT(('Form responses 1'!$D$2:$D1000 = A94) * ('Form responses 1'!$A$2:$A1000 &lt;= DATE(2024, 8, 31)))
+ SUMPRODUCT(('Form responses 1'!$E$2:$E1000 = A94) * ('Form responses 1'!$A$2:$A1000 &lt;= DATE(2024, 8, 31)))
+ SUMPRODUCT(('Form responses 1'!$F$2:$F1000 = A94) * ('Form responses 1'!$A$2:$A1000 &lt;= DATE(2024, 8, 31)))
+ SUMPRODUCT(('Form responses 1'!$G$2:$G1000 = A94) * ('Form responses 1'!$A$2:$A1000 &lt;= DATE(2024, 8, 31)))), 2), "-")
</f>
        <v>-</v>
      </c>
      <c r="K94" s="2" t="str">
        <f>IFERROR(ROUND(#REF!/(SUMPRODUCT(('Form responses 1'!$B$2:$B1000 = A94) * ('Form responses 1'!$A$2:$A1000 &lt;= DATE(2024, 9, 30)))
+ SUMPRODUCT(('Form responses 1'!$C$2:$C1000 = A94) * ('Form responses 1'!$A$2:$A1000 &lt;= DATE(2024, 9, 30)))
+ SUMPRODUCT(('Form responses 1'!$D$2:$D1000 = A94) * ('Form responses 1'!$A$2:$A1000 &lt;= DATE(2024, 9, 30)))
+ SUMPRODUCT(('Form responses 1'!$E$2:$E1000 = A94) * ('Form responses 1'!$A$2:$A1000 &lt;= DATE(2024, 9, 30)))
+ SUMPRODUCT(('Form responses 1'!$F$2:$F1000 = A94) * ('Form responses 1'!$A$2:$A1000 &lt;= DATE(2024, 9, 30)))
+ SUMPRODUCT(('Form responses 1'!$G$2:$G1000 = A94) * ('Form responses 1'!$A$2:$A1000 &lt;= DATE(2024, 9, 30)))), 2), "-")
</f>
        <v>-</v>
      </c>
      <c r="L94" s="2" t="str">
        <f>IFERROR(ROUND(#REF!/(SUMPRODUCT(('Form responses 1'!$B$2:$B1000 = A94) * ('Form responses 1'!$A$2:$A1000 &lt;= DATE(2024, 10, 31)))
+ SUMPRODUCT(('Form responses 1'!$C$2:$C1000 = A94) * ('Form responses 1'!$A$2:$A1000 &lt;= DATE(2024, 10, 31)))
+ SUMPRODUCT(('Form responses 1'!$D$2:$D1000 = A94) * ('Form responses 1'!$A$2:$A1000 &lt;= DATE(2024, 10, 31)))
+ SUMPRODUCT(('Form responses 1'!$E$2:$E1000 = A94) * ('Form responses 1'!$A$2:$A1000 &lt;= DATE(2024, 10, 31)))
+ SUMPRODUCT(('Form responses 1'!$F$2:$F1000 = A94) * ('Form responses 1'!$A$2:$A1000 &lt;= DATE(2024, 10, 31)))
+ SUMPRODUCT(('Form responses 1'!$G$2:$G1000 = A94) * ('Form responses 1'!$A$2:$A1000 &lt;= DATE(2024, 10, 31)))), 2), "-")
</f>
        <v>-</v>
      </c>
      <c r="M94" s="2" t="str">
        <f>IFERROR(ROUND(#REF!/(SUMPRODUCT(('Form responses 1'!$B$2:$B1000 = A94) * ('Form responses 1'!$A$2:$A1000 &lt;= DATE(2024, 11, 30)))
+ SUMPRODUCT(('Form responses 1'!$C$2:$C1000 = A94) * ('Form responses 1'!$A$2:$A1000 &lt;= DATE(2024, 11, 30)))
+ SUMPRODUCT(('Form responses 1'!$D$2:$D1000 = A94) * ('Form responses 1'!$A$2:$A1000 &lt;= DATE(2024, 11, 30)))
+ SUMPRODUCT(('Form responses 1'!$E$2:$E1000 = A94) * ('Form responses 1'!$A$2:$A1000 &lt;= DATE(2024, 11, 30)))
+ SUMPRODUCT(('Form responses 1'!$F$2:$F1000 = A94) * ('Form responses 1'!$A$2:$A1000 &lt;= DATE(2024, 11, 30)))
+ SUMPRODUCT(('Form responses 1'!$G$2:$G1000 = A94) * ('Form responses 1'!$A$2:$A1000 &lt;= DATE(2024, 11, 30)))), 2), "-")
</f>
        <v>-</v>
      </c>
      <c r="N94" s="2" t="str">
        <f>IFERROR(ROUND(#REF!/(SUMPRODUCT(('Form responses 1'!$B$2:$B1000 = A94) * ('Form responses 1'!$A$2:$A1000 &lt;= DATE(2024, 12, 31)))
+ SUMPRODUCT(('Form responses 1'!$C$2:$C1000 = A94) * ('Form responses 1'!$A$2:$A1000 &lt;= DATE(2024, 12, 31)))
+ SUMPRODUCT(('Form responses 1'!$D$2:$D1000 = A94) * ('Form responses 1'!$A$2:$A1000 &lt;= DATE(2024, 12, 31)))
+ SUMPRODUCT(('Form responses 1'!$E$2:$E1000 = A94) * ('Form responses 1'!$A$2:$A1000 &lt;= DATE(2024, 12, 31)))
+ SUMPRODUCT(('Form responses 1'!$F$2:$F1000 = A94) * ('Form responses 1'!$A$2:$A1000 &lt;= DATE(2024, 12, 31)))
+ SUMPRODUCT(('Form responses 1'!$G$2:$G1000 = A94) * ('Form responses 1'!$A$2:$A1000 &lt;= DATE(2024, 12, 31)))), 2), "-")
</f>
        <v>-</v>
      </c>
      <c r="O94" s="2" t="str">
        <f>IFERROR(ROUND(#REF!/(SUMPRODUCT(('Form responses 1'!$B$2:$B1000 = A94) * ('Form responses 1'!$A$2:$A1000 &lt;= DATE(2025, 1, 31)))
+ SUMPRODUCT(('Form responses 1'!$C$2:$C1000 = A94) * ('Form responses 1'!$A$2:$A1000 &lt;= DATE(2025, 1, 31)))
+ SUMPRODUCT(('Form responses 1'!$D$2:$D1000 = A94) * ('Form responses 1'!$A$2:$A1000 &lt;= DATE(2025, 1, 31)))
+ SUMPRODUCT(('Form responses 1'!$E$2:$E1000 = A94) * ('Form responses 1'!$A$2:$A1000 &lt;= DATE(2025, 1, 31)))
+ SUMPRODUCT(('Form responses 1'!$F$2:$F1000 = A94) * ('Form responses 1'!$A$2:$A1000 &lt;= DATE(2025, 1, 31)))
+ SUMPRODUCT(('Form responses 1'!$G$2:$G1000 = A94) * ('Form responses 1'!$A$2:$A1000 &lt;= DATE(2025, 1, 31)))), 2), "-")
</f>
        <v>-</v>
      </c>
      <c r="P94" s="2" t="str">
        <f>IFERROR(ROUND(#REF!/(SUMPRODUCT(('Form responses 1'!$B$2:$B1000 = A94) * ('Form responses 1'!$A$2:$A1000 &lt;= DATE(2025, 2, 28)))
+ SUMPRODUCT(('Form responses 1'!$C$2:$C1000 = A94) * ('Form responses 1'!$A$2:$A1000 &lt;= DATE(2025, 2, 28)))
+ SUMPRODUCT(('Form responses 1'!$D$2:$D1000 = A94) * ('Form responses 1'!$A$2:$A1000 &lt;= DATE(2025, 2, 28)))
+ SUMPRODUCT(('Form responses 1'!$E$2:$E1000 = A94) * ('Form responses 1'!$A$2:$A1000 &lt;= DATE(2025, 2, 28)))
+ SUMPRODUCT(('Form responses 1'!$F$2:$F1000 = A94) * ('Form responses 1'!$A$2:$A1000 &lt;= DATE(2025, 2, 28)))
+ SUMPRODUCT(('Form responses 1'!$G$2:$G1000 = A94) * ('Form responses 1'!$A$2:$A1000 &lt;= DATE(2025, 2, 28)))), 2), "-")
</f>
        <v>-</v>
      </c>
      <c r="Q94" s="2" t="str">
        <f>IFERROR(ROUND(#REF!/(SUMPRODUCT(('Form responses 1'!$B$2:$B1000 = A94) * ('Form responses 1'!$A$2:$A1000 &lt;= DATE(2025, 3, 31)))
+ SUMPRODUCT(('Form responses 1'!$C$2:$C1000 = A94) * ('Form responses 1'!$A$2:$A1000 &lt;= DATE(2025, 3, 31)))
+ SUMPRODUCT(('Form responses 1'!$D$2:$D1000 = A94) * ('Form responses 1'!$A$2:$A1000 &lt;= DATE(2025, 3, 31)))
+ SUMPRODUCT(('Form responses 1'!$E$2:$E1000 = A94) * ('Form responses 1'!$A$2:$A1000 &lt;= DATE(2025, 3, 31)))
+ SUMPRODUCT(('Form responses 1'!$F$2:$F1000 = A94) * ('Form responses 1'!$A$2:$A1000 &lt;= DATE(2025, 3, 31)))
+ SUMPRODUCT(('Form responses 1'!$G$2:$G1000 = A94) * ('Form responses 1'!$A$2:$A1000 &lt;= DATE(2025, 3, 31)))),2),"-")</f>
        <v>-</v>
      </c>
      <c r="R94" s="2" t="str">
        <f>IFERROR(ROUND(#REF!/(SUMPRODUCT(('Form responses 1'!$B$2:$B1000 = A94) * ('Form responses 1'!$A$2:$A1000 &lt;= DATE(2025, 4, 30)))
+ SUMPRODUCT(('Form responses 1'!$C$2:$C1000 = A94) * ('Form responses 1'!$A$2:$A1000 &lt;= DATE(2025, 4, 30)))
+ SUMPRODUCT(('Form responses 1'!$D$2:$D1000 = A94) * ('Form responses 1'!$A$2:$A1000 &lt;= DATE(2025, 4, 30)))
+ SUMPRODUCT(('Form responses 1'!$E$2:$E1000 = A94) * ('Form responses 1'!$A$2:$A1000 &lt;= DATE(2025, 4, 30)))
+ SUMPRODUCT(('Form responses 1'!$F$2:$F1000 = A94) * ('Form responses 1'!$A$2:$A1000 &lt;= DATE(2025, 4, 30)))
+ SUMPRODUCT(('Form responses 1'!$G$2:$G1000 = A94) * ('Form responses 1'!$A$2:$A1000 &lt;= DATE(2025, 4, 30)))), 2), "-")
</f>
        <v>-</v>
      </c>
      <c r="S94" s="2" t="str">
        <f>IFERROR(ROUND(#REF!/(SUMPRODUCT(('Form responses 1'!$B$2:$B1000 = A94) * ('Form responses 1'!$A$2:$A1000 &lt;= DATE(2025, 5, 31)))
+ SUMPRODUCT(('Form responses 1'!$C$2:$C1000 = A94) * ('Form responses 1'!$A$2:$A1000 &lt;= DATE(2025, 5, 31)))
+ SUMPRODUCT(('Form responses 1'!$D$2:$D1000 = A94) * ('Form responses 1'!$A$2:$A1000 &lt;= DATE(2025, 5, 31)))
+ SUMPRODUCT(('Form responses 1'!$E$2:$E1000 = A94) * ('Form responses 1'!$A$2:$A1000 &lt;= DATE(2025, 5, 31)))
+ SUMPRODUCT(('Form responses 1'!$F$2:$F1000 = A94) * ('Form responses 1'!$A$2:$A1000 &lt;= DATE(2025, 5, 31)))
+ SUMPRODUCT(('Form responses 1'!$G$2:$G1000 = A94) * ('Form responses 1'!$A$2:$A1000 &lt;= DATE(2025, 5, 31)))), 2), "-")
</f>
        <v>-</v>
      </c>
      <c r="T94" s="2" t="str">
        <f>IFERROR(ROUND(#REF!/(SUMPRODUCT(('Form responses 1'!$B$2:$B1000 = A94) * ('Form responses 1'!$A$2:$A1000 &lt;= DATE(2025, 6, 30)))
+ SUMPRODUCT(('Form responses 1'!$C$2:$C1000 = A94) * ('Form responses 1'!$A$2:$A1000 &lt;= DATE(2025, 6, 30)))
+ SUMPRODUCT(('Form responses 1'!$D$2:$D1000 = A94) * ('Form responses 1'!$A$2:$A1000 &lt;= DATE(2025, 6, 30)))
+ SUMPRODUCT(('Form responses 1'!$E$2:$E1000 = A94) * ('Form responses 1'!$A$2:$A1000 &lt;= DATE(2025, 6, 30)))
+ SUMPRODUCT(('Form responses 1'!$F$2:$F1000 = A94) * ('Form responses 1'!$A$2:$A1000 &lt;= DATE(2025, 6, 30)))
+ SUMPRODUCT(('Form responses 1'!$G$2:$G1000 = A94) * ('Form responses 1'!$A$2:$A1000 &lt;= DATE(2025, 6, 30)))), 2), "-")
</f>
        <v>-</v>
      </c>
      <c r="U94" s="2" t="str">
        <f>IFERROR(ROUND(#REF!/(SUMPRODUCT(('Form responses 1'!$B$2:$B1000 = A94) * ('Form responses 1'!$A$2:$A1000 &lt;= DATE(2025, 7, 31)))
+ SUMPRODUCT(('Form responses 1'!$C$2:$C1000 = A94) * ('Form responses 1'!$A$2:$A1000 &lt;= DATE(2025, 7, 31)))
+ SUMPRODUCT(('Form responses 1'!$D$2:$D1000 = A94) * ('Form responses 1'!$A$2:$A1000 &lt;= DATE(2025, 7, 31)))
+ SUMPRODUCT(('Form responses 1'!$E$2:$E1000 = A94) * ('Form responses 1'!$A$2:$A1000 &lt;= DATE(2025, 7, 31)))
+ SUMPRODUCT(('Form responses 1'!$F$2:$F1000 = A94) * ('Form responses 1'!$A$2:$A1000 &lt;= DATE(2025, 7, 31)))
+ SUMPRODUCT(('Form responses 1'!$G$2:$G1000 = A94) * ('Form responses 1'!$A$2:$A1000 &lt;= DATE(2025, 7, 31)))), 2), "-")
</f>
        <v>-</v>
      </c>
      <c r="V94" s="2" t="str">
        <f>IFERROR(ROUND(#REF!/(SUMPRODUCT(('Form responses 1'!$B$2:$B1000 = A94) * ('Form responses 1'!$A$2:$A1000 &lt;= DATE(2025, 8, 31)))
+ SUMPRODUCT(('Form responses 1'!$C$2:$C1000 = A94) * ('Form responses 1'!$A$2:$A1000 &lt;= DATE(2025, 8, 31)))
+ SUMPRODUCT(('Form responses 1'!$D$2:$D1000 = A94) * ('Form responses 1'!$A$2:$A1000 &lt;= DATE(2025, 8, 31)))
+ SUMPRODUCT(('Form responses 1'!$E$2:$E1000 = A94) * ('Form responses 1'!$A$2:$A1000 &lt;= DATE(2025, 8, 31)))
+ SUMPRODUCT(('Form responses 1'!$F$2:$F1000 = A94) * ('Form responses 1'!$A$2:$A1000 &lt;= DATE(2025, 8, 31)))
+ SUMPRODUCT(('Form responses 1'!$G$2:$G1000 = A94) * ('Form responses 1'!$A$2:$A1000 &lt;= DATE(2025, 8, 31)))), 2), "-")
</f>
        <v>-</v>
      </c>
      <c r="W94" s="2" t="str">
        <f>IFERROR(ROUND(#REF!/(SUMPRODUCT(('Form responses 1'!$B$2:$B1000 = A94) * ('Form responses 1'!$A$2:$A1000 &lt;= DATE(2025, 9, 30)))
+ SUMPRODUCT(('Form responses 1'!$C$2:$C1000 = A94) * ('Form responses 1'!$A$2:$A1000 &lt;= DATE(2025, 9, 30)))
+ SUMPRODUCT(('Form responses 1'!$D$2:$D1000 = A94) * ('Form responses 1'!$A$2:$A1000 &lt;= DATE(2025, 9, 30)))
+ SUMPRODUCT(('Form responses 1'!$E$2:$E1000 = A94) * ('Form responses 1'!$A$2:$A1000 &lt;= DATE(2025, 9, 30)))
+ SUMPRODUCT(('Form responses 1'!$F$2:$F1000 = A94) * ('Form responses 1'!$A$2:$A1000 &lt;= DATE(2025, 9, 30)))
+ SUMPRODUCT(('Form responses 1'!$G$2:$G1000 = A94) * ('Form responses 1'!$A$2:$A1000 &lt;= DATE(2025, 9, 30)))), 2), "-")
</f>
        <v>-</v>
      </c>
      <c r="X94" s="2" t="str">
        <f>IFERROR(ROUND(#REF!/(SUMPRODUCT(('Form responses 1'!$B$2:$B1000 = A94) * ('Form responses 1'!$A$2:$A1000 &lt;= DATE(2025, 10, 31)))
+ SUMPRODUCT(('Form responses 1'!$C$2:$C1000 = A94) * ('Form responses 1'!$A$2:$A1000 &lt;= DATE(2025, 10, 31)))
+ SUMPRODUCT(('Form responses 1'!$D$2:$D1000 = A94) * ('Form responses 1'!$A$2:$A1000 &lt;= DATE(2025, 10, 31)))
+ SUMPRODUCT(('Form responses 1'!$E$2:$E1000 = A94) * ('Form responses 1'!$A$2:$A1000 &lt;= DATE(2025, 10, 31)))
+ SUMPRODUCT(('Form responses 1'!$F$2:$F1000 = A94) * ('Form responses 1'!$A$2:$A1000 &lt;= DATE(2025, 10, 31)))
+ SUMPRODUCT(('Form responses 1'!$G$2:$G1000 = A94) * ('Form responses 1'!$A$2:$A1000 &lt;= DATE(2025, 10, 31)))), 2), "-")
</f>
        <v>-</v>
      </c>
      <c r="Y94" s="2" t="str">
        <f>IFERROR(ROUND(#REF!/(SUMPRODUCT(('Form responses 1'!$B$2:$B1000 = A94) * ('Form responses 1'!$A$2:$A1000 &lt;= DATE(2025, 11, 30)))
+ SUMPRODUCT(('Form responses 1'!$C$2:$C1000 = A94) * ('Form responses 1'!$A$2:$A1000 &lt;= DATE(2025, 11, 30)))
+ SUMPRODUCT(('Form responses 1'!$D$2:$D1000 = A94) * ('Form responses 1'!$A$2:$A1000 &lt;= DATE(2025, 11, 30)))
+ SUMPRODUCT(('Form responses 1'!$E$2:$E1000 = A94) * ('Form responses 1'!$A$2:$A1000 &lt;= DATE(2025, 11, 30)))
+ SUMPRODUCT(('Form responses 1'!$F$2:$F1000 = A94) * ('Form responses 1'!$A$2:$A1000 &lt;= DATE(2025, 11, 30)))
+ SUMPRODUCT(('Form responses 1'!$G$2:$G1000 = A94) * ('Form responses 1'!$A$2:$A1000 &lt;= DATE(2025, 11, 30)))), 2), "-")
</f>
        <v>-</v>
      </c>
      <c r="Z94" s="2" t="str">
        <f>IFERROR(ROUND(#REF!/(SUMPRODUCT(('Form responses 1'!$B$2:$B1000 = A94) * ('Form responses 1'!$A$2:$A1000 &lt;= DATE(2025, 12, 31)))
+ SUMPRODUCT(('Form responses 1'!$C$2:$C1000 = A94) * ('Form responses 1'!$A$2:$A1000 &lt;= DATE(2025, 12, 31)))
+ SUMPRODUCT(('Form responses 1'!$D$2:$D1000 = A94) * ('Form responses 1'!$A$2:$A1000 &lt;= DATE(2025, 12, 31)))
+ SUMPRODUCT(('Form responses 1'!$E$2:$E1000 = A94) * ('Form responses 1'!$A$2:$A1000 &lt;= DATE(2025, 12, 31)))
+ SUMPRODUCT(('Form responses 1'!$F$2:$F1000 = A94) * ('Form responses 1'!$A$2:$A1000 &lt;= DATE(2025, 12, 31)))
+ SUMPRODUCT(('Form responses 1'!$G$2:$G1000 = A94) * ('Form responses 1'!$A$2:$A1000 &lt;= DATE(2025, 12, 31)))), 2), "-")
</f>
        <v>-</v>
      </c>
      <c r="AA94" s="2">
        <f>IFERROR(ROUND(Data!$B94/(
  SUMPRODUCT(('Form responses 1'!$B$2:$B1000=$A94)*('Form responses 1'!$A$2:$A1000&lt;=EOMONTH(DATEVALUE("1 "&amp;AA$1),0)))+
  SUMPRODUCT(('Form responses 1'!$C$2:$C1000=$A94)*('Form responses 1'!$A$2:$A1000&lt;=EOMONTH(DATEVALUE("1 "&amp;AA$1),0)))+
  SUMPRODUCT(('Form responses 1'!$D$2:$D1000=$A94)*('Form responses 1'!$A$2:$A1000&lt;=EOMONTH(DATEVALUE("1 "&amp;AA$1),0)))+
  SUMPRODUCT(('Form responses 1'!$E$2:$E1000=$A94)*('Form responses 1'!$A$2:$A1000&lt;=EOMONTH(DATEVALUE("1 "&amp;AA$1),0)))+
  SUMPRODUCT(('Form responses 1'!$F$2:$F1000=$A94)*('Form responses 1'!$A$2:$A1000&lt;=EOMONTH(DATEVALUE("1 "&amp;AA$1),0)))+
  SUMPRODUCT(('Form responses 1'!$G$2:$G1000=$A94)*('Form responses 1'!$A$2:$A1000&lt;=EOMONTH(DATEVALUE("1 "&amp;AA$1),0)))
),2),"-")</f>
        <v>1</v>
      </c>
      <c r="AB94" s="2">
        <f>IFERROR(ROUND(Data!$B94/(
  SUMPRODUCT(('Form responses 1'!$B$2:$B1000=$A94)*('Form responses 1'!$A$2:$A1000&lt;=EOMONTH(DATEVALUE("1 "&amp;AB$1),0)))+
  SUMPRODUCT(('Form responses 1'!$C$2:$C1000=$A94)*('Form responses 1'!$A$2:$A1000&lt;=EOMONTH(DATEVALUE("1 "&amp;AB$1),0)))+
  SUMPRODUCT(('Form responses 1'!$D$2:$D1000=$A94)*('Form responses 1'!$A$2:$A1000&lt;=EOMONTH(DATEVALUE("1 "&amp;AB$1),0)))+
  SUMPRODUCT(('Form responses 1'!$E$2:$E1000=$A94)*('Form responses 1'!$A$2:$A1000&lt;=EOMONTH(DATEVALUE("1 "&amp;AB$1),0)))+
  SUMPRODUCT(('Form responses 1'!$F$2:$F1000=$A94)*('Form responses 1'!$A$2:$A1000&lt;=EOMONTH(DATEVALUE("1 "&amp;AB$1),0)))+
  SUMPRODUCT(('Form responses 1'!$G$2:$G1000=$A94)*('Form responses 1'!$A$2:$A1000&lt;=EOMONTH(DATEVALUE("1 "&amp;AB$1),0)))
),2),"-")</f>
        <v>0.84</v>
      </c>
      <c r="AC94" s="2">
        <f>IFERROR(ROUND(Data!$B94/(
  SUMPRODUCT(('Form responses 1'!$B$2:$B1000=$A94)*('Form responses 1'!$A$2:$A1000&lt;=EOMONTH(DATEVALUE("1 "&amp;AC$1),0)))+
  SUMPRODUCT(('Form responses 1'!$C$2:$C1000=$A94)*('Form responses 1'!$A$2:$A1000&lt;=EOMONTH(DATEVALUE("1 "&amp;AC$1),0)))+
  SUMPRODUCT(('Form responses 1'!$D$2:$D1000=$A94)*('Form responses 1'!$A$2:$A1000&lt;=EOMONTH(DATEVALUE("1 "&amp;AC$1),0)))+
  SUMPRODUCT(('Form responses 1'!$E$2:$E1000=$A94)*('Form responses 1'!$A$2:$A1000&lt;=EOMONTH(DATEVALUE("1 "&amp;AC$1),0)))+
  SUMPRODUCT(('Form responses 1'!$F$2:$F1000=$A94)*('Form responses 1'!$A$2:$A1000&lt;=EOMONTH(DATEVALUE("1 "&amp;AC$1),0)))+
  SUMPRODUCT(('Form responses 1'!$G$2:$G1000=$A94)*('Form responses 1'!$A$2:$A1000&lt;=EOMONTH(DATEVALUE("1 "&amp;AC$1),0)))
),2),"-")</f>
        <v>0.81</v>
      </c>
      <c r="AD94" s="2" t="str">
        <f>IFERROR(ROUND(Data!$B94/(
  SUMPRODUCT(('Form responses 1'!$B$2:$B1000=$A94)*('Form responses 1'!$A$2:$A1000&lt;=EOMONTH(DATEVALUE("1 "&amp;AD$1),0)))+
  SUMPRODUCT(('Form responses 1'!$C$2:$C1000=$A94)*('Form responses 1'!$A$2:$A1000&lt;=EOMONTH(DATEVALUE("1 "&amp;AD$1),0)))+
  SUMPRODUCT(('Form responses 1'!$D$2:$D1000=$A94)*('Form responses 1'!$A$2:$A1000&lt;=EOMONTH(DATEVALUE("1 "&amp;AD$1),0)))+
  SUMPRODUCT(('Form responses 1'!$E$2:$E1000=$A94)*('Form responses 1'!$A$2:$A1000&lt;=EOMONTH(DATEVALUE("1 "&amp;AD$1),0)))+
  SUMPRODUCT(('Form responses 1'!$F$2:$F1000=$A94)*('Form responses 1'!$A$2:$A1000&lt;=EOMONTH(DATEVALUE("1 "&amp;AD$1),0)))+
  SUMPRODUCT(('Form responses 1'!$G$2:$G1000=$A94)*('Form responses 1'!$A$2:$A1000&lt;=EOMONTH(DATEVALUE("1 "&amp;AD$1),0)))
),2),"-")</f>
        <v>-</v>
      </c>
      <c r="AE94" s="2" t="str">
        <f>IFERROR(ROUND(Data!$B94/(
  SUMPRODUCT(('Form responses 1'!$B$2:$B1000=$A94)*('Form responses 1'!$A$2:$A1000&lt;=EOMONTH(DATEVALUE("1 "&amp;AE$1),0)))+
  SUMPRODUCT(('Form responses 1'!$C$2:$C1000=$A94)*('Form responses 1'!$A$2:$A1000&lt;=EOMONTH(DATEVALUE("1 "&amp;AE$1),0)))+
  SUMPRODUCT(('Form responses 1'!$D$2:$D1000=$A94)*('Form responses 1'!$A$2:$A1000&lt;=EOMONTH(DATEVALUE("1 "&amp;AE$1),0)))+
  SUMPRODUCT(('Form responses 1'!$E$2:$E1000=$A94)*('Form responses 1'!$A$2:$A1000&lt;=EOMONTH(DATEVALUE("1 "&amp;AE$1),0)))+
  SUMPRODUCT(('Form responses 1'!$F$2:$F1000=$A94)*('Form responses 1'!$A$2:$A1000&lt;=EOMONTH(DATEVALUE("1 "&amp;AE$1),0)))+
  SUMPRODUCT(('Form responses 1'!$G$2:$G1000=$A94)*('Form responses 1'!$A$2:$A1000&lt;=EOMONTH(DATEVALUE("1 "&amp;AE$1),0)))
),2),"-")</f>
        <v>-</v>
      </c>
      <c r="AF94" s="2" t="str">
        <f>IFERROR(ROUND(Data!$B94/(
  SUMPRODUCT(('Form responses 1'!$B$2:$B1000=$A94)*('Form responses 1'!$A$2:$A1000&lt;=EOMONTH(DATEVALUE("1 "&amp;AF$1),0)))+
  SUMPRODUCT(('Form responses 1'!$C$2:$C1000=$A94)*('Form responses 1'!$A$2:$A1000&lt;=EOMONTH(DATEVALUE("1 "&amp;AF$1),0)))+
  SUMPRODUCT(('Form responses 1'!$D$2:$D1000=$A94)*('Form responses 1'!$A$2:$A1000&lt;=EOMONTH(DATEVALUE("1 "&amp;AF$1),0)))+
  SUMPRODUCT(('Form responses 1'!$E$2:$E1000=$A94)*('Form responses 1'!$A$2:$A1000&lt;=EOMONTH(DATEVALUE("1 "&amp;AF$1),0)))+
  SUMPRODUCT(('Form responses 1'!$F$2:$F1000=$A94)*('Form responses 1'!$A$2:$A1000&lt;=EOMONTH(DATEVALUE("1 "&amp;AF$1),0)))+
  SUMPRODUCT(('Form responses 1'!$G$2:$G1000=$A94)*('Form responses 1'!$A$2:$A1000&lt;=EOMONTH(DATEVALUE("1 "&amp;AF$1),0)))
),2),"-")</f>
        <v>-</v>
      </c>
      <c r="AG94" s="2" t="str">
        <f>IFERROR(ROUND(Data!$B94/(
  SUMPRODUCT(('Form responses 1'!$B$2:$B1000=$A94)*('Form responses 1'!$A$2:$A1000&lt;=EOMONTH(DATEVALUE("1 "&amp;AG$1),0)))+
  SUMPRODUCT(('Form responses 1'!$C$2:$C1000=$A94)*('Form responses 1'!$A$2:$A1000&lt;=EOMONTH(DATEVALUE("1 "&amp;AG$1),0)))+
  SUMPRODUCT(('Form responses 1'!$D$2:$D1000=$A94)*('Form responses 1'!$A$2:$A1000&lt;=EOMONTH(DATEVALUE("1 "&amp;AG$1),0)))+
  SUMPRODUCT(('Form responses 1'!$E$2:$E1000=$A94)*('Form responses 1'!$A$2:$A1000&lt;=EOMONTH(DATEVALUE("1 "&amp;AG$1),0)))+
  SUMPRODUCT(('Form responses 1'!$F$2:$F1000=$A94)*('Form responses 1'!$A$2:$A1000&lt;=EOMONTH(DATEVALUE("1 "&amp;AG$1),0)))+
  SUMPRODUCT(('Form responses 1'!$G$2:$G1000=$A94)*('Form responses 1'!$A$2:$A1000&lt;=EOMONTH(DATEVALUE("1 "&amp;AG$1),0)))
),2),"-")</f>
        <v>-</v>
      </c>
      <c r="AH94" s="2" t="str">
        <f>IFERROR(ROUND(Data!$B94/(
  SUMPRODUCT(('Form responses 1'!$B$2:$B1000=$A94)*('Form responses 1'!$A$2:$A1000&lt;=EOMONTH(DATEVALUE("1 "&amp;AH$1),0)))+
  SUMPRODUCT(('Form responses 1'!$C$2:$C1000=$A94)*('Form responses 1'!$A$2:$A1000&lt;=EOMONTH(DATEVALUE("1 "&amp;AH$1),0)))+
  SUMPRODUCT(('Form responses 1'!$D$2:$D1000=$A94)*('Form responses 1'!$A$2:$A1000&lt;=EOMONTH(DATEVALUE("1 "&amp;AH$1),0)))+
  SUMPRODUCT(('Form responses 1'!$E$2:$E1000=$A94)*('Form responses 1'!$A$2:$A1000&lt;=EOMONTH(DATEVALUE("1 "&amp;AH$1),0)))+
  SUMPRODUCT(('Form responses 1'!$F$2:$F1000=$A94)*('Form responses 1'!$A$2:$A1000&lt;=EOMONTH(DATEVALUE("1 "&amp;AH$1),0)))+
  SUMPRODUCT(('Form responses 1'!$G$2:$G1000=$A94)*('Form responses 1'!$A$2:$A1000&lt;=EOMONTH(DATEVALUE("1 "&amp;AH$1),0)))
),2),"-")</f>
        <v>-</v>
      </c>
      <c r="AI94" s="2" t="str">
        <f>IFERROR(ROUND(Data!$B94/(
  SUMPRODUCT(('Form responses 1'!$B$2:$B1000=$A94)*('Form responses 1'!$A$2:$A1000&lt;=EOMONTH(DATEVALUE("1 "&amp;AI$1),0)))+
  SUMPRODUCT(('Form responses 1'!$C$2:$C1000=$A94)*('Form responses 1'!$A$2:$A1000&lt;=EOMONTH(DATEVALUE("1 "&amp;AI$1),0)))+
  SUMPRODUCT(('Form responses 1'!$D$2:$D1000=$A94)*('Form responses 1'!$A$2:$A1000&lt;=EOMONTH(DATEVALUE("1 "&amp;AI$1),0)))+
  SUMPRODUCT(('Form responses 1'!$E$2:$E1000=$A94)*('Form responses 1'!$A$2:$A1000&lt;=EOMONTH(DATEVALUE("1 "&amp;AI$1),0)))+
  SUMPRODUCT(('Form responses 1'!$F$2:$F1000=$A94)*('Form responses 1'!$A$2:$A1000&lt;=EOMONTH(DATEVALUE("1 "&amp;AI$1),0)))+
  SUMPRODUCT(('Form responses 1'!$G$2:$G1000=$A94)*('Form responses 1'!$A$2:$A1000&lt;=EOMONTH(DATEVALUE("1 "&amp;AI$1),0)))
),2),"-")</f>
        <v>-</v>
      </c>
      <c r="AJ94" s="2" t="str">
        <f>IFERROR(ROUND(Data!$B94/(
  SUMPRODUCT(('Form responses 1'!$B$2:$B1000=$A94)*('Form responses 1'!$A$2:$A1000&lt;=EOMONTH(DATEVALUE("1 "&amp;AJ$1),0)))+
  SUMPRODUCT(('Form responses 1'!$C$2:$C1000=$A94)*('Form responses 1'!$A$2:$A1000&lt;=EOMONTH(DATEVALUE("1 "&amp;AJ$1),0)))+
  SUMPRODUCT(('Form responses 1'!$D$2:$D1000=$A94)*('Form responses 1'!$A$2:$A1000&lt;=EOMONTH(DATEVALUE("1 "&amp;AJ$1),0)))+
  SUMPRODUCT(('Form responses 1'!$E$2:$E1000=$A94)*('Form responses 1'!$A$2:$A1000&lt;=EOMONTH(DATEVALUE("1 "&amp;AJ$1),0)))+
  SUMPRODUCT(('Form responses 1'!$F$2:$F1000=$A94)*('Form responses 1'!$A$2:$A1000&lt;=EOMONTH(DATEVALUE("1 "&amp;AJ$1),0)))+
  SUMPRODUCT(('Form responses 1'!$G$2:$G1000=$A94)*('Form responses 1'!$A$2:$A1000&lt;=EOMONTH(DATEVALUE("1 "&amp;AJ$1),0)))
),2),"-")</f>
        <v>-</v>
      </c>
      <c r="AK94" s="2" t="str">
        <f>IFERROR(ROUND(Data!$B94/(
  SUMPRODUCT(('Form responses 1'!$B$2:$B1000=$A94)*('Form responses 1'!$A$2:$A1000&lt;=EOMONTH(DATEVALUE("1 "&amp;AK$1),0)))+
  SUMPRODUCT(('Form responses 1'!$C$2:$C1000=$A94)*('Form responses 1'!$A$2:$A1000&lt;=EOMONTH(DATEVALUE("1 "&amp;AK$1),0)))+
  SUMPRODUCT(('Form responses 1'!$D$2:$D1000=$A94)*('Form responses 1'!$A$2:$A1000&lt;=EOMONTH(DATEVALUE("1 "&amp;AK$1),0)))+
  SUMPRODUCT(('Form responses 1'!$E$2:$E1000=$A94)*('Form responses 1'!$A$2:$A1000&lt;=EOMONTH(DATEVALUE("1 "&amp;AK$1),0)))+
  SUMPRODUCT(('Form responses 1'!$F$2:$F1000=$A94)*('Form responses 1'!$A$2:$A1000&lt;=EOMONTH(DATEVALUE("1 "&amp;AK$1),0)))+
  SUMPRODUCT(('Form responses 1'!$G$2:$G1000=$A94)*('Form responses 1'!$A$2:$A1000&lt;=EOMONTH(DATEVALUE("1 "&amp;AK$1),0)))
),2),"-")</f>
        <v>-</v>
      </c>
      <c r="AL94" s="2" t="str">
        <f>IFERROR(ROUND(Data!$B94/(
  SUMPRODUCT(('Form responses 1'!$B$2:$B1000=$A94)*('Form responses 1'!$A$2:$A1000&lt;=EOMONTH(DATEVALUE("1 "&amp;AL$1),0)))+
  SUMPRODUCT(('Form responses 1'!$C$2:$C1000=$A94)*('Form responses 1'!$A$2:$A1000&lt;=EOMONTH(DATEVALUE("1 "&amp;AL$1),0)))+
  SUMPRODUCT(('Form responses 1'!$D$2:$D1000=$A94)*('Form responses 1'!$A$2:$A1000&lt;=EOMONTH(DATEVALUE("1 "&amp;AL$1),0)))+
  SUMPRODUCT(('Form responses 1'!$E$2:$E1000=$A94)*('Form responses 1'!$A$2:$A1000&lt;=EOMONTH(DATEVALUE("1 "&amp;AL$1),0)))+
  SUMPRODUCT(('Form responses 1'!$F$2:$F1000=$A94)*('Form responses 1'!$A$2:$A1000&lt;=EOMONTH(DATEVALUE("1 "&amp;AL$1),0)))+
  SUMPRODUCT(('Form responses 1'!$G$2:$G1000=$A94)*('Form responses 1'!$A$2:$A1000&lt;=EOMONTH(DATEVALUE("1 "&amp;AL$1),0)))
),2),"-")</f>
        <v>-</v>
      </c>
    </row>
    <row r="95">
      <c r="A95" s="3" t="str">
        <f>IFERROR(__xludf.DUMMYFUNCTION("""COMPUTED_VALUE"""),"Decathlon sportshirt zwart")</f>
        <v>Decathlon sportshirt zwart</v>
      </c>
      <c r="B95" s="2">
        <f>Data!F86:F1000</f>
        <v>1.4</v>
      </c>
      <c r="C95" s="2" t="str">
        <f>IFERROR(ROUND(Data!B86/(SUMPRODUCT(('Form responses 1'!$B$2:$B1000 = A95) * ('Form responses 1'!$A$2:$A1000 &lt;= DATE(2024, 1, 31)))
+ SUMPRODUCT(('Form responses 1'!$C$2:$C1000 = A95) * ('Form responses 1'!$A$2:$A1000 &lt;= DATE(2024, 1, 31)))
+ SUMPRODUCT(('Form responses 1'!$D$2:$D1000 = A95) * ('Form responses 1'!$A$2:$A1000 &lt;= DATE(2024, 1, 31)))
+ SUMPRODUCT(('Form responses 1'!$E$2:$E1000 = A95) * ('Form responses 1'!$A$2:$A1000 &lt;= DATE(2024, 1, 31)))
+ SUMPRODUCT(('Form responses 1'!$F$2:$F1000 = A95) * ('Form responses 1'!$A$2:$A1000 &lt;= DATE(2024, 1, 31)))
+ SUMPRODUCT(('Form responses 1'!$G$2:$G1000 = A95) * ('Form responses 1'!$A$2:$A1000 &lt;= DATE(2024, 1, 31)))), 2), "-")
</f>
        <v>-</v>
      </c>
      <c r="D95" s="2" t="str">
        <f>IFERROR(ROUND(Data!B86/(SUMPRODUCT(('Form responses 1'!$B$2:$B1000 = A95) * ('Form responses 1'!$A$2:$A1000 &lt;= DATE(2024, 2, 29)))
+ SUMPRODUCT(('Form responses 1'!$C$2:$C1000 = A95) * ('Form responses 1'!$A$2:$A1000 &lt;= DATE(2024, 2, 29)))
+ SUMPRODUCT(('Form responses 1'!$D$2:$D1000 = A95) * ('Form responses 1'!$A$2:$A1000 &lt;= DATE(2024, 2, 29)))
+ SUMPRODUCT(('Form responses 1'!$E$2:$E1000 = A95) * ('Form responses 1'!$A$2:$A1000 &lt;= DATE(2024, 2, 29)))
+ SUMPRODUCT(('Form responses 1'!$F$2:$F1000 = A95) * ('Form responses 1'!$A$2:$A1000 &lt;= DATE(2024, 2, 29)))
+ SUMPRODUCT(('Form responses 1'!$G$2:$G1000 = A95) * ('Form responses 1'!$A$2:$A1000 &lt;= DATE(2024, 2, 29)))), 2), "-")
</f>
        <v>-</v>
      </c>
      <c r="E95" s="2" t="str">
        <f>IFERROR(ROUND(Data!B86/(SUMPRODUCT(('Form responses 1'!$B$2:$B1000 = A95) * ('Form responses 1'!$A$2:$A1000 &lt;= DATE(2024, 3, 31)))
+ SUMPRODUCT(('Form responses 1'!$C$2:$C1000 = A95) * ('Form responses 1'!$A$2:$A1000 &lt;= DATE(2024, 3, 31)))
+ SUMPRODUCT(('Form responses 1'!$D$2:$D1000 = A95) * ('Form responses 1'!$A$2:$A1000 &lt;= DATE(2024, 3, 31)))
+ SUMPRODUCT(('Form responses 1'!$E$2:$E1000 = A95) * ('Form responses 1'!$A$2:$A1000 &lt;= DATE(2024, 3, 31)))
+ SUMPRODUCT(('Form responses 1'!$F$2:$F1000 = A95) * ('Form responses 1'!$A$2:$A1000 &lt;= DATE(2024, 3, 31)))
+ SUMPRODUCT(('Form responses 1'!$G$2:$G1000 = A95) * ('Form responses 1'!$A$2:$A1000 &lt;= DATE(2024, 3, 31)))), 2), "-")
</f>
        <v>-</v>
      </c>
      <c r="F95" s="2" t="str">
        <f>IFERROR(ROUND(Data!B86/(SUMPRODUCT(('Form responses 1'!$B$2:$B1000 = A95) * ('Form responses 1'!$A$2:$A1000 &lt;= DATE(2024, 4, 30)))
+ SUMPRODUCT(('Form responses 1'!$C$2:$C1000 = A95) * ('Form responses 1'!$A$2:$A1000 &lt;= DATE(2024, 4, 30)))
+ SUMPRODUCT(('Form responses 1'!$D$2:$D1000 = A95) * ('Form responses 1'!$A$2:$A1000 &lt;= DATE(2024, 4, 30)))
+ SUMPRODUCT(('Form responses 1'!$E$2:$E1000 = A95) * ('Form responses 1'!$A$2:$A1000 &lt;= DATE(2024, 4, 30)))
+ SUMPRODUCT(('Form responses 1'!$F$2:$F1000 = A95) * ('Form responses 1'!$A$2:$A1000 &lt;= DATE(2024, 4, 30)))
+ SUMPRODUCT(('Form responses 1'!$G$2:$G1000 = A95) * ('Form responses 1'!$A$2:$A1000 &lt;= DATE(2024, 4, 30)))), 2), "-")
</f>
        <v>-</v>
      </c>
      <c r="G95" s="2" t="str">
        <f>IFERROR(ROUND(Data!B86/(SUMPRODUCT(('Form responses 1'!$B$2:$B1000 = A95) * ('Form responses 1'!$A$2:$A1000 &lt;= DATE(2024, 5, 31)))
+ SUMPRODUCT(('Form responses 1'!$C$2:$C1000 = A95) * ('Form responses 1'!$A$2:$A1000 &lt;= DATE(2024, 5, 31)))
+ SUMPRODUCT(('Form responses 1'!$D$2:$D1000 = A95) * ('Form responses 1'!$A$2:$A1000 &lt;= DATE(2024, 5, 31)))
+ SUMPRODUCT(('Form responses 1'!$E$2:$E1000 = A95) * ('Form responses 1'!$A$2:$A1000 &lt;= DATE(2024, 5, 31)))
+ SUMPRODUCT(('Form responses 1'!$F$2:$F1000 = A95) * ('Form responses 1'!$A$2:$A1000 &lt;= DATE(2024, 5, 31)))
+ SUMPRODUCT(('Form responses 1'!$G$2:$G1000 = A95) * ('Form responses 1'!$A$2:$A1000 &lt;= DATE(2024, 5, 31)))), 2), "-")
</f>
        <v>-</v>
      </c>
      <c r="H95" s="2" t="str">
        <f>IFERROR(ROUND(Data!B86/(SUMPRODUCT(('Form responses 1'!$B$2:$B1000 = A95) * ('Form responses 1'!$A$2:$A1000 &lt;= DATE(2024, 6, 30)))
+ SUMPRODUCT(('Form responses 1'!$C$2:$C1000 = A95) * ('Form responses 1'!$A$2:$A1000 &lt;= DATE(2024, 6, 30)))
+ SUMPRODUCT(('Form responses 1'!$D$2:$D1000 = A95) * ('Form responses 1'!$A$2:$A1000 &lt;= DATE(2024, 6, 30)))
+ SUMPRODUCT(('Form responses 1'!$E$2:$E1000 = A95) * ('Form responses 1'!$A$2:$A1000 &lt;= DATE(2024, 6, 30)))
+ SUMPRODUCT(('Form responses 1'!$F$2:$F1000 = A95) * ('Form responses 1'!$A$2:$A1000 &lt;= DATE(2024, 6, 30)))
+ SUMPRODUCT(('Form responses 1'!$G$2:$G1000 = A95) * ('Form responses 1'!$A$2:$A1000 &lt;= DATE(2024, 6, 30)))), 2), "-")
</f>
        <v>-</v>
      </c>
      <c r="I95" s="2" t="str">
        <f>IFERROR(ROUND(Data!B86/(SUMPRODUCT(('Form responses 1'!$B$2:$B1000 = A95) * ('Form responses 1'!$A$2:$A1000 &lt;= DATE(2024, 7, 31)))
+ SUMPRODUCT(('Form responses 1'!$C$2:$C1000 = A95) * ('Form responses 1'!$A$2:$A1000 &lt;= DATE(2024, 7, 31)))
+ SUMPRODUCT(('Form responses 1'!$D$2:$D1000 = A95) * ('Form responses 1'!$A$2:$A1000 &lt;= DATE(2024, 7, 31)))
+ SUMPRODUCT(('Form responses 1'!$E$2:$E1000 = A95) * ('Form responses 1'!$A$2:$A1000 &lt;= DATE(2024, 7, 31)))
+ SUMPRODUCT(('Form responses 1'!$F$2:$F1000 = A95) * ('Form responses 1'!$A$2:$A1000 &lt;= DATE(2024, 7, 31)))
+ SUMPRODUCT(('Form responses 1'!$G$2:$G1000 = A95) * ('Form responses 1'!$A$2:$A1000 &lt;= DATE(2024, 7, 31)))), 2), "-")
</f>
        <v>-</v>
      </c>
      <c r="J95" s="2" t="str">
        <f>IFERROR(ROUND(Data!B86/(SUMPRODUCT(('Form responses 1'!$B$2:$B1000 = A95) * ('Form responses 1'!$A$2:$A1000 &lt;= DATE(2024, 8, 31)))
+ SUMPRODUCT(('Form responses 1'!$C$2:$C1000 = A95) * ('Form responses 1'!$A$2:$A1000 &lt;= DATE(2024, 8, 31)))
+ SUMPRODUCT(('Form responses 1'!$D$2:$D1000 = A95) * ('Form responses 1'!$A$2:$A1000 &lt;= DATE(2024, 8, 31)))
+ SUMPRODUCT(('Form responses 1'!$E$2:$E1000 = A95) * ('Form responses 1'!$A$2:$A1000 &lt;= DATE(2024, 8, 31)))
+ SUMPRODUCT(('Form responses 1'!$F$2:$F1000 = A95) * ('Form responses 1'!$A$2:$A1000 &lt;= DATE(2024, 8, 31)))
+ SUMPRODUCT(('Form responses 1'!$G$2:$G1000 = A95) * ('Form responses 1'!$A$2:$A1000 &lt;= DATE(2024, 8, 31)))), 2), "-")
</f>
        <v>-</v>
      </c>
      <c r="K95" s="2" t="str">
        <f>IFERROR(ROUND(Data!B86/(SUMPRODUCT(('Form responses 1'!$B$2:$B1000 = A95) * ('Form responses 1'!$A$2:$A1000 &lt;= DATE(2024, 9, 30)))
+ SUMPRODUCT(('Form responses 1'!$C$2:$C1000 = A95) * ('Form responses 1'!$A$2:$A1000 &lt;= DATE(2024, 9, 30)))
+ SUMPRODUCT(('Form responses 1'!$D$2:$D1000 = A95) * ('Form responses 1'!$A$2:$A1000 &lt;= DATE(2024, 9, 30)))
+ SUMPRODUCT(('Form responses 1'!$E$2:$E1000 = A95) * ('Form responses 1'!$A$2:$A1000 &lt;= DATE(2024, 9, 30)))
+ SUMPRODUCT(('Form responses 1'!$F$2:$F1000 = A95) * ('Form responses 1'!$A$2:$A1000 &lt;= DATE(2024, 9, 30)))
+ SUMPRODUCT(('Form responses 1'!$G$2:$G1000 = A95) * ('Form responses 1'!$A$2:$A1000 &lt;= DATE(2024, 9, 30)))), 2), "-")
</f>
        <v>-</v>
      </c>
      <c r="L95" s="2" t="str">
        <f>IFERROR(ROUND(Data!B86/(SUMPRODUCT(('Form responses 1'!$B$2:$B1000 = A95) * ('Form responses 1'!$A$2:$A1000 &lt;= DATE(2024, 10, 31)))
+ SUMPRODUCT(('Form responses 1'!$C$2:$C1000 = A95) * ('Form responses 1'!$A$2:$A1000 &lt;= DATE(2024, 10, 31)))
+ SUMPRODUCT(('Form responses 1'!$D$2:$D1000 = A95) * ('Form responses 1'!$A$2:$A1000 &lt;= DATE(2024, 10, 31)))
+ SUMPRODUCT(('Form responses 1'!$E$2:$E1000 = A95) * ('Form responses 1'!$A$2:$A1000 &lt;= DATE(2024, 10, 31)))
+ SUMPRODUCT(('Form responses 1'!$F$2:$F1000 = A95) * ('Form responses 1'!$A$2:$A1000 &lt;= DATE(2024, 10, 31)))
+ SUMPRODUCT(('Form responses 1'!$G$2:$G1000 = A95) * ('Form responses 1'!$A$2:$A1000 &lt;= DATE(2024, 10, 31)))), 2), "-")
</f>
        <v>-</v>
      </c>
      <c r="M95" s="2" t="str">
        <f>IFERROR(ROUND(Data!B86/(SUMPRODUCT(('Form responses 1'!$B$2:$B1000 = A95) * ('Form responses 1'!$A$2:$A1000 &lt;= DATE(2024, 11, 30)))
+ SUMPRODUCT(('Form responses 1'!$C$2:$C1000 = A95) * ('Form responses 1'!$A$2:$A1000 &lt;= DATE(2024, 11, 30)))
+ SUMPRODUCT(('Form responses 1'!$D$2:$D1000 = A95) * ('Form responses 1'!$A$2:$A1000 &lt;= DATE(2024, 11, 30)))
+ SUMPRODUCT(('Form responses 1'!$E$2:$E1000 = A95) * ('Form responses 1'!$A$2:$A1000 &lt;= DATE(2024, 11, 30)))
+ SUMPRODUCT(('Form responses 1'!$F$2:$F1000 = A95) * ('Form responses 1'!$A$2:$A1000 &lt;= DATE(2024, 11, 30)))
+ SUMPRODUCT(('Form responses 1'!$G$2:$G1000 = A95) * ('Form responses 1'!$A$2:$A1000 &lt;= DATE(2024, 11, 30)))), 2), "-")
</f>
        <v>-</v>
      </c>
      <c r="N95" s="2" t="str">
        <f>IFERROR(ROUND(Data!B86/(SUMPRODUCT(('Form responses 1'!$B$2:$B1000 = A95) * ('Form responses 1'!$A$2:$A1000 &lt;= DATE(2024, 12, 31)))
+ SUMPRODUCT(('Form responses 1'!$C$2:$C1000 = A95) * ('Form responses 1'!$A$2:$A1000 &lt;= DATE(2024, 12, 31)))
+ SUMPRODUCT(('Form responses 1'!$D$2:$D1000 = A95) * ('Form responses 1'!$A$2:$A1000 &lt;= DATE(2024, 12, 31)))
+ SUMPRODUCT(('Form responses 1'!$E$2:$E1000 = A95) * ('Form responses 1'!$A$2:$A1000 &lt;= DATE(2024, 12, 31)))
+ SUMPRODUCT(('Form responses 1'!$F$2:$F1000 = A95) * ('Form responses 1'!$A$2:$A1000 &lt;= DATE(2024, 12, 31)))
+ SUMPRODUCT(('Form responses 1'!$G$2:$G1000 = A95) * ('Form responses 1'!$A$2:$A1000 &lt;= DATE(2024, 12, 31)))), 2), "-")
</f>
        <v>-</v>
      </c>
      <c r="O95" s="2" t="str">
        <f>IFERROR(ROUND(Data!B86/(SUMPRODUCT(('Form responses 1'!$B$2:$B1000 = A95) * ('Form responses 1'!$A$2:$A1000 &lt;= DATE(2025, 1, 31)))
+ SUMPRODUCT(('Form responses 1'!$C$2:$C1000 = A95) * ('Form responses 1'!$A$2:$A1000 &lt;= DATE(2025, 1, 31)))
+ SUMPRODUCT(('Form responses 1'!$D$2:$D1000 = A95) * ('Form responses 1'!$A$2:$A1000 &lt;= DATE(2025, 1, 31)))
+ SUMPRODUCT(('Form responses 1'!$E$2:$E1000 = A95) * ('Form responses 1'!$A$2:$A1000 &lt;= DATE(2025, 1, 31)))
+ SUMPRODUCT(('Form responses 1'!$F$2:$F1000 = A95) * ('Form responses 1'!$A$2:$A1000 &lt;= DATE(2025, 1, 31)))
+ SUMPRODUCT(('Form responses 1'!$G$2:$G1000 = A95) * ('Form responses 1'!$A$2:$A1000 &lt;= DATE(2025, 1, 31)))), 2), "-")
</f>
        <v>-</v>
      </c>
      <c r="P95" s="2" t="str">
        <f>IFERROR(ROUND(Data!B86/(SUMPRODUCT(('Form responses 1'!$B$2:$B1000 = A95) * ('Form responses 1'!$A$2:$A1000 &lt;= DATE(2025, 2, 28)))
+ SUMPRODUCT(('Form responses 1'!$C$2:$C1000 = A95) * ('Form responses 1'!$A$2:$A1000 &lt;= DATE(2025, 2, 28)))
+ SUMPRODUCT(('Form responses 1'!$D$2:$D1000 = A95) * ('Form responses 1'!$A$2:$A1000 &lt;= DATE(2025, 2, 28)))
+ SUMPRODUCT(('Form responses 1'!$E$2:$E1000 = A95) * ('Form responses 1'!$A$2:$A1000 &lt;= DATE(2025, 2, 28)))
+ SUMPRODUCT(('Form responses 1'!$F$2:$F1000 = A95) * ('Form responses 1'!$A$2:$A1000 &lt;= DATE(2025, 2, 28)))
+ SUMPRODUCT(('Form responses 1'!$G$2:$G1000 = A95) * ('Form responses 1'!$A$2:$A1000 &lt;= DATE(2025, 2, 28)))), 2), "-")
</f>
        <v>-</v>
      </c>
      <c r="Q95" s="2" t="str">
        <f>IFERROR(ROUND(Data!B86/(SUMPRODUCT(('Form responses 1'!$B$2:$B1000 = A95) * ('Form responses 1'!$A$2:$A1000 &lt;= DATE(2025, 3, 31)))
+ SUMPRODUCT(('Form responses 1'!$C$2:$C1000 = A95) * ('Form responses 1'!$A$2:$A1000 &lt;= DATE(2025, 3, 31)))
+ SUMPRODUCT(('Form responses 1'!$D$2:$D1000 = A95) * ('Form responses 1'!$A$2:$A1000 &lt;= DATE(2025, 3, 31)))
+ SUMPRODUCT(('Form responses 1'!$E$2:$E1000 = A95) * ('Form responses 1'!$A$2:$A1000 &lt;= DATE(2025, 3, 31)))
+ SUMPRODUCT(('Form responses 1'!$F$2:$F1000 = A95) * ('Form responses 1'!$A$2:$A1000 &lt;= DATE(2025, 3, 31)))
+ SUMPRODUCT(('Form responses 1'!$G$2:$G1000 = A95) * ('Form responses 1'!$A$2:$A1000 &lt;= DATE(2025, 3, 31)))),2),"-")</f>
        <v>-</v>
      </c>
      <c r="R95" s="2" t="str">
        <f>IFERROR(ROUND(Data!B86/(SUMPRODUCT(('Form responses 1'!$B$2:$B1000 = A95) * ('Form responses 1'!$A$2:$A1000 &lt;= DATE(2025, 4, 30)))
+ SUMPRODUCT(('Form responses 1'!$C$2:$C1000 = A95) * ('Form responses 1'!$A$2:$A1000 &lt;= DATE(2025, 4, 30)))
+ SUMPRODUCT(('Form responses 1'!$D$2:$D1000 = A95) * ('Form responses 1'!$A$2:$A1000 &lt;= DATE(2025, 4, 30)))
+ SUMPRODUCT(('Form responses 1'!$E$2:$E1000 = A95) * ('Form responses 1'!$A$2:$A1000 &lt;= DATE(2025, 4, 30)))
+ SUMPRODUCT(('Form responses 1'!$F$2:$F1000 = A95) * ('Form responses 1'!$A$2:$A1000 &lt;= DATE(2025, 4, 30)))
+ SUMPRODUCT(('Form responses 1'!$G$2:$G1000 = A95) * ('Form responses 1'!$A$2:$A1000 &lt;= DATE(2025, 4, 30)))), 2), "-")
</f>
        <v>-</v>
      </c>
      <c r="S95" s="2" t="str">
        <f>IFERROR(ROUND(Data!B86/(SUMPRODUCT(('Form responses 1'!$B$2:$B1000 = A95) * ('Form responses 1'!$A$2:$A1000 &lt;= DATE(2025, 5, 31)))
+ SUMPRODUCT(('Form responses 1'!$C$2:$C1000 = A95) * ('Form responses 1'!$A$2:$A1000 &lt;= DATE(2025, 5, 31)))
+ SUMPRODUCT(('Form responses 1'!$D$2:$D1000 = A95) * ('Form responses 1'!$A$2:$A1000 &lt;= DATE(2025, 5, 31)))
+ SUMPRODUCT(('Form responses 1'!$E$2:$E1000 = A95) * ('Form responses 1'!$A$2:$A1000 &lt;= DATE(2025, 5, 31)))
+ SUMPRODUCT(('Form responses 1'!$F$2:$F1000 = A95) * ('Form responses 1'!$A$2:$A1000 &lt;= DATE(2025, 5, 31)))
+ SUMPRODUCT(('Form responses 1'!$G$2:$G1000 = A95) * ('Form responses 1'!$A$2:$A1000 &lt;= DATE(2025, 5, 31)))), 2), "-")
</f>
        <v>-</v>
      </c>
      <c r="T95" s="2" t="str">
        <f>IFERROR(ROUND(Data!B86/(SUMPRODUCT(('Form responses 1'!$B$2:$B1000 = A95) * ('Form responses 1'!$A$2:$A1000 &lt;= DATE(2025, 6, 30)))
+ SUMPRODUCT(('Form responses 1'!$C$2:$C1000 = A95) * ('Form responses 1'!$A$2:$A1000 &lt;= DATE(2025, 6, 30)))
+ SUMPRODUCT(('Form responses 1'!$D$2:$D1000 = A95) * ('Form responses 1'!$A$2:$A1000 &lt;= DATE(2025, 6, 30)))
+ SUMPRODUCT(('Form responses 1'!$E$2:$E1000 = A95) * ('Form responses 1'!$A$2:$A1000 &lt;= DATE(2025, 6, 30)))
+ SUMPRODUCT(('Form responses 1'!$F$2:$F1000 = A95) * ('Form responses 1'!$A$2:$A1000 &lt;= DATE(2025, 6, 30)))
+ SUMPRODUCT(('Form responses 1'!$G$2:$G1000 = A95) * ('Form responses 1'!$A$2:$A1000 &lt;= DATE(2025, 6, 30)))), 2), "-")
</f>
        <v>-</v>
      </c>
      <c r="U95" s="2" t="str">
        <f>IFERROR(ROUND(Data!B86/(SUMPRODUCT(('Form responses 1'!$B$2:$B1000 = A95) * ('Form responses 1'!$A$2:$A1000 &lt;= DATE(2025, 7, 31)))
+ SUMPRODUCT(('Form responses 1'!$C$2:$C1000 = A95) * ('Form responses 1'!$A$2:$A1000 &lt;= DATE(2025, 7, 31)))
+ SUMPRODUCT(('Form responses 1'!$D$2:$D1000 = A95) * ('Form responses 1'!$A$2:$A1000 &lt;= DATE(2025, 7, 31)))
+ SUMPRODUCT(('Form responses 1'!$E$2:$E1000 = A95) * ('Form responses 1'!$A$2:$A1000 &lt;= DATE(2025, 7, 31)))
+ SUMPRODUCT(('Form responses 1'!$F$2:$F1000 = A95) * ('Form responses 1'!$A$2:$A1000 &lt;= DATE(2025, 7, 31)))
+ SUMPRODUCT(('Form responses 1'!$G$2:$G1000 = A95) * ('Form responses 1'!$A$2:$A1000 &lt;= DATE(2025, 7, 31)))), 2), "-")
</f>
        <v>-</v>
      </c>
      <c r="V95" s="2">
        <f>IFERROR(ROUND(Data!B86/(SUMPRODUCT(('Form responses 1'!$B$2:$B1000 = A95) * ('Form responses 1'!$A$2:$A1000 &lt;= DATE(2025, 8, 31)))
+ SUMPRODUCT(('Form responses 1'!$C$2:$C1000 = A95) * ('Form responses 1'!$A$2:$A1000 &lt;= DATE(2025, 8, 31)))
+ SUMPRODUCT(('Form responses 1'!$D$2:$D1000 = A95) * ('Form responses 1'!$A$2:$A1000 &lt;= DATE(2025, 8, 31)))
+ SUMPRODUCT(('Form responses 1'!$E$2:$E1000 = A95) * ('Form responses 1'!$A$2:$A1000 &lt;= DATE(2025, 8, 31)))
+ SUMPRODUCT(('Form responses 1'!$F$2:$F1000 = A95) * ('Form responses 1'!$A$2:$A1000 &lt;= DATE(2025, 8, 31)))
+ SUMPRODUCT(('Form responses 1'!$G$2:$G1000 = A95) * ('Form responses 1'!$A$2:$A1000 &lt;= DATE(2025, 8, 31)))), 2), "-")
</f>
        <v>88.99</v>
      </c>
      <c r="W95" s="2">
        <f>IFERROR(ROUND(Data!B86/(SUMPRODUCT(('Form responses 1'!$B$2:$B1000 = A95) * ('Form responses 1'!$A$2:$A1000 &lt;= DATE(2025, 9, 30)))
+ SUMPRODUCT(('Form responses 1'!$C$2:$C1000 = A95) * ('Form responses 1'!$A$2:$A1000 &lt;= DATE(2025, 9, 30)))
+ SUMPRODUCT(('Form responses 1'!$D$2:$D1000 = A95) * ('Form responses 1'!$A$2:$A1000 &lt;= DATE(2025, 9, 30)))
+ SUMPRODUCT(('Form responses 1'!$E$2:$E1000 = A95) * ('Form responses 1'!$A$2:$A1000 &lt;= DATE(2025, 9, 30)))
+ SUMPRODUCT(('Form responses 1'!$F$2:$F1000 = A95) * ('Form responses 1'!$A$2:$A1000 &lt;= DATE(2025, 9, 30)))
+ SUMPRODUCT(('Form responses 1'!$G$2:$G1000 = A95) * ('Form responses 1'!$A$2:$A1000 &lt;= DATE(2025, 9, 30)))), 2), "-")
</f>
        <v>59.33</v>
      </c>
      <c r="X95" s="2">
        <f>IFERROR(ROUND(Data!B86/(SUMPRODUCT(('Form responses 1'!$B$2:$B1000 = A95) * ('Form responses 1'!$A$2:$A1000 &lt;= DATE(2025, 10, 31)))
+ SUMPRODUCT(('Form responses 1'!$C$2:$C1000 = A95) * ('Form responses 1'!$A$2:$A1000 &lt;= DATE(2025, 10, 31)))
+ SUMPRODUCT(('Form responses 1'!$D$2:$D1000 = A95) * ('Form responses 1'!$A$2:$A1000 &lt;= DATE(2025, 10, 31)))
+ SUMPRODUCT(('Form responses 1'!$E$2:$E1000 = A95) * ('Form responses 1'!$A$2:$A1000 &lt;= DATE(2025, 10, 31)))
+ SUMPRODUCT(('Form responses 1'!$F$2:$F1000 = A95) * ('Form responses 1'!$A$2:$A1000 &lt;= DATE(2025, 10, 31)))
+ SUMPRODUCT(('Form responses 1'!$G$2:$G1000 = A95) * ('Form responses 1'!$A$2:$A1000 &lt;= DATE(2025, 10, 31)))), 2), "-")
</f>
        <v>59.33</v>
      </c>
      <c r="Y95" s="2">
        <f>IFERROR(ROUND(Data!B86/(SUMPRODUCT(('Form responses 1'!$B$2:$B1000 = A95) * ('Form responses 1'!$A$2:$A1000 &lt;= DATE(2025, 11, 30)))
+ SUMPRODUCT(('Form responses 1'!$C$2:$C1000 = A95) * ('Form responses 1'!$A$2:$A1000 &lt;= DATE(2025, 11, 30)))
+ SUMPRODUCT(('Form responses 1'!$D$2:$D1000 = A95) * ('Form responses 1'!$A$2:$A1000 &lt;= DATE(2025, 11, 30)))
+ SUMPRODUCT(('Form responses 1'!$E$2:$E1000 = A95) * ('Form responses 1'!$A$2:$A1000 &lt;= DATE(2025, 11, 30)))
+ SUMPRODUCT(('Form responses 1'!$F$2:$F1000 = A95) * ('Form responses 1'!$A$2:$A1000 &lt;= DATE(2025, 11, 30)))
+ SUMPRODUCT(('Form responses 1'!$G$2:$G1000 = A95) * ('Form responses 1'!$A$2:$A1000 &lt;= DATE(2025, 11, 30)))), 2), "-")
</f>
        <v>44.5</v>
      </c>
      <c r="Z95" s="2">
        <f>IFERROR(ROUND(Data!B86/(SUMPRODUCT(('Form responses 1'!$B$2:$B1000 = A95) * ('Form responses 1'!$A$2:$A1000 &lt;= DATE(2025, 12, 31)))
+ SUMPRODUCT(('Form responses 1'!$C$2:$C1000 = A95) * ('Form responses 1'!$A$2:$A1000 &lt;= DATE(2025, 12, 31)))
+ SUMPRODUCT(('Form responses 1'!$D$2:$D1000 = A95) * ('Form responses 1'!$A$2:$A1000 &lt;= DATE(2025, 12, 31)))
+ SUMPRODUCT(('Form responses 1'!$E$2:$E1000 = A95) * ('Form responses 1'!$A$2:$A1000 &lt;= DATE(2025, 12, 31)))
+ SUMPRODUCT(('Form responses 1'!$F$2:$F1000 = A95) * ('Form responses 1'!$A$2:$A1000 &lt;= DATE(2025, 12, 31)))
+ SUMPRODUCT(('Form responses 1'!$G$2:$G1000 = A95) * ('Form responses 1'!$A$2:$A1000 &lt;= DATE(2025, 12, 31)))), 2), "-")
</f>
        <v>44.5</v>
      </c>
      <c r="AA95" s="2">
        <f>IFERROR(ROUND(Data!$B95/(
  SUMPRODUCT(('Form responses 1'!$B$2:$B1000=$A95)*('Form responses 1'!$A$2:$A1000&lt;=EOMONTH(DATEVALUE("1 "&amp;AA$1),0)))+
  SUMPRODUCT(('Form responses 1'!$C$2:$C1000=$A95)*('Form responses 1'!$A$2:$A1000&lt;=EOMONTH(DATEVALUE("1 "&amp;AA$1),0)))+
  SUMPRODUCT(('Form responses 1'!$D$2:$D1000=$A95)*('Form responses 1'!$A$2:$A1000&lt;=EOMONTH(DATEVALUE("1 "&amp;AA$1),0)))+
  SUMPRODUCT(('Form responses 1'!$E$2:$E1000=$A95)*('Form responses 1'!$A$2:$A1000&lt;=EOMONTH(DATEVALUE("1 "&amp;AA$1),0)))+
  SUMPRODUCT(('Form responses 1'!$F$2:$F1000=$A95)*('Form responses 1'!$A$2:$A1000&lt;=EOMONTH(DATEVALUE("1 "&amp;AA$1),0)))+
  SUMPRODUCT(('Form responses 1'!$G$2:$G1000=$A95)*('Form responses 1'!$A$2:$A1000&lt;=EOMONTH(DATEVALUE("1 "&amp;AA$1),0)))
),2),"-")</f>
        <v>1.75</v>
      </c>
      <c r="AB95" s="2">
        <f>IFERROR(ROUND(Data!$B95/(
  SUMPRODUCT(('Form responses 1'!$B$2:$B1000=$A95)*('Form responses 1'!$A$2:$A1000&lt;=EOMONTH(DATEVALUE("1 "&amp;AB$1),0)))+
  SUMPRODUCT(('Form responses 1'!$C$2:$C1000=$A95)*('Form responses 1'!$A$2:$A1000&lt;=EOMONTH(DATEVALUE("1 "&amp;AB$1),0)))+
  SUMPRODUCT(('Form responses 1'!$D$2:$D1000=$A95)*('Form responses 1'!$A$2:$A1000&lt;=EOMONTH(DATEVALUE("1 "&amp;AB$1),0)))+
  SUMPRODUCT(('Form responses 1'!$E$2:$E1000=$A95)*('Form responses 1'!$A$2:$A1000&lt;=EOMONTH(DATEVALUE("1 "&amp;AB$1),0)))+
  SUMPRODUCT(('Form responses 1'!$F$2:$F1000=$A95)*('Form responses 1'!$A$2:$A1000&lt;=EOMONTH(DATEVALUE("1 "&amp;AB$1),0)))+
  SUMPRODUCT(('Form responses 1'!$G$2:$G1000=$A95)*('Form responses 1'!$A$2:$A1000&lt;=EOMONTH(DATEVALUE("1 "&amp;AB$1),0)))
),2),"-")</f>
        <v>1.75</v>
      </c>
      <c r="AC95" s="2">
        <f>IFERROR(ROUND(Data!$B95/(
  SUMPRODUCT(('Form responses 1'!$B$2:$B1000=$A95)*('Form responses 1'!$A$2:$A1000&lt;=EOMONTH(DATEVALUE("1 "&amp;AC$1),0)))+
  SUMPRODUCT(('Form responses 1'!$C$2:$C1000=$A95)*('Form responses 1'!$A$2:$A1000&lt;=EOMONTH(DATEVALUE("1 "&amp;AC$1),0)))+
  SUMPRODUCT(('Form responses 1'!$D$2:$D1000=$A95)*('Form responses 1'!$A$2:$A1000&lt;=EOMONTH(DATEVALUE("1 "&amp;AC$1),0)))+
  SUMPRODUCT(('Form responses 1'!$E$2:$E1000=$A95)*('Form responses 1'!$A$2:$A1000&lt;=EOMONTH(DATEVALUE("1 "&amp;AC$1),0)))+
  SUMPRODUCT(('Form responses 1'!$F$2:$F1000=$A95)*('Form responses 1'!$A$2:$A1000&lt;=EOMONTH(DATEVALUE("1 "&amp;AC$1),0)))+
  SUMPRODUCT(('Form responses 1'!$G$2:$G1000=$A95)*('Form responses 1'!$A$2:$A1000&lt;=EOMONTH(DATEVALUE("1 "&amp;AC$1),0)))
),2),"-")</f>
        <v>1.75</v>
      </c>
      <c r="AD95" s="2" t="str">
        <f>IFERROR(ROUND(Data!$B95/(
  SUMPRODUCT(('Form responses 1'!$B$2:$B1000=$A95)*('Form responses 1'!$A$2:$A1000&lt;=EOMONTH(DATEVALUE("1 "&amp;AD$1),0)))+
  SUMPRODUCT(('Form responses 1'!$C$2:$C1000=$A95)*('Form responses 1'!$A$2:$A1000&lt;=EOMONTH(DATEVALUE("1 "&amp;AD$1),0)))+
  SUMPRODUCT(('Form responses 1'!$D$2:$D1000=$A95)*('Form responses 1'!$A$2:$A1000&lt;=EOMONTH(DATEVALUE("1 "&amp;AD$1),0)))+
  SUMPRODUCT(('Form responses 1'!$E$2:$E1000=$A95)*('Form responses 1'!$A$2:$A1000&lt;=EOMONTH(DATEVALUE("1 "&amp;AD$1),0)))+
  SUMPRODUCT(('Form responses 1'!$F$2:$F1000=$A95)*('Form responses 1'!$A$2:$A1000&lt;=EOMONTH(DATEVALUE("1 "&amp;AD$1),0)))+
  SUMPRODUCT(('Form responses 1'!$G$2:$G1000=$A95)*('Form responses 1'!$A$2:$A1000&lt;=EOMONTH(DATEVALUE("1 "&amp;AD$1),0)))
),2),"-")</f>
        <v>-</v>
      </c>
      <c r="AE95" s="2" t="str">
        <f>IFERROR(ROUND(Data!$B95/(
  SUMPRODUCT(('Form responses 1'!$B$2:$B1000=$A95)*('Form responses 1'!$A$2:$A1000&lt;=EOMONTH(DATEVALUE("1 "&amp;AE$1),0)))+
  SUMPRODUCT(('Form responses 1'!$C$2:$C1000=$A95)*('Form responses 1'!$A$2:$A1000&lt;=EOMONTH(DATEVALUE("1 "&amp;AE$1),0)))+
  SUMPRODUCT(('Form responses 1'!$D$2:$D1000=$A95)*('Form responses 1'!$A$2:$A1000&lt;=EOMONTH(DATEVALUE("1 "&amp;AE$1),0)))+
  SUMPRODUCT(('Form responses 1'!$E$2:$E1000=$A95)*('Form responses 1'!$A$2:$A1000&lt;=EOMONTH(DATEVALUE("1 "&amp;AE$1),0)))+
  SUMPRODUCT(('Form responses 1'!$F$2:$F1000=$A95)*('Form responses 1'!$A$2:$A1000&lt;=EOMONTH(DATEVALUE("1 "&amp;AE$1),0)))+
  SUMPRODUCT(('Form responses 1'!$G$2:$G1000=$A95)*('Form responses 1'!$A$2:$A1000&lt;=EOMONTH(DATEVALUE("1 "&amp;AE$1),0)))
),2),"-")</f>
        <v>-</v>
      </c>
      <c r="AF95" s="2" t="str">
        <f>IFERROR(ROUND(Data!$B95/(
  SUMPRODUCT(('Form responses 1'!$B$2:$B1000=$A95)*('Form responses 1'!$A$2:$A1000&lt;=EOMONTH(DATEVALUE("1 "&amp;AF$1),0)))+
  SUMPRODUCT(('Form responses 1'!$C$2:$C1000=$A95)*('Form responses 1'!$A$2:$A1000&lt;=EOMONTH(DATEVALUE("1 "&amp;AF$1),0)))+
  SUMPRODUCT(('Form responses 1'!$D$2:$D1000=$A95)*('Form responses 1'!$A$2:$A1000&lt;=EOMONTH(DATEVALUE("1 "&amp;AF$1),0)))+
  SUMPRODUCT(('Form responses 1'!$E$2:$E1000=$A95)*('Form responses 1'!$A$2:$A1000&lt;=EOMONTH(DATEVALUE("1 "&amp;AF$1),0)))+
  SUMPRODUCT(('Form responses 1'!$F$2:$F1000=$A95)*('Form responses 1'!$A$2:$A1000&lt;=EOMONTH(DATEVALUE("1 "&amp;AF$1),0)))+
  SUMPRODUCT(('Form responses 1'!$G$2:$G1000=$A95)*('Form responses 1'!$A$2:$A1000&lt;=EOMONTH(DATEVALUE("1 "&amp;AF$1),0)))
),2),"-")</f>
        <v>-</v>
      </c>
      <c r="AG95" s="2" t="str">
        <f>IFERROR(ROUND(Data!$B95/(
  SUMPRODUCT(('Form responses 1'!$B$2:$B1000=$A95)*('Form responses 1'!$A$2:$A1000&lt;=EOMONTH(DATEVALUE("1 "&amp;AG$1),0)))+
  SUMPRODUCT(('Form responses 1'!$C$2:$C1000=$A95)*('Form responses 1'!$A$2:$A1000&lt;=EOMONTH(DATEVALUE("1 "&amp;AG$1),0)))+
  SUMPRODUCT(('Form responses 1'!$D$2:$D1000=$A95)*('Form responses 1'!$A$2:$A1000&lt;=EOMONTH(DATEVALUE("1 "&amp;AG$1),0)))+
  SUMPRODUCT(('Form responses 1'!$E$2:$E1000=$A95)*('Form responses 1'!$A$2:$A1000&lt;=EOMONTH(DATEVALUE("1 "&amp;AG$1),0)))+
  SUMPRODUCT(('Form responses 1'!$F$2:$F1000=$A95)*('Form responses 1'!$A$2:$A1000&lt;=EOMONTH(DATEVALUE("1 "&amp;AG$1),0)))+
  SUMPRODUCT(('Form responses 1'!$G$2:$G1000=$A95)*('Form responses 1'!$A$2:$A1000&lt;=EOMONTH(DATEVALUE("1 "&amp;AG$1),0)))
),2),"-")</f>
        <v>-</v>
      </c>
      <c r="AH95" s="2" t="str">
        <f>IFERROR(ROUND(Data!$B95/(
  SUMPRODUCT(('Form responses 1'!$B$2:$B1000=$A95)*('Form responses 1'!$A$2:$A1000&lt;=EOMONTH(DATEVALUE("1 "&amp;AH$1),0)))+
  SUMPRODUCT(('Form responses 1'!$C$2:$C1000=$A95)*('Form responses 1'!$A$2:$A1000&lt;=EOMONTH(DATEVALUE("1 "&amp;AH$1),0)))+
  SUMPRODUCT(('Form responses 1'!$D$2:$D1000=$A95)*('Form responses 1'!$A$2:$A1000&lt;=EOMONTH(DATEVALUE("1 "&amp;AH$1),0)))+
  SUMPRODUCT(('Form responses 1'!$E$2:$E1000=$A95)*('Form responses 1'!$A$2:$A1000&lt;=EOMONTH(DATEVALUE("1 "&amp;AH$1),0)))+
  SUMPRODUCT(('Form responses 1'!$F$2:$F1000=$A95)*('Form responses 1'!$A$2:$A1000&lt;=EOMONTH(DATEVALUE("1 "&amp;AH$1),0)))+
  SUMPRODUCT(('Form responses 1'!$G$2:$G1000=$A95)*('Form responses 1'!$A$2:$A1000&lt;=EOMONTH(DATEVALUE("1 "&amp;AH$1),0)))
),2),"-")</f>
        <v>-</v>
      </c>
      <c r="AI95" s="2" t="str">
        <f>IFERROR(ROUND(Data!$B95/(
  SUMPRODUCT(('Form responses 1'!$B$2:$B1000=$A95)*('Form responses 1'!$A$2:$A1000&lt;=EOMONTH(DATEVALUE("1 "&amp;AI$1),0)))+
  SUMPRODUCT(('Form responses 1'!$C$2:$C1000=$A95)*('Form responses 1'!$A$2:$A1000&lt;=EOMONTH(DATEVALUE("1 "&amp;AI$1),0)))+
  SUMPRODUCT(('Form responses 1'!$D$2:$D1000=$A95)*('Form responses 1'!$A$2:$A1000&lt;=EOMONTH(DATEVALUE("1 "&amp;AI$1),0)))+
  SUMPRODUCT(('Form responses 1'!$E$2:$E1000=$A95)*('Form responses 1'!$A$2:$A1000&lt;=EOMONTH(DATEVALUE("1 "&amp;AI$1),0)))+
  SUMPRODUCT(('Form responses 1'!$F$2:$F1000=$A95)*('Form responses 1'!$A$2:$A1000&lt;=EOMONTH(DATEVALUE("1 "&amp;AI$1),0)))+
  SUMPRODUCT(('Form responses 1'!$G$2:$G1000=$A95)*('Form responses 1'!$A$2:$A1000&lt;=EOMONTH(DATEVALUE("1 "&amp;AI$1),0)))
),2),"-")</f>
        <v>-</v>
      </c>
      <c r="AJ95" s="2" t="str">
        <f>IFERROR(ROUND(Data!$B95/(
  SUMPRODUCT(('Form responses 1'!$B$2:$B1000=$A95)*('Form responses 1'!$A$2:$A1000&lt;=EOMONTH(DATEVALUE("1 "&amp;AJ$1),0)))+
  SUMPRODUCT(('Form responses 1'!$C$2:$C1000=$A95)*('Form responses 1'!$A$2:$A1000&lt;=EOMONTH(DATEVALUE("1 "&amp;AJ$1),0)))+
  SUMPRODUCT(('Form responses 1'!$D$2:$D1000=$A95)*('Form responses 1'!$A$2:$A1000&lt;=EOMONTH(DATEVALUE("1 "&amp;AJ$1),0)))+
  SUMPRODUCT(('Form responses 1'!$E$2:$E1000=$A95)*('Form responses 1'!$A$2:$A1000&lt;=EOMONTH(DATEVALUE("1 "&amp;AJ$1),0)))+
  SUMPRODUCT(('Form responses 1'!$F$2:$F1000=$A95)*('Form responses 1'!$A$2:$A1000&lt;=EOMONTH(DATEVALUE("1 "&amp;AJ$1),0)))+
  SUMPRODUCT(('Form responses 1'!$G$2:$G1000=$A95)*('Form responses 1'!$A$2:$A1000&lt;=EOMONTH(DATEVALUE("1 "&amp;AJ$1),0)))
),2),"-")</f>
        <v>-</v>
      </c>
      <c r="AK95" s="2" t="str">
        <f>IFERROR(ROUND(Data!$B95/(
  SUMPRODUCT(('Form responses 1'!$B$2:$B1000=$A95)*('Form responses 1'!$A$2:$A1000&lt;=EOMONTH(DATEVALUE("1 "&amp;AK$1),0)))+
  SUMPRODUCT(('Form responses 1'!$C$2:$C1000=$A95)*('Form responses 1'!$A$2:$A1000&lt;=EOMONTH(DATEVALUE("1 "&amp;AK$1),0)))+
  SUMPRODUCT(('Form responses 1'!$D$2:$D1000=$A95)*('Form responses 1'!$A$2:$A1000&lt;=EOMONTH(DATEVALUE("1 "&amp;AK$1),0)))+
  SUMPRODUCT(('Form responses 1'!$E$2:$E1000=$A95)*('Form responses 1'!$A$2:$A1000&lt;=EOMONTH(DATEVALUE("1 "&amp;AK$1),0)))+
  SUMPRODUCT(('Form responses 1'!$F$2:$F1000=$A95)*('Form responses 1'!$A$2:$A1000&lt;=EOMONTH(DATEVALUE("1 "&amp;AK$1),0)))+
  SUMPRODUCT(('Form responses 1'!$G$2:$G1000=$A95)*('Form responses 1'!$A$2:$A1000&lt;=EOMONTH(DATEVALUE("1 "&amp;AK$1),0)))
),2),"-")</f>
        <v>-</v>
      </c>
      <c r="AL95" s="2" t="str">
        <f>IFERROR(ROUND(Data!$B95/(
  SUMPRODUCT(('Form responses 1'!$B$2:$B1000=$A95)*('Form responses 1'!$A$2:$A1000&lt;=EOMONTH(DATEVALUE("1 "&amp;AL$1),0)))+
  SUMPRODUCT(('Form responses 1'!$C$2:$C1000=$A95)*('Form responses 1'!$A$2:$A1000&lt;=EOMONTH(DATEVALUE("1 "&amp;AL$1),0)))+
  SUMPRODUCT(('Form responses 1'!$D$2:$D1000=$A95)*('Form responses 1'!$A$2:$A1000&lt;=EOMONTH(DATEVALUE("1 "&amp;AL$1),0)))+
  SUMPRODUCT(('Form responses 1'!$E$2:$E1000=$A95)*('Form responses 1'!$A$2:$A1000&lt;=EOMONTH(DATEVALUE("1 "&amp;AL$1),0)))+
  SUMPRODUCT(('Form responses 1'!$F$2:$F1000=$A95)*('Form responses 1'!$A$2:$A1000&lt;=EOMONTH(DATEVALUE("1 "&amp;AL$1),0)))+
  SUMPRODUCT(('Form responses 1'!$G$2:$G1000=$A95)*('Form responses 1'!$A$2:$A1000&lt;=EOMONTH(DATEVALUE("1 "&amp;AL$1),0)))
),2),"-")</f>
        <v>-</v>
      </c>
    </row>
    <row r="96">
      <c r="A96" s="3" t="str">
        <f>IFERROR(__xludf.DUMMYFUNCTION("""COMPUTED_VALUE"""),"Decathlon hardloopshirt blauw")</f>
        <v>Decathlon hardloopshirt blauw</v>
      </c>
      <c r="C96" s="2" t="str">
        <f>IFERROR(ROUND(Data!B87/(SUMPRODUCT(('Form responses 1'!$B$2:$B1000 = A96) * ('Form responses 1'!$A$2:$A1000 &lt;= DATE(2024, 1, 31)))
+ SUMPRODUCT(('Form responses 1'!$C$2:$C1000 = A96) * ('Form responses 1'!$A$2:$A1000 &lt;= DATE(2024, 1, 31)))
+ SUMPRODUCT(('Form responses 1'!$D$2:$D1000 = A96) * ('Form responses 1'!$A$2:$A1000 &lt;= DATE(2024, 1, 31)))
+ SUMPRODUCT(('Form responses 1'!$E$2:$E1000 = A96) * ('Form responses 1'!$A$2:$A1000 &lt;= DATE(2024, 1, 31)))
+ SUMPRODUCT(('Form responses 1'!$F$2:$F1000 = A96) * ('Form responses 1'!$A$2:$A1000 &lt;= DATE(2024, 1, 31)))
+ SUMPRODUCT(('Form responses 1'!$G$2:$G1000 = A96) * ('Form responses 1'!$A$2:$A1000 &lt;= DATE(2024, 1, 31)))), 2), "-")
</f>
        <v>-</v>
      </c>
      <c r="D96" s="2" t="str">
        <f>IFERROR(ROUND(Data!B87/(SUMPRODUCT(('Form responses 1'!$B$2:$B1000 = A96) * ('Form responses 1'!$A$2:$A1000 &lt;= DATE(2024, 2, 29)))
+ SUMPRODUCT(('Form responses 1'!$C$2:$C1000 = A96) * ('Form responses 1'!$A$2:$A1000 &lt;= DATE(2024, 2, 29)))
+ SUMPRODUCT(('Form responses 1'!$D$2:$D1000 = A96) * ('Form responses 1'!$A$2:$A1000 &lt;= DATE(2024, 2, 29)))
+ SUMPRODUCT(('Form responses 1'!$E$2:$E1000 = A96) * ('Form responses 1'!$A$2:$A1000 &lt;= DATE(2024, 2, 29)))
+ SUMPRODUCT(('Form responses 1'!$F$2:$F1000 = A96) * ('Form responses 1'!$A$2:$A1000 &lt;= DATE(2024, 2, 29)))
+ SUMPRODUCT(('Form responses 1'!$G$2:$G1000 = A96) * ('Form responses 1'!$A$2:$A1000 &lt;= DATE(2024, 2, 29)))), 2), "-")
</f>
        <v>-</v>
      </c>
      <c r="E96" s="2" t="str">
        <f>IFERROR(ROUND(Data!B87/(SUMPRODUCT(('Form responses 1'!$B$2:$B1000 = A96) * ('Form responses 1'!$A$2:$A1000 &lt;= DATE(2024, 3, 31)))
+ SUMPRODUCT(('Form responses 1'!$C$2:$C1000 = A96) * ('Form responses 1'!$A$2:$A1000 &lt;= DATE(2024, 3, 31)))
+ SUMPRODUCT(('Form responses 1'!$D$2:$D1000 = A96) * ('Form responses 1'!$A$2:$A1000 &lt;= DATE(2024, 3, 31)))
+ SUMPRODUCT(('Form responses 1'!$E$2:$E1000 = A96) * ('Form responses 1'!$A$2:$A1000 &lt;= DATE(2024, 3, 31)))
+ SUMPRODUCT(('Form responses 1'!$F$2:$F1000 = A96) * ('Form responses 1'!$A$2:$A1000 &lt;= DATE(2024, 3, 31)))
+ SUMPRODUCT(('Form responses 1'!$G$2:$G1000 = A96) * ('Form responses 1'!$A$2:$A1000 &lt;= DATE(2024, 3, 31)))), 2), "-")
</f>
        <v>-</v>
      </c>
      <c r="F96" s="2" t="str">
        <f>IFERROR(ROUND(Data!B87/(SUMPRODUCT(('Form responses 1'!$B$2:$B1000 = A96) * ('Form responses 1'!$A$2:$A1000 &lt;= DATE(2024, 4, 30)))
+ SUMPRODUCT(('Form responses 1'!$C$2:$C1000 = A96) * ('Form responses 1'!$A$2:$A1000 &lt;= DATE(2024, 4, 30)))
+ SUMPRODUCT(('Form responses 1'!$D$2:$D1000 = A96) * ('Form responses 1'!$A$2:$A1000 &lt;= DATE(2024, 4, 30)))
+ SUMPRODUCT(('Form responses 1'!$E$2:$E1000 = A96) * ('Form responses 1'!$A$2:$A1000 &lt;= DATE(2024, 4, 30)))
+ SUMPRODUCT(('Form responses 1'!$F$2:$F1000 = A96) * ('Form responses 1'!$A$2:$A1000 &lt;= DATE(2024, 4, 30)))
+ SUMPRODUCT(('Form responses 1'!$G$2:$G1000 = A96) * ('Form responses 1'!$A$2:$A1000 &lt;= DATE(2024, 4, 30)))), 2), "-")
</f>
        <v>-</v>
      </c>
      <c r="G96" s="2" t="str">
        <f>IFERROR(ROUND(Data!B87/(SUMPRODUCT(('Form responses 1'!$B$2:$B1000 = A96) * ('Form responses 1'!$A$2:$A1000 &lt;= DATE(2024, 5, 31)))
+ SUMPRODUCT(('Form responses 1'!$C$2:$C1000 = A96) * ('Form responses 1'!$A$2:$A1000 &lt;= DATE(2024, 5, 31)))
+ SUMPRODUCT(('Form responses 1'!$D$2:$D1000 = A96) * ('Form responses 1'!$A$2:$A1000 &lt;= DATE(2024, 5, 31)))
+ SUMPRODUCT(('Form responses 1'!$E$2:$E1000 = A96) * ('Form responses 1'!$A$2:$A1000 &lt;= DATE(2024, 5, 31)))
+ SUMPRODUCT(('Form responses 1'!$F$2:$F1000 = A96) * ('Form responses 1'!$A$2:$A1000 &lt;= DATE(2024, 5, 31)))
+ SUMPRODUCT(('Form responses 1'!$G$2:$G1000 = A96) * ('Form responses 1'!$A$2:$A1000 &lt;= DATE(2024, 5, 31)))), 2), "-")
</f>
        <v>-</v>
      </c>
      <c r="H96" s="2" t="str">
        <f>IFERROR(ROUND(Data!B87/(SUMPRODUCT(('Form responses 1'!$B$2:$B1000 = A96) * ('Form responses 1'!$A$2:$A1000 &lt;= DATE(2024, 6, 30)))
+ SUMPRODUCT(('Form responses 1'!$C$2:$C1000 = A96) * ('Form responses 1'!$A$2:$A1000 &lt;= DATE(2024, 6, 30)))
+ SUMPRODUCT(('Form responses 1'!$D$2:$D1000 = A96) * ('Form responses 1'!$A$2:$A1000 &lt;= DATE(2024, 6, 30)))
+ SUMPRODUCT(('Form responses 1'!$E$2:$E1000 = A96) * ('Form responses 1'!$A$2:$A1000 &lt;= DATE(2024, 6, 30)))
+ SUMPRODUCT(('Form responses 1'!$F$2:$F1000 = A96) * ('Form responses 1'!$A$2:$A1000 &lt;= DATE(2024, 6, 30)))
+ SUMPRODUCT(('Form responses 1'!$G$2:$G1000 = A96) * ('Form responses 1'!$A$2:$A1000 &lt;= DATE(2024, 6, 30)))), 2), "-")
</f>
        <v>-</v>
      </c>
      <c r="I96" s="2" t="str">
        <f>IFERROR(ROUND(Data!B87/(SUMPRODUCT(('Form responses 1'!$B$2:$B1000 = A96) * ('Form responses 1'!$A$2:$A1000 &lt;= DATE(2024, 7, 31)))
+ SUMPRODUCT(('Form responses 1'!$C$2:$C1000 = A96) * ('Form responses 1'!$A$2:$A1000 &lt;= DATE(2024, 7, 31)))
+ SUMPRODUCT(('Form responses 1'!$D$2:$D1000 = A96) * ('Form responses 1'!$A$2:$A1000 &lt;= DATE(2024, 7, 31)))
+ SUMPRODUCT(('Form responses 1'!$E$2:$E1000 = A96) * ('Form responses 1'!$A$2:$A1000 &lt;= DATE(2024, 7, 31)))
+ SUMPRODUCT(('Form responses 1'!$F$2:$F1000 = A96) * ('Form responses 1'!$A$2:$A1000 &lt;= DATE(2024, 7, 31)))
+ SUMPRODUCT(('Form responses 1'!$G$2:$G1000 = A96) * ('Form responses 1'!$A$2:$A1000 &lt;= DATE(2024, 7, 31)))), 2), "-")
</f>
        <v>-</v>
      </c>
      <c r="J96" s="2" t="str">
        <f>IFERROR(ROUND(Data!B87/(SUMPRODUCT(('Form responses 1'!$B$2:$B1000 = A96) * ('Form responses 1'!$A$2:$A1000 &lt;= DATE(2024, 8, 31)))
+ SUMPRODUCT(('Form responses 1'!$C$2:$C1000 = A96) * ('Form responses 1'!$A$2:$A1000 &lt;= DATE(2024, 8, 31)))
+ SUMPRODUCT(('Form responses 1'!$D$2:$D1000 = A96) * ('Form responses 1'!$A$2:$A1000 &lt;= DATE(2024, 8, 31)))
+ SUMPRODUCT(('Form responses 1'!$E$2:$E1000 = A96) * ('Form responses 1'!$A$2:$A1000 &lt;= DATE(2024, 8, 31)))
+ SUMPRODUCT(('Form responses 1'!$F$2:$F1000 = A96) * ('Form responses 1'!$A$2:$A1000 &lt;= DATE(2024, 8, 31)))
+ SUMPRODUCT(('Form responses 1'!$G$2:$G1000 = A96) * ('Form responses 1'!$A$2:$A1000 &lt;= DATE(2024, 8, 31)))), 2), "-")
</f>
        <v>-</v>
      </c>
      <c r="K96" s="2" t="str">
        <f>IFERROR(ROUND(Data!B87/(SUMPRODUCT(('Form responses 1'!$B$2:$B1000 = A96) * ('Form responses 1'!$A$2:$A1000 &lt;= DATE(2024, 9, 30)))
+ SUMPRODUCT(('Form responses 1'!$C$2:$C1000 = A96) * ('Form responses 1'!$A$2:$A1000 &lt;= DATE(2024, 9, 30)))
+ SUMPRODUCT(('Form responses 1'!$D$2:$D1000 = A96) * ('Form responses 1'!$A$2:$A1000 &lt;= DATE(2024, 9, 30)))
+ SUMPRODUCT(('Form responses 1'!$E$2:$E1000 = A96) * ('Form responses 1'!$A$2:$A1000 &lt;= DATE(2024, 9, 30)))
+ SUMPRODUCT(('Form responses 1'!$F$2:$F1000 = A96) * ('Form responses 1'!$A$2:$A1000 &lt;= DATE(2024, 9, 30)))
+ SUMPRODUCT(('Form responses 1'!$G$2:$G1000 = A96) * ('Form responses 1'!$A$2:$A1000 &lt;= DATE(2024, 9, 30)))), 2), "-")
</f>
        <v>-</v>
      </c>
      <c r="L96" s="2" t="str">
        <f>IFERROR(ROUND(Data!B87/(SUMPRODUCT(('Form responses 1'!$B$2:$B1000 = A96) * ('Form responses 1'!$A$2:$A1000 &lt;= DATE(2024, 10, 31)))
+ SUMPRODUCT(('Form responses 1'!$C$2:$C1000 = A96) * ('Form responses 1'!$A$2:$A1000 &lt;= DATE(2024, 10, 31)))
+ SUMPRODUCT(('Form responses 1'!$D$2:$D1000 = A96) * ('Form responses 1'!$A$2:$A1000 &lt;= DATE(2024, 10, 31)))
+ SUMPRODUCT(('Form responses 1'!$E$2:$E1000 = A96) * ('Form responses 1'!$A$2:$A1000 &lt;= DATE(2024, 10, 31)))
+ SUMPRODUCT(('Form responses 1'!$F$2:$F1000 = A96) * ('Form responses 1'!$A$2:$A1000 &lt;= DATE(2024, 10, 31)))
+ SUMPRODUCT(('Form responses 1'!$G$2:$G1000 = A96) * ('Form responses 1'!$A$2:$A1000 &lt;= DATE(2024, 10, 31)))), 2), "-")
</f>
        <v>-</v>
      </c>
      <c r="M96" s="2" t="str">
        <f>IFERROR(ROUND(Data!B87/(SUMPRODUCT(('Form responses 1'!$B$2:$B1000 = A96) * ('Form responses 1'!$A$2:$A1000 &lt;= DATE(2024, 11, 30)))
+ SUMPRODUCT(('Form responses 1'!$C$2:$C1000 = A96) * ('Form responses 1'!$A$2:$A1000 &lt;= DATE(2024, 11, 30)))
+ SUMPRODUCT(('Form responses 1'!$D$2:$D1000 = A96) * ('Form responses 1'!$A$2:$A1000 &lt;= DATE(2024, 11, 30)))
+ SUMPRODUCT(('Form responses 1'!$E$2:$E1000 = A96) * ('Form responses 1'!$A$2:$A1000 &lt;= DATE(2024, 11, 30)))
+ SUMPRODUCT(('Form responses 1'!$F$2:$F1000 = A96) * ('Form responses 1'!$A$2:$A1000 &lt;= DATE(2024, 11, 30)))
+ SUMPRODUCT(('Form responses 1'!$G$2:$G1000 = A96) * ('Form responses 1'!$A$2:$A1000 &lt;= DATE(2024, 11, 30)))), 2), "-")
</f>
        <v>-</v>
      </c>
      <c r="N96" s="2" t="str">
        <f>IFERROR(ROUND(Data!B87/(SUMPRODUCT(('Form responses 1'!$B$2:$B1000 = A96) * ('Form responses 1'!$A$2:$A1000 &lt;= DATE(2024, 12, 31)))
+ SUMPRODUCT(('Form responses 1'!$C$2:$C1000 = A96) * ('Form responses 1'!$A$2:$A1000 &lt;= DATE(2024, 12, 31)))
+ SUMPRODUCT(('Form responses 1'!$D$2:$D1000 = A96) * ('Form responses 1'!$A$2:$A1000 &lt;= DATE(2024, 12, 31)))
+ SUMPRODUCT(('Form responses 1'!$E$2:$E1000 = A96) * ('Form responses 1'!$A$2:$A1000 &lt;= DATE(2024, 12, 31)))
+ SUMPRODUCT(('Form responses 1'!$F$2:$F1000 = A96) * ('Form responses 1'!$A$2:$A1000 &lt;= DATE(2024, 12, 31)))
+ SUMPRODUCT(('Form responses 1'!$G$2:$G1000 = A96) * ('Form responses 1'!$A$2:$A1000 &lt;= DATE(2024, 12, 31)))), 2), "-")
</f>
        <v>-</v>
      </c>
      <c r="O96" s="2" t="str">
        <f>IFERROR(ROUND(Data!B87/(SUMPRODUCT(('Form responses 1'!$B$2:$B1000 = A96) * ('Form responses 1'!$A$2:$A1000 &lt;= DATE(2025, 1, 31)))
+ SUMPRODUCT(('Form responses 1'!$C$2:$C1000 = A96) * ('Form responses 1'!$A$2:$A1000 &lt;= DATE(2025, 1, 31)))
+ SUMPRODUCT(('Form responses 1'!$D$2:$D1000 = A96) * ('Form responses 1'!$A$2:$A1000 &lt;= DATE(2025, 1, 31)))
+ SUMPRODUCT(('Form responses 1'!$E$2:$E1000 = A96) * ('Form responses 1'!$A$2:$A1000 &lt;= DATE(2025, 1, 31)))
+ SUMPRODUCT(('Form responses 1'!$F$2:$F1000 = A96) * ('Form responses 1'!$A$2:$A1000 &lt;= DATE(2025, 1, 31)))
+ SUMPRODUCT(('Form responses 1'!$G$2:$G1000 = A96) * ('Form responses 1'!$A$2:$A1000 &lt;= DATE(2025, 1, 31)))), 2), "-")
</f>
        <v>-</v>
      </c>
      <c r="P96" s="2" t="str">
        <f>IFERROR(ROUND(Data!B87/(SUMPRODUCT(('Form responses 1'!$B$2:$B1000 = A96) * ('Form responses 1'!$A$2:$A1000 &lt;= DATE(2025, 2, 28)))
+ SUMPRODUCT(('Form responses 1'!$C$2:$C1000 = A96) * ('Form responses 1'!$A$2:$A1000 &lt;= DATE(2025, 2, 28)))
+ SUMPRODUCT(('Form responses 1'!$D$2:$D1000 = A96) * ('Form responses 1'!$A$2:$A1000 &lt;= DATE(2025, 2, 28)))
+ SUMPRODUCT(('Form responses 1'!$E$2:$E1000 = A96) * ('Form responses 1'!$A$2:$A1000 &lt;= DATE(2025, 2, 28)))
+ SUMPRODUCT(('Form responses 1'!$F$2:$F1000 = A96) * ('Form responses 1'!$A$2:$A1000 &lt;= DATE(2025, 2, 28)))
+ SUMPRODUCT(('Form responses 1'!$G$2:$G1000 = A96) * ('Form responses 1'!$A$2:$A1000 &lt;= DATE(2025, 2, 28)))), 2), "-")
</f>
        <v>-</v>
      </c>
      <c r="Q96" s="2" t="str">
        <f>IFERROR(ROUND(Data!B87/(SUMPRODUCT(('Form responses 1'!$B$2:$B1000 = A96) * ('Form responses 1'!$A$2:$A1000 &lt;= DATE(2025, 3, 31)))
+ SUMPRODUCT(('Form responses 1'!$C$2:$C1000 = A96) * ('Form responses 1'!$A$2:$A1000 &lt;= DATE(2025, 3, 31)))
+ SUMPRODUCT(('Form responses 1'!$D$2:$D1000 = A96) * ('Form responses 1'!$A$2:$A1000 &lt;= DATE(2025, 3, 31)))
+ SUMPRODUCT(('Form responses 1'!$E$2:$E1000 = A96) * ('Form responses 1'!$A$2:$A1000 &lt;= DATE(2025, 3, 31)))
+ SUMPRODUCT(('Form responses 1'!$F$2:$F1000 = A96) * ('Form responses 1'!$A$2:$A1000 &lt;= DATE(2025, 3, 31)))
+ SUMPRODUCT(('Form responses 1'!$G$2:$G1000 = A96) * ('Form responses 1'!$A$2:$A1000 &lt;= DATE(2025, 3, 31)))),2),"-")</f>
        <v>-</v>
      </c>
      <c r="R96" s="2" t="str">
        <f>IFERROR(ROUND(Data!B87/(SUMPRODUCT(('Form responses 1'!$B$2:$B1000 = A96) * ('Form responses 1'!$A$2:$A1000 &lt;= DATE(2025, 4, 30)))
+ SUMPRODUCT(('Form responses 1'!$C$2:$C1000 = A96) * ('Form responses 1'!$A$2:$A1000 &lt;= DATE(2025, 4, 30)))
+ SUMPRODUCT(('Form responses 1'!$D$2:$D1000 = A96) * ('Form responses 1'!$A$2:$A1000 &lt;= DATE(2025, 4, 30)))
+ SUMPRODUCT(('Form responses 1'!$E$2:$E1000 = A96) * ('Form responses 1'!$A$2:$A1000 &lt;= DATE(2025, 4, 30)))
+ SUMPRODUCT(('Form responses 1'!$F$2:$F1000 = A96) * ('Form responses 1'!$A$2:$A1000 &lt;= DATE(2025, 4, 30)))
+ SUMPRODUCT(('Form responses 1'!$G$2:$G1000 = A96) * ('Form responses 1'!$A$2:$A1000 &lt;= DATE(2025, 4, 30)))), 2), "-")
</f>
        <v>-</v>
      </c>
      <c r="S96" s="2" t="str">
        <f>IFERROR(ROUND(Data!B87/(SUMPRODUCT(('Form responses 1'!$B$2:$B1000 = A96) * ('Form responses 1'!$A$2:$A1000 &lt;= DATE(2025, 5, 31)))
+ SUMPRODUCT(('Form responses 1'!$C$2:$C1000 = A96) * ('Form responses 1'!$A$2:$A1000 &lt;= DATE(2025, 5, 31)))
+ SUMPRODUCT(('Form responses 1'!$D$2:$D1000 = A96) * ('Form responses 1'!$A$2:$A1000 &lt;= DATE(2025, 5, 31)))
+ SUMPRODUCT(('Form responses 1'!$E$2:$E1000 = A96) * ('Form responses 1'!$A$2:$A1000 &lt;= DATE(2025, 5, 31)))
+ SUMPRODUCT(('Form responses 1'!$F$2:$F1000 = A96) * ('Form responses 1'!$A$2:$A1000 &lt;= DATE(2025, 5, 31)))
+ SUMPRODUCT(('Form responses 1'!$G$2:$G1000 = A96) * ('Form responses 1'!$A$2:$A1000 &lt;= DATE(2025, 5, 31)))), 2), "-")
</f>
        <v>-</v>
      </c>
      <c r="T96" s="2" t="str">
        <f>IFERROR(ROUND(Data!B87/(SUMPRODUCT(('Form responses 1'!$B$2:$B1000 = A96) * ('Form responses 1'!$A$2:$A1000 &lt;= DATE(2025, 6, 30)))
+ SUMPRODUCT(('Form responses 1'!$C$2:$C1000 = A96) * ('Form responses 1'!$A$2:$A1000 &lt;= DATE(2025, 6, 30)))
+ SUMPRODUCT(('Form responses 1'!$D$2:$D1000 = A96) * ('Form responses 1'!$A$2:$A1000 &lt;= DATE(2025, 6, 30)))
+ SUMPRODUCT(('Form responses 1'!$E$2:$E1000 = A96) * ('Form responses 1'!$A$2:$A1000 &lt;= DATE(2025, 6, 30)))
+ SUMPRODUCT(('Form responses 1'!$F$2:$F1000 = A96) * ('Form responses 1'!$A$2:$A1000 &lt;= DATE(2025, 6, 30)))
+ SUMPRODUCT(('Form responses 1'!$G$2:$G1000 = A96) * ('Form responses 1'!$A$2:$A1000 &lt;= DATE(2025, 6, 30)))), 2), "-")
</f>
        <v>-</v>
      </c>
      <c r="U96" s="2" t="str">
        <f>IFERROR(ROUND(Data!B87/(SUMPRODUCT(('Form responses 1'!$B$2:$B1000 = A96) * ('Form responses 1'!$A$2:$A1000 &lt;= DATE(2025, 7, 31)))
+ SUMPRODUCT(('Form responses 1'!$C$2:$C1000 = A96) * ('Form responses 1'!$A$2:$A1000 &lt;= DATE(2025, 7, 31)))
+ SUMPRODUCT(('Form responses 1'!$D$2:$D1000 = A96) * ('Form responses 1'!$A$2:$A1000 &lt;= DATE(2025, 7, 31)))
+ SUMPRODUCT(('Form responses 1'!$E$2:$E1000 = A96) * ('Form responses 1'!$A$2:$A1000 &lt;= DATE(2025, 7, 31)))
+ SUMPRODUCT(('Form responses 1'!$F$2:$F1000 = A96) * ('Form responses 1'!$A$2:$A1000 &lt;= DATE(2025, 7, 31)))
+ SUMPRODUCT(('Form responses 1'!$G$2:$G1000 = A96) * ('Form responses 1'!$A$2:$A1000 &lt;= DATE(2025, 7, 31)))), 2), "-")
</f>
        <v>-</v>
      </c>
      <c r="V96" s="2">
        <f>IFERROR(ROUND(Data!B87/(SUMPRODUCT(('Form responses 1'!$B$2:$B1000 = A96) * ('Form responses 1'!$A$2:$A1000 &lt;= DATE(2025, 8, 31)))
+ SUMPRODUCT(('Form responses 1'!$C$2:$C1000 = A96) * ('Form responses 1'!$A$2:$A1000 &lt;= DATE(2025, 8, 31)))
+ SUMPRODUCT(('Form responses 1'!$D$2:$D1000 = A96) * ('Form responses 1'!$A$2:$A1000 &lt;= DATE(2025, 8, 31)))
+ SUMPRODUCT(('Form responses 1'!$E$2:$E1000 = A96) * ('Form responses 1'!$A$2:$A1000 &lt;= DATE(2025, 8, 31)))
+ SUMPRODUCT(('Form responses 1'!$F$2:$F1000 = A96) * ('Form responses 1'!$A$2:$A1000 &lt;= DATE(2025, 8, 31)))
+ SUMPRODUCT(('Form responses 1'!$G$2:$G1000 = A96) * ('Form responses 1'!$A$2:$A1000 &lt;= DATE(2025, 8, 31)))), 2), "-")
</f>
        <v>87.48</v>
      </c>
      <c r="W96" s="2">
        <f>IFERROR(ROUND(Data!B87/(SUMPRODUCT(('Form responses 1'!$B$2:$B1000 = A96) * ('Form responses 1'!$A$2:$A1000 &lt;= DATE(2025, 9, 30)))
+ SUMPRODUCT(('Form responses 1'!$C$2:$C1000 = A96) * ('Form responses 1'!$A$2:$A1000 &lt;= DATE(2025, 9, 30)))
+ SUMPRODUCT(('Form responses 1'!$D$2:$D1000 = A96) * ('Form responses 1'!$A$2:$A1000 &lt;= DATE(2025, 9, 30)))
+ SUMPRODUCT(('Form responses 1'!$E$2:$E1000 = A96) * ('Form responses 1'!$A$2:$A1000 &lt;= DATE(2025, 9, 30)))
+ SUMPRODUCT(('Form responses 1'!$F$2:$F1000 = A96) * ('Form responses 1'!$A$2:$A1000 &lt;= DATE(2025, 9, 30)))
+ SUMPRODUCT(('Form responses 1'!$G$2:$G1000 = A96) * ('Form responses 1'!$A$2:$A1000 &lt;= DATE(2025, 9, 30)))), 2), "-")
</f>
        <v>43.74</v>
      </c>
      <c r="X96" s="2">
        <f>IFERROR(ROUND(Data!B87/(SUMPRODUCT(('Form responses 1'!$B$2:$B1000 = A96) * ('Form responses 1'!$A$2:$A1000 &lt;= DATE(2025, 10, 31)))
+ SUMPRODUCT(('Form responses 1'!$C$2:$C1000 = A96) * ('Form responses 1'!$A$2:$A1000 &lt;= DATE(2025, 10, 31)))
+ SUMPRODUCT(('Form responses 1'!$D$2:$D1000 = A96) * ('Form responses 1'!$A$2:$A1000 &lt;= DATE(2025, 10, 31)))
+ SUMPRODUCT(('Form responses 1'!$E$2:$E1000 = A96) * ('Form responses 1'!$A$2:$A1000 &lt;= DATE(2025, 10, 31)))
+ SUMPRODUCT(('Form responses 1'!$F$2:$F1000 = A96) * ('Form responses 1'!$A$2:$A1000 &lt;= DATE(2025, 10, 31)))
+ SUMPRODUCT(('Form responses 1'!$G$2:$G1000 = A96) * ('Form responses 1'!$A$2:$A1000 &lt;= DATE(2025, 10, 31)))), 2), "-")
</f>
        <v>43.74</v>
      </c>
      <c r="Y96" s="2">
        <f>IFERROR(ROUND(Data!B87/(SUMPRODUCT(('Form responses 1'!$B$2:$B1000 = A96) * ('Form responses 1'!$A$2:$A1000 &lt;= DATE(2025, 11, 30)))
+ SUMPRODUCT(('Form responses 1'!$C$2:$C1000 = A96) * ('Form responses 1'!$A$2:$A1000 &lt;= DATE(2025, 11, 30)))
+ SUMPRODUCT(('Form responses 1'!$D$2:$D1000 = A96) * ('Form responses 1'!$A$2:$A1000 &lt;= DATE(2025, 11, 30)))
+ SUMPRODUCT(('Form responses 1'!$E$2:$E1000 = A96) * ('Form responses 1'!$A$2:$A1000 &lt;= DATE(2025, 11, 30)))
+ SUMPRODUCT(('Form responses 1'!$F$2:$F1000 = A96) * ('Form responses 1'!$A$2:$A1000 &lt;= DATE(2025, 11, 30)))
+ SUMPRODUCT(('Form responses 1'!$G$2:$G1000 = A96) * ('Form responses 1'!$A$2:$A1000 &lt;= DATE(2025, 11, 30)))), 2), "-")
</f>
        <v>43.74</v>
      </c>
      <c r="Z96" s="2">
        <f>IFERROR(ROUND(Data!B87/(SUMPRODUCT(('Form responses 1'!$B$2:$B1000 = A96) * ('Form responses 1'!$A$2:$A1000 &lt;= DATE(2025, 12, 31)))
+ SUMPRODUCT(('Form responses 1'!$C$2:$C1000 = A96) * ('Form responses 1'!$A$2:$A1000 &lt;= DATE(2025, 12, 31)))
+ SUMPRODUCT(('Form responses 1'!$D$2:$D1000 = A96) * ('Form responses 1'!$A$2:$A1000 &lt;= DATE(2025, 12, 31)))
+ SUMPRODUCT(('Form responses 1'!$E$2:$E1000 = A96) * ('Form responses 1'!$A$2:$A1000 &lt;= DATE(2025, 12, 31)))
+ SUMPRODUCT(('Form responses 1'!$F$2:$F1000 = A96) * ('Form responses 1'!$A$2:$A1000 &lt;= DATE(2025, 12, 31)))
+ SUMPRODUCT(('Form responses 1'!$G$2:$G1000 = A96) * ('Form responses 1'!$A$2:$A1000 &lt;= DATE(2025, 12, 31)))), 2), "-")
</f>
        <v>43.74</v>
      </c>
      <c r="AA96" s="2">
        <f>IFERROR(ROUND(Data!$B96/(
  SUMPRODUCT(('Form responses 1'!$B$2:$B1000=$A96)*('Form responses 1'!$A$2:$A1000&lt;=EOMONTH(DATEVALUE("1 "&amp;AA$1),0)))+
  SUMPRODUCT(('Form responses 1'!$C$2:$C1000=$A96)*('Form responses 1'!$A$2:$A1000&lt;=EOMONTH(DATEVALUE("1 "&amp;AA$1),0)))+
  SUMPRODUCT(('Form responses 1'!$D$2:$D1000=$A96)*('Form responses 1'!$A$2:$A1000&lt;=EOMONTH(DATEVALUE("1 "&amp;AA$1),0)))+
  SUMPRODUCT(('Form responses 1'!$E$2:$E1000=$A96)*('Form responses 1'!$A$2:$A1000&lt;=EOMONTH(DATEVALUE("1 "&amp;AA$1),0)))+
  SUMPRODUCT(('Form responses 1'!$F$2:$F1000=$A96)*('Form responses 1'!$A$2:$A1000&lt;=EOMONTH(DATEVALUE("1 "&amp;AA$1),0)))+
  SUMPRODUCT(('Form responses 1'!$G$2:$G1000=$A96)*('Form responses 1'!$A$2:$A1000&lt;=EOMONTH(DATEVALUE("1 "&amp;AA$1),0)))
),2),"-")</f>
        <v>3.12</v>
      </c>
      <c r="AB96" s="2">
        <f>IFERROR(ROUND(Data!$B96/(
  SUMPRODUCT(('Form responses 1'!$B$2:$B1000=$A96)*('Form responses 1'!$A$2:$A1000&lt;=EOMONTH(DATEVALUE("1 "&amp;AB$1),0)))+
  SUMPRODUCT(('Form responses 1'!$C$2:$C1000=$A96)*('Form responses 1'!$A$2:$A1000&lt;=EOMONTH(DATEVALUE("1 "&amp;AB$1),0)))+
  SUMPRODUCT(('Form responses 1'!$D$2:$D1000=$A96)*('Form responses 1'!$A$2:$A1000&lt;=EOMONTH(DATEVALUE("1 "&amp;AB$1),0)))+
  SUMPRODUCT(('Form responses 1'!$E$2:$E1000=$A96)*('Form responses 1'!$A$2:$A1000&lt;=EOMONTH(DATEVALUE("1 "&amp;AB$1),0)))+
  SUMPRODUCT(('Form responses 1'!$F$2:$F1000=$A96)*('Form responses 1'!$A$2:$A1000&lt;=EOMONTH(DATEVALUE("1 "&amp;AB$1),0)))+
  SUMPRODUCT(('Form responses 1'!$G$2:$G1000=$A96)*('Form responses 1'!$A$2:$A1000&lt;=EOMONTH(DATEVALUE("1 "&amp;AB$1),0)))
),2),"-")</f>
        <v>3.12</v>
      </c>
      <c r="AC96" s="2">
        <f>IFERROR(ROUND(Data!$B96/(
  SUMPRODUCT(('Form responses 1'!$B$2:$B1000=$A96)*('Form responses 1'!$A$2:$A1000&lt;=EOMONTH(DATEVALUE("1 "&amp;AC$1),0)))+
  SUMPRODUCT(('Form responses 1'!$C$2:$C1000=$A96)*('Form responses 1'!$A$2:$A1000&lt;=EOMONTH(DATEVALUE("1 "&amp;AC$1),0)))+
  SUMPRODUCT(('Form responses 1'!$D$2:$D1000=$A96)*('Form responses 1'!$A$2:$A1000&lt;=EOMONTH(DATEVALUE("1 "&amp;AC$1),0)))+
  SUMPRODUCT(('Form responses 1'!$E$2:$E1000=$A96)*('Form responses 1'!$A$2:$A1000&lt;=EOMONTH(DATEVALUE("1 "&amp;AC$1),0)))+
  SUMPRODUCT(('Form responses 1'!$F$2:$F1000=$A96)*('Form responses 1'!$A$2:$A1000&lt;=EOMONTH(DATEVALUE("1 "&amp;AC$1),0)))+
  SUMPRODUCT(('Form responses 1'!$G$2:$G1000=$A96)*('Form responses 1'!$A$2:$A1000&lt;=EOMONTH(DATEVALUE("1 "&amp;AC$1),0)))
),2),"-")</f>
        <v>3.12</v>
      </c>
      <c r="AD96" s="2" t="str">
        <f>IFERROR(ROUND(Data!$B96/(
  SUMPRODUCT(('Form responses 1'!$B$2:$B1000=$A96)*('Form responses 1'!$A$2:$A1000&lt;=EOMONTH(DATEVALUE("1 "&amp;AD$1),0)))+
  SUMPRODUCT(('Form responses 1'!$C$2:$C1000=$A96)*('Form responses 1'!$A$2:$A1000&lt;=EOMONTH(DATEVALUE("1 "&amp;AD$1),0)))+
  SUMPRODUCT(('Form responses 1'!$D$2:$D1000=$A96)*('Form responses 1'!$A$2:$A1000&lt;=EOMONTH(DATEVALUE("1 "&amp;AD$1),0)))+
  SUMPRODUCT(('Form responses 1'!$E$2:$E1000=$A96)*('Form responses 1'!$A$2:$A1000&lt;=EOMONTH(DATEVALUE("1 "&amp;AD$1),0)))+
  SUMPRODUCT(('Form responses 1'!$F$2:$F1000=$A96)*('Form responses 1'!$A$2:$A1000&lt;=EOMONTH(DATEVALUE("1 "&amp;AD$1),0)))+
  SUMPRODUCT(('Form responses 1'!$G$2:$G1000=$A96)*('Form responses 1'!$A$2:$A1000&lt;=EOMONTH(DATEVALUE("1 "&amp;AD$1),0)))
),2),"-")</f>
        <v>-</v>
      </c>
      <c r="AE96" s="2" t="str">
        <f>IFERROR(ROUND(Data!$B96/(
  SUMPRODUCT(('Form responses 1'!$B$2:$B1000=$A96)*('Form responses 1'!$A$2:$A1000&lt;=EOMONTH(DATEVALUE("1 "&amp;AE$1),0)))+
  SUMPRODUCT(('Form responses 1'!$C$2:$C1000=$A96)*('Form responses 1'!$A$2:$A1000&lt;=EOMONTH(DATEVALUE("1 "&amp;AE$1),0)))+
  SUMPRODUCT(('Form responses 1'!$D$2:$D1000=$A96)*('Form responses 1'!$A$2:$A1000&lt;=EOMONTH(DATEVALUE("1 "&amp;AE$1),0)))+
  SUMPRODUCT(('Form responses 1'!$E$2:$E1000=$A96)*('Form responses 1'!$A$2:$A1000&lt;=EOMONTH(DATEVALUE("1 "&amp;AE$1),0)))+
  SUMPRODUCT(('Form responses 1'!$F$2:$F1000=$A96)*('Form responses 1'!$A$2:$A1000&lt;=EOMONTH(DATEVALUE("1 "&amp;AE$1),0)))+
  SUMPRODUCT(('Form responses 1'!$G$2:$G1000=$A96)*('Form responses 1'!$A$2:$A1000&lt;=EOMONTH(DATEVALUE("1 "&amp;AE$1),0)))
),2),"-")</f>
        <v>-</v>
      </c>
      <c r="AF96" s="2" t="str">
        <f>IFERROR(ROUND(Data!$B96/(
  SUMPRODUCT(('Form responses 1'!$B$2:$B1000=$A96)*('Form responses 1'!$A$2:$A1000&lt;=EOMONTH(DATEVALUE("1 "&amp;AF$1),0)))+
  SUMPRODUCT(('Form responses 1'!$C$2:$C1000=$A96)*('Form responses 1'!$A$2:$A1000&lt;=EOMONTH(DATEVALUE("1 "&amp;AF$1),0)))+
  SUMPRODUCT(('Form responses 1'!$D$2:$D1000=$A96)*('Form responses 1'!$A$2:$A1000&lt;=EOMONTH(DATEVALUE("1 "&amp;AF$1),0)))+
  SUMPRODUCT(('Form responses 1'!$E$2:$E1000=$A96)*('Form responses 1'!$A$2:$A1000&lt;=EOMONTH(DATEVALUE("1 "&amp;AF$1),0)))+
  SUMPRODUCT(('Form responses 1'!$F$2:$F1000=$A96)*('Form responses 1'!$A$2:$A1000&lt;=EOMONTH(DATEVALUE("1 "&amp;AF$1),0)))+
  SUMPRODUCT(('Form responses 1'!$G$2:$G1000=$A96)*('Form responses 1'!$A$2:$A1000&lt;=EOMONTH(DATEVALUE("1 "&amp;AF$1),0)))
),2),"-")</f>
        <v>-</v>
      </c>
      <c r="AG96" s="2" t="str">
        <f>IFERROR(ROUND(Data!$B96/(
  SUMPRODUCT(('Form responses 1'!$B$2:$B1000=$A96)*('Form responses 1'!$A$2:$A1000&lt;=EOMONTH(DATEVALUE("1 "&amp;AG$1),0)))+
  SUMPRODUCT(('Form responses 1'!$C$2:$C1000=$A96)*('Form responses 1'!$A$2:$A1000&lt;=EOMONTH(DATEVALUE("1 "&amp;AG$1),0)))+
  SUMPRODUCT(('Form responses 1'!$D$2:$D1000=$A96)*('Form responses 1'!$A$2:$A1000&lt;=EOMONTH(DATEVALUE("1 "&amp;AG$1),0)))+
  SUMPRODUCT(('Form responses 1'!$E$2:$E1000=$A96)*('Form responses 1'!$A$2:$A1000&lt;=EOMONTH(DATEVALUE("1 "&amp;AG$1),0)))+
  SUMPRODUCT(('Form responses 1'!$F$2:$F1000=$A96)*('Form responses 1'!$A$2:$A1000&lt;=EOMONTH(DATEVALUE("1 "&amp;AG$1),0)))+
  SUMPRODUCT(('Form responses 1'!$G$2:$G1000=$A96)*('Form responses 1'!$A$2:$A1000&lt;=EOMONTH(DATEVALUE("1 "&amp;AG$1),0)))
),2),"-")</f>
        <v>-</v>
      </c>
      <c r="AH96" s="2" t="str">
        <f>IFERROR(ROUND(Data!$B96/(
  SUMPRODUCT(('Form responses 1'!$B$2:$B1000=$A96)*('Form responses 1'!$A$2:$A1000&lt;=EOMONTH(DATEVALUE("1 "&amp;AH$1),0)))+
  SUMPRODUCT(('Form responses 1'!$C$2:$C1000=$A96)*('Form responses 1'!$A$2:$A1000&lt;=EOMONTH(DATEVALUE("1 "&amp;AH$1),0)))+
  SUMPRODUCT(('Form responses 1'!$D$2:$D1000=$A96)*('Form responses 1'!$A$2:$A1000&lt;=EOMONTH(DATEVALUE("1 "&amp;AH$1),0)))+
  SUMPRODUCT(('Form responses 1'!$E$2:$E1000=$A96)*('Form responses 1'!$A$2:$A1000&lt;=EOMONTH(DATEVALUE("1 "&amp;AH$1),0)))+
  SUMPRODUCT(('Form responses 1'!$F$2:$F1000=$A96)*('Form responses 1'!$A$2:$A1000&lt;=EOMONTH(DATEVALUE("1 "&amp;AH$1),0)))+
  SUMPRODUCT(('Form responses 1'!$G$2:$G1000=$A96)*('Form responses 1'!$A$2:$A1000&lt;=EOMONTH(DATEVALUE("1 "&amp;AH$1),0)))
),2),"-")</f>
        <v>-</v>
      </c>
      <c r="AI96" s="2" t="str">
        <f>IFERROR(ROUND(Data!$B96/(
  SUMPRODUCT(('Form responses 1'!$B$2:$B1000=$A96)*('Form responses 1'!$A$2:$A1000&lt;=EOMONTH(DATEVALUE("1 "&amp;AI$1),0)))+
  SUMPRODUCT(('Form responses 1'!$C$2:$C1000=$A96)*('Form responses 1'!$A$2:$A1000&lt;=EOMONTH(DATEVALUE("1 "&amp;AI$1),0)))+
  SUMPRODUCT(('Form responses 1'!$D$2:$D1000=$A96)*('Form responses 1'!$A$2:$A1000&lt;=EOMONTH(DATEVALUE("1 "&amp;AI$1),0)))+
  SUMPRODUCT(('Form responses 1'!$E$2:$E1000=$A96)*('Form responses 1'!$A$2:$A1000&lt;=EOMONTH(DATEVALUE("1 "&amp;AI$1),0)))+
  SUMPRODUCT(('Form responses 1'!$F$2:$F1000=$A96)*('Form responses 1'!$A$2:$A1000&lt;=EOMONTH(DATEVALUE("1 "&amp;AI$1),0)))+
  SUMPRODUCT(('Form responses 1'!$G$2:$G1000=$A96)*('Form responses 1'!$A$2:$A1000&lt;=EOMONTH(DATEVALUE("1 "&amp;AI$1),0)))
),2),"-")</f>
        <v>-</v>
      </c>
      <c r="AJ96" s="2" t="str">
        <f>IFERROR(ROUND(Data!$B96/(
  SUMPRODUCT(('Form responses 1'!$B$2:$B1000=$A96)*('Form responses 1'!$A$2:$A1000&lt;=EOMONTH(DATEVALUE("1 "&amp;AJ$1),0)))+
  SUMPRODUCT(('Form responses 1'!$C$2:$C1000=$A96)*('Form responses 1'!$A$2:$A1000&lt;=EOMONTH(DATEVALUE("1 "&amp;AJ$1),0)))+
  SUMPRODUCT(('Form responses 1'!$D$2:$D1000=$A96)*('Form responses 1'!$A$2:$A1000&lt;=EOMONTH(DATEVALUE("1 "&amp;AJ$1),0)))+
  SUMPRODUCT(('Form responses 1'!$E$2:$E1000=$A96)*('Form responses 1'!$A$2:$A1000&lt;=EOMONTH(DATEVALUE("1 "&amp;AJ$1),0)))+
  SUMPRODUCT(('Form responses 1'!$F$2:$F1000=$A96)*('Form responses 1'!$A$2:$A1000&lt;=EOMONTH(DATEVALUE("1 "&amp;AJ$1),0)))+
  SUMPRODUCT(('Form responses 1'!$G$2:$G1000=$A96)*('Form responses 1'!$A$2:$A1000&lt;=EOMONTH(DATEVALUE("1 "&amp;AJ$1),0)))
),2),"-")</f>
        <v>-</v>
      </c>
      <c r="AK96" s="2" t="str">
        <f>IFERROR(ROUND(Data!$B96/(
  SUMPRODUCT(('Form responses 1'!$B$2:$B1000=$A96)*('Form responses 1'!$A$2:$A1000&lt;=EOMONTH(DATEVALUE("1 "&amp;AK$1),0)))+
  SUMPRODUCT(('Form responses 1'!$C$2:$C1000=$A96)*('Form responses 1'!$A$2:$A1000&lt;=EOMONTH(DATEVALUE("1 "&amp;AK$1),0)))+
  SUMPRODUCT(('Form responses 1'!$D$2:$D1000=$A96)*('Form responses 1'!$A$2:$A1000&lt;=EOMONTH(DATEVALUE("1 "&amp;AK$1),0)))+
  SUMPRODUCT(('Form responses 1'!$E$2:$E1000=$A96)*('Form responses 1'!$A$2:$A1000&lt;=EOMONTH(DATEVALUE("1 "&amp;AK$1),0)))+
  SUMPRODUCT(('Form responses 1'!$F$2:$F1000=$A96)*('Form responses 1'!$A$2:$A1000&lt;=EOMONTH(DATEVALUE("1 "&amp;AK$1),0)))+
  SUMPRODUCT(('Form responses 1'!$G$2:$G1000=$A96)*('Form responses 1'!$A$2:$A1000&lt;=EOMONTH(DATEVALUE("1 "&amp;AK$1),0)))
),2),"-")</f>
        <v>-</v>
      </c>
      <c r="AL96" s="2" t="str">
        <f>IFERROR(ROUND(Data!$B96/(
  SUMPRODUCT(('Form responses 1'!$B$2:$B1000=$A96)*('Form responses 1'!$A$2:$A1000&lt;=EOMONTH(DATEVALUE("1 "&amp;AL$1),0)))+
  SUMPRODUCT(('Form responses 1'!$C$2:$C1000=$A96)*('Form responses 1'!$A$2:$A1000&lt;=EOMONTH(DATEVALUE("1 "&amp;AL$1),0)))+
  SUMPRODUCT(('Form responses 1'!$D$2:$D1000=$A96)*('Form responses 1'!$A$2:$A1000&lt;=EOMONTH(DATEVALUE("1 "&amp;AL$1),0)))+
  SUMPRODUCT(('Form responses 1'!$E$2:$E1000=$A96)*('Form responses 1'!$A$2:$A1000&lt;=EOMONTH(DATEVALUE("1 "&amp;AL$1),0)))+
  SUMPRODUCT(('Form responses 1'!$F$2:$F1000=$A96)*('Form responses 1'!$A$2:$A1000&lt;=EOMONTH(DATEVALUE("1 "&amp;AL$1),0)))+
  SUMPRODUCT(('Form responses 1'!$G$2:$G1000=$A96)*('Form responses 1'!$A$2:$A1000&lt;=EOMONTH(DATEVALUE("1 "&amp;AL$1),0)))
),2),"-")</f>
        <v>-</v>
      </c>
    </row>
    <row r="97">
      <c r="A97" s="3" t="str">
        <f>IFERROR(__xludf.DUMMYFUNCTION("""COMPUTED_VALUE"""),"Decathlon zwemshirt")</f>
        <v>Decathlon zwemshirt</v>
      </c>
      <c r="C97" s="2" t="str">
        <f>IFERROR(ROUND(Data!B88/(SUMPRODUCT(('Form responses 1'!$B$2:$B1000 = A97) * ('Form responses 1'!$A$2:$A1000 &lt;= DATE(2024, 1, 31)))
+ SUMPRODUCT(('Form responses 1'!$C$2:$C1000 = A97) * ('Form responses 1'!$A$2:$A1000 &lt;= DATE(2024, 1, 31)))
+ SUMPRODUCT(('Form responses 1'!$D$2:$D1000 = A97) * ('Form responses 1'!$A$2:$A1000 &lt;= DATE(2024, 1, 31)))
+ SUMPRODUCT(('Form responses 1'!$E$2:$E1000 = A97) * ('Form responses 1'!$A$2:$A1000 &lt;= DATE(2024, 1, 31)))
+ SUMPRODUCT(('Form responses 1'!$F$2:$F1000 = A97) * ('Form responses 1'!$A$2:$A1000 &lt;= DATE(2024, 1, 31)))
+ SUMPRODUCT(('Form responses 1'!$G$2:$G1000 = A97) * ('Form responses 1'!$A$2:$A1000 &lt;= DATE(2024, 1, 31)))), 2), "-")
</f>
        <v>-</v>
      </c>
      <c r="D97" s="2" t="str">
        <f>IFERROR(ROUND(Data!B88/(SUMPRODUCT(('Form responses 1'!$B$2:$B1000 = A97) * ('Form responses 1'!$A$2:$A1000 &lt;= DATE(2024, 2, 29)))
+ SUMPRODUCT(('Form responses 1'!$C$2:$C1000 = A97) * ('Form responses 1'!$A$2:$A1000 &lt;= DATE(2024, 2, 29)))
+ SUMPRODUCT(('Form responses 1'!$D$2:$D1000 = A97) * ('Form responses 1'!$A$2:$A1000 &lt;= DATE(2024, 2, 29)))
+ SUMPRODUCT(('Form responses 1'!$E$2:$E1000 = A97) * ('Form responses 1'!$A$2:$A1000 &lt;= DATE(2024, 2, 29)))
+ SUMPRODUCT(('Form responses 1'!$F$2:$F1000 = A97) * ('Form responses 1'!$A$2:$A1000 &lt;= DATE(2024, 2, 29)))
+ SUMPRODUCT(('Form responses 1'!$G$2:$G1000 = A97) * ('Form responses 1'!$A$2:$A1000 &lt;= DATE(2024, 2, 29)))), 2), "-")
</f>
        <v>-</v>
      </c>
      <c r="E97" s="2" t="str">
        <f>IFERROR(ROUND(Data!B88/(SUMPRODUCT(('Form responses 1'!$B$2:$B1000 = A97) * ('Form responses 1'!$A$2:$A1000 &lt;= DATE(2024, 3, 31)))
+ SUMPRODUCT(('Form responses 1'!$C$2:$C1000 = A97) * ('Form responses 1'!$A$2:$A1000 &lt;= DATE(2024, 3, 31)))
+ SUMPRODUCT(('Form responses 1'!$D$2:$D1000 = A97) * ('Form responses 1'!$A$2:$A1000 &lt;= DATE(2024, 3, 31)))
+ SUMPRODUCT(('Form responses 1'!$E$2:$E1000 = A97) * ('Form responses 1'!$A$2:$A1000 &lt;= DATE(2024, 3, 31)))
+ SUMPRODUCT(('Form responses 1'!$F$2:$F1000 = A97) * ('Form responses 1'!$A$2:$A1000 &lt;= DATE(2024, 3, 31)))
+ SUMPRODUCT(('Form responses 1'!$G$2:$G1000 = A97) * ('Form responses 1'!$A$2:$A1000 &lt;= DATE(2024, 3, 31)))), 2), "-")
</f>
        <v>-</v>
      </c>
      <c r="F97" s="2" t="str">
        <f>IFERROR(ROUND(Data!B88/(SUMPRODUCT(('Form responses 1'!$B$2:$B1000 = A97) * ('Form responses 1'!$A$2:$A1000 &lt;= DATE(2024, 4, 30)))
+ SUMPRODUCT(('Form responses 1'!$C$2:$C1000 = A97) * ('Form responses 1'!$A$2:$A1000 &lt;= DATE(2024, 4, 30)))
+ SUMPRODUCT(('Form responses 1'!$D$2:$D1000 = A97) * ('Form responses 1'!$A$2:$A1000 &lt;= DATE(2024, 4, 30)))
+ SUMPRODUCT(('Form responses 1'!$E$2:$E1000 = A97) * ('Form responses 1'!$A$2:$A1000 &lt;= DATE(2024, 4, 30)))
+ SUMPRODUCT(('Form responses 1'!$F$2:$F1000 = A97) * ('Form responses 1'!$A$2:$A1000 &lt;= DATE(2024, 4, 30)))
+ SUMPRODUCT(('Form responses 1'!$G$2:$G1000 = A97) * ('Form responses 1'!$A$2:$A1000 &lt;= DATE(2024, 4, 30)))), 2), "-")
</f>
        <v>-</v>
      </c>
      <c r="G97" s="2" t="str">
        <f>IFERROR(ROUND(Data!B88/(SUMPRODUCT(('Form responses 1'!$B$2:$B1000 = A97) * ('Form responses 1'!$A$2:$A1000 &lt;= DATE(2024, 5, 31)))
+ SUMPRODUCT(('Form responses 1'!$C$2:$C1000 = A97) * ('Form responses 1'!$A$2:$A1000 &lt;= DATE(2024, 5, 31)))
+ SUMPRODUCT(('Form responses 1'!$D$2:$D1000 = A97) * ('Form responses 1'!$A$2:$A1000 &lt;= DATE(2024, 5, 31)))
+ SUMPRODUCT(('Form responses 1'!$E$2:$E1000 = A97) * ('Form responses 1'!$A$2:$A1000 &lt;= DATE(2024, 5, 31)))
+ SUMPRODUCT(('Form responses 1'!$F$2:$F1000 = A97) * ('Form responses 1'!$A$2:$A1000 &lt;= DATE(2024, 5, 31)))
+ SUMPRODUCT(('Form responses 1'!$G$2:$G1000 = A97) * ('Form responses 1'!$A$2:$A1000 &lt;= DATE(2024, 5, 31)))), 2), "-")
</f>
        <v>-</v>
      </c>
      <c r="H97" s="2" t="str">
        <f>IFERROR(ROUND(Data!B88/(SUMPRODUCT(('Form responses 1'!$B$2:$B1000 = A97) * ('Form responses 1'!$A$2:$A1000 &lt;= DATE(2024, 6, 30)))
+ SUMPRODUCT(('Form responses 1'!$C$2:$C1000 = A97) * ('Form responses 1'!$A$2:$A1000 &lt;= DATE(2024, 6, 30)))
+ SUMPRODUCT(('Form responses 1'!$D$2:$D1000 = A97) * ('Form responses 1'!$A$2:$A1000 &lt;= DATE(2024, 6, 30)))
+ SUMPRODUCT(('Form responses 1'!$E$2:$E1000 = A97) * ('Form responses 1'!$A$2:$A1000 &lt;= DATE(2024, 6, 30)))
+ SUMPRODUCT(('Form responses 1'!$F$2:$F1000 = A97) * ('Form responses 1'!$A$2:$A1000 &lt;= DATE(2024, 6, 30)))
+ SUMPRODUCT(('Form responses 1'!$G$2:$G1000 = A97) * ('Form responses 1'!$A$2:$A1000 &lt;= DATE(2024, 6, 30)))), 2), "-")
</f>
        <v>-</v>
      </c>
      <c r="I97" s="2" t="str">
        <f>IFERROR(ROUND(Data!B88/(SUMPRODUCT(('Form responses 1'!$B$2:$B1000 = A97) * ('Form responses 1'!$A$2:$A1000 &lt;= DATE(2024, 7, 31)))
+ SUMPRODUCT(('Form responses 1'!$C$2:$C1000 = A97) * ('Form responses 1'!$A$2:$A1000 &lt;= DATE(2024, 7, 31)))
+ SUMPRODUCT(('Form responses 1'!$D$2:$D1000 = A97) * ('Form responses 1'!$A$2:$A1000 &lt;= DATE(2024, 7, 31)))
+ SUMPRODUCT(('Form responses 1'!$E$2:$E1000 = A97) * ('Form responses 1'!$A$2:$A1000 &lt;= DATE(2024, 7, 31)))
+ SUMPRODUCT(('Form responses 1'!$F$2:$F1000 = A97) * ('Form responses 1'!$A$2:$A1000 &lt;= DATE(2024, 7, 31)))
+ SUMPRODUCT(('Form responses 1'!$G$2:$G1000 = A97) * ('Form responses 1'!$A$2:$A1000 &lt;= DATE(2024, 7, 31)))), 2), "-")
</f>
        <v>-</v>
      </c>
      <c r="J97" s="2" t="str">
        <f>IFERROR(ROUND(Data!B88/(SUMPRODUCT(('Form responses 1'!$B$2:$B1000 = A97) * ('Form responses 1'!$A$2:$A1000 &lt;= DATE(2024, 8, 31)))
+ SUMPRODUCT(('Form responses 1'!$C$2:$C1000 = A97) * ('Form responses 1'!$A$2:$A1000 &lt;= DATE(2024, 8, 31)))
+ SUMPRODUCT(('Form responses 1'!$D$2:$D1000 = A97) * ('Form responses 1'!$A$2:$A1000 &lt;= DATE(2024, 8, 31)))
+ SUMPRODUCT(('Form responses 1'!$E$2:$E1000 = A97) * ('Form responses 1'!$A$2:$A1000 &lt;= DATE(2024, 8, 31)))
+ SUMPRODUCT(('Form responses 1'!$F$2:$F1000 = A97) * ('Form responses 1'!$A$2:$A1000 &lt;= DATE(2024, 8, 31)))
+ SUMPRODUCT(('Form responses 1'!$G$2:$G1000 = A97) * ('Form responses 1'!$A$2:$A1000 &lt;= DATE(2024, 8, 31)))), 2), "-")
</f>
        <v>-</v>
      </c>
      <c r="K97" s="2" t="str">
        <f>IFERROR(ROUND(Data!B88/(SUMPRODUCT(('Form responses 1'!$B$2:$B1000 = A97) * ('Form responses 1'!$A$2:$A1000 &lt;= DATE(2024, 9, 30)))
+ SUMPRODUCT(('Form responses 1'!$C$2:$C1000 = A97) * ('Form responses 1'!$A$2:$A1000 &lt;= DATE(2024, 9, 30)))
+ SUMPRODUCT(('Form responses 1'!$D$2:$D1000 = A97) * ('Form responses 1'!$A$2:$A1000 &lt;= DATE(2024, 9, 30)))
+ SUMPRODUCT(('Form responses 1'!$E$2:$E1000 = A97) * ('Form responses 1'!$A$2:$A1000 &lt;= DATE(2024, 9, 30)))
+ SUMPRODUCT(('Form responses 1'!$F$2:$F1000 = A97) * ('Form responses 1'!$A$2:$A1000 &lt;= DATE(2024, 9, 30)))
+ SUMPRODUCT(('Form responses 1'!$G$2:$G1000 = A97) * ('Form responses 1'!$A$2:$A1000 &lt;= DATE(2024, 9, 30)))), 2), "-")
</f>
        <v>-</v>
      </c>
      <c r="L97" s="2" t="str">
        <f>IFERROR(ROUND(Data!B88/(SUMPRODUCT(('Form responses 1'!$B$2:$B1000 = A97) * ('Form responses 1'!$A$2:$A1000 &lt;= DATE(2024, 10, 31)))
+ SUMPRODUCT(('Form responses 1'!$C$2:$C1000 = A97) * ('Form responses 1'!$A$2:$A1000 &lt;= DATE(2024, 10, 31)))
+ SUMPRODUCT(('Form responses 1'!$D$2:$D1000 = A97) * ('Form responses 1'!$A$2:$A1000 &lt;= DATE(2024, 10, 31)))
+ SUMPRODUCT(('Form responses 1'!$E$2:$E1000 = A97) * ('Form responses 1'!$A$2:$A1000 &lt;= DATE(2024, 10, 31)))
+ SUMPRODUCT(('Form responses 1'!$F$2:$F1000 = A97) * ('Form responses 1'!$A$2:$A1000 &lt;= DATE(2024, 10, 31)))
+ SUMPRODUCT(('Form responses 1'!$G$2:$G1000 = A97) * ('Form responses 1'!$A$2:$A1000 &lt;= DATE(2024, 10, 31)))), 2), "-")
</f>
        <v>-</v>
      </c>
      <c r="M97" s="2" t="str">
        <f>IFERROR(ROUND(Data!B88/(SUMPRODUCT(('Form responses 1'!$B$2:$B1000 = A97) * ('Form responses 1'!$A$2:$A1000 &lt;= DATE(2024, 11, 30)))
+ SUMPRODUCT(('Form responses 1'!$C$2:$C1000 = A97) * ('Form responses 1'!$A$2:$A1000 &lt;= DATE(2024, 11, 30)))
+ SUMPRODUCT(('Form responses 1'!$D$2:$D1000 = A97) * ('Form responses 1'!$A$2:$A1000 &lt;= DATE(2024, 11, 30)))
+ SUMPRODUCT(('Form responses 1'!$E$2:$E1000 = A97) * ('Form responses 1'!$A$2:$A1000 &lt;= DATE(2024, 11, 30)))
+ SUMPRODUCT(('Form responses 1'!$F$2:$F1000 = A97) * ('Form responses 1'!$A$2:$A1000 &lt;= DATE(2024, 11, 30)))
+ SUMPRODUCT(('Form responses 1'!$G$2:$G1000 = A97) * ('Form responses 1'!$A$2:$A1000 &lt;= DATE(2024, 11, 30)))), 2), "-")
</f>
        <v>-</v>
      </c>
      <c r="N97" s="2" t="str">
        <f>IFERROR(ROUND(Data!B88/(SUMPRODUCT(('Form responses 1'!$B$2:$B1000 = A97) * ('Form responses 1'!$A$2:$A1000 &lt;= DATE(2024, 12, 31)))
+ SUMPRODUCT(('Form responses 1'!$C$2:$C1000 = A97) * ('Form responses 1'!$A$2:$A1000 &lt;= DATE(2024, 12, 31)))
+ SUMPRODUCT(('Form responses 1'!$D$2:$D1000 = A97) * ('Form responses 1'!$A$2:$A1000 &lt;= DATE(2024, 12, 31)))
+ SUMPRODUCT(('Form responses 1'!$E$2:$E1000 = A97) * ('Form responses 1'!$A$2:$A1000 &lt;= DATE(2024, 12, 31)))
+ SUMPRODUCT(('Form responses 1'!$F$2:$F1000 = A97) * ('Form responses 1'!$A$2:$A1000 &lt;= DATE(2024, 12, 31)))
+ SUMPRODUCT(('Form responses 1'!$G$2:$G1000 = A97) * ('Form responses 1'!$A$2:$A1000 &lt;= DATE(2024, 12, 31)))), 2), "-")
</f>
        <v>-</v>
      </c>
      <c r="O97" s="2" t="str">
        <f>IFERROR(ROUND(Data!B88/(SUMPRODUCT(('Form responses 1'!$B$2:$B1000 = A97) * ('Form responses 1'!$A$2:$A1000 &lt;= DATE(2025, 1, 31)))
+ SUMPRODUCT(('Form responses 1'!$C$2:$C1000 = A97) * ('Form responses 1'!$A$2:$A1000 &lt;= DATE(2025, 1, 31)))
+ SUMPRODUCT(('Form responses 1'!$D$2:$D1000 = A97) * ('Form responses 1'!$A$2:$A1000 &lt;= DATE(2025, 1, 31)))
+ SUMPRODUCT(('Form responses 1'!$E$2:$E1000 = A97) * ('Form responses 1'!$A$2:$A1000 &lt;= DATE(2025, 1, 31)))
+ SUMPRODUCT(('Form responses 1'!$F$2:$F1000 = A97) * ('Form responses 1'!$A$2:$A1000 &lt;= DATE(2025, 1, 31)))
+ SUMPRODUCT(('Form responses 1'!$G$2:$G1000 = A97) * ('Form responses 1'!$A$2:$A1000 &lt;= DATE(2025, 1, 31)))), 2), "-")
</f>
        <v>-</v>
      </c>
      <c r="P97" s="2" t="str">
        <f>IFERROR(ROUND(Data!B88/(SUMPRODUCT(('Form responses 1'!$B$2:$B1000 = A97) * ('Form responses 1'!$A$2:$A1000 &lt;= DATE(2025, 2, 28)))
+ SUMPRODUCT(('Form responses 1'!$C$2:$C1000 = A97) * ('Form responses 1'!$A$2:$A1000 &lt;= DATE(2025, 2, 28)))
+ SUMPRODUCT(('Form responses 1'!$D$2:$D1000 = A97) * ('Form responses 1'!$A$2:$A1000 &lt;= DATE(2025, 2, 28)))
+ SUMPRODUCT(('Form responses 1'!$E$2:$E1000 = A97) * ('Form responses 1'!$A$2:$A1000 &lt;= DATE(2025, 2, 28)))
+ SUMPRODUCT(('Form responses 1'!$F$2:$F1000 = A97) * ('Form responses 1'!$A$2:$A1000 &lt;= DATE(2025, 2, 28)))
+ SUMPRODUCT(('Form responses 1'!$G$2:$G1000 = A97) * ('Form responses 1'!$A$2:$A1000 &lt;= DATE(2025, 2, 28)))), 2), "-")
</f>
        <v>-</v>
      </c>
      <c r="Q97" s="2" t="str">
        <f>IFERROR(ROUND(Data!B88/(SUMPRODUCT(('Form responses 1'!$B$2:$B1000 = A97) * ('Form responses 1'!$A$2:$A1000 &lt;= DATE(2025, 3, 31)))
+ SUMPRODUCT(('Form responses 1'!$C$2:$C1000 = A97) * ('Form responses 1'!$A$2:$A1000 &lt;= DATE(2025, 3, 31)))
+ SUMPRODUCT(('Form responses 1'!$D$2:$D1000 = A97) * ('Form responses 1'!$A$2:$A1000 &lt;= DATE(2025, 3, 31)))
+ SUMPRODUCT(('Form responses 1'!$E$2:$E1000 = A97) * ('Form responses 1'!$A$2:$A1000 &lt;= DATE(2025, 3, 31)))
+ SUMPRODUCT(('Form responses 1'!$F$2:$F1000 = A97) * ('Form responses 1'!$A$2:$A1000 &lt;= DATE(2025, 3, 31)))
+ SUMPRODUCT(('Form responses 1'!$G$2:$G1000 = A97) * ('Form responses 1'!$A$2:$A1000 &lt;= DATE(2025, 3, 31)))),2),"-")</f>
        <v>-</v>
      </c>
      <c r="R97" s="2" t="str">
        <f>IFERROR(ROUND(Data!B88/(SUMPRODUCT(('Form responses 1'!$B$2:$B1000 = A97) * ('Form responses 1'!$A$2:$A1000 &lt;= DATE(2025, 4, 30)))
+ SUMPRODUCT(('Form responses 1'!$C$2:$C1000 = A97) * ('Form responses 1'!$A$2:$A1000 &lt;= DATE(2025, 4, 30)))
+ SUMPRODUCT(('Form responses 1'!$D$2:$D1000 = A97) * ('Form responses 1'!$A$2:$A1000 &lt;= DATE(2025, 4, 30)))
+ SUMPRODUCT(('Form responses 1'!$E$2:$E1000 = A97) * ('Form responses 1'!$A$2:$A1000 &lt;= DATE(2025, 4, 30)))
+ SUMPRODUCT(('Form responses 1'!$F$2:$F1000 = A97) * ('Form responses 1'!$A$2:$A1000 &lt;= DATE(2025, 4, 30)))
+ SUMPRODUCT(('Form responses 1'!$G$2:$G1000 = A97) * ('Form responses 1'!$A$2:$A1000 &lt;= DATE(2025, 4, 30)))), 2), "-")
</f>
        <v>-</v>
      </c>
      <c r="S97" s="2" t="str">
        <f>IFERROR(ROUND(Data!B88/(SUMPRODUCT(('Form responses 1'!$B$2:$B1000 = A97) * ('Form responses 1'!$A$2:$A1000 &lt;= DATE(2025, 5, 31)))
+ SUMPRODUCT(('Form responses 1'!$C$2:$C1000 = A97) * ('Form responses 1'!$A$2:$A1000 &lt;= DATE(2025, 5, 31)))
+ SUMPRODUCT(('Form responses 1'!$D$2:$D1000 = A97) * ('Form responses 1'!$A$2:$A1000 &lt;= DATE(2025, 5, 31)))
+ SUMPRODUCT(('Form responses 1'!$E$2:$E1000 = A97) * ('Form responses 1'!$A$2:$A1000 &lt;= DATE(2025, 5, 31)))
+ SUMPRODUCT(('Form responses 1'!$F$2:$F1000 = A97) * ('Form responses 1'!$A$2:$A1000 &lt;= DATE(2025, 5, 31)))
+ SUMPRODUCT(('Form responses 1'!$G$2:$G1000 = A97) * ('Form responses 1'!$A$2:$A1000 &lt;= DATE(2025, 5, 31)))), 2), "-")
</f>
        <v>-</v>
      </c>
      <c r="T97" s="2" t="str">
        <f>IFERROR(ROUND(Data!B88/(SUMPRODUCT(('Form responses 1'!$B$2:$B1000 = A97) * ('Form responses 1'!$A$2:$A1000 &lt;= DATE(2025, 6, 30)))
+ SUMPRODUCT(('Form responses 1'!$C$2:$C1000 = A97) * ('Form responses 1'!$A$2:$A1000 &lt;= DATE(2025, 6, 30)))
+ SUMPRODUCT(('Form responses 1'!$D$2:$D1000 = A97) * ('Form responses 1'!$A$2:$A1000 &lt;= DATE(2025, 6, 30)))
+ SUMPRODUCT(('Form responses 1'!$E$2:$E1000 = A97) * ('Form responses 1'!$A$2:$A1000 &lt;= DATE(2025, 6, 30)))
+ SUMPRODUCT(('Form responses 1'!$F$2:$F1000 = A97) * ('Form responses 1'!$A$2:$A1000 &lt;= DATE(2025, 6, 30)))
+ SUMPRODUCT(('Form responses 1'!$G$2:$G1000 = A97) * ('Form responses 1'!$A$2:$A1000 &lt;= DATE(2025, 6, 30)))), 2), "-")
</f>
        <v>-</v>
      </c>
      <c r="U97" s="2" t="str">
        <f>IFERROR(ROUND(Data!B88/(SUMPRODUCT(('Form responses 1'!$B$2:$B1000 = A97) * ('Form responses 1'!$A$2:$A1000 &lt;= DATE(2025, 7, 31)))
+ SUMPRODUCT(('Form responses 1'!$C$2:$C1000 = A97) * ('Form responses 1'!$A$2:$A1000 &lt;= DATE(2025, 7, 31)))
+ SUMPRODUCT(('Form responses 1'!$D$2:$D1000 = A97) * ('Form responses 1'!$A$2:$A1000 &lt;= DATE(2025, 7, 31)))
+ SUMPRODUCT(('Form responses 1'!$E$2:$E1000 = A97) * ('Form responses 1'!$A$2:$A1000 &lt;= DATE(2025, 7, 31)))
+ SUMPRODUCT(('Form responses 1'!$F$2:$F1000 = A97) * ('Form responses 1'!$A$2:$A1000 &lt;= DATE(2025, 7, 31)))
+ SUMPRODUCT(('Form responses 1'!$G$2:$G1000 = A97) * ('Form responses 1'!$A$2:$A1000 &lt;= DATE(2025, 7, 31)))), 2), "-")
</f>
        <v>-</v>
      </c>
      <c r="V97" s="2">
        <f>IFERROR(ROUND(Data!B88/(SUMPRODUCT(('Form responses 1'!$B$2:$B1000 = A97) * ('Form responses 1'!$A$2:$A1000 &lt;= DATE(2025, 8, 31)))
+ SUMPRODUCT(('Form responses 1'!$C$2:$C1000 = A97) * ('Form responses 1'!$A$2:$A1000 &lt;= DATE(2025, 8, 31)))
+ SUMPRODUCT(('Form responses 1'!$D$2:$D1000 = A97) * ('Form responses 1'!$A$2:$A1000 &lt;= DATE(2025, 8, 31)))
+ SUMPRODUCT(('Form responses 1'!$E$2:$E1000 = A97) * ('Form responses 1'!$A$2:$A1000 &lt;= DATE(2025, 8, 31)))
+ SUMPRODUCT(('Form responses 1'!$F$2:$F1000 = A97) * ('Form responses 1'!$A$2:$A1000 &lt;= DATE(2025, 8, 31)))
+ SUMPRODUCT(('Form responses 1'!$G$2:$G1000 = A97) * ('Form responses 1'!$A$2:$A1000 &lt;= DATE(2025, 8, 31)))), 2), "-")
</f>
        <v>4</v>
      </c>
      <c r="W97" s="2">
        <f>IFERROR(ROUND(Data!B88/(SUMPRODUCT(('Form responses 1'!$B$2:$B1000 = A97) * ('Form responses 1'!$A$2:$A1000 &lt;= DATE(2025, 9, 30)))
+ SUMPRODUCT(('Form responses 1'!$C$2:$C1000 = A97) * ('Form responses 1'!$A$2:$A1000 &lt;= DATE(2025, 9, 30)))
+ SUMPRODUCT(('Form responses 1'!$D$2:$D1000 = A97) * ('Form responses 1'!$A$2:$A1000 &lt;= DATE(2025, 9, 30)))
+ SUMPRODUCT(('Form responses 1'!$E$2:$E1000 = A97) * ('Form responses 1'!$A$2:$A1000 &lt;= DATE(2025, 9, 30)))
+ SUMPRODUCT(('Form responses 1'!$F$2:$F1000 = A97) * ('Form responses 1'!$A$2:$A1000 &lt;= DATE(2025, 9, 30)))
+ SUMPRODUCT(('Form responses 1'!$G$2:$G1000 = A97) * ('Form responses 1'!$A$2:$A1000 &lt;= DATE(2025, 9, 30)))), 2), "-")
</f>
        <v>4</v>
      </c>
      <c r="X97" s="2">
        <f>IFERROR(ROUND(Data!B88/(SUMPRODUCT(('Form responses 1'!$B$2:$B1000 = A97) * ('Form responses 1'!$A$2:$A1000 &lt;= DATE(2025, 10, 31)))
+ SUMPRODUCT(('Form responses 1'!$C$2:$C1000 = A97) * ('Form responses 1'!$A$2:$A1000 &lt;= DATE(2025, 10, 31)))
+ SUMPRODUCT(('Form responses 1'!$D$2:$D1000 = A97) * ('Form responses 1'!$A$2:$A1000 &lt;= DATE(2025, 10, 31)))
+ SUMPRODUCT(('Form responses 1'!$E$2:$E1000 = A97) * ('Form responses 1'!$A$2:$A1000 &lt;= DATE(2025, 10, 31)))
+ SUMPRODUCT(('Form responses 1'!$F$2:$F1000 = A97) * ('Form responses 1'!$A$2:$A1000 &lt;= DATE(2025, 10, 31)))
+ SUMPRODUCT(('Form responses 1'!$G$2:$G1000 = A97) * ('Form responses 1'!$A$2:$A1000 &lt;= DATE(2025, 10, 31)))), 2), "-")
</f>
        <v>4</v>
      </c>
      <c r="Y97" s="2">
        <f>IFERROR(ROUND(Data!B88/(SUMPRODUCT(('Form responses 1'!$B$2:$B1000 = A97) * ('Form responses 1'!$A$2:$A1000 &lt;= DATE(2025, 11, 30)))
+ SUMPRODUCT(('Form responses 1'!$C$2:$C1000 = A97) * ('Form responses 1'!$A$2:$A1000 &lt;= DATE(2025, 11, 30)))
+ SUMPRODUCT(('Form responses 1'!$D$2:$D1000 = A97) * ('Form responses 1'!$A$2:$A1000 &lt;= DATE(2025, 11, 30)))
+ SUMPRODUCT(('Form responses 1'!$E$2:$E1000 = A97) * ('Form responses 1'!$A$2:$A1000 &lt;= DATE(2025, 11, 30)))
+ SUMPRODUCT(('Form responses 1'!$F$2:$F1000 = A97) * ('Form responses 1'!$A$2:$A1000 &lt;= DATE(2025, 11, 30)))
+ SUMPRODUCT(('Form responses 1'!$G$2:$G1000 = A97) * ('Form responses 1'!$A$2:$A1000 &lt;= DATE(2025, 11, 30)))), 2), "-")
</f>
        <v>4</v>
      </c>
      <c r="Z97" s="2">
        <f>IFERROR(ROUND(Data!B88/(SUMPRODUCT(('Form responses 1'!$B$2:$B1000 = A97) * ('Form responses 1'!$A$2:$A1000 &lt;= DATE(2025, 12, 31)))
+ SUMPRODUCT(('Form responses 1'!$C$2:$C1000 = A97) * ('Form responses 1'!$A$2:$A1000 &lt;= DATE(2025, 12, 31)))
+ SUMPRODUCT(('Form responses 1'!$D$2:$D1000 = A97) * ('Form responses 1'!$A$2:$A1000 &lt;= DATE(2025, 12, 31)))
+ SUMPRODUCT(('Form responses 1'!$E$2:$E1000 = A97) * ('Form responses 1'!$A$2:$A1000 &lt;= DATE(2025, 12, 31)))
+ SUMPRODUCT(('Form responses 1'!$F$2:$F1000 = A97) * ('Form responses 1'!$A$2:$A1000 &lt;= DATE(2025, 12, 31)))
+ SUMPRODUCT(('Form responses 1'!$G$2:$G1000 = A97) * ('Form responses 1'!$A$2:$A1000 &lt;= DATE(2025, 12, 31)))), 2), "-")
</f>
        <v>4</v>
      </c>
      <c r="AA97" s="2">
        <f>IFERROR(ROUND(Data!$B97/(
  SUMPRODUCT(('Form responses 1'!$B$2:$B1000=$A97)*('Form responses 1'!$A$2:$A1000&lt;=EOMONTH(DATEVALUE("1 "&amp;AA$1),0)))+
  SUMPRODUCT(('Form responses 1'!$C$2:$C1000=$A97)*('Form responses 1'!$A$2:$A1000&lt;=EOMONTH(DATEVALUE("1 "&amp;AA$1),0)))+
  SUMPRODUCT(('Form responses 1'!$D$2:$D1000=$A97)*('Form responses 1'!$A$2:$A1000&lt;=EOMONTH(DATEVALUE("1 "&amp;AA$1),0)))+
  SUMPRODUCT(('Form responses 1'!$E$2:$E1000=$A97)*('Form responses 1'!$A$2:$A1000&lt;=EOMONTH(DATEVALUE("1 "&amp;AA$1),0)))+
  SUMPRODUCT(('Form responses 1'!$F$2:$F1000=$A97)*('Form responses 1'!$A$2:$A1000&lt;=EOMONTH(DATEVALUE("1 "&amp;AA$1),0)))+
  SUMPRODUCT(('Form responses 1'!$G$2:$G1000=$A97)*('Form responses 1'!$A$2:$A1000&lt;=EOMONTH(DATEVALUE("1 "&amp;AA$1),0)))
),2),"-")</f>
        <v>9</v>
      </c>
      <c r="AB97" s="2">
        <f>IFERROR(ROUND(Data!$B97/(
  SUMPRODUCT(('Form responses 1'!$B$2:$B1000=$A97)*('Form responses 1'!$A$2:$A1000&lt;=EOMONTH(DATEVALUE("1 "&amp;AB$1),0)))+
  SUMPRODUCT(('Form responses 1'!$C$2:$C1000=$A97)*('Form responses 1'!$A$2:$A1000&lt;=EOMONTH(DATEVALUE("1 "&amp;AB$1),0)))+
  SUMPRODUCT(('Form responses 1'!$D$2:$D1000=$A97)*('Form responses 1'!$A$2:$A1000&lt;=EOMONTH(DATEVALUE("1 "&amp;AB$1),0)))+
  SUMPRODUCT(('Form responses 1'!$E$2:$E1000=$A97)*('Form responses 1'!$A$2:$A1000&lt;=EOMONTH(DATEVALUE("1 "&amp;AB$1),0)))+
  SUMPRODUCT(('Form responses 1'!$F$2:$F1000=$A97)*('Form responses 1'!$A$2:$A1000&lt;=EOMONTH(DATEVALUE("1 "&amp;AB$1),0)))+
  SUMPRODUCT(('Form responses 1'!$G$2:$G1000=$A97)*('Form responses 1'!$A$2:$A1000&lt;=EOMONTH(DATEVALUE("1 "&amp;AB$1),0)))
),2),"-")</f>
        <v>9</v>
      </c>
      <c r="AC97" s="2">
        <f>IFERROR(ROUND(Data!$B97/(
  SUMPRODUCT(('Form responses 1'!$B$2:$B1000=$A97)*('Form responses 1'!$A$2:$A1000&lt;=EOMONTH(DATEVALUE("1 "&amp;AC$1),0)))+
  SUMPRODUCT(('Form responses 1'!$C$2:$C1000=$A97)*('Form responses 1'!$A$2:$A1000&lt;=EOMONTH(DATEVALUE("1 "&amp;AC$1),0)))+
  SUMPRODUCT(('Form responses 1'!$D$2:$D1000=$A97)*('Form responses 1'!$A$2:$A1000&lt;=EOMONTH(DATEVALUE("1 "&amp;AC$1),0)))+
  SUMPRODUCT(('Form responses 1'!$E$2:$E1000=$A97)*('Form responses 1'!$A$2:$A1000&lt;=EOMONTH(DATEVALUE("1 "&amp;AC$1),0)))+
  SUMPRODUCT(('Form responses 1'!$F$2:$F1000=$A97)*('Form responses 1'!$A$2:$A1000&lt;=EOMONTH(DATEVALUE("1 "&amp;AC$1),0)))+
  SUMPRODUCT(('Form responses 1'!$G$2:$G1000=$A97)*('Form responses 1'!$A$2:$A1000&lt;=EOMONTH(DATEVALUE("1 "&amp;AC$1),0)))
),2),"-")</f>
        <v>9</v>
      </c>
      <c r="AD97" s="2" t="str">
        <f>IFERROR(ROUND(Data!$B97/(
  SUMPRODUCT(('Form responses 1'!$B$2:$B1000=$A97)*('Form responses 1'!$A$2:$A1000&lt;=EOMONTH(DATEVALUE("1 "&amp;AD$1),0)))+
  SUMPRODUCT(('Form responses 1'!$C$2:$C1000=$A97)*('Form responses 1'!$A$2:$A1000&lt;=EOMONTH(DATEVALUE("1 "&amp;AD$1),0)))+
  SUMPRODUCT(('Form responses 1'!$D$2:$D1000=$A97)*('Form responses 1'!$A$2:$A1000&lt;=EOMONTH(DATEVALUE("1 "&amp;AD$1),0)))+
  SUMPRODUCT(('Form responses 1'!$E$2:$E1000=$A97)*('Form responses 1'!$A$2:$A1000&lt;=EOMONTH(DATEVALUE("1 "&amp;AD$1),0)))+
  SUMPRODUCT(('Form responses 1'!$F$2:$F1000=$A97)*('Form responses 1'!$A$2:$A1000&lt;=EOMONTH(DATEVALUE("1 "&amp;AD$1),0)))+
  SUMPRODUCT(('Form responses 1'!$G$2:$G1000=$A97)*('Form responses 1'!$A$2:$A1000&lt;=EOMONTH(DATEVALUE("1 "&amp;AD$1),0)))
),2),"-")</f>
        <v>-</v>
      </c>
      <c r="AE97" s="2" t="str">
        <f>IFERROR(ROUND(Data!$B97/(
  SUMPRODUCT(('Form responses 1'!$B$2:$B1000=$A97)*('Form responses 1'!$A$2:$A1000&lt;=EOMONTH(DATEVALUE("1 "&amp;AE$1),0)))+
  SUMPRODUCT(('Form responses 1'!$C$2:$C1000=$A97)*('Form responses 1'!$A$2:$A1000&lt;=EOMONTH(DATEVALUE("1 "&amp;AE$1),0)))+
  SUMPRODUCT(('Form responses 1'!$D$2:$D1000=$A97)*('Form responses 1'!$A$2:$A1000&lt;=EOMONTH(DATEVALUE("1 "&amp;AE$1),0)))+
  SUMPRODUCT(('Form responses 1'!$E$2:$E1000=$A97)*('Form responses 1'!$A$2:$A1000&lt;=EOMONTH(DATEVALUE("1 "&amp;AE$1),0)))+
  SUMPRODUCT(('Form responses 1'!$F$2:$F1000=$A97)*('Form responses 1'!$A$2:$A1000&lt;=EOMONTH(DATEVALUE("1 "&amp;AE$1),0)))+
  SUMPRODUCT(('Form responses 1'!$G$2:$G1000=$A97)*('Form responses 1'!$A$2:$A1000&lt;=EOMONTH(DATEVALUE("1 "&amp;AE$1),0)))
),2),"-")</f>
        <v>-</v>
      </c>
      <c r="AF97" s="2" t="str">
        <f>IFERROR(ROUND(Data!$B97/(
  SUMPRODUCT(('Form responses 1'!$B$2:$B1000=$A97)*('Form responses 1'!$A$2:$A1000&lt;=EOMONTH(DATEVALUE("1 "&amp;AF$1),0)))+
  SUMPRODUCT(('Form responses 1'!$C$2:$C1000=$A97)*('Form responses 1'!$A$2:$A1000&lt;=EOMONTH(DATEVALUE("1 "&amp;AF$1),0)))+
  SUMPRODUCT(('Form responses 1'!$D$2:$D1000=$A97)*('Form responses 1'!$A$2:$A1000&lt;=EOMONTH(DATEVALUE("1 "&amp;AF$1),0)))+
  SUMPRODUCT(('Form responses 1'!$E$2:$E1000=$A97)*('Form responses 1'!$A$2:$A1000&lt;=EOMONTH(DATEVALUE("1 "&amp;AF$1),0)))+
  SUMPRODUCT(('Form responses 1'!$F$2:$F1000=$A97)*('Form responses 1'!$A$2:$A1000&lt;=EOMONTH(DATEVALUE("1 "&amp;AF$1),0)))+
  SUMPRODUCT(('Form responses 1'!$G$2:$G1000=$A97)*('Form responses 1'!$A$2:$A1000&lt;=EOMONTH(DATEVALUE("1 "&amp;AF$1),0)))
),2),"-")</f>
        <v>-</v>
      </c>
      <c r="AG97" s="2" t="str">
        <f>IFERROR(ROUND(Data!$B97/(
  SUMPRODUCT(('Form responses 1'!$B$2:$B1000=$A97)*('Form responses 1'!$A$2:$A1000&lt;=EOMONTH(DATEVALUE("1 "&amp;AG$1),0)))+
  SUMPRODUCT(('Form responses 1'!$C$2:$C1000=$A97)*('Form responses 1'!$A$2:$A1000&lt;=EOMONTH(DATEVALUE("1 "&amp;AG$1),0)))+
  SUMPRODUCT(('Form responses 1'!$D$2:$D1000=$A97)*('Form responses 1'!$A$2:$A1000&lt;=EOMONTH(DATEVALUE("1 "&amp;AG$1),0)))+
  SUMPRODUCT(('Form responses 1'!$E$2:$E1000=$A97)*('Form responses 1'!$A$2:$A1000&lt;=EOMONTH(DATEVALUE("1 "&amp;AG$1),0)))+
  SUMPRODUCT(('Form responses 1'!$F$2:$F1000=$A97)*('Form responses 1'!$A$2:$A1000&lt;=EOMONTH(DATEVALUE("1 "&amp;AG$1),0)))+
  SUMPRODUCT(('Form responses 1'!$G$2:$G1000=$A97)*('Form responses 1'!$A$2:$A1000&lt;=EOMONTH(DATEVALUE("1 "&amp;AG$1),0)))
),2),"-")</f>
        <v>-</v>
      </c>
      <c r="AH97" s="2" t="str">
        <f>IFERROR(ROUND(Data!$B97/(
  SUMPRODUCT(('Form responses 1'!$B$2:$B1000=$A97)*('Form responses 1'!$A$2:$A1000&lt;=EOMONTH(DATEVALUE("1 "&amp;AH$1),0)))+
  SUMPRODUCT(('Form responses 1'!$C$2:$C1000=$A97)*('Form responses 1'!$A$2:$A1000&lt;=EOMONTH(DATEVALUE("1 "&amp;AH$1),0)))+
  SUMPRODUCT(('Form responses 1'!$D$2:$D1000=$A97)*('Form responses 1'!$A$2:$A1000&lt;=EOMONTH(DATEVALUE("1 "&amp;AH$1),0)))+
  SUMPRODUCT(('Form responses 1'!$E$2:$E1000=$A97)*('Form responses 1'!$A$2:$A1000&lt;=EOMONTH(DATEVALUE("1 "&amp;AH$1),0)))+
  SUMPRODUCT(('Form responses 1'!$F$2:$F1000=$A97)*('Form responses 1'!$A$2:$A1000&lt;=EOMONTH(DATEVALUE("1 "&amp;AH$1),0)))+
  SUMPRODUCT(('Form responses 1'!$G$2:$G1000=$A97)*('Form responses 1'!$A$2:$A1000&lt;=EOMONTH(DATEVALUE("1 "&amp;AH$1),0)))
),2),"-")</f>
        <v>-</v>
      </c>
      <c r="AI97" s="2" t="str">
        <f>IFERROR(ROUND(Data!$B97/(
  SUMPRODUCT(('Form responses 1'!$B$2:$B1000=$A97)*('Form responses 1'!$A$2:$A1000&lt;=EOMONTH(DATEVALUE("1 "&amp;AI$1),0)))+
  SUMPRODUCT(('Form responses 1'!$C$2:$C1000=$A97)*('Form responses 1'!$A$2:$A1000&lt;=EOMONTH(DATEVALUE("1 "&amp;AI$1),0)))+
  SUMPRODUCT(('Form responses 1'!$D$2:$D1000=$A97)*('Form responses 1'!$A$2:$A1000&lt;=EOMONTH(DATEVALUE("1 "&amp;AI$1),0)))+
  SUMPRODUCT(('Form responses 1'!$E$2:$E1000=$A97)*('Form responses 1'!$A$2:$A1000&lt;=EOMONTH(DATEVALUE("1 "&amp;AI$1),0)))+
  SUMPRODUCT(('Form responses 1'!$F$2:$F1000=$A97)*('Form responses 1'!$A$2:$A1000&lt;=EOMONTH(DATEVALUE("1 "&amp;AI$1),0)))+
  SUMPRODUCT(('Form responses 1'!$G$2:$G1000=$A97)*('Form responses 1'!$A$2:$A1000&lt;=EOMONTH(DATEVALUE("1 "&amp;AI$1),0)))
),2),"-")</f>
        <v>-</v>
      </c>
      <c r="AJ97" s="2" t="str">
        <f>IFERROR(ROUND(Data!$B97/(
  SUMPRODUCT(('Form responses 1'!$B$2:$B1000=$A97)*('Form responses 1'!$A$2:$A1000&lt;=EOMONTH(DATEVALUE("1 "&amp;AJ$1),0)))+
  SUMPRODUCT(('Form responses 1'!$C$2:$C1000=$A97)*('Form responses 1'!$A$2:$A1000&lt;=EOMONTH(DATEVALUE("1 "&amp;AJ$1),0)))+
  SUMPRODUCT(('Form responses 1'!$D$2:$D1000=$A97)*('Form responses 1'!$A$2:$A1000&lt;=EOMONTH(DATEVALUE("1 "&amp;AJ$1),0)))+
  SUMPRODUCT(('Form responses 1'!$E$2:$E1000=$A97)*('Form responses 1'!$A$2:$A1000&lt;=EOMONTH(DATEVALUE("1 "&amp;AJ$1),0)))+
  SUMPRODUCT(('Form responses 1'!$F$2:$F1000=$A97)*('Form responses 1'!$A$2:$A1000&lt;=EOMONTH(DATEVALUE("1 "&amp;AJ$1),0)))+
  SUMPRODUCT(('Form responses 1'!$G$2:$G1000=$A97)*('Form responses 1'!$A$2:$A1000&lt;=EOMONTH(DATEVALUE("1 "&amp;AJ$1),0)))
),2),"-")</f>
        <v>-</v>
      </c>
      <c r="AK97" s="2" t="str">
        <f>IFERROR(ROUND(Data!$B97/(
  SUMPRODUCT(('Form responses 1'!$B$2:$B1000=$A97)*('Form responses 1'!$A$2:$A1000&lt;=EOMONTH(DATEVALUE("1 "&amp;AK$1),0)))+
  SUMPRODUCT(('Form responses 1'!$C$2:$C1000=$A97)*('Form responses 1'!$A$2:$A1000&lt;=EOMONTH(DATEVALUE("1 "&amp;AK$1),0)))+
  SUMPRODUCT(('Form responses 1'!$D$2:$D1000=$A97)*('Form responses 1'!$A$2:$A1000&lt;=EOMONTH(DATEVALUE("1 "&amp;AK$1),0)))+
  SUMPRODUCT(('Form responses 1'!$E$2:$E1000=$A97)*('Form responses 1'!$A$2:$A1000&lt;=EOMONTH(DATEVALUE("1 "&amp;AK$1),0)))+
  SUMPRODUCT(('Form responses 1'!$F$2:$F1000=$A97)*('Form responses 1'!$A$2:$A1000&lt;=EOMONTH(DATEVALUE("1 "&amp;AK$1),0)))+
  SUMPRODUCT(('Form responses 1'!$G$2:$G1000=$A97)*('Form responses 1'!$A$2:$A1000&lt;=EOMONTH(DATEVALUE("1 "&amp;AK$1),0)))
),2),"-")</f>
        <v>-</v>
      </c>
      <c r="AL97" s="2" t="str">
        <f>IFERROR(ROUND(Data!$B97/(
  SUMPRODUCT(('Form responses 1'!$B$2:$B1000=$A97)*('Form responses 1'!$A$2:$A1000&lt;=EOMONTH(DATEVALUE("1 "&amp;AL$1),0)))+
  SUMPRODUCT(('Form responses 1'!$C$2:$C1000=$A97)*('Form responses 1'!$A$2:$A1000&lt;=EOMONTH(DATEVALUE("1 "&amp;AL$1),0)))+
  SUMPRODUCT(('Form responses 1'!$D$2:$D1000=$A97)*('Form responses 1'!$A$2:$A1000&lt;=EOMONTH(DATEVALUE("1 "&amp;AL$1),0)))+
  SUMPRODUCT(('Form responses 1'!$E$2:$E1000=$A97)*('Form responses 1'!$A$2:$A1000&lt;=EOMONTH(DATEVALUE("1 "&amp;AL$1),0)))+
  SUMPRODUCT(('Form responses 1'!$F$2:$F1000=$A97)*('Form responses 1'!$A$2:$A1000&lt;=EOMONTH(DATEVALUE("1 "&amp;AL$1),0)))+
  SUMPRODUCT(('Form responses 1'!$G$2:$G1000=$A97)*('Form responses 1'!$A$2:$A1000&lt;=EOMONTH(DATEVALUE("1 "&amp;AL$1),0)))
),2),"-")</f>
        <v>-</v>
      </c>
    </row>
    <row r="98">
      <c r="A98" s="3" t="str">
        <f>IFERROR(__xludf.DUMMYFUNCTION("""COMPUTED_VALUE"""),"Decathlon Fitness short")</f>
        <v>Decathlon Fitness short</v>
      </c>
      <c r="C98" s="2" t="str">
        <f>IFERROR(ROUND(Data!B89/(SUMPRODUCT(('Form responses 1'!$B$2:$B1000 = A98) * ('Form responses 1'!$A$2:$A1000 &lt;= DATE(2024, 1, 31)))
+ SUMPRODUCT(('Form responses 1'!$C$2:$C1000 = A98) * ('Form responses 1'!$A$2:$A1000 &lt;= DATE(2024, 1, 31)))
+ SUMPRODUCT(('Form responses 1'!$D$2:$D1000 = A98) * ('Form responses 1'!$A$2:$A1000 &lt;= DATE(2024, 1, 31)))
+ SUMPRODUCT(('Form responses 1'!$E$2:$E1000 = A98) * ('Form responses 1'!$A$2:$A1000 &lt;= DATE(2024, 1, 31)))
+ SUMPRODUCT(('Form responses 1'!$F$2:$F1000 = A98) * ('Form responses 1'!$A$2:$A1000 &lt;= DATE(2024, 1, 31)))
+ SUMPRODUCT(('Form responses 1'!$G$2:$G1000 = A98) * ('Form responses 1'!$A$2:$A1000 &lt;= DATE(2024, 1, 31)))), 2), "-")
</f>
        <v>-</v>
      </c>
      <c r="D98" s="2" t="str">
        <f>IFERROR(ROUND(Data!B89/(SUMPRODUCT(('Form responses 1'!$B$2:$B1000 = A98) * ('Form responses 1'!$A$2:$A1000 &lt;= DATE(2024, 2, 29)))
+ SUMPRODUCT(('Form responses 1'!$C$2:$C1000 = A98) * ('Form responses 1'!$A$2:$A1000 &lt;= DATE(2024, 2, 29)))
+ SUMPRODUCT(('Form responses 1'!$D$2:$D1000 = A98) * ('Form responses 1'!$A$2:$A1000 &lt;= DATE(2024, 2, 29)))
+ SUMPRODUCT(('Form responses 1'!$E$2:$E1000 = A98) * ('Form responses 1'!$A$2:$A1000 &lt;= DATE(2024, 2, 29)))
+ SUMPRODUCT(('Form responses 1'!$F$2:$F1000 = A98) * ('Form responses 1'!$A$2:$A1000 &lt;= DATE(2024, 2, 29)))
+ SUMPRODUCT(('Form responses 1'!$G$2:$G1000 = A98) * ('Form responses 1'!$A$2:$A1000 &lt;= DATE(2024, 2, 29)))), 2), "-")
</f>
        <v>-</v>
      </c>
      <c r="E98" s="2" t="str">
        <f>IFERROR(ROUND(Data!B89/(SUMPRODUCT(('Form responses 1'!$B$2:$B1000 = A98) * ('Form responses 1'!$A$2:$A1000 &lt;= DATE(2024, 3, 31)))
+ SUMPRODUCT(('Form responses 1'!$C$2:$C1000 = A98) * ('Form responses 1'!$A$2:$A1000 &lt;= DATE(2024, 3, 31)))
+ SUMPRODUCT(('Form responses 1'!$D$2:$D1000 = A98) * ('Form responses 1'!$A$2:$A1000 &lt;= DATE(2024, 3, 31)))
+ SUMPRODUCT(('Form responses 1'!$E$2:$E1000 = A98) * ('Form responses 1'!$A$2:$A1000 &lt;= DATE(2024, 3, 31)))
+ SUMPRODUCT(('Form responses 1'!$F$2:$F1000 = A98) * ('Form responses 1'!$A$2:$A1000 &lt;= DATE(2024, 3, 31)))
+ SUMPRODUCT(('Form responses 1'!$G$2:$G1000 = A98) * ('Form responses 1'!$A$2:$A1000 &lt;= DATE(2024, 3, 31)))), 2), "-")
</f>
        <v>-</v>
      </c>
      <c r="F98" s="2" t="str">
        <f>IFERROR(ROUND(Data!B89/(SUMPRODUCT(('Form responses 1'!$B$2:$B1000 = A98) * ('Form responses 1'!$A$2:$A1000 &lt;= DATE(2024, 4, 30)))
+ SUMPRODUCT(('Form responses 1'!$C$2:$C1000 = A98) * ('Form responses 1'!$A$2:$A1000 &lt;= DATE(2024, 4, 30)))
+ SUMPRODUCT(('Form responses 1'!$D$2:$D1000 = A98) * ('Form responses 1'!$A$2:$A1000 &lt;= DATE(2024, 4, 30)))
+ SUMPRODUCT(('Form responses 1'!$E$2:$E1000 = A98) * ('Form responses 1'!$A$2:$A1000 &lt;= DATE(2024, 4, 30)))
+ SUMPRODUCT(('Form responses 1'!$F$2:$F1000 = A98) * ('Form responses 1'!$A$2:$A1000 &lt;= DATE(2024, 4, 30)))
+ SUMPRODUCT(('Form responses 1'!$G$2:$G1000 = A98) * ('Form responses 1'!$A$2:$A1000 &lt;= DATE(2024, 4, 30)))), 2), "-")
</f>
        <v>-</v>
      </c>
      <c r="G98" s="2" t="str">
        <f>IFERROR(ROUND(Data!B89/(SUMPRODUCT(('Form responses 1'!$B$2:$B1000 = A98) * ('Form responses 1'!$A$2:$A1000 &lt;= DATE(2024, 5, 31)))
+ SUMPRODUCT(('Form responses 1'!$C$2:$C1000 = A98) * ('Form responses 1'!$A$2:$A1000 &lt;= DATE(2024, 5, 31)))
+ SUMPRODUCT(('Form responses 1'!$D$2:$D1000 = A98) * ('Form responses 1'!$A$2:$A1000 &lt;= DATE(2024, 5, 31)))
+ SUMPRODUCT(('Form responses 1'!$E$2:$E1000 = A98) * ('Form responses 1'!$A$2:$A1000 &lt;= DATE(2024, 5, 31)))
+ SUMPRODUCT(('Form responses 1'!$F$2:$F1000 = A98) * ('Form responses 1'!$A$2:$A1000 &lt;= DATE(2024, 5, 31)))
+ SUMPRODUCT(('Form responses 1'!$G$2:$G1000 = A98) * ('Form responses 1'!$A$2:$A1000 &lt;= DATE(2024, 5, 31)))), 2), "-")
</f>
        <v>-</v>
      </c>
      <c r="H98" s="2" t="str">
        <f>IFERROR(ROUND(Data!B89/(SUMPRODUCT(('Form responses 1'!$B$2:$B1000 = A98) * ('Form responses 1'!$A$2:$A1000 &lt;= DATE(2024, 6, 30)))
+ SUMPRODUCT(('Form responses 1'!$C$2:$C1000 = A98) * ('Form responses 1'!$A$2:$A1000 &lt;= DATE(2024, 6, 30)))
+ SUMPRODUCT(('Form responses 1'!$D$2:$D1000 = A98) * ('Form responses 1'!$A$2:$A1000 &lt;= DATE(2024, 6, 30)))
+ SUMPRODUCT(('Form responses 1'!$E$2:$E1000 = A98) * ('Form responses 1'!$A$2:$A1000 &lt;= DATE(2024, 6, 30)))
+ SUMPRODUCT(('Form responses 1'!$F$2:$F1000 = A98) * ('Form responses 1'!$A$2:$A1000 &lt;= DATE(2024, 6, 30)))
+ SUMPRODUCT(('Form responses 1'!$G$2:$G1000 = A98) * ('Form responses 1'!$A$2:$A1000 &lt;= DATE(2024, 6, 30)))), 2), "-")
</f>
        <v>-</v>
      </c>
      <c r="I98" s="2" t="str">
        <f>IFERROR(ROUND(Data!B89/(SUMPRODUCT(('Form responses 1'!$B$2:$B1000 = A98) * ('Form responses 1'!$A$2:$A1000 &lt;= DATE(2024, 7, 31)))
+ SUMPRODUCT(('Form responses 1'!$C$2:$C1000 = A98) * ('Form responses 1'!$A$2:$A1000 &lt;= DATE(2024, 7, 31)))
+ SUMPRODUCT(('Form responses 1'!$D$2:$D1000 = A98) * ('Form responses 1'!$A$2:$A1000 &lt;= DATE(2024, 7, 31)))
+ SUMPRODUCT(('Form responses 1'!$E$2:$E1000 = A98) * ('Form responses 1'!$A$2:$A1000 &lt;= DATE(2024, 7, 31)))
+ SUMPRODUCT(('Form responses 1'!$F$2:$F1000 = A98) * ('Form responses 1'!$A$2:$A1000 &lt;= DATE(2024, 7, 31)))
+ SUMPRODUCT(('Form responses 1'!$G$2:$G1000 = A98) * ('Form responses 1'!$A$2:$A1000 &lt;= DATE(2024, 7, 31)))), 2), "-")
</f>
        <v>-</v>
      </c>
      <c r="J98" s="2" t="str">
        <f>IFERROR(ROUND(Data!B89/(SUMPRODUCT(('Form responses 1'!$B$2:$B1000 = A98) * ('Form responses 1'!$A$2:$A1000 &lt;= DATE(2024, 8, 31)))
+ SUMPRODUCT(('Form responses 1'!$C$2:$C1000 = A98) * ('Form responses 1'!$A$2:$A1000 &lt;= DATE(2024, 8, 31)))
+ SUMPRODUCT(('Form responses 1'!$D$2:$D1000 = A98) * ('Form responses 1'!$A$2:$A1000 &lt;= DATE(2024, 8, 31)))
+ SUMPRODUCT(('Form responses 1'!$E$2:$E1000 = A98) * ('Form responses 1'!$A$2:$A1000 &lt;= DATE(2024, 8, 31)))
+ SUMPRODUCT(('Form responses 1'!$F$2:$F1000 = A98) * ('Form responses 1'!$A$2:$A1000 &lt;= DATE(2024, 8, 31)))
+ SUMPRODUCT(('Form responses 1'!$G$2:$G1000 = A98) * ('Form responses 1'!$A$2:$A1000 &lt;= DATE(2024, 8, 31)))), 2), "-")
</f>
        <v>-</v>
      </c>
      <c r="K98" s="2" t="str">
        <f>IFERROR(ROUND(Data!B89/(SUMPRODUCT(('Form responses 1'!$B$2:$B1000 = A98) * ('Form responses 1'!$A$2:$A1000 &lt;= DATE(2024, 9, 30)))
+ SUMPRODUCT(('Form responses 1'!$C$2:$C1000 = A98) * ('Form responses 1'!$A$2:$A1000 &lt;= DATE(2024, 9, 30)))
+ SUMPRODUCT(('Form responses 1'!$D$2:$D1000 = A98) * ('Form responses 1'!$A$2:$A1000 &lt;= DATE(2024, 9, 30)))
+ SUMPRODUCT(('Form responses 1'!$E$2:$E1000 = A98) * ('Form responses 1'!$A$2:$A1000 &lt;= DATE(2024, 9, 30)))
+ SUMPRODUCT(('Form responses 1'!$F$2:$F1000 = A98) * ('Form responses 1'!$A$2:$A1000 &lt;= DATE(2024, 9, 30)))
+ SUMPRODUCT(('Form responses 1'!$G$2:$G1000 = A98) * ('Form responses 1'!$A$2:$A1000 &lt;= DATE(2024, 9, 30)))), 2), "-")
</f>
        <v>-</v>
      </c>
      <c r="L98" s="2" t="str">
        <f>IFERROR(ROUND(Data!B89/(SUMPRODUCT(('Form responses 1'!$B$2:$B1000 = A98) * ('Form responses 1'!$A$2:$A1000 &lt;= DATE(2024, 10, 31)))
+ SUMPRODUCT(('Form responses 1'!$C$2:$C1000 = A98) * ('Form responses 1'!$A$2:$A1000 &lt;= DATE(2024, 10, 31)))
+ SUMPRODUCT(('Form responses 1'!$D$2:$D1000 = A98) * ('Form responses 1'!$A$2:$A1000 &lt;= DATE(2024, 10, 31)))
+ SUMPRODUCT(('Form responses 1'!$E$2:$E1000 = A98) * ('Form responses 1'!$A$2:$A1000 &lt;= DATE(2024, 10, 31)))
+ SUMPRODUCT(('Form responses 1'!$F$2:$F1000 = A98) * ('Form responses 1'!$A$2:$A1000 &lt;= DATE(2024, 10, 31)))
+ SUMPRODUCT(('Form responses 1'!$G$2:$G1000 = A98) * ('Form responses 1'!$A$2:$A1000 &lt;= DATE(2024, 10, 31)))), 2), "-")
</f>
        <v>-</v>
      </c>
      <c r="M98" s="2" t="str">
        <f>IFERROR(ROUND(Data!B89/(SUMPRODUCT(('Form responses 1'!$B$2:$B1000 = A98) * ('Form responses 1'!$A$2:$A1000 &lt;= DATE(2024, 11, 30)))
+ SUMPRODUCT(('Form responses 1'!$C$2:$C1000 = A98) * ('Form responses 1'!$A$2:$A1000 &lt;= DATE(2024, 11, 30)))
+ SUMPRODUCT(('Form responses 1'!$D$2:$D1000 = A98) * ('Form responses 1'!$A$2:$A1000 &lt;= DATE(2024, 11, 30)))
+ SUMPRODUCT(('Form responses 1'!$E$2:$E1000 = A98) * ('Form responses 1'!$A$2:$A1000 &lt;= DATE(2024, 11, 30)))
+ SUMPRODUCT(('Form responses 1'!$F$2:$F1000 = A98) * ('Form responses 1'!$A$2:$A1000 &lt;= DATE(2024, 11, 30)))
+ SUMPRODUCT(('Form responses 1'!$G$2:$G1000 = A98) * ('Form responses 1'!$A$2:$A1000 &lt;= DATE(2024, 11, 30)))), 2), "-")
</f>
        <v>-</v>
      </c>
      <c r="N98" s="2" t="str">
        <f>IFERROR(ROUND(Data!B89/(SUMPRODUCT(('Form responses 1'!$B$2:$B1000 = A98) * ('Form responses 1'!$A$2:$A1000 &lt;= DATE(2024, 12, 31)))
+ SUMPRODUCT(('Form responses 1'!$C$2:$C1000 = A98) * ('Form responses 1'!$A$2:$A1000 &lt;= DATE(2024, 12, 31)))
+ SUMPRODUCT(('Form responses 1'!$D$2:$D1000 = A98) * ('Form responses 1'!$A$2:$A1000 &lt;= DATE(2024, 12, 31)))
+ SUMPRODUCT(('Form responses 1'!$E$2:$E1000 = A98) * ('Form responses 1'!$A$2:$A1000 &lt;= DATE(2024, 12, 31)))
+ SUMPRODUCT(('Form responses 1'!$F$2:$F1000 = A98) * ('Form responses 1'!$A$2:$A1000 &lt;= DATE(2024, 12, 31)))
+ SUMPRODUCT(('Form responses 1'!$G$2:$G1000 = A98) * ('Form responses 1'!$A$2:$A1000 &lt;= DATE(2024, 12, 31)))), 2), "-")
</f>
        <v>-</v>
      </c>
      <c r="O98" s="2" t="str">
        <f>IFERROR(ROUND(Data!B89/(SUMPRODUCT(('Form responses 1'!$B$2:$B1000 = A98) * ('Form responses 1'!$A$2:$A1000 &lt;= DATE(2025, 1, 31)))
+ SUMPRODUCT(('Form responses 1'!$C$2:$C1000 = A98) * ('Form responses 1'!$A$2:$A1000 &lt;= DATE(2025, 1, 31)))
+ SUMPRODUCT(('Form responses 1'!$D$2:$D1000 = A98) * ('Form responses 1'!$A$2:$A1000 &lt;= DATE(2025, 1, 31)))
+ SUMPRODUCT(('Form responses 1'!$E$2:$E1000 = A98) * ('Form responses 1'!$A$2:$A1000 &lt;= DATE(2025, 1, 31)))
+ SUMPRODUCT(('Form responses 1'!$F$2:$F1000 = A98) * ('Form responses 1'!$A$2:$A1000 &lt;= DATE(2025, 1, 31)))
+ SUMPRODUCT(('Form responses 1'!$G$2:$G1000 = A98) * ('Form responses 1'!$A$2:$A1000 &lt;= DATE(2025, 1, 31)))), 2), "-")
</f>
        <v>-</v>
      </c>
      <c r="P98" s="2" t="str">
        <f>IFERROR(ROUND(Data!B89/(SUMPRODUCT(('Form responses 1'!$B$2:$B1000 = A98) * ('Form responses 1'!$A$2:$A1000 &lt;= DATE(2025, 2, 28)))
+ SUMPRODUCT(('Form responses 1'!$C$2:$C1000 = A98) * ('Form responses 1'!$A$2:$A1000 &lt;= DATE(2025, 2, 28)))
+ SUMPRODUCT(('Form responses 1'!$D$2:$D1000 = A98) * ('Form responses 1'!$A$2:$A1000 &lt;= DATE(2025, 2, 28)))
+ SUMPRODUCT(('Form responses 1'!$E$2:$E1000 = A98) * ('Form responses 1'!$A$2:$A1000 &lt;= DATE(2025, 2, 28)))
+ SUMPRODUCT(('Form responses 1'!$F$2:$F1000 = A98) * ('Form responses 1'!$A$2:$A1000 &lt;= DATE(2025, 2, 28)))
+ SUMPRODUCT(('Form responses 1'!$G$2:$G1000 = A98) * ('Form responses 1'!$A$2:$A1000 &lt;= DATE(2025, 2, 28)))), 2), "-")
</f>
        <v>-</v>
      </c>
      <c r="Q98" s="2" t="str">
        <f>IFERROR(ROUND(Data!B89/(SUMPRODUCT(('Form responses 1'!$B$2:$B1000 = A98) * ('Form responses 1'!$A$2:$A1000 &lt;= DATE(2025, 3, 31)))
+ SUMPRODUCT(('Form responses 1'!$C$2:$C1000 = A98) * ('Form responses 1'!$A$2:$A1000 &lt;= DATE(2025, 3, 31)))
+ SUMPRODUCT(('Form responses 1'!$D$2:$D1000 = A98) * ('Form responses 1'!$A$2:$A1000 &lt;= DATE(2025, 3, 31)))
+ SUMPRODUCT(('Form responses 1'!$E$2:$E1000 = A98) * ('Form responses 1'!$A$2:$A1000 &lt;= DATE(2025, 3, 31)))
+ SUMPRODUCT(('Form responses 1'!$F$2:$F1000 = A98) * ('Form responses 1'!$A$2:$A1000 &lt;= DATE(2025, 3, 31)))
+ SUMPRODUCT(('Form responses 1'!$G$2:$G1000 = A98) * ('Form responses 1'!$A$2:$A1000 &lt;= DATE(2025, 3, 31)))),2),"-")</f>
        <v>-</v>
      </c>
      <c r="R98" s="2" t="str">
        <f>IFERROR(ROUND(Data!B89/(SUMPRODUCT(('Form responses 1'!$B$2:$B1000 = A98) * ('Form responses 1'!$A$2:$A1000 &lt;= DATE(2025, 4, 30)))
+ SUMPRODUCT(('Form responses 1'!$C$2:$C1000 = A98) * ('Form responses 1'!$A$2:$A1000 &lt;= DATE(2025, 4, 30)))
+ SUMPRODUCT(('Form responses 1'!$D$2:$D1000 = A98) * ('Form responses 1'!$A$2:$A1000 &lt;= DATE(2025, 4, 30)))
+ SUMPRODUCT(('Form responses 1'!$E$2:$E1000 = A98) * ('Form responses 1'!$A$2:$A1000 &lt;= DATE(2025, 4, 30)))
+ SUMPRODUCT(('Form responses 1'!$F$2:$F1000 = A98) * ('Form responses 1'!$A$2:$A1000 &lt;= DATE(2025, 4, 30)))
+ SUMPRODUCT(('Form responses 1'!$G$2:$G1000 = A98) * ('Form responses 1'!$A$2:$A1000 &lt;= DATE(2025, 4, 30)))), 2), "-")
</f>
        <v>-</v>
      </c>
      <c r="S98" s="2" t="str">
        <f>IFERROR(ROUND(Data!B89/(SUMPRODUCT(('Form responses 1'!$B$2:$B1000 = A98) * ('Form responses 1'!$A$2:$A1000 &lt;= DATE(2025, 5, 31)))
+ SUMPRODUCT(('Form responses 1'!$C$2:$C1000 = A98) * ('Form responses 1'!$A$2:$A1000 &lt;= DATE(2025, 5, 31)))
+ SUMPRODUCT(('Form responses 1'!$D$2:$D1000 = A98) * ('Form responses 1'!$A$2:$A1000 &lt;= DATE(2025, 5, 31)))
+ SUMPRODUCT(('Form responses 1'!$E$2:$E1000 = A98) * ('Form responses 1'!$A$2:$A1000 &lt;= DATE(2025, 5, 31)))
+ SUMPRODUCT(('Form responses 1'!$F$2:$F1000 = A98) * ('Form responses 1'!$A$2:$A1000 &lt;= DATE(2025, 5, 31)))
+ SUMPRODUCT(('Form responses 1'!$G$2:$G1000 = A98) * ('Form responses 1'!$A$2:$A1000 &lt;= DATE(2025, 5, 31)))), 2), "-")
</f>
        <v>-</v>
      </c>
      <c r="T98" s="2" t="str">
        <f>IFERROR(ROUND(Data!B89/(SUMPRODUCT(('Form responses 1'!$B$2:$B1000 = A98) * ('Form responses 1'!$A$2:$A1000 &lt;= DATE(2025, 6, 30)))
+ SUMPRODUCT(('Form responses 1'!$C$2:$C1000 = A98) * ('Form responses 1'!$A$2:$A1000 &lt;= DATE(2025, 6, 30)))
+ SUMPRODUCT(('Form responses 1'!$D$2:$D1000 = A98) * ('Form responses 1'!$A$2:$A1000 &lt;= DATE(2025, 6, 30)))
+ SUMPRODUCT(('Form responses 1'!$E$2:$E1000 = A98) * ('Form responses 1'!$A$2:$A1000 &lt;= DATE(2025, 6, 30)))
+ SUMPRODUCT(('Form responses 1'!$F$2:$F1000 = A98) * ('Form responses 1'!$A$2:$A1000 &lt;= DATE(2025, 6, 30)))
+ SUMPRODUCT(('Form responses 1'!$G$2:$G1000 = A98) * ('Form responses 1'!$A$2:$A1000 &lt;= DATE(2025, 6, 30)))), 2), "-")
</f>
        <v>-</v>
      </c>
      <c r="U98" s="2" t="str">
        <f>IFERROR(ROUND(Data!B89/(SUMPRODUCT(('Form responses 1'!$B$2:$B1000 = A98) * ('Form responses 1'!$A$2:$A1000 &lt;= DATE(2025, 7, 31)))
+ SUMPRODUCT(('Form responses 1'!$C$2:$C1000 = A98) * ('Form responses 1'!$A$2:$A1000 &lt;= DATE(2025, 7, 31)))
+ SUMPRODUCT(('Form responses 1'!$D$2:$D1000 = A98) * ('Form responses 1'!$A$2:$A1000 &lt;= DATE(2025, 7, 31)))
+ SUMPRODUCT(('Form responses 1'!$E$2:$E1000 = A98) * ('Form responses 1'!$A$2:$A1000 &lt;= DATE(2025, 7, 31)))
+ SUMPRODUCT(('Form responses 1'!$F$2:$F1000 = A98) * ('Form responses 1'!$A$2:$A1000 &lt;= DATE(2025, 7, 31)))
+ SUMPRODUCT(('Form responses 1'!$G$2:$G1000 = A98) * ('Form responses 1'!$A$2:$A1000 &lt;= DATE(2025, 7, 31)))), 2), "-")
</f>
        <v>-</v>
      </c>
      <c r="V98" s="2">
        <f>IFERROR(ROUND(Data!B89/(SUMPRODUCT(('Form responses 1'!$B$2:$B1000 = A98) * ('Form responses 1'!$A$2:$A1000 &lt;= DATE(2025, 8, 31)))
+ SUMPRODUCT(('Form responses 1'!$C$2:$C1000 = A98) * ('Form responses 1'!$A$2:$A1000 &lt;= DATE(2025, 8, 31)))
+ SUMPRODUCT(('Form responses 1'!$D$2:$D1000 = A98) * ('Form responses 1'!$A$2:$A1000 &lt;= DATE(2025, 8, 31)))
+ SUMPRODUCT(('Form responses 1'!$E$2:$E1000 = A98) * ('Form responses 1'!$A$2:$A1000 &lt;= DATE(2025, 8, 31)))
+ SUMPRODUCT(('Form responses 1'!$F$2:$F1000 = A98) * ('Form responses 1'!$A$2:$A1000 &lt;= DATE(2025, 8, 31)))
+ SUMPRODUCT(('Form responses 1'!$G$2:$G1000 = A98) * ('Form responses 1'!$A$2:$A1000 &lt;= DATE(2025, 8, 31)))), 2), "-")
</f>
        <v>0.19</v>
      </c>
      <c r="W98" s="2">
        <f>IFERROR(ROUND(Data!B89/(SUMPRODUCT(('Form responses 1'!$B$2:$B1000 = A98) * ('Form responses 1'!$A$2:$A1000 &lt;= DATE(2025, 9, 30)))
+ SUMPRODUCT(('Form responses 1'!$C$2:$C1000 = A98) * ('Form responses 1'!$A$2:$A1000 &lt;= DATE(2025, 9, 30)))
+ SUMPRODUCT(('Form responses 1'!$D$2:$D1000 = A98) * ('Form responses 1'!$A$2:$A1000 &lt;= DATE(2025, 9, 30)))
+ SUMPRODUCT(('Form responses 1'!$E$2:$E1000 = A98) * ('Form responses 1'!$A$2:$A1000 &lt;= DATE(2025, 9, 30)))
+ SUMPRODUCT(('Form responses 1'!$F$2:$F1000 = A98) * ('Form responses 1'!$A$2:$A1000 &lt;= DATE(2025, 9, 30)))
+ SUMPRODUCT(('Form responses 1'!$G$2:$G1000 = A98) * ('Form responses 1'!$A$2:$A1000 &lt;= DATE(2025, 9, 30)))), 2), "-")
</f>
        <v>0.13</v>
      </c>
      <c r="X98" s="2">
        <f>IFERROR(ROUND(Data!B89/(SUMPRODUCT(('Form responses 1'!$B$2:$B1000 = A98) * ('Form responses 1'!$A$2:$A1000 &lt;= DATE(2025, 10, 31)))
+ SUMPRODUCT(('Form responses 1'!$C$2:$C1000 = A98) * ('Form responses 1'!$A$2:$A1000 &lt;= DATE(2025, 10, 31)))
+ SUMPRODUCT(('Form responses 1'!$D$2:$D1000 = A98) * ('Form responses 1'!$A$2:$A1000 &lt;= DATE(2025, 10, 31)))
+ SUMPRODUCT(('Form responses 1'!$E$2:$E1000 = A98) * ('Form responses 1'!$A$2:$A1000 &lt;= DATE(2025, 10, 31)))
+ SUMPRODUCT(('Form responses 1'!$F$2:$F1000 = A98) * ('Form responses 1'!$A$2:$A1000 &lt;= DATE(2025, 10, 31)))
+ SUMPRODUCT(('Form responses 1'!$G$2:$G1000 = A98) * ('Form responses 1'!$A$2:$A1000 &lt;= DATE(2025, 10, 31)))), 2), "-")
</f>
        <v>0.12</v>
      </c>
      <c r="Y98" s="2">
        <f>IFERROR(ROUND(Data!B89/(SUMPRODUCT(('Form responses 1'!$B$2:$B1000 = A98) * ('Form responses 1'!$A$2:$A1000 &lt;= DATE(2025, 11, 30)))
+ SUMPRODUCT(('Form responses 1'!$C$2:$C1000 = A98) * ('Form responses 1'!$A$2:$A1000 &lt;= DATE(2025, 11, 30)))
+ SUMPRODUCT(('Form responses 1'!$D$2:$D1000 = A98) * ('Form responses 1'!$A$2:$A1000 &lt;= DATE(2025, 11, 30)))
+ SUMPRODUCT(('Form responses 1'!$E$2:$E1000 = A98) * ('Form responses 1'!$A$2:$A1000 &lt;= DATE(2025, 11, 30)))
+ SUMPRODUCT(('Form responses 1'!$F$2:$F1000 = A98) * ('Form responses 1'!$A$2:$A1000 &lt;= DATE(2025, 11, 30)))
+ SUMPRODUCT(('Form responses 1'!$G$2:$G1000 = A98) * ('Form responses 1'!$A$2:$A1000 &lt;= DATE(2025, 11, 30)))), 2), "-")
</f>
        <v>0.12</v>
      </c>
      <c r="Z98" s="2">
        <f>IFERROR(ROUND(Data!B89/(SUMPRODUCT(('Form responses 1'!$B$2:$B1000 = A98) * ('Form responses 1'!$A$2:$A1000 &lt;= DATE(2025, 12, 31)))
+ SUMPRODUCT(('Form responses 1'!$C$2:$C1000 = A98) * ('Form responses 1'!$A$2:$A1000 &lt;= DATE(2025, 12, 31)))
+ SUMPRODUCT(('Form responses 1'!$D$2:$D1000 = A98) * ('Form responses 1'!$A$2:$A1000 &lt;= DATE(2025, 12, 31)))
+ SUMPRODUCT(('Form responses 1'!$E$2:$E1000 = A98) * ('Form responses 1'!$A$2:$A1000 &lt;= DATE(2025, 12, 31)))
+ SUMPRODUCT(('Form responses 1'!$F$2:$F1000 = A98) * ('Form responses 1'!$A$2:$A1000 &lt;= DATE(2025, 12, 31)))
+ SUMPRODUCT(('Form responses 1'!$G$2:$G1000 = A98) * ('Form responses 1'!$A$2:$A1000 &lt;= DATE(2025, 12, 31)))), 2), "-")
</f>
        <v>0.11</v>
      </c>
      <c r="AA98" s="2">
        <f>IFERROR(ROUND(Data!$B98/(
  SUMPRODUCT(('Form responses 1'!$B$2:$B1000=$A98)*('Form responses 1'!$A$2:$A1000&lt;=EOMONTH(DATEVALUE("1 "&amp;AA$1),0)))+
  SUMPRODUCT(('Form responses 1'!$C$2:$C1000=$A98)*('Form responses 1'!$A$2:$A1000&lt;=EOMONTH(DATEVALUE("1 "&amp;AA$1),0)))+
  SUMPRODUCT(('Form responses 1'!$D$2:$D1000=$A98)*('Form responses 1'!$A$2:$A1000&lt;=EOMONTH(DATEVALUE("1 "&amp;AA$1),0)))+
  SUMPRODUCT(('Form responses 1'!$E$2:$E1000=$A98)*('Form responses 1'!$A$2:$A1000&lt;=EOMONTH(DATEVALUE("1 "&amp;AA$1),0)))+
  SUMPRODUCT(('Form responses 1'!$F$2:$F1000=$A98)*('Form responses 1'!$A$2:$A1000&lt;=EOMONTH(DATEVALUE("1 "&amp;AA$1),0)))+
  SUMPRODUCT(('Form responses 1'!$G$2:$G1000=$A98)*('Form responses 1'!$A$2:$A1000&lt;=EOMONTH(DATEVALUE("1 "&amp;AA$1),0)))
),2),"-")</f>
        <v>0.39</v>
      </c>
      <c r="AB98" s="2">
        <f>IFERROR(ROUND(Data!$B98/(
  SUMPRODUCT(('Form responses 1'!$B$2:$B1000=$A98)*('Form responses 1'!$A$2:$A1000&lt;=EOMONTH(DATEVALUE("1 "&amp;AB$1),0)))+
  SUMPRODUCT(('Form responses 1'!$C$2:$C1000=$A98)*('Form responses 1'!$A$2:$A1000&lt;=EOMONTH(DATEVALUE("1 "&amp;AB$1),0)))+
  SUMPRODUCT(('Form responses 1'!$D$2:$D1000=$A98)*('Form responses 1'!$A$2:$A1000&lt;=EOMONTH(DATEVALUE("1 "&amp;AB$1),0)))+
  SUMPRODUCT(('Form responses 1'!$E$2:$E1000=$A98)*('Form responses 1'!$A$2:$A1000&lt;=EOMONTH(DATEVALUE("1 "&amp;AB$1),0)))+
  SUMPRODUCT(('Form responses 1'!$F$2:$F1000=$A98)*('Form responses 1'!$A$2:$A1000&lt;=EOMONTH(DATEVALUE("1 "&amp;AB$1),0)))+
  SUMPRODUCT(('Form responses 1'!$G$2:$G1000=$A98)*('Form responses 1'!$A$2:$A1000&lt;=EOMONTH(DATEVALUE("1 "&amp;AB$1),0)))
),2),"-")</f>
        <v>0.38</v>
      </c>
      <c r="AC98" s="2">
        <f>IFERROR(ROUND(Data!$B98/(
  SUMPRODUCT(('Form responses 1'!$B$2:$B1000=$A98)*('Form responses 1'!$A$2:$A1000&lt;=EOMONTH(DATEVALUE("1 "&amp;AC$1),0)))+
  SUMPRODUCT(('Form responses 1'!$C$2:$C1000=$A98)*('Form responses 1'!$A$2:$A1000&lt;=EOMONTH(DATEVALUE("1 "&amp;AC$1),0)))+
  SUMPRODUCT(('Form responses 1'!$D$2:$D1000=$A98)*('Form responses 1'!$A$2:$A1000&lt;=EOMONTH(DATEVALUE("1 "&amp;AC$1),0)))+
  SUMPRODUCT(('Form responses 1'!$E$2:$E1000=$A98)*('Form responses 1'!$A$2:$A1000&lt;=EOMONTH(DATEVALUE("1 "&amp;AC$1),0)))+
  SUMPRODUCT(('Form responses 1'!$F$2:$F1000=$A98)*('Form responses 1'!$A$2:$A1000&lt;=EOMONTH(DATEVALUE("1 "&amp;AC$1),0)))+
  SUMPRODUCT(('Form responses 1'!$G$2:$G1000=$A98)*('Form responses 1'!$A$2:$A1000&lt;=EOMONTH(DATEVALUE("1 "&amp;AC$1),0)))
),2),"-")</f>
        <v>0.38</v>
      </c>
      <c r="AD98" s="2" t="str">
        <f>IFERROR(ROUND(Data!$B98/(
  SUMPRODUCT(('Form responses 1'!$B$2:$B1000=$A98)*('Form responses 1'!$A$2:$A1000&lt;=EOMONTH(DATEVALUE("1 "&amp;AD$1),0)))+
  SUMPRODUCT(('Form responses 1'!$C$2:$C1000=$A98)*('Form responses 1'!$A$2:$A1000&lt;=EOMONTH(DATEVALUE("1 "&amp;AD$1),0)))+
  SUMPRODUCT(('Form responses 1'!$D$2:$D1000=$A98)*('Form responses 1'!$A$2:$A1000&lt;=EOMONTH(DATEVALUE("1 "&amp;AD$1),0)))+
  SUMPRODUCT(('Form responses 1'!$E$2:$E1000=$A98)*('Form responses 1'!$A$2:$A1000&lt;=EOMONTH(DATEVALUE("1 "&amp;AD$1),0)))+
  SUMPRODUCT(('Form responses 1'!$F$2:$F1000=$A98)*('Form responses 1'!$A$2:$A1000&lt;=EOMONTH(DATEVALUE("1 "&amp;AD$1),0)))+
  SUMPRODUCT(('Form responses 1'!$G$2:$G1000=$A98)*('Form responses 1'!$A$2:$A1000&lt;=EOMONTH(DATEVALUE("1 "&amp;AD$1),0)))
),2),"-")</f>
        <v>-</v>
      </c>
      <c r="AE98" s="2" t="str">
        <f>IFERROR(ROUND(Data!$B98/(
  SUMPRODUCT(('Form responses 1'!$B$2:$B1000=$A98)*('Form responses 1'!$A$2:$A1000&lt;=EOMONTH(DATEVALUE("1 "&amp;AE$1),0)))+
  SUMPRODUCT(('Form responses 1'!$C$2:$C1000=$A98)*('Form responses 1'!$A$2:$A1000&lt;=EOMONTH(DATEVALUE("1 "&amp;AE$1),0)))+
  SUMPRODUCT(('Form responses 1'!$D$2:$D1000=$A98)*('Form responses 1'!$A$2:$A1000&lt;=EOMONTH(DATEVALUE("1 "&amp;AE$1),0)))+
  SUMPRODUCT(('Form responses 1'!$E$2:$E1000=$A98)*('Form responses 1'!$A$2:$A1000&lt;=EOMONTH(DATEVALUE("1 "&amp;AE$1),0)))+
  SUMPRODUCT(('Form responses 1'!$F$2:$F1000=$A98)*('Form responses 1'!$A$2:$A1000&lt;=EOMONTH(DATEVALUE("1 "&amp;AE$1),0)))+
  SUMPRODUCT(('Form responses 1'!$G$2:$G1000=$A98)*('Form responses 1'!$A$2:$A1000&lt;=EOMONTH(DATEVALUE("1 "&amp;AE$1),0)))
),2),"-")</f>
        <v>-</v>
      </c>
      <c r="AF98" s="2" t="str">
        <f>IFERROR(ROUND(Data!$B98/(
  SUMPRODUCT(('Form responses 1'!$B$2:$B1000=$A98)*('Form responses 1'!$A$2:$A1000&lt;=EOMONTH(DATEVALUE("1 "&amp;AF$1),0)))+
  SUMPRODUCT(('Form responses 1'!$C$2:$C1000=$A98)*('Form responses 1'!$A$2:$A1000&lt;=EOMONTH(DATEVALUE("1 "&amp;AF$1),0)))+
  SUMPRODUCT(('Form responses 1'!$D$2:$D1000=$A98)*('Form responses 1'!$A$2:$A1000&lt;=EOMONTH(DATEVALUE("1 "&amp;AF$1),0)))+
  SUMPRODUCT(('Form responses 1'!$E$2:$E1000=$A98)*('Form responses 1'!$A$2:$A1000&lt;=EOMONTH(DATEVALUE("1 "&amp;AF$1),0)))+
  SUMPRODUCT(('Form responses 1'!$F$2:$F1000=$A98)*('Form responses 1'!$A$2:$A1000&lt;=EOMONTH(DATEVALUE("1 "&amp;AF$1),0)))+
  SUMPRODUCT(('Form responses 1'!$G$2:$G1000=$A98)*('Form responses 1'!$A$2:$A1000&lt;=EOMONTH(DATEVALUE("1 "&amp;AF$1),0)))
),2),"-")</f>
        <v>-</v>
      </c>
      <c r="AG98" s="2" t="str">
        <f>IFERROR(ROUND(Data!$B98/(
  SUMPRODUCT(('Form responses 1'!$B$2:$B1000=$A98)*('Form responses 1'!$A$2:$A1000&lt;=EOMONTH(DATEVALUE("1 "&amp;AG$1),0)))+
  SUMPRODUCT(('Form responses 1'!$C$2:$C1000=$A98)*('Form responses 1'!$A$2:$A1000&lt;=EOMONTH(DATEVALUE("1 "&amp;AG$1),0)))+
  SUMPRODUCT(('Form responses 1'!$D$2:$D1000=$A98)*('Form responses 1'!$A$2:$A1000&lt;=EOMONTH(DATEVALUE("1 "&amp;AG$1),0)))+
  SUMPRODUCT(('Form responses 1'!$E$2:$E1000=$A98)*('Form responses 1'!$A$2:$A1000&lt;=EOMONTH(DATEVALUE("1 "&amp;AG$1),0)))+
  SUMPRODUCT(('Form responses 1'!$F$2:$F1000=$A98)*('Form responses 1'!$A$2:$A1000&lt;=EOMONTH(DATEVALUE("1 "&amp;AG$1),0)))+
  SUMPRODUCT(('Form responses 1'!$G$2:$G1000=$A98)*('Form responses 1'!$A$2:$A1000&lt;=EOMONTH(DATEVALUE("1 "&amp;AG$1),0)))
),2),"-")</f>
        <v>-</v>
      </c>
      <c r="AH98" s="2" t="str">
        <f>IFERROR(ROUND(Data!$B98/(
  SUMPRODUCT(('Form responses 1'!$B$2:$B1000=$A98)*('Form responses 1'!$A$2:$A1000&lt;=EOMONTH(DATEVALUE("1 "&amp;AH$1),0)))+
  SUMPRODUCT(('Form responses 1'!$C$2:$C1000=$A98)*('Form responses 1'!$A$2:$A1000&lt;=EOMONTH(DATEVALUE("1 "&amp;AH$1),0)))+
  SUMPRODUCT(('Form responses 1'!$D$2:$D1000=$A98)*('Form responses 1'!$A$2:$A1000&lt;=EOMONTH(DATEVALUE("1 "&amp;AH$1),0)))+
  SUMPRODUCT(('Form responses 1'!$E$2:$E1000=$A98)*('Form responses 1'!$A$2:$A1000&lt;=EOMONTH(DATEVALUE("1 "&amp;AH$1),0)))+
  SUMPRODUCT(('Form responses 1'!$F$2:$F1000=$A98)*('Form responses 1'!$A$2:$A1000&lt;=EOMONTH(DATEVALUE("1 "&amp;AH$1),0)))+
  SUMPRODUCT(('Form responses 1'!$G$2:$G1000=$A98)*('Form responses 1'!$A$2:$A1000&lt;=EOMONTH(DATEVALUE("1 "&amp;AH$1),0)))
),2),"-")</f>
        <v>-</v>
      </c>
      <c r="AI98" s="2" t="str">
        <f>IFERROR(ROUND(Data!$B98/(
  SUMPRODUCT(('Form responses 1'!$B$2:$B1000=$A98)*('Form responses 1'!$A$2:$A1000&lt;=EOMONTH(DATEVALUE("1 "&amp;AI$1),0)))+
  SUMPRODUCT(('Form responses 1'!$C$2:$C1000=$A98)*('Form responses 1'!$A$2:$A1000&lt;=EOMONTH(DATEVALUE("1 "&amp;AI$1),0)))+
  SUMPRODUCT(('Form responses 1'!$D$2:$D1000=$A98)*('Form responses 1'!$A$2:$A1000&lt;=EOMONTH(DATEVALUE("1 "&amp;AI$1),0)))+
  SUMPRODUCT(('Form responses 1'!$E$2:$E1000=$A98)*('Form responses 1'!$A$2:$A1000&lt;=EOMONTH(DATEVALUE("1 "&amp;AI$1),0)))+
  SUMPRODUCT(('Form responses 1'!$F$2:$F1000=$A98)*('Form responses 1'!$A$2:$A1000&lt;=EOMONTH(DATEVALUE("1 "&amp;AI$1),0)))+
  SUMPRODUCT(('Form responses 1'!$G$2:$G1000=$A98)*('Form responses 1'!$A$2:$A1000&lt;=EOMONTH(DATEVALUE("1 "&amp;AI$1),0)))
),2),"-")</f>
        <v>-</v>
      </c>
      <c r="AJ98" s="2" t="str">
        <f>IFERROR(ROUND(Data!$B98/(
  SUMPRODUCT(('Form responses 1'!$B$2:$B1000=$A98)*('Form responses 1'!$A$2:$A1000&lt;=EOMONTH(DATEVALUE("1 "&amp;AJ$1),0)))+
  SUMPRODUCT(('Form responses 1'!$C$2:$C1000=$A98)*('Form responses 1'!$A$2:$A1000&lt;=EOMONTH(DATEVALUE("1 "&amp;AJ$1),0)))+
  SUMPRODUCT(('Form responses 1'!$D$2:$D1000=$A98)*('Form responses 1'!$A$2:$A1000&lt;=EOMONTH(DATEVALUE("1 "&amp;AJ$1),0)))+
  SUMPRODUCT(('Form responses 1'!$E$2:$E1000=$A98)*('Form responses 1'!$A$2:$A1000&lt;=EOMONTH(DATEVALUE("1 "&amp;AJ$1),0)))+
  SUMPRODUCT(('Form responses 1'!$F$2:$F1000=$A98)*('Form responses 1'!$A$2:$A1000&lt;=EOMONTH(DATEVALUE("1 "&amp;AJ$1),0)))+
  SUMPRODUCT(('Form responses 1'!$G$2:$G1000=$A98)*('Form responses 1'!$A$2:$A1000&lt;=EOMONTH(DATEVALUE("1 "&amp;AJ$1),0)))
),2),"-")</f>
        <v>-</v>
      </c>
      <c r="AK98" s="2" t="str">
        <f>IFERROR(ROUND(Data!$B98/(
  SUMPRODUCT(('Form responses 1'!$B$2:$B1000=$A98)*('Form responses 1'!$A$2:$A1000&lt;=EOMONTH(DATEVALUE("1 "&amp;AK$1),0)))+
  SUMPRODUCT(('Form responses 1'!$C$2:$C1000=$A98)*('Form responses 1'!$A$2:$A1000&lt;=EOMONTH(DATEVALUE("1 "&amp;AK$1),0)))+
  SUMPRODUCT(('Form responses 1'!$D$2:$D1000=$A98)*('Form responses 1'!$A$2:$A1000&lt;=EOMONTH(DATEVALUE("1 "&amp;AK$1),0)))+
  SUMPRODUCT(('Form responses 1'!$E$2:$E1000=$A98)*('Form responses 1'!$A$2:$A1000&lt;=EOMONTH(DATEVALUE("1 "&amp;AK$1),0)))+
  SUMPRODUCT(('Form responses 1'!$F$2:$F1000=$A98)*('Form responses 1'!$A$2:$A1000&lt;=EOMONTH(DATEVALUE("1 "&amp;AK$1),0)))+
  SUMPRODUCT(('Form responses 1'!$G$2:$G1000=$A98)*('Form responses 1'!$A$2:$A1000&lt;=EOMONTH(DATEVALUE("1 "&amp;AK$1),0)))
),2),"-")</f>
        <v>-</v>
      </c>
      <c r="AL98" s="2" t="str">
        <f>IFERROR(ROUND(Data!$B98/(
  SUMPRODUCT(('Form responses 1'!$B$2:$B1000=$A98)*('Form responses 1'!$A$2:$A1000&lt;=EOMONTH(DATEVALUE("1 "&amp;AL$1),0)))+
  SUMPRODUCT(('Form responses 1'!$C$2:$C1000=$A98)*('Form responses 1'!$A$2:$A1000&lt;=EOMONTH(DATEVALUE("1 "&amp;AL$1),0)))+
  SUMPRODUCT(('Form responses 1'!$D$2:$D1000=$A98)*('Form responses 1'!$A$2:$A1000&lt;=EOMONTH(DATEVALUE("1 "&amp;AL$1),0)))+
  SUMPRODUCT(('Form responses 1'!$E$2:$E1000=$A98)*('Form responses 1'!$A$2:$A1000&lt;=EOMONTH(DATEVALUE("1 "&amp;AL$1),0)))+
  SUMPRODUCT(('Form responses 1'!$F$2:$F1000=$A98)*('Form responses 1'!$A$2:$A1000&lt;=EOMONTH(DATEVALUE("1 "&amp;AL$1),0)))+
  SUMPRODUCT(('Form responses 1'!$G$2:$G1000=$A98)*('Form responses 1'!$A$2:$A1000&lt;=EOMONTH(DATEVALUE("1 "&amp;AL$1),0)))
),2),"-")</f>
        <v>-</v>
      </c>
    </row>
    <row r="99">
      <c r="A99" s="3" t="str">
        <f>IFERROR(__xludf.DUMMYFUNCTION("""COMPUTED_VALUE"""),"Decathlon wandelbroek dun")</f>
        <v>Decathlon wandelbroek dun</v>
      </c>
      <c r="C99" s="2" t="str">
        <f>IFERROR(ROUND(Data!B90/(SUMPRODUCT(('Form responses 1'!$B$2:$B1000 = A99) * ('Form responses 1'!$A$2:$A1000 &lt;= DATE(2024, 1, 31)))
+ SUMPRODUCT(('Form responses 1'!$C$2:$C1000 = A99) * ('Form responses 1'!$A$2:$A1000 &lt;= DATE(2024, 1, 31)))
+ SUMPRODUCT(('Form responses 1'!$D$2:$D1000 = A99) * ('Form responses 1'!$A$2:$A1000 &lt;= DATE(2024, 1, 31)))
+ SUMPRODUCT(('Form responses 1'!$E$2:$E1000 = A99) * ('Form responses 1'!$A$2:$A1000 &lt;= DATE(2024, 1, 31)))
+ SUMPRODUCT(('Form responses 1'!$F$2:$F1000 = A99) * ('Form responses 1'!$A$2:$A1000 &lt;= DATE(2024, 1, 31)))
+ SUMPRODUCT(('Form responses 1'!$G$2:$G1000 = A99) * ('Form responses 1'!$A$2:$A1000 &lt;= DATE(2024, 1, 31)))), 2), "-")
</f>
        <v>-</v>
      </c>
      <c r="D99" s="2" t="str">
        <f>IFERROR(ROUND(Data!B90/(SUMPRODUCT(('Form responses 1'!$B$2:$B1000 = A99) * ('Form responses 1'!$A$2:$A1000 &lt;= DATE(2024, 2, 29)))
+ SUMPRODUCT(('Form responses 1'!$C$2:$C1000 = A99) * ('Form responses 1'!$A$2:$A1000 &lt;= DATE(2024, 2, 29)))
+ SUMPRODUCT(('Form responses 1'!$D$2:$D1000 = A99) * ('Form responses 1'!$A$2:$A1000 &lt;= DATE(2024, 2, 29)))
+ SUMPRODUCT(('Form responses 1'!$E$2:$E1000 = A99) * ('Form responses 1'!$A$2:$A1000 &lt;= DATE(2024, 2, 29)))
+ SUMPRODUCT(('Form responses 1'!$F$2:$F1000 = A99) * ('Form responses 1'!$A$2:$A1000 &lt;= DATE(2024, 2, 29)))
+ SUMPRODUCT(('Form responses 1'!$G$2:$G1000 = A99) * ('Form responses 1'!$A$2:$A1000 &lt;= DATE(2024, 2, 29)))), 2), "-")
</f>
        <v>-</v>
      </c>
      <c r="E99" s="2" t="str">
        <f>IFERROR(ROUND(Data!B90/(SUMPRODUCT(('Form responses 1'!$B$2:$B1000 = A99) * ('Form responses 1'!$A$2:$A1000 &lt;= DATE(2024, 3, 31)))
+ SUMPRODUCT(('Form responses 1'!$C$2:$C1000 = A99) * ('Form responses 1'!$A$2:$A1000 &lt;= DATE(2024, 3, 31)))
+ SUMPRODUCT(('Form responses 1'!$D$2:$D1000 = A99) * ('Form responses 1'!$A$2:$A1000 &lt;= DATE(2024, 3, 31)))
+ SUMPRODUCT(('Form responses 1'!$E$2:$E1000 = A99) * ('Form responses 1'!$A$2:$A1000 &lt;= DATE(2024, 3, 31)))
+ SUMPRODUCT(('Form responses 1'!$F$2:$F1000 = A99) * ('Form responses 1'!$A$2:$A1000 &lt;= DATE(2024, 3, 31)))
+ SUMPRODUCT(('Form responses 1'!$G$2:$G1000 = A99) * ('Form responses 1'!$A$2:$A1000 &lt;= DATE(2024, 3, 31)))), 2), "-")
</f>
        <v>-</v>
      </c>
      <c r="F99" s="2" t="str">
        <f>IFERROR(ROUND(Data!B90/(SUMPRODUCT(('Form responses 1'!$B$2:$B1000 = A99) * ('Form responses 1'!$A$2:$A1000 &lt;= DATE(2024, 4, 30)))
+ SUMPRODUCT(('Form responses 1'!$C$2:$C1000 = A99) * ('Form responses 1'!$A$2:$A1000 &lt;= DATE(2024, 4, 30)))
+ SUMPRODUCT(('Form responses 1'!$D$2:$D1000 = A99) * ('Form responses 1'!$A$2:$A1000 &lt;= DATE(2024, 4, 30)))
+ SUMPRODUCT(('Form responses 1'!$E$2:$E1000 = A99) * ('Form responses 1'!$A$2:$A1000 &lt;= DATE(2024, 4, 30)))
+ SUMPRODUCT(('Form responses 1'!$F$2:$F1000 = A99) * ('Form responses 1'!$A$2:$A1000 &lt;= DATE(2024, 4, 30)))
+ SUMPRODUCT(('Form responses 1'!$G$2:$G1000 = A99) * ('Form responses 1'!$A$2:$A1000 &lt;= DATE(2024, 4, 30)))), 2), "-")
</f>
        <v>-</v>
      </c>
      <c r="G99" s="2" t="str">
        <f>IFERROR(ROUND(Data!B90/(SUMPRODUCT(('Form responses 1'!$B$2:$B1000 = A99) * ('Form responses 1'!$A$2:$A1000 &lt;= DATE(2024, 5, 31)))
+ SUMPRODUCT(('Form responses 1'!$C$2:$C1000 = A99) * ('Form responses 1'!$A$2:$A1000 &lt;= DATE(2024, 5, 31)))
+ SUMPRODUCT(('Form responses 1'!$D$2:$D1000 = A99) * ('Form responses 1'!$A$2:$A1000 &lt;= DATE(2024, 5, 31)))
+ SUMPRODUCT(('Form responses 1'!$E$2:$E1000 = A99) * ('Form responses 1'!$A$2:$A1000 &lt;= DATE(2024, 5, 31)))
+ SUMPRODUCT(('Form responses 1'!$F$2:$F1000 = A99) * ('Form responses 1'!$A$2:$A1000 &lt;= DATE(2024, 5, 31)))
+ SUMPRODUCT(('Form responses 1'!$G$2:$G1000 = A99) * ('Form responses 1'!$A$2:$A1000 &lt;= DATE(2024, 5, 31)))), 2), "-")
</f>
        <v>-</v>
      </c>
      <c r="H99" s="2" t="str">
        <f>IFERROR(ROUND(Data!B90/(SUMPRODUCT(('Form responses 1'!$B$2:$B1000 = A99) * ('Form responses 1'!$A$2:$A1000 &lt;= DATE(2024, 6, 30)))
+ SUMPRODUCT(('Form responses 1'!$C$2:$C1000 = A99) * ('Form responses 1'!$A$2:$A1000 &lt;= DATE(2024, 6, 30)))
+ SUMPRODUCT(('Form responses 1'!$D$2:$D1000 = A99) * ('Form responses 1'!$A$2:$A1000 &lt;= DATE(2024, 6, 30)))
+ SUMPRODUCT(('Form responses 1'!$E$2:$E1000 = A99) * ('Form responses 1'!$A$2:$A1000 &lt;= DATE(2024, 6, 30)))
+ SUMPRODUCT(('Form responses 1'!$F$2:$F1000 = A99) * ('Form responses 1'!$A$2:$A1000 &lt;= DATE(2024, 6, 30)))
+ SUMPRODUCT(('Form responses 1'!$G$2:$G1000 = A99) * ('Form responses 1'!$A$2:$A1000 &lt;= DATE(2024, 6, 30)))), 2), "-")
</f>
        <v>-</v>
      </c>
      <c r="I99" s="2" t="str">
        <f>IFERROR(ROUND(Data!B90/(SUMPRODUCT(('Form responses 1'!$B$2:$B1000 = A99) * ('Form responses 1'!$A$2:$A1000 &lt;= DATE(2024, 7, 31)))
+ SUMPRODUCT(('Form responses 1'!$C$2:$C1000 = A99) * ('Form responses 1'!$A$2:$A1000 &lt;= DATE(2024, 7, 31)))
+ SUMPRODUCT(('Form responses 1'!$D$2:$D1000 = A99) * ('Form responses 1'!$A$2:$A1000 &lt;= DATE(2024, 7, 31)))
+ SUMPRODUCT(('Form responses 1'!$E$2:$E1000 = A99) * ('Form responses 1'!$A$2:$A1000 &lt;= DATE(2024, 7, 31)))
+ SUMPRODUCT(('Form responses 1'!$F$2:$F1000 = A99) * ('Form responses 1'!$A$2:$A1000 &lt;= DATE(2024, 7, 31)))
+ SUMPRODUCT(('Form responses 1'!$G$2:$G1000 = A99) * ('Form responses 1'!$A$2:$A1000 &lt;= DATE(2024, 7, 31)))), 2), "-")
</f>
        <v>-</v>
      </c>
      <c r="J99" s="2" t="str">
        <f>IFERROR(ROUND(Data!B90/(SUMPRODUCT(('Form responses 1'!$B$2:$B1000 = A99) * ('Form responses 1'!$A$2:$A1000 &lt;= DATE(2024, 8, 31)))
+ SUMPRODUCT(('Form responses 1'!$C$2:$C1000 = A99) * ('Form responses 1'!$A$2:$A1000 &lt;= DATE(2024, 8, 31)))
+ SUMPRODUCT(('Form responses 1'!$D$2:$D1000 = A99) * ('Form responses 1'!$A$2:$A1000 &lt;= DATE(2024, 8, 31)))
+ SUMPRODUCT(('Form responses 1'!$E$2:$E1000 = A99) * ('Form responses 1'!$A$2:$A1000 &lt;= DATE(2024, 8, 31)))
+ SUMPRODUCT(('Form responses 1'!$F$2:$F1000 = A99) * ('Form responses 1'!$A$2:$A1000 &lt;= DATE(2024, 8, 31)))
+ SUMPRODUCT(('Form responses 1'!$G$2:$G1000 = A99) * ('Form responses 1'!$A$2:$A1000 &lt;= DATE(2024, 8, 31)))), 2), "-")
</f>
        <v>-</v>
      </c>
      <c r="K99" s="2" t="str">
        <f>IFERROR(ROUND(Data!B90/(SUMPRODUCT(('Form responses 1'!$B$2:$B1000 = A99) * ('Form responses 1'!$A$2:$A1000 &lt;= DATE(2024, 9, 30)))
+ SUMPRODUCT(('Form responses 1'!$C$2:$C1000 = A99) * ('Form responses 1'!$A$2:$A1000 &lt;= DATE(2024, 9, 30)))
+ SUMPRODUCT(('Form responses 1'!$D$2:$D1000 = A99) * ('Form responses 1'!$A$2:$A1000 &lt;= DATE(2024, 9, 30)))
+ SUMPRODUCT(('Form responses 1'!$E$2:$E1000 = A99) * ('Form responses 1'!$A$2:$A1000 &lt;= DATE(2024, 9, 30)))
+ SUMPRODUCT(('Form responses 1'!$F$2:$F1000 = A99) * ('Form responses 1'!$A$2:$A1000 &lt;= DATE(2024, 9, 30)))
+ SUMPRODUCT(('Form responses 1'!$G$2:$G1000 = A99) * ('Form responses 1'!$A$2:$A1000 &lt;= DATE(2024, 9, 30)))), 2), "-")
</f>
        <v>-</v>
      </c>
      <c r="L99" s="2" t="str">
        <f>IFERROR(ROUND(Data!B90/(SUMPRODUCT(('Form responses 1'!$B$2:$B1000 = A99) * ('Form responses 1'!$A$2:$A1000 &lt;= DATE(2024, 10, 31)))
+ SUMPRODUCT(('Form responses 1'!$C$2:$C1000 = A99) * ('Form responses 1'!$A$2:$A1000 &lt;= DATE(2024, 10, 31)))
+ SUMPRODUCT(('Form responses 1'!$D$2:$D1000 = A99) * ('Form responses 1'!$A$2:$A1000 &lt;= DATE(2024, 10, 31)))
+ SUMPRODUCT(('Form responses 1'!$E$2:$E1000 = A99) * ('Form responses 1'!$A$2:$A1000 &lt;= DATE(2024, 10, 31)))
+ SUMPRODUCT(('Form responses 1'!$F$2:$F1000 = A99) * ('Form responses 1'!$A$2:$A1000 &lt;= DATE(2024, 10, 31)))
+ SUMPRODUCT(('Form responses 1'!$G$2:$G1000 = A99) * ('Form responses 1'!$A$2:$A1000 &lt;= DATE(2024, 10, 31)))), 2), "-")
</f>
        <v>-</v>
      </c>
      <c r="M99" s="2" t="str">
        <f>IFERROR(ROUND(Data!B90/(SUMPRODUCT(('Form responses 1'!$B$2:$B1000 = A99) * ('Form responses 1'!$A$2:$A1000 &lt;= DATE(2024, 11, 30)))
+ SUMPRODUCT(('Form responses 1'!$C$2:$C1000 = A99) * ('Form responses 1'!$A$2:$A1000 &lt;= DATE(2024, 11, 30)))
+ SUMPRODUCT(('Form responses 1'!$D$2:$D1000 = A99) * ('Form responses 1'!$A$2:$A1000 &lt;= DATE(2024, 11, 30)))
+ SUMPRODUCT(('Form responses 1'!$E$2:$E1000 = A99) * ('Form responses 1'!$A$2:$A1000 &lt;= DATE(2024, 11, 30)))
+ SUMPRODUCT(('Form responses 1'!$F$2:$F1000 = A99) * ('Form responses 1'!$A$2:$A1000 &lt;= DATE(2024, 11, 30)))
+ SUMPRODUCT(('Form responses 1'!$G$2:$G1000 = A99) * ('Form responses 1'!$A$2:$A1000 &lt;= DATE(2024, 11, 30)))), 2), "-")
</f>
        <v>-</v>
      </c>
      <c r="N99" s="2" t="str">
        <f>IFERROR(ROUND(Data!B90/(SUMPRODUCT(('Form responses 1'!$B$2:$B1000 = A99) * ('Form responses 1'!$A$2:$A1000 &lt;= DATE(2024, 12, 31)))
+ SUMPRODUCT(('Form responses 1'!$C$2:$C1000 = A99) * ('Form responses 1'!$A$2:$A1000 &lt;= DATE(2024, 12, 31)))
+ SUMPRODUCT(('Form responses 1'!$D$2:$D1000 = A99) * ('Form responses 1'!$A$2:$A1000 &lt;= DATE(2024, 12, 31)))
+ SUMPRODUCT(('Form responses 1'!$E$2:$E1000 = A99) * ('Form responses 1'!$A$2:$A1000 &lt;= DATE(2024, 12, 31)))
+ SUMPRODUCT(('Form responses 1'!$F$2:$F1000 = A99) * ('Form responses 1'!$A$2:$A1000 &lt;= DATE(2024, 12, 31)))
+ SUMPRODUCT(('Form responses 1'!$G$2:$G1000 = A99) * ('Form responses 1'!$A$2:$A1000 &lt;= DATE(2024, 12, 31)))), 2), "-")
</f>
        <v>-</v>
      </c>
      <c r="O99" s="2" t="str">
        <f>IFERROR(ROUND(Data!B90/(SUMPRODUCT(('Form responses 1'!$B$2:$B1000 = A99) * ('Form responses 1'!$A$2:$A1000 &lt;= DATE(2025, 1, 31)))
+ SUMPRODUCT(('Form responses 1'!$C$2:$C1000 = A99) * ('Form responses 1'!$A$2:$A1000 &lt;= DATE(2025, 1, 31)))
+ SUMPRODUCT(('Form responses 1'!$D$2:$D1000 = A99) * ('Form responses 1'!$A$2:$A1000 &lt;= DATE(2025, 1, 31)))
+ SUMPRODUCT(('Form responses 1'!$E$2:$E1000 = A99) * ('Form responses 1'!$A$2:$A1000 &lt;= DATE(2025, 1, 31)))
+ SUMPRODUCT(('Form responses 1'!$F$2:$F1000 = A99) * ('Form responses 1'!$A$2:$A1000 &lt;= DATE(2025, 1, 31)))
+ SUMPRODUCT(('Form responses 1'!$G$2:$G1000 = A99) * ('Form responses 1'!$A$2:$A1000 &lt;= DATE(2025, 1, 31)))), 2), "-")
</f>
        <v>-</v>
      </c>
      <c r="P99" s="2" t="str">
        <f>IFERROR(ROUND(Data!B90/(SUMPRODUCT(('Form responses 1'!$B$2:$B1000 = A99) * ('Form responses 1'!$A$2:$A1000 &lt;= DATE(2025, 2, 28)))
+ SUMPRODUCT(('Form responses 1'!$C$2:$C1000 = A99) * ('Form responses 1'!$A$2:$A1000 &lt;= DATE(2025, 2, 28)))
+ SUMPRODUCT(('Form responses 1'!$D$2:$D1000 = A99) * ('Form responses 1'!$A$2:$A1000 &lt;= DATE(2025, 2, 28)))
+ SUMPRODUCT(('Form responses 1'!$E$2:$E1000 = A99) * ('Form responses 1'!$A$2:$A1000 &lt;= DATE(2025, 2, 28)))
+ SUMPRODUCT(('Form responses 1'!$F$2:$F1000 = A99) * ('Form responses 1'!$A$2:$A1000 &lt;= DATE(2025, 2, 28)))
+ SUMPRODUCT(('Form responses 1'!$G$2:$G1000 = A99) * ('Form responses 1'!$A$2:$A1000 &lt;= DATE(2025, 2, 28)))), 2), "-")
</f>
        <v>-</v>
      </c>
      <c r="Q99" s="2" t="str">
        <f>IFERROR(ROUND(Data!B90/(SUMPRODUCT(('Form responses 1'!$B$2:$B1000 = A99) * ('Form responses 1'!$A$2:$A1000 &lt;= DATE(2025, 3, 31)))
+ SUMPRODUCT(('Form responses 1'!$C$2:$C1000 = A99) * ('Form responses 1'!$A$2:$A1000 &lt;= DATE(2025, 3, 31)))
+ SUMPRODUCT(('Form responses 1'!$D$2:$D1000 = A99) * ('Form responses 1'!$A$2:$A1000 &lt;= DATE(2025, 3, 31)))
+ SUMPRODUCT(('Form responses 1'!$E$2:$E1000 = A99) * ('Form responses 1'!$A$2:$A1000 &lt;= DATE(2025, 3, 31)))
+ SUMPRODUCT(('Form responses 1'!$F$2:$F1000 = A99) * ('Form responses 1'!$A$2:$A1000 &lt;= DATE(2025, 3, 31)))
+ SUMPRODUCT(('Form responses 1'!$G$2:$G1000 = A99) * ('Form responses 1'!$A$2:$A1000 &lt;= DATE(2025, 3, 31)))),2),"-")</f>
        <v>-</v>
      </c>
      <c r="R99" s="2" t="str">
        <f>IFERROR(ROUND(Data!B90/(SUMPRODUCT(('Form responses 1'!$B$2:$B1000 = A99) * ('Form responses 1'!$A$2:$A1000 &lt;= DATE(2025, 4, 30)))
+ SUMPRODUCT(('Form responses 1'!$C$2:$C1000 = A99) * ('Form responses 1'!$A$2:$A1000 &lt;= DATE(2025, 4, 30)))
+ SUMPRODUCT(('Form responses 1'!$D$2:$D1000 = A99) * ('Form responses 1'!$A$2:$A1000 &lt;= DATE(2025, 4, 30)))
+ SUMPRODUCT(('Form responses 1'!$E$2:$E1000 = A99) * ('Form responses 1'!$A$2:$A1000 &lt;= DATE(2025, 4, 30)))
+ SUMPRODUCT(('Form responses 1'!$F$2:$F1000 = A99) * ('Form responses 1'!$A$2:$A1000 &lt;= DATE(2025, 4, 30)))
+ SUMPRODUCT(('Form responses 1'!$G$2:$G1000 = A99) * ('Form responses 1'!$A$2:$A1000 &lt;= DATE(2025, 4, 30)))), 2), "-")
</f>
        <v>-</v>
      </c>
      <c r="S99" s="2" t="str">
        <f>IFERROR(ROUND(Data!B90/(SUMPRODUCT(('Form responses 1'!$B$2:$B1000 = A99) * ('Form responses 1'!$A$2:$A1000 &lt;= DATE(2025, 5, 31)))
+ SUMPRODUCT(('Form responses 1'!$C$2:$C1000 = A99) * ('Form responses 1'!$A$2:$A1000 &lt;= DATE(2025, 5, 31)))
+ SUMPRODUCT(('Form responses 1'!$D$2:$D1000 = A99) * ('Form responses 1'!$A$2:$A1000 &lt;= DATE(2025, 5, 31)))
+ SUMPRODUCT(('Form responses 1'!$E$2:$E1000 = A99) * ('Form responses 1'!$A$2:$A1000 &lt;= DATE(2025, 5, 31)))
+ SUMPRODUCT(('Form responses 1'!$F$2:$F1000 = A99) * ('Form responses 1'!$A$2:$A1000 &lt;= DATE(2025, 5, 31)))
+ SUMPRODUCT(('Form responses 1'!$G$2:$G1000 = A99) * ('Form responses 1'!$A$2:$A1000 &lt;= DATE(2025, 5, 31)))), 2), "-")
</f>
        <v>-</v>
      </c>
      <c r="T99" s="2" t="str">
        <f>IFERROR(ROUND(Data!B90/(SUMPRODUCT(('Form responses 1'!$B$2:$B1000 = A99) * ('Form responses 1'!$A$2:$A1000 &lt;= DATE(2025, 6, 30)))
+ SUMPRODUCT(('Form responses 1'!$C$2:$C1000 = A99) * ('Form responses 1'!$A$2:$A1000 &lt;= DATE(2025, 6, 30)))
+ SUMPRODUCT(('Form responses 1'!$D$2:$D1000 = A99) * ('Form responses 1'!$A$2:$A1000 &lt;= DATE(2025, 6, 30)))
+ SUMPRODUCT(('Form responses 1'!$E$2:$E1000 = A99) * ('Form responses 1'!$A$2:$A1000 &lt;= DATE(2025, 6, 30)))
+ SUMPRODUCT(('Form responses 1'!$F$2:$F1000 = A99) * ('Form responses 1'!$A$2:$A1000 &lt;= DATE(2025, 6, 30)))
+ SUMPRODUCT(('Form responses 1'!$G$2:$G1000 = A99) * ('Form responses 1'!$A$2:$A1000 &lt;= DATE(2025, 6, 30)))), 2), "-")
</f>
        <v>-</v>
      </c>
      <c r="U99" s="2" t="str">
        <f>IFERROR(ROUND(Data!B90/(SUMPRODUCT(('Form responses 1'!$B$2:$B1000 = A99) * ('Form responses 1'!$A$2:$A1000 &lt;= DATE(2025, 7, 31)))
+ SUMPRODUCT(('Form responses 1'!$C$2:$C1000 = A99) * ('Form responses 1'!$A$2:$A1000 &lt;= DATE(2025, 7, 31)))
+ SUMPRODUCT(('Form responses 1'!$D$2:$D1000 = A99) * ('Form responses 1'!$A$2:$A1000 &lt;= DATE(2025, 7, 31)))
+ SUMPRODUCT(('Form responses 1'!$E$2:$E1000 = A99) * ('Form responses 1'!$A$2:$A1000 &lt;= DATE(2025, 7, 31)))
+ SUMPRODUCT(('Form responses 1'!$F$2:$F1000 = A99) * ('Form responses 1'!$A$2:$A1000 &lt;= DATE(2025, 7, 31)))
+ SUMPRODUCT(('Form responses 1'!$G$2:$G1000 = A99) * ('Form responses 1'!$A$2:$A1000 &lt;= DATE(2025, 7, 31)))), 2), "-")
</f>
        <v>-</v>
      </c>
      <c r="V99" s="2">
        <f>IFERROR(ROUND(Data!B90/(SUMPRODUCT(('Form responses 1'!$B$2:$B1000 = A99) * ('Form responses 1'!$A$2:$A1000 &lt;= DATE(2025, 8, 31)))
+ SUMPRODUCT(('Form responses 1'!$C$2:$C1000 = A99) * ('Form responses 1'!$A$2:$A1000 &lt;= DATE(2025, 8, 31)))
+ SUMPRODUCT(('Form responses 1'!$D$2:$D1000 = A99) * ('Form responses 1'!$A$2:$A1000 &lt;= DATE(2025, 8, 31)))
+ SUMPRODUCT(('Form responses 1'!$E$2:$E1000 = A99) * ('Form responses 1'!$A$2:$A1000 &lt;= DATE(2025, 8, 31)))
+ SUMPRODUCT(('Form responses 1'!$F$2:$F1000 = A99) * ('Form responses 1'!$A$2:$A1000 &lt;= DATE(2025, 8, 31)))
+ SUMPRODUCT(('Form responses 1'!$G$2:$G1000 = A99) * ('Form responses 1'!$A$2:$A1000 &lt;= DATE(2025, 8, 31)))), 2), "-")
</f>
        <v>0.85</v>
      </c>
      <c r="W99" s="2">
        <f>IFERROR(ROUND(Data!B90/(SUMPRODUCT(('Form responses 1'!$B$2:$B1000 = A99) * ('Form responses 1'!$A$2:$A1000 &lt;= DATE(2025, 9, 30)))
+ SUMPRODUCT(('Form responses 1'!$C$2:$C1000 = A99) * ('Form responses 1'!$A$2:$A1000 &lt;= DATE(2025, 9, 30)))
+ SUMPRODUCT(('Form responses 1'!$D$2:$D1000 = A99) * ('Form responses 1'!$A$2:$A1000 &lt;= DATE(2025, 9, 30)))
+ SUMPRODUCT(('Form responses 1'!$E$2:$E1000 = A99) * ('Form responses 1'!$A$2:$A1000 &lt;= DATE(2025, 9, 30)))
+ SUMPRODUCT(('Form responses 1'!$F$2:$F1000 = A99) * ('Form responses 1'!$A$2:$A1000 &lt;= DATE(2025, 9, 30)))
+ SUMPRODUCT(('Form responses 1'!$G$2:$G1000 = A99) * ('Form responses 1'!$A$2:$A1000 &lt;= DATE(2025, 9, 30)))), 2), "-")
</f>
        <v>0.66</v>
      </c>
      <c r="X99" s="2">
        <f>IFERROR(ROUND(Data!B90/(SUMPRODUCT(('Form responses 1'!$B$2:$B1000 = A99) * ('Form responses 1'!$A$2:$A1000 &lt;= DATE(2025, 10, 31)))
+ SUMPRODUCT(('Form responses 1'!$C$2:$C1000 = A99) * ('Form responses 1'!$A$2:$A1000 &lt;= DATE(2025, 10, 31)))
+ SUMPRODUCT(('Form responses 1'!$D$2:$D1000 = A99) * ('Form responses 1'!$A$2:$A1000 &lt;= DATE(2025, 10, 31)))
+ SUMPRODUCT(('Form responses 1'!$E$2:$E1000 = A99) * ('Form responses 1'!$A$2:$A1000 &lt;= DATE(2025, 10, 31)))
+ SUMPRODUCT(('Form responses 1'!$F$2:$F1000 = A99) * ('Form responses 1'!$A$2:$A1000 &lt;= DATE(2025, 10, 31)))
+ SUMPRODUCT(('Form responses 1'!$G$2:$G1000 = A99) * ('Form responses 1'!$A$2:$A1000 &lt;= DATE(2025, 10, 31)))), 2), "-")
</f>
        <v>0.66</v>
      </c>
      <c r="Y99" s="2">
        <f>IFERROR(ROUND(Data!B90/(SUMPRODUCT(('Form responses 1'!$B$2:$B1000 = A99) * ('Form responses 1'!$A$2:$A1000 &lt;= DATE(2025, 11, 30)))
+ SUMPRODUCT(('Form responses 1'!$C$2:$C1000 = A99) * ('Form responses 1'!$A$2:$A1000 &lt;= DATE(2025, 11, 30)))
+ SUMPRODUCT(('Form responses 1'!$D$2:$D1000 = A99) * ('Form responses 1'!$A$2:$A1000 &lt;= DATE(2025, 11, 30)))
+ SUMPRODUCT(('Form responses 1'!$E$2:$E1000 = A99) * ('Form responses 1'!$A$2:$A1000 &lt;= DATE(2025, 11, 30)))
+ SUMPRODUCT(('Form responses 1'!$F$2:$F1000 = A99) * ('Form responses 1'!$A$2:$A1000 &lt;= DATE(2025, 11, 30)))
+ SUMPRODUCT(('Form responses 1'!$G$2:$G1000 = A99) * ('Form responses 1'!$A$2:$A1000 &lt;= DATE(2025, 11, 30)))), 2), "-")
</f>
        <v>0.66</v>
      </c>
      <c r="Z99" s="2">
        <f>IFERROR(ROUND(Data!B90/(SUMPRODUCT(('Form responses 1'!$B$2:$B1000 = A99) * ('Form responses 1'!$A$2:$A1000 &lt;= DATE(2025, 12, 31)))
+ SUMPRODUCT(('Form responses 1'!$C$2:$C1000 = A99) * ('Form responses 1'!$A$2:$A1000 &lt;= DATE(2025, 12, 31)))
+ SUMPRODUCT(('Form responses 1'!$D$2:$D1000 = A99) * ('Form responses 1'!$A$2:$A1000 &lt;= DATE(2025, 12, 31)))
+ SUMPRODUCT(('Form responses 1'!$E$2:$E1000 = A99) * ('Form responses 1'!$A$2:$A1000 &lt;= DATE(2025, 12, 31)))
+ SUMPRODUCT(('Form responses 1'!$F$2:$F1000 = A99) * ('Form responses 1'!$A$2:$A1000 &lt;= DATE(2025, 12, 31)))
+ SUMPRODUCT(('Form responses 1'!$G$2:$G1000 = A99) * ('Form responses 1'!$A$2:$A1000 &lt;= DATE(2025, 12, 31)))), 2), "-")
</f>
        <v>0.66</v>
      </c>
      <c r="AA99" s="2">
        <f>IFERROR(ROUND(Data!$B99/(
  SUMPRODUCT(('Form responses 1'!$B$2:$B1000=$A99)*('Form responses 1'!$A$2:$A1000&lt;=EOMONTH(DATEVALUE("1 "&amp;AA$1),0)))+
  SUMPRODUCT(('Form responses 1'!$C$2:$C1000=$A99)*('Form responses 1'!$A$2:$A1000&lt;=EOMONTH(DATEVALUE("1 "&amp;AA$1),0)))+
  SUMPRODUCT(('Form responses 1'!$D$2:$D1000=$A99)*('Form responses 1'!$A$2:$A1000&lt;=EOMONTH(DATEVALUE("1 "&amp;AA$1),0)))+
  SUMPRODUCT(('Form responses 1'!$E$2:$E1000=$A99)*('Form responses 1'!$A$2:$A1000&lt;=EOMONTH(DATEVALUE("1 "&amp;AA$1),0)))+
  SUMPRODUCT(('Form responses 1'!$F$2:$F1000=$A99)*('Form responses 1'!$A$2:$A1000&lt;=EOMONTH(DATEVALUE("1 "&amp;AA$1),0)))+
  SUMPRODUCT(('Form responses 1'!$G$2:$G1000=$A99)*('Form responses 1'!$A$2:$A1000&lt;=EOMONTH(DATEVALUE("1 "&amp;AA$1),0)))
),2),"-")</f>
        <v>3.89</v>
      </c>
      <c r="AB99" s="2">
        <f>IFERROR(ROUND(Data!$B99/(
  SUMPRODUCT(('Form responses 1'!$B$2:$B1000=$A99)*('Form responses 1'!$A$2:$A1000&lt;=EOMONTH(DATEVALUE("1 "&amp;AB$1),0)))+
  SUMPRODUCT(('Form responses 1'!$C$2:$C1000=$A99)*('Form responses 1'!$A$2:$A1000&lt;=EOMONTH(DATEVALUE("1 "&amp;AB$1),0)))+
  SUMPRODUCT(('Form responses 1'!$D$2:$D1000=$A99)*('Form responses 1'!$A$2:$A1000&lt;=EOMONTH(DATEVALUE("1 "&amp;AB$1),0)))+
  SUMPRODUCT(('Form responses 1'!$E$2:$E1000=$A99)*('Form responses 1'!$A$2:$A1000&lt;=EOMONTH(DATEVALUE("1 "&amp;AB$1),0)))+
  SUMPRODUCT(('Form responses 1'!$F$2:$F1000=$A99)*('Form responses 1'!$A$2:$A1000&lt;=EOMONTH(DATEVALUE("1 "&amp;AB$1),0)))+
  SUMPRODUCT(('Form responses 1'!$G$2:$G1000=$A99)*('Form responses 1'!$A$2:$A1000&lt;=EOMONTH(DATEVALUE("1 "&amp;AB$1),0)))
),2),"-")</f>
        <v>3.89</v>
      </c>
      <c r="AC99" s="2">
        <f>IFERROR(ROUND(Data!$B99/(
  SUMPRODUCT(('Form responses 1'!$B$2:$B1000=$A99)*('Form responses 1'!$A$2:$A1000&lt;=EOMONTH(DATEVALUE("1 "&amp;AC$1),0)))+
  SUMPRODUCT(('Form responses 1'!$C$2:$C1000=$A99)*('Form responses 1'!$A$2:$A1000&lt;=EOMONTH(DATEVALUE("1 "&amp;AC$1),0)))+
  SUMPRODUCT(('Form responses 1'!$D$2:$D1000=$A99)*('Form responses 1'!$A$2:$A1000&lt;=EOMONTH(DATEVALUE("1 "&amp;AC$1),0)))+
  SUMPRODUCT(('Form responses 1'!$E$2:$E1000=$A99)*('Form responses 1'!$A$2:$A1000&lt;=EOMONTH(DATEVALUE("1 "&amp;AC$1),0)))+
  SUMPRODUCT(('Form responses 1'!$F$2:$F1000=$A99)*('Form responses 1'!$A$2:$A1000&lt;=EOMONTH(DATEVALUE("1 "&amp;AC$1),0)))+
  SUMPRODUCT(('Form responses 1'!$G$2:$G1000=$A99)*('Form responses 1'!$A$2:$A1000&lt;=EOMONTH(DATEVALUE("1 "&amp;AC$1),0)))
),2),"-")</f>
        <v>3.89</v>
      </c>
      <c r="AD99" s="2" t="str">
        <f>IFERROR(ROUND(Data!$B99/(
  SUMPRODUCT(('Form responses 1'!$B$2:$B1000=$A99)*('Form responses 1'!$A$2:$A1000&lt;=EOMONTH(DATEVALUE("1 "&amp;AD$1),0)))+
  SUMPRODUCT(('Form responses 1'!$C$2:$C1000=$A99)*('Form responses 1'!$A$2:$A1000&lt;=EOMONTH(DATEVALUE("1 "&amp;AD$1),0)))+
  SUMPRODUCT(('Form responses 1'!$D$2:$D1000=$A99)*('Form responses 1'!$A$2:$A1000&lt;=EOMONTH(DATEVALUE("1 "&amp;AD$1),0)))+
  SUMPRODUCT(('Form responses 1'!$E$2:$E1000=$A99)*('Form responses 1'!$A$2:$A1000&lt;=EOMONTH(DATEVALUE("1 "&amp;AD$1),0)))+
  SUMPRODUCT(('Form responses 1'!$F$2:$F1000=$A99)*('Form responses 1'!$A$2:$A1000&lt;=EOMONTH(DATEVALUE("1 "&amp;AD$1),0)))+
  SUMPRODUCT(('Form responses 1'!$G$2:$G1000=$A99)*('Form responses 1'!$A$2:$A1000&lt;=EOMONTH(DATEVALUE("1 "&amp;AD$1),0)))
),2),"-")</f>
        <v>-</v>
      </c>
      <c r="AE99" s="2" t="str">
        <f>IFERROR(ROUND(Data!$B99/(
  SUMPRODUCT(('Form responses 1'!$B$2:$B1000=$A99)*('Form responses 1'!$A$2:$A1000&lt;=EOMONTH(DATEVALUE("1 "&amp;AE$1),0)))+
  SUMPRODUCT(('Form responses 1'!$C$2:$C1000=$A99)*('Form responses 1'!$A$2:$A1000&lt;=EOMONTH(DATEVALUE("1 "&amp;AE$1),0)))+
  SUMPRODUCT(('Form responses 1'!$D$2:$D1000=$A99)*('Form responses 1'!$A$2:$A1000&lt;=EOMONTH(DATEVALUE("1 "&amp;AE$1),0)))+
  SUMPRODUCT(('Form responses 1'!$E$2:$E1000=$A99)*('Form responses 1'!$A$2:$A1000&lt;=EOMONTH(DATEVALUE("1 "&amp;AE$1),0)))+
  SUMPRODUCT(('Form responses 1'!$F$2:$F1000=$A99)*('Form responses 1'!$A$2:$A1000&lt;=EOMONTH(DATEVALUE("1 "&amp;AE$1),0)))+
  SUMPRODUCT(('Form responses 1'!$G$2:$G1000=$A99)*('Form responses 1'!$A$2:$A1000&lt;=EOMONTH(DATEVALUE("1 "&amp;AE$1),0)))
),2),"-")</f>
        <v>-</v>
      </c>
      <c r="AF99" s="2" t="str">
        <f>IFERROR(ROUND(Data!$B99/(
  SUMPRODUCT(('Form responses 1'!$B$2:$B1000=$A99)*('Form responses 1'!$A$2:$A1000&lt;=EOMONTH(DATEVALUE("1 "&amp;AF$1),0)))+
  SUMPRODUCT(('Form responses 1'!$C$2:$C1000=$A99)*('Form responses 1'!$A$2:$A1000&lt;=EOMONTH(DATEVALUE("1 "&amp;AF$1),0)))+
  SUMPRODUCT(('Form responses 1'!$D$2:$D1000=$A99)*('Form responses 1'!$A$2:$A1000&lt;=EOMONTH(DATEVALUE("1 "&amp;AF$1),0)))+
  SUMPRODUCT(('Form responses 1'!$E$2:$E1000=$A99)*('Form responses 1'!$A$2:$A1000&lt;=EOMONTH(DATEVALUE("1 "&amp;AF$1),0)))+
  SUMPRODUCT(('Form responses 1'!$F$2:$F1000=$A99)*('Form responses 1'!$A$2:$A1000&lt;=EOMONTH(DATEVALUE("1 "&amp;AF$1),0)))+
  SUMPRODUCT(('Form responses 1'!$G$2:$G1000=$A99)*('Form responses 1'!$A$2:$A1000&lt;=EOMONTH(DATEVALUE("1 "&amp;AF$1),0)))
),2),"-")</f>
        <v>-</v>
      </c>
      <c r="AG99" s="2" t="str">
        <f>IFERROR(ROUND(Data!$B99/(
  SUMPRODUCT(('Form responses 1'!$B$2:$B1000=$A99)*('Form responses 1'!$A$2:$A1000&lt;=EOMONTH(DATEVALUE("1 "&amp;AG$1),0)))+
  SUMPRODUCT(('Form responses 1'!$C$2:$C1000=$A99)*('Form responses 1'!$A$2:$A1000&lt;=EOMONTH(DATEVALUE("1 "&amp;AG$1),0)))+
  SUMPRODUCT(('Form responses 1'!$D$2:$D1000=$A99)*('Form responses 1'!$A$2:$A1000&lt;=EOMONTH(DATEVALUE("1 "&amp;AG$1),0)))+
  SUMPRODUCT(('Form responses 1'!$E$2:$E1000=$A99)*('Form responses 1'!$A$2:$A1000&lt;=EOMONTH(DATEVALUE("1 "&amp;AG$1),0)))+
  SUMPRODUCT(('Form responses 1'!$F$2:$F1000=$A99)*('Form responses 1'!$A$2:$A1000&lt;=EOMONTH(DATEVALUE("1 "&amp;AG$1),0)))+
  SUMPRODUCT(('Form responses 1'!$G$2:$G1000=$A99)*('Form responses 1'!$A$2:$A1000&lt;=EOMONTH(DATEVALUE("1 "&amp;AG$1),0)))
),2),"-")</f>
        <v>-</v>
      </c>
      <c r="AH99" s="2" t="str">
        <f>IFERROR(ROUND(Data!$B99/(
  SUMPRODUCT(('Form responses 1'!$B$2:$B1000=$A99)*('Form responses 1'!$A$2:$A1000&lt;=EOMONTH(DATEVALUE("1 "&amp;AH$1),0)))+
  SUMPRODUCT(('Form responses 1'!$C$2:$C1000=$A99)*('Form responses 1'!$A$2:$A1000&lt;=EOMONTH(DATEVALUE("1 "&amp;AH$1),0)))+
  SUMPRODUCT(('Form responses 1'!$D$2:$D1000=$A99)*('Form responses 1'!$A$2:$A1000&lt;=EOMONTH(DATEVALUE("1 "&amp;AH$1),0)))+
  SUMPRODUCT(('Form responses 1'!$E$2:$E1000=$A99)*('Form responses 1'!$A$2:$A1000&lt;=EOMONTH(DATEVALUE("1 "&amp;AH$1),0)))+
  SUMPRODUCT(('Form responses 1'!$F$2:$F1000=$A99)*('Form responses 1'!$A$2:$A1000&lt;=EOMONTH(DATEVALUE("1 "&amp;AH$1),0)))+
  SUMPRODUCT(('Form responses 1'!$G$2:$G1000=$A99)*('Form responses 1'!$A$2:$A1000&lt;=EOMONTH(DATEVALUE("1 "&amp;AH$1),0)))
),2),"-")</f>
        <v>-</v>
      </c>
      <c r="AI99" s="2" t="str">
        <f>IFERROR(ROUND(Data!$B99/(
  SUMPRODUCT(('Form responses 1'!$B$2:$B1000=$A99)*('Form responses 1'!$A$2:$A1000&lt;=EOMONTH(DATEVALUE("1 "&amp;AI$1),0)))+
  SUMPRODUCT(('Form responses 1'!$C$2:$C1000=$A99)*('Form responses 1'!$A$2:$A1000&lt;=EOMONTH(DATEVALUE("1 "&amp;AI$1),0)))+
  SUMPRODUCT(('Form responses 1'!$D$2:$D1000=$A99)*('Form responses 1'!$A$2:$A1000&lt;=EOMONTH(DATEVALUE("1 "&amp;AI$1),0)))+
  SUMPRODUCT(('Form responses 1'!$E$2:$E1000=$A99)*('Form responses 1'!$A$2:$A1000&lt;=EOMONTH(DATEVALUE("1 "&amp;AI$1),0)))+
  SUMPRODUCT(('Form responses 1'!$F$2:$F1000=$A99)*('Form responses 1'!$A$2:$A1000&lt;=EOMONTH(DATEVALUE("1 "&amp;AI$1),0)))+
  SUMPRODUCT(('Form responses 1'!$G$2:$G1000=$A99)*('Form responses 1'!$A$2:$A1000&lt;=EOMONTH(DATEVALUE("1 "&amp;AI$1),0)))
),2),"-")</f>
        <v>-</v>
      </c>
      <c r="AJ99" s="2" t="str">
        <f>IFERROR(ROUND(Data!$B99/(
  SUMPRODUCT(('Form responses 1'!$B$2:$B1000=$A99)*('Form responses 1'!$A$2:$A1000&lt;=EOMONTH(DATEVALUE("1 "&amp;AJ$1),0)))+
  SUMPRODUCT(('Form responses 1'!$C$2:$C1000=$A99)*('Form responses 1'!$A$2:$A1000&lt;=EOMONTH(DATEVALUE("1 "&amp;AJ$1),0)))+
  SUMPRODUCT(('Form responses 1'!$D$2:$D1000=$A99)*('Form responses 1'!$A$2:$A1000&lt;=EOMONTH(DATEVALUE("1 "&amp;AJ$1),0)))+
  SUMPRODUCT(('Form responses 1'!$E$2:$E1000=$A99)*('Form responses 1'!$A$2:$A1000&lt;=EOMONTH(DATEVALUE("1 "&amp;AJ$1),0)))+
  SUMPRODUCT(('Form responses 1'!$F$2:$F1000=$A99)*('Form responses 1'!$A$2:$A1000&lt;=EOMONTH(DATEVALUE("1 "&amp;AJ$1),0)))+
  SUMPRODUCT(('Form responses 1'!$G$2:$G1000=$A99)*('Form responses 1'!$A$2:$A1000&lt;=EOMONTH(DATEVALUE("1 "&amp;AJ$1),0)))
),2),"-")</f>
        <v>-</v>
      </c>
      <c r="AK99" s="2" t="str">
        <f>IFERROR(ROUND(Data!$B99/(
  SUMPRODUCT(('Form responses 1'!$B$2:$B1000=$A99)*('Form responses 1'!$A$2:$A1000&lt;=EOMONTH(DATEVALUE("1 "&amp;AK$1),0)))+
  SUMPRODUCT(('Form responses 1'!$C$2:$C1000=$A99)*('Form responses 1'!$A$2:$A1000&lt;=EOMONTH(DATEVALUE("1 "&amp;AK$1),0)))+
  SUMPRODUCT(('Form responses 1'!$D$2:$D1000=$A99)*('Form responses 1'!$A$2:$A1000&lt;=EOMONTH(DATEVALUE("1 "&amp;AK$1),0)))+
  SUMPRODUCT(('Form responses 1'!$E$2:$E1000=$A99)*('Form responses 1'!$A$2:$A1000&lt;=EOMONTH(DATEVALUE("1 "&amp;AK$1),0)))+
  SUMPRODUCT(('Form responses 1'!$F$2:$F1000=$A99)*('Form responses 1'!$A$2:$A1000&lt;=EOMONTH(DATEVALUE("1 "&amp;AK$1),0)))+
  SUMPRODUCT(('Form responses 1'!$G$2:$G1000=$A99)*('Form responses 1'!$A$2:$A1000&lt;=EOMONTH(DATEVALUE("1 "&amp;AK$1),0)))
),2),"-")</f>
        <v>-</v>
      </c>
      <c r="AL99" s="2" t="str">
        <f>IFERROR(ROUND(Data!$B99/(
  SUMPRODUCT(('Form responses 1'!$B$2:$B1000=$A99)*('Form responses 1'!$A$2:$A1000&lt;=EOMONTH(DATEVALUE("1 "&amp;AL$1),0)))+
  SUMPRODUCT(('Form responses 1'!$C$2:$C1000=$A99)*('Form responses 1'!$A$2:$A1000&lt;=EOMONTH(DATEVALUE("1 "&amp;AL$1),0)))+
  SUMPRODUCT(('Form responses 1'!$D$2:$D1000=$A99)*('Form responses 1'!$A$2:$A1000&lt;=EOMONTH(DATEVALUE("1 "&amp;AL$1),0)))+
  SUMPRODUCT(('Form responses 1'!$E$2:$E1000=$A99)*('Form responses 1'!$A$2:$A1000&lt;=EOMONTH(DATEVALUE("1 "&amp;AL$1),0)))+
  SUMPRODUCT(('Form responses 1'!$F$2:$F1000=$A99)*('Form responses 1'!$A$2:$A1000&lt;=EOMONTH(DATEVALUE("1 "&amp;AL$1),0)))+
  SUMPRODUCT(('Form responses 1'!$G$2:$G1000=$A99)*('Form responses 1'!$A$2:$A1000&lt;=EOMONTH(DATEVALUE("1 "&amp;AL$1),0)))
),2),"-")</f>
        <v>-</v>
      </c>
    </row>
    <row r="100">
      <c r="A100" s="3" t="str">
        <f>IFERROR(__xludf.DUMMYFUNCTION("""COMPUTED_VALUE"""),"Decathlon wandelbroek dik")</f>
        <v>Decathlon wandelbroek dik</v>
      </c>
      <c r="C100" s="2" t="str">
        <f>IFERROR(ROUND(Data!B91/(SUMPRODUCT(('Form responses 1'!$B$2:$B1000 = A100) * ('Form responses 1'!$A$2:$A1000 &lt;= DATE(2024, 1, 31)))
+ SUMPRODUCT(('Form responses 1'!$C$2:$C1000 = A100) * ('Form responses 1'!$A$2:$A1000 &lt;= DATE(2024, 1, 31)))
+ SUMPRODUCT(('Form responses 1'!$D$2:$D1000 = A100) * ('Form responses 1'!$A$2:$A1000 &lt;= DATE(2024, 1, 31)))
+ SUMPRODUCT(('Form responses 1'!$E$2:$E1000 = A100) * ('Form responses 1'!$A$2:$A1000 &lt;= DATE(2024, 1, 31)))
+ SUMPRODUCT(('Form responses 1'!$F$2:$F1000 = A100) * ('Form responses 1'!$A$2:$A1000 &lt;= DATE(2024, 1, 31)))
+ SUMPRODUCT(('Form responses 1'!$G$2:$G1000 = A100) * ('Form responses 1'!$A$2:$A1000 &lt;= DATE(2024, 1, 31)))), 2), "-")
</f>
        <v>-</v>
      </c>
      <c r="D100" s="2" t="str">
        <f>IFERROR(ROUND(Data!B91/(SUMPRODUCT(('Form responses 1'!$B$2:$B1000 = A100) * ('Form responses 1'!$A$2:$A1000 &lt;= DATE(2024, 2, 29)))
+ SUMPRODUCT(('Form responses 1'!$C$2:$C1000 = A100) * ('Form responses 1'!$A$2:$A1000 &lt;= DATE(2024, 2, 29)))
+ SUMPRODUCT(('Form responses 1'!$D$2:$D1000 = A100) * ('Form responses 1'!$A$2:$A1000 &lt;= DATE(2024, 2, 29)))
+ SUMPRODUCT(('Form responses 1'!$E$2:$E1000 = A100) * ('Form responses 1'!$A$2:$A1000 &lt;= DATE(2024, 2, 29)))
+ SUMPRODUCT(('Form responses 1'!$F$2:$F1000 = A100) * ('Form responses 1'!$A$2:$A1000 &lt;= DATE(2024, 2, 29)))
+ SUMPRODUCT(('Form responses 1'!$G$2:$G1000 = A100) * ('Form responses 1'!$A$2:$A1000 &lt;= DATE(2024, 2, 29)))), 2), "-")
</f>
        <v>-</v>
      </c>
      <c r="E100" s="2" t="str">
        <f>IFERROR(ROUND(Data!B91/(SUMPRODUCT(('Form responses 1'!$B$2:$B1000 = A100) * ('Form responses 1'!$A$2:$A1000 &lt;= DATE(2024, 3, 31)))
+ SUMPRODUCT(('Form responses 1'!$C$2:$C1000 = A100) * ('Form responses 1'!$A$2:$A1000 &lt;= DATE(2024, 3, 31)))
+ SUMPRODUCT(('Form responses 1'!$D$2:$D1000 = A100) * ('Form responses 1'!$A$2:$A1000 &lt;= DATE(2024, 3, 31)))
+ SUMPRODUCT(('Form responses 1'!$E$2:$E1000 = A100) * ('Form responses 1'!$A$2:$A1000 &lt;= DATE(2024, 3, 31)))
+ SUMPRODUCT(('Form responses 1'!$F$2:$F1000 = A100) * ('Form responses 1'!$A$2:$A1000 &lt;= DATE(2024, 3, 31)))
+ SUMPRODUCT(('Form responses 1'!$G$2:$G1000 = A100) * ('Form responses 1'!$A$2:$A1000 &lt;= DATE(2024, 3, 31)))), 2), "-")
</f>
        <v>-</v>
      </c>
      <c r="F100" s="2" t="str">
        <f>IFERROR(ROUND(Data!B91/(SUMPRODUCT(('Form responses 1'!$B$2:$B1000 = A100) * ('Form responses 1'!$A$2:$A1000 &lt;= DATE(2024, 4, 30)))
+ SUMPRODUCT(('Form responses 1'!$C$2:$C1000 = A100) * ('Form responses 1'!$A$2:$A1000 &lt;= DATE(2024, 4, 30)))
+ SUMPRODUCT(('Form responses 1'!$D$2:$D1000 = A100) * ('Form responses 1'!$A$2:$A1000 &lt;= DATE(2024, 4, 30)))
+ SUMPRODUCT(('Form responses 1'!$E$2:$E1000 = A100) * ('Form responses 1'!$A$2:$A1000 &lt;= DATE(2024, 4, 30)))
+ SUMPRODUCT(('Form responses 1'!$F$2:$F1000 = A100) * ('Form responses 1'!$A$2:$A1000 &lt;= DATE(2024, 4, 30)))
+ SUMPRODUCT(('Form responses 1'!$G$2:$G1000 = A100) * ('Form responses 1'!$A$2:$A1000 &lt;= DATE(2024, 4, 30)))), 2), "-")
</f>
        <v>-</v>
      </c>
      <c r="G100" s="2" t="str">
        <f>IFERROR(ROUND(Data!B91/(SUMPRODUCT(('Form responses 1'!$B$2:$B1000 = A100) * ('Form responses 1'!$A$2:$A1000 &lt;= DATE(2024, 5, 31)))
+ SUMPRODUCT(('Form responses 1'!$C$2:$C1000 = A100) * ('Form responses 1'!$A$2:$A1000 &lt;= DATE(2024, 5, 31)))
+ SUMPRODUCT(('Form responses 1'!$D$2:$D1000 = A100) * ('Form responses 1'!$A$2:$A1000 &lt;= DATE(2024, 5, 31)))
+ SUMPRODUCT(('Form responses 1'!$E$2:$E1000 = A100) * ('Form responses 1'!$A$2:$A1000 &lt;= DATE(2024, 5, 31)))
+ SUMPRODUCT(('Form responses 1'!$F$2:$F1000 = A100) * ('Form responses 1'!$A$2:$A1000 &lt;= DATE(2024, 5, 31)))
+ SUMPRODUCT(('Form responses 1'!$G$2:$G1000 = A100) * ('Form responses 1'!$A$2:$A1000 &lt;= DATE(2024, 5, 31)))), 2), "-")
</f>
        <v>-</v>
      </c>
      <c r="H100" s="2" t="str">
        <f>IFERROR(ROUND(Data!B91/(SUMPRODUCT(('Form responses 1'!$B$2:$B1000 = A100) * ('Form responses 1'!$A$2:$A1000 &lt;= DATE(2024, 6, 30)))
+ SUMPRODUCT(('Form responses 1'!$C$2:$C1000 = A100) * ('Form responses 1'!$A$2:$A1000 &lt;= DATE(2024, 6, 30)))
+ SUMPRODUCT(('Form responses 1'!$D$2:$D1000 = A100) * ('Form responses 1'!$A$2:$A1000 &lt;= DATE(2024, 6, 30)))
+ SUMPRODUCT(('Form responses 1'!$E$2:$E1000 = A100) * ('Form responses 1'!$A$2:$A1000 &lt;= DATE(2024, 6, 30)))
+ SUMPRODUCT(('Form responses 1'!$F$2:$F1000 = A100) * ('Form responses 1'!$A$2:$A1000 &lt;= DATE(2024, 6, 30)))
+ SUMPRODUCT(('Form responses 1'!$G$2:$G1000 = A100) * ('Form responses 1'!$A$2:$A1000 &lt;= DATE(2024, 6, 30)))), 2), "-")
</f>
        <v>-</v>
      </c>
      <c r="I100" s="2" t="str">
        <f>IFERROR(ROUND(Data!B91/(SUMPRODUCT(('Form responses 1'!$B$2:$B1000 = A100) * ('Form responses 1'!$A$2:$A1000 &lt;= DATE(2024, 7, 31)))
+ SUMPRODUCT(('Form responses 1'!$C$2:$C1000 = A100) * ('Form responses 1'!$A$2:$A1000 &lt;= DATE(2024, 7, 31)))
+ SUMPRODUCT(('Form responses 1'!$D$2:$D1000 = A100) * ('Form responses 1'!$A$2:$A1000 &lt;= DATE(2024, 7, 31)))
+ SUMPRODUCT(('Form responses 1'!$E$2:$E1000 = A100) * ('Form responses 1'!$A$2:$A1000 &lt;= DATE(2024, 7, 31)))
+ SUMPRODUCT(('Form responses 1'!$F$2:$F1000 = A100) * ('Form responses 1'!$A$2:$A1000 &lt;= DATE(2024, 7, 31)))
+ SUMPRODUCT(('Form responses 1'!$G$2:$G1000 = A100) * ('Form responses 1'!$A$2:$A1000 &lt;= DATE(2024, 7, 31)))), 2), "-")
</f>
        <v>-</v>
      </c>
      <c r="J100" s="2" t="str">
        <f>IFERROR(ROUND(Data!B91/(SUMPRODUCT(('Form responses 1'!$B$2:$B1000 = A100) * ('Form responses 1'!$A$2:$A1000 &lt;= DATE(2024, 8, 31)))
+ SUMPRODUCT(('Form responses 1'!$C$2:$C1000 = A100) * ('Form responses 1'!$A$2:$A1000 &lt;= DATE(2024, 8, 31)))
+ SUMPRODUCT(('Form responses 1'!$D$2:$D1000 = A100) * ('Form responses 1'!$A$2:$A1000 &lt;= DATE(2024, 8, 31)))
+ SUMPRODUCT(('Form responses 1'!$E$2:$E1000 = A100) * ('Form responses 1'!$A$2:$A1000 &lt;= DATE(2024, 8, 31)))
+ SUMPRODUCT(('Form responses 1'!$F$2:$F1000 = A100) * ('Form responses 1'!$A$2:$A1000 &lt;= DATE(2024, 8, 31)))
+ SUMPRODUCT(('Form responses 1'!$G$2:$G1000 = A100) * ('Form responses 1'!$A$2:$A1000 &lt;= DATE(2024, 8, 31)))), 2), "-")
</f>
        <v>-</v>
      </c>
      <c r="K100" s="2" t="str">
        <f>IFERROR(ROUND(Data!B91/(SUMPRODUCT(('Form responses 1'!$B$2:$B1000 = A100) * ('Form responses 1'!$A$2:$A1000 &lt;= DATE(2024, 9, 30)))
+ SUMPRODUCT(('Form responses 1'!$C$2:$C1000 = A100) * ('Form responses 1'!$A$2:$A1000 &lt;= DATE(2024, 9, 30)))
+ SUMPRODUCT(('Form responses 1'!$D$2:$D1000 = A100) * ('Form responses 1'!$A$2:$A1000 &lt;= DATE(2024, 9, 30)))
+ SUMPRODUCT(('Form responses 1'!$E$2:$E1000 = A100) * ('Form responses 1'!$A$2:$A1000 &lt;= DATE(2024, 9, 30)))
+ SUMPRODUCT(('Form responses 1'!$F$2:$F1000 = A100) * ('Form responses 1'!$A$2:$A1000 &lt;= DATE(2024, 9, 30)))
+ SUMPRODUCT(('Form responses 1'!$G$2:$G1000 = A100) * ('Form responses 1'!$A$2:$A1000 &lt;= DATE(2024, 9, 30)))), 2), "-")
</f>
        <v>-</v>
      </c>
      <c r="L100" s="2" t="str">
        <f>IFERROR(ROUND(Data!B91/(SUMPRODUCT(('Form responses 1'!$B$2:$B1000 = A100) * ('Form responses 1'!$A$2:$A1000 &lt;= DATE(2024, 10, 31)))
+ SUMPRODUCT(('Form responses 1'!$C$2:$C1000 = A100) * ('Form responses 1'!$A$2:$A1000 &lt;= DATE(2024, 10, 31)))
+ SUMPRODUCT(('Form responses 1'!$D$2:$D1000 = A100) * ('Form responses 1'!$A$2:$A1000 &lt;= DATE(2024, 10, 31)))
+ SUMPRODUCT(('Form responses 1'!$E$2:$E1000 = A100) * ('Form responses 1'!$A$2:$A1000 &lt;= DATE(2024, 10, 31)))
+ SUMPRODUCT(('Form responses 1'!$F$2:$F1000 = A100) * ('Form responses 1'!$A$2:$A1000 &lt;= DATE(2024, 10, 31)))
+ SUMPRODUCT(('Form responses 1'!$G$2:$G1000 = A100) * ('Form responses 1'!$A$2:$A1000 &lt;= DATE(2024, 10, 31)))), 2), "-")
</f>
        <v>-</v>
      </c>
      <c r="M100" s="2" t="str">
        <f>IFERROR(ROUND(Data!B91/(SUMPRODUCT(('Form responses 1'!$B$2:$B1000 = A100) * ('Form responses 1'!$A$2:$A1000 &lt;= DATE(2024, 11, 30)))
+ SUMPRODUCT(('Form responses 1'!$C$2:$C1000 = A100) * ('Form responses 1'!$A$2:$A1000 &lt;= DATE(2024, 11, 30)))
+ SUMPRODUCT(('Form responses 1'!$D$2:$D1000 = A100) * ('Form responses 1'!$A$2:$A1000 &lt;= DATE(2024, 11, 30)))
+ SUMPRODUCT(('Form responses 1'!$E$2:$E1000 = A100) * ('Form responses 1'!$A$2:$A1000 &lt;= DATE(2024, 11, 30)))
+ SUMPRODUCT(('Form responses 1'!$F$2:$F1000 = A100) * ('Form responses 1'!$A$2:$A1000 &lt;= DATE(2024, 11, 30)))
+ SUMPRODUCT(('Form responses 1'!$G$2:$G1000 = A100) * ('Form responses 1'!$A$2:$A1000 &lt;= DATE(2024, 11, 30)))), 2), "-")
</f>
        <v>-</v>
      </c>
      <c r="N100" s="2" t="str">
        <f>IFERROR(ROUND(Data!B91/(SUMPRODUCT(('Form responses 1'!$B$2:$B1000 = A100) * ('Form responses 1'!$A$2:$A1000 &lt;= DATE(2024, 12, 31)))
+ SUMPRODUCT(('Form responses 1'!$C$2:$C1000 = A100) * ('Form responses 1'!$A$2:$A1000 &lt;= DATE(2024, 12, 31)))
+ SUMPRODUCT(('Form responses 1'!$D$2:$D1000 = A100) * ('Form responses 1'!$A$2:$A1000 &lt;= DATE(2024, 12, 31)))
+ SUMPRODUCT(('Form responses 1'!$E$2:$E1000 = A100) * ('Form responses 1'!$A$2:$A1000 &lt;= DATE(2024, 12, 31)))
+ SUMPRODUCT(('Form responses 1'!$F$2:$F1000 = A100) * ('Form responses 1'!$A$2:$A1000 &lt;= DATE(2024, 12, 31)))
+ SUMPRODUCT(('Form responses 1'!$G$2:$G1000 = A100) * ('Form responses 1'!$A$2:$A1000 &lt;= DATE(2024, 12, 31)))), 2), "-")
</f>
        <v>-</v>
      </c>
      <c r="O100" s="2" t="str">
        <f>IFERROR(ROUND(Data!B91/(SUMPRODUCT(('Form responses 1'!$B$2:$B1000 = A100) * ('Form responses 1'!$A$2:$A1000 &lt;= DATE(2025, 1, 31)))
+ SUMPRODUCT(('Form responses 1'!$C$2:$C1000 = A100) * ('Form responses 1'!$A$2:$A1000 &lt;= DATE(2025, 1, 31)))
+ SUMPRODUCT(('Form responses 1'!$D$2:$D1000 = A100) * ('Form responses 1'!$A$2:$A1000 &lt;= DATE(2025, 1, 31)))
+ SUMPRODUCT(('Form responses 1'!$E$2:$E1000 = A100) * ('Form responses 1'!$A$2:$A1000 &lt;= DATE(2025, 1, 31)))
+ SUMPRODUCT(('Form responses 1'!$F$2:$F1000 = A100) * ('Form responses 1'!$A$2:$A1000 &lt;= DATE(2025, 1, 31)))
+ SUMPRODUCT(('Form responses 1'!$G$2:$G1000 = A100) * ('Form responses 1'!$A$2:$A1000 &lt;= DATE(2025, 1, 31)))), 2), "-")
</f>
        <v>-</v>
      </c>
      <c r="P100" s="2" t="str">
        <f>IFERROR(ROUND(Data!B91/(SUMPRODUCT(('Form responses 1'!$B$2:$B1000 = A100) * ('Form responses 1'!$A$2:$A1000 &lt;= DATE(2025, 2, 28)))
+ SUMPRODUCT(('Form responses 1'!$C$2:$C1000 = A100) * ('Form responses 1'!$A$2:$A1000 &lt;= DATE(2025, 2, 28)))
+ SUMPRODUCT(('Form responses 1'!$D$2:$D1000 = A100) * ('Form responses 1'!$A$2:$A1000 &lt;= DATE(2025, 2, 28)))
+ SUMPRODUCT(('Form responses 1'!$E$2:$E1000 = A100) * ('Form responses 1'!$A$2:$A1000 &lt;= DATE(2025, 2, 28)))
+ SUMPRODUCT(('Form responses 1'!$F$2:$F1000 = A100) * ('Form responses 1'!$A$2:$A1000 &lt;= DATE(2025, 2, 28)))
+ SUMPRODUCT(('Form responses 1'!$G$2:$G1000 = A100) * ('Form responses 1'!$A$2:$A1000 &lt;= DATE(2025, 2, 28)))), 2), "-")
</f>
        <v>-</v>
      </c>
      <c r="Q100" s="2" t="str">
        <f>IFERROR(ROUND(Data!B91/(SUMPRODUCT(('Form responses 1'!$B$2:$B1000 = A100) * ('Form responses 1'!$A$2:$A1000 &lt;= DATE(2025, 3, 31)))
+ SUMPRODUCT(('Form responses 1'!$C$2:$C1000 = A100) * ('Form responses 1'!$A$2:$A1000 &lt;= DATE(2025, 3, 31)))
+ SUMPRODUCT(('Form responses 1'!$D$2:$D1000 = A100) * ('Form responses 1'!$A$2:$A1000 &lt;= DATE(2025, 3, 31)))
+ SUMPRODUCT(('Form responses 1'!$E$2:$E1000 = A100) * ('Form responses 1'!$A$2:$A1000 &lt;= DATE(2025, 3, 31)))
+ SUMPRODUCT(('Form responses 1'!$F$2:$F1000 = A100) * ('Form responses 1'!$A$2:$A1000 &lt;= DATE(2025, 3, 31)))
+ SUMPRODUCT(('Form responses 1'!$G$2:$G1000 = A100) * ('Form responses 1'!$A$2:$A1000 &lt;= DATE(2025, 3, 31)))),2),"-")</f>
        <v>-</v>
      </c>
      <c r="R100" s="2" t="str">
        <f>IFERROR(ROUND(Data!B91/(SUMPRODUCT(('Form responses 1'!$B$2:$B1000 = A100) * ('Form responses 1'!$A$2:$A1000 &lt;= DATE(2025, 4, 30)))
+ SUMPRODUCT(('Form responses 1'!$C$2:$C1000 = A100) * ('Form responses 1'!$A$2:$A1000 &lt;= DATE(2025, 4, 30)))
+ SUMPRODUCT(('Form responses 1'!$D$2:$D1000 = A100) * ('Form responses 1'!$A$2:$A1000 &lt;= DATE(2025, 4, 30)))
+ SUMPRODUCT(('Form responses 1'!$E$2:$E1000 = A100) * ('Form responses 1'!$A$2:$A1000 &lt;= DATE(2025, 4, 30)))
+ SUMPRODUCT(('Form responses 1'!$F$2:$F1000 = A100) * ('Form responses 1'!$A$2:$A1000 &lt;= DATE(2025, 4, 30)))
+ SUMPRODUCT(('Form responses 1'!$G$2:$G1000 = A100) * ('Form responses 1'!$A$2:$A1000 &lt;= DATE(2025, 4, 30)))), 2), "-")
</f>
        <v>-</v>
      </c>
      <c r="S100" s="2" t="str">
        <f>IFERROR(ROUND(Data!B91/(SUMPRODUCT(('Form responses 1'!$B$2:$B1000 = A100) * ('Form responses 1'!$A$2:$A1000 &lt;= DATE(2025, 5, 31)))
+ SUMPRODUCT(('Form responses 1'!$C$2:$C1000 = A100) * ('Form responses 1'!$A$2:$A1000 &lt;= DATE(2025, 5, 31)))
+ SUMPRODUCT(('Form responses 1'!$D$2:$D1000 = A100) * ('Form responses 1'!$A$2:$A1000 &lt;= DATE(2025, 5, 31)))
+ SUMPRODUCT(('Form responses 1'!$E$2:$E1000 = A100) * ('Form responses 1'!$A$2:$A1000 &lt;= DATE(2025, 5, 31)))
+ SUMPRODUCT(('Form responses 1'!$F$2:$F1000 = A100) * ('Form responses 1'!$A$2:$A1000 &lt;= DATE(2025, 5, 31)))
+ SUMPRODUCT(('Form responses 1'!$G$2:$G1000 = A100) * ('Form responses 1'!$A$2:$A1000 &lt;= DATE(2025, 5, 31)))), 2), "-")
</f>
        <v>-</v>
      </c>
      <c r="T100" s="2" t="str">
        <f>IFERROR(ROUND(Data!B91/(SUMPRODUCT(('Form responses 1'!$B$2:$B1000 = A100) * ('Form responses 1'!$A$2:$A1000 &lt;= DATE(2025, 6, 30)))
+ SUMPRODUCT(('Form responses 1'!$C$2:$C1000 = A100) * ('Form responses 1'!$A$2:$A1000 &lt;= DATE(2025, 6, 30)))
+ SUMPRODUCT(('Form responses 1'!$D$2:$D1000 = A100) * ('Form responses 1'!$A$2:$A1000 &lt;= DATE(2025, 6, 30)))
+ SUMPRODUCT(('Form responses 1'!$E$2:$E1000 = A100) * ('Form responses 1'!$A$2:$A1000 &lt;= DATE(2025, 6, 30)))
+ SUMPRODUCT(('Form responses 1'!$F$2:$F1000 = A100) * ('Form responses 1'!$A$2:$A1000 &lt;= DATE(2025, 6, 30)))
+ SUMPRODUCT(('Form responses 1'!$G$2:$G1000 = A100) * ('Form responses 1'!$A$2:$A1000 &lt;= DATE(2025, 6, 30)))), 2), "-")
</f>
        <v>-</v>
      </c>
      <c r="U100" s="2" t="str">
        <f>IFERROR(ROUND(Data!B91/(SUMPRODUCT(('Form responses 1'!$B$2:$B1000 = A100) * ('Form responses 1'!$A$2:$A1000 &lt;= DATE(2025, 7, 31)))
+ SUMPRODUCT(('Form responses 1'!$C$2:$C1000 = A100) * ('Form responses 1'!$A$2:$A1000 &lt;= DATE(2025, 7, 31)))
+ SUMPRODUCT(('Form responses 1'!$D$2:$D1000 = A100) * ('Form responses 1'!$A$2:$A1000 &lt;= DATE(2025, 7, 31)))
+ SUMPRODUCT(('Form responses 1'!$E$2:$E1000 = A100) * ('Form responses 1'!$A$2:$A1000 &lt;= DATE(2025, 7, 31)))
+ SUMPRODUCT(('Form responses 1'!$F$2:$F1000 = A100) * ('Form responses 1'!$A$2:$A1000 &lt;= DATE(2025, 7, 31)))
+ SUMPRODUCT(('Form responses 1'!$G$2:$G1000 = A100) * ('Form responses 1'!$A$2:$A1000 &lt;= DATE(2025, 7, 31)))), 2), "-")
</f>
        <v>-</v>
      </c>
      <c r="V100" s="2">
        <f>IFERROR(ROUND(Data!B91/(SUMPRODUCT(('Form responses 1'!$B$2:$B1000 = A100) * ('Form responses 1'!$A$2:$A1000 &lt;= DATE(2025, 8, 31)))
+ SUMPRODUCT(('Form responses 1'!$C$2:$C1000 = A100) * ('Form responses 1'!$A$2:$A1000 &lt;= DATE(2025, 8, 31)))
+ SUMPRODUCT(('Form responses 1'!$D$2:$D1000 = A100) * ('Form responses 1'!$A$2:$A1000 &lt;= DATE(2025, 8, 31)))
+ SUMPRODUCT(('Form responses 1'!$E$2:$E1000 = A100) * ('Form responses 1'!$A$2:$A1000 &lt;= DATE(2025, 8, 31)))
+ SUMPRODUCT(('Form responses 1'!$F$2:$F1000 = A100) * ('Form responses 1'!$A$2:$A1000 &lt;= DATE(2025, 8, 31)))
+ SUMPRODUCT(('Form responses 1'!$G$2:$G1000 = A100) * ('Form responses 1'!$A$2:$A1000 &lt;= DATE(2025, 8, 31)))), 2), "-")
</f>
        <v>1.97</v>
      </c>
      <c r="W100" s="2">
        <f>IFERROR(ROUND(Data!B91/(SUMPRODUCT(('Form responses 1'!$B$2:$B1000 = A100) * ('Form responses 1'!$A$2:$A1000 &lt;= DATE(2025, 9, 30)))
+ SUMPRODUCT(('Form responses 1'!$C$2:$C1000 = A100) * ('Form responses 1'!$A$2:$A1000 &lt;= DATE(2025, 9, 30)))
+ SUMPRODUCT(('Form responses 1'!$D$2:$D1000 = A100) * ('Form responses 1'!$A$2:$A1000 &lt;= DATE(2025, 9, 30)))
+ SUMPRODUCT(('Form responses 1'!$E$2:$E1000 = A100) * ('Form responses 1'!$A$2:$A1000 &lt;= DATE(2025, 9, 30)))
+ SUMPRODUCT(('Form responses 1'!$F$2:$F1000 = A100) * ('Form responses 1'!$A$2:$A1000 &lt;= DATE(2025, 9, 30)))
+ SUMPRODUCT(('Form responses 1'!$G$2:$G1000 = A100) * ('Form responses 1'!$A$2:$A1000 &lt;= DATE(2025, 9, 30)))), 2), "-")
</f>
        <v>1.97</v>
      </c>
      <c r="X100" s="2">
        <f>IFERROR(ROUND(Data!B91/(SUMPRODUCT(('Form responses 1'!$B$2:$B1000 = A100) * ('Form responses 1'!$A$2:$A1000 &lt;= DATE(2025, 10, 31)))
+ SUMPRODUCT(('Form responses 1'!$C$2:$C1000 = A100) * ('Form responses 1'!$A$2:$A1000 &lt;= DATE(2025, 10, 31)))
+ SUMPRODUCT(('Form responses 1'!$D$2:$D1000 = A100) * ('Form responses 1'!$A$2:$A1000 &lt;= DATE(2025, 10, 31)))
+ SUMPRODUCT(('Form responses 1'!$E$2:$E1000 = A100) * ('Form responses 1'!$A$2:$A1000 &lt;= DATE(2025, 10, 31)))
+ SUMPRODUCT(('Form responses 1'!$F$2:$F1000 = A100) * ('Form responses 1'!$A$2:$A1000 &lt;= DATE(2025, 10, 31)))
+ SUMPRODUCT(('Form responses 1'!$G$2:$G1000 = A100) * ('Form responses 1'!$A$2:$A1000 &lt;= DATE(2025, 10, 31)))), 2), "-")
</f>
        <v>1.97</v>
      </c>
      <c r="Y100" s="2">
        <f>IFERROR(ROUND(Data!B91/(SUMPRODUCT(('Form responses 1'!$B$2:$B1000 = A100) * ('Form responses 1'!$A$2:$A1000 &lt;= DATE(2025, 11, 30)))
+ SUMPRODUCT(('Form responses 1'!$C$2:$C1000 = A100) * ('Form responses 1'!$A$2:$A1000 &lt;= DATE(2025, 11, 30)))
+ SUMPRODUCT(('Form responses 1'!$D$2:$D1000 = A100) * ('Form responses 1'!$A$2:$A1000 &lt;= DATE(2025, 11, 30)))
+ SUMPRODUCT(('Form responses 1'!$E$2:$E1000 = A100) * ('Form responses 1'!$A$2:$A1000 &lt;= DATE(2025, 11, 30)))
+ SUMPRODUCT(('Form responses 1'!$F$2:$F1000 = A100) * ('Form responses 1'!$A$2:$A1000 &lt;= DATE(2025, 11, 30)))
+ SUMPRODUCT(('Form responses 1'!$G$2:$G1000 = A100) * ('Form responses 1'!$A$2:$A1000 &lt;= DATE(2025, 11, 30)))), 2), "-")
</f>
        <v>1.97</v>
      </c>
      <c r="Z100" s="2">
        <f>IFERROR(ROUND(Data!B91/(SUMPRODUCT(('Form responses 1'!$B$2:$B1000 = A100) * ('Form responses 1'!$A$2:$A1000 &lt;= DATE(2025, 12, 31)))
+ SUMPRODUCT(('Form responses 1'!$C$2:$C1000 = A100) * ('Form responses 1'!$A$2:$A1000 &lt;= DATE(2025, 12, 31)))
+ SUMPRODUCT(('Form responses 1'!$D$2:$D1000 = A100) * ('Form responses 1'!$A$2:$A1000 &lt;= DATE(2025, 12, 31)))
+ SUMPRODUCT(('Form responses 1'!$E$2:$E1000 = A100) * ('Form responses 1'!$A$2:$A1000 &lt;= DATE(2025, 12, 31)))
+ SUMPRODUCT(('Form responses 1'!$F$2:$F1000 = A100) * ('Form responses 1'!$A$2:$A1000 &lt;= DATE(2025, 12, 31)))
+ SUMPRODUCT(('Form responses 1'!$G$2:$G1000 = A100) * ('Form responses 1'!$A$2:$A1000 &lt;= DATE(2025, 12, 31)))), 2), "-")
</f>
        <v>1.97</v>
      </c>
      <c r="AA100" s="2">
        <f>IFERROR(ROUND(Data!$B100/(
  SUMPRODUCT(('Form responses 1'!$B$2:$B1000=$A100)*('Form responses 1'!$A$2:$A1000&lt;=EOMONTH(DATEVALUE("1 "&amp;AA$1),0)))+
  SUMPRODUCT(('Form responses 1'!$C$2:$C1000=$A100)*('Form responses 1'!$A$2:$A1000&lt;=EOMONTH(DATEVALUE("1 "&amp;AA$1),0)))+
  SUMPRODUCT(('Form responses 1'!$D$2:$D1000=$A100)*('Form responses 1'!$A$2:$A1000&lt;=EOMONTH(DATEVALUE("1 "&amp;AA$1),0)))+
  SUMPRODUCT(('Form responses 1'!$E$2:$E1000=$A100)*('Form responses 1'!$A$2:$A1000&lt;=EOMONTH(DATEVALUE("1 "&amp;AA$1),0)))+
  SUMPRODUCT(('Form responses 1'!$F$2:$F1000=$A100)*('Form responses 1'!$A$2:$A1000&lt;=EOMONTH(DATEVALUE("1 "&amp;AA$1),0)))+
  SUMPRODUCT(('Form responses 1'!$G$2:$G1000=$A100)*('Form responses 1'!$A$2:$A1000&lt;=EOMONTH(DATEVALUE("1 "&amp;AA$1),0)))
),2),"-")</f>
        <v>8.33</v>
      </c>
      <c r="AB100" s="2">
        <f>IFERROR(ROUND(Data!$B100/(
  SUMPRODUCT(('Form responses 1'!$B$2:$B1000=$A100)*('Form responses 1'!$A$2:$A1000&lt;=EOMONTH(DATEVALUE("1 "&amp;AB$1),0)))+
  SUMPRODUCT(('Form responses 1'!$C$2:$C1000=$A100)*('Form responses 1'!$A$2:$A1000&lt;=EOMONTH(DATEVALUE("1 "&amp;AB$1),0)))+
  SUMPRODUCT(('Form responses 1'!$D$2:$D1000=$A100)*('Form responses 1'!$A$2:$A1000&lt;=EOMONTH(DATEVALUE("1 "&amp;AB$1),0)))+
  SUMPRODUCT(('Form responses 1'!$E$2:$E1000=$A100)*('Form responses 1'!$A$2:$A1000&lt;=EOMONTH(DATEVALUE("1 "&amp;AB$1),0)))+
  SUMPRODUCT(('Form responses 1'!$F$2:$F1000=$A100)*('Form responses 1'!$A$2:$A1000&lt;=EOMONTH(DATEVALUE("1 "&amp;AB$1),0)))+
  SUMPRODUCT(('Form responses 1'!$G$2:$G1000=$A100)*('Form responses 1'!$A$2:$A1000&lt;=EOMONTH(DATEVALUE("1 "&amp;AB$1),0)))
),2),"-")</f>
        <v>8.33</v>
      </c>
      <c r="AC100" s="2">
        <f>IFERROR(ROUND(Data!$B100/(
  SUMPRODUCT(('Form responses 1'!$B$2:$B1000=$A100)*('Form responses 1'!$A$2:$A1000&lt;=EOMONTH(DATEVALUE("1 "&amp;AC$1),0)))+
  SUMPRODUCT(('Form responses 1'!$C$2:$C1000=$A100)*('Form responses 1'!$A$2:$A1000&lt;=EOMONTH(DATEVALUE("1 "&amp;AC$1),0)))+
  SUMPRODUCT(('Form responses 1'!$D$2:$D1000=$A100)*('Form responses 1'!$A$2:$A1000&lt;=EOMONTH(DATEVALUE("1 "&amp;AC$1),0)))+
  SUMPRODUCT(('Form responses 1'!$E$2:$E1000=$A100)*('Form responses 1'!$A$2:$A1000&lt;=EOMONTH(DATEVALUE("1 "&amp;AC$1),0)))+
  SUMPRODUCT(('Form responses 1'!$F$2:$F1000=$A100)*('Form responses 1'!$A$2:$A1000&lt;=EOMONTH(DATEVALUE("1 "&amp;AC$1),0)))+
  SUMPRODUCT(('Form responses 1'!$G$2:$G1000=$A100)*('Form responses 1'!$A$2:$A1000&lt;=EOMONTH(DATEVALUE("1 "&amp;AC$1),0)))
),2),"-")</f>
        <v>8.33</v>
      </c>
      <c r="AD100" s="2" t="str">
        <f>IFERROR(ROUND(Data!$B100/(
  SUMPRODUCT(('Form responses 1'!$B$2:$B1000=$A100)*('Form responses 1'!$A$2:$A1000&lt;=EOMONTH(DATEVALUE("1 "&amp;AD$1),0)))+
  SUMPRODUCT(('Form responses 1'!$C$2:$C1000=$A100)*('Form responses 1'!$A$2:$A1000&lt;=EOMONTH(DATEVALUE("1 "&amp;AD$1),0)))+
  SUMPRODUCT(('Form responses 1'!$D$2:$D1000=$A100)*('Form responses 1'!$A$2:$A1000&lt;=EOMONTH(DATEVALUE("1 "&amp;AD$1),0)))+
  SUMPRODUCT(('Form responses 1'!$E$2:$E1000=$A100)*('Form responses 1'!$A$2:$A1000&lt;=EOMONTH(DATEVALUE("1 "&amp;AD$1),0)))+
  SUMPRODUCT(('Form responses 1'!$F$2:$F1000=$A100)*('Form responses 1'!$A$2:$A1000&lt;=EOMONTH(DATEVALUE("1 "&amp;AD$1),0)))+
  SUMPRODUCT(('Form responses 1'!$G$2:$G1000=$A100)*('Form responses 1'!$A$2:$A1000&lt;=EOMONTH(DATEVALUE("1 "&amp;AD$1),0)))
),2),"-")</f>
        <v>-</v>
      </c>
      <c r="AE100" s="2" t="str">
        <f>IFERROR(ROUND(Data!$B100/(
  SUMPRODUCT(('Form responses 1'!$B$2:$B1000=$A100)*('Form responses 1'!$A$2:$A1000&lt;=EOMONTH(DATEVALUE("1 "&amp;AE$1),0)))+
  SUMPRODUCT(('Form responses 1'!$C$2:$C1000=$A100)*('Form responses 1'!$A$2:$A1000&lt;=EOMONTH(DATEVALUE("1 "&amp;AE$1),0)))+
  SUMPRODUCT(('Form responses 1'!$D$2:$D1000=$A100)*('Form responses 1'!$A$2:$A1000&lt;=EOMONTH(DATEVALUE("1 "&amp;AE$1),0)))+
  SUMPRODUCT(('Form responses 1'!$E$2:$E1000=$A100)*('Form responses 1'!$A$2:$A1000&lt;=EOMONTH(DATEVALUE("1 "&amp;AE$1),0)))+
  SUMPRODUCT(('Form responses 1'!$F$2:$F1000=$A100)*('Form responses 1'!$A$2:$A1000&lt;=EOMONTH(DATEVALUE("1 "&amp;AE$1),0)))+
  SUMPRODUCT(('Form responses 1'!$G$2:$G1000=$A100)*('Form responses 1'!$A$2:$A1000&lt;=EOMONTH(DATEVALUE("1 "&amp;AE$1),0)))
),2),"-")</f>
        <v>-</v>
      </c>
      <c r="AF100" s="2" t="str">
        <f>IFERROR(ROUND(Data!$B100/(
  SUMPRODUCT(('Form responses 1'!$B$2:$B1000=$A100)*('Form responses 1'!$A$2:$A1000&lt;=EOMONTH(DATEVALUE("1 "&amp;AF$1),0)))+
  SUMPRODUCT(('Form responses 1'!$C$2:$C1000=$A100)*('Form responses 1'!$A$2:$A1000&lt;=EOMONTH(DATEVALUE("1 "&amp;AF$1),0)))+
  SUMPRODUCT(('Form responses 1'!$D$2:$D1000=$A100)*('Form responses 1'!$A$2:$A1000&lt;=EOMONTH(DATEVALUE("1 "&amp;AF$1),0)))+
  SUMPRODUCT(('Form responses 1'!$E$2:$E1000=$A100)*('Form responses 1'!$A$2:$A1000&lt;=EOMONTH(DATEVALUE("1 "&amp;AF$1),0)))+
  SUMPRODUCT(('Form responses 1'!$F$2:$F1000=$A100)*('Form responses 1'!$A$2:$A1000&lt;=EOMONTH(DATEVALUE("1 "&amp;AF$1),0)))+
  SUMPRODUCT(('Form responses 1'!$G$2:$G1000=$A100)*('Form responses 1'!$A$2:$A1000&lt;=EOMONTH(DATEVALUE("1 "&amp;AF$1),0)))
),2),"-")</f>
        <v>-</v>
      </c>
      <c r="AG100" s="2" t="str">
        <f>IFERROR(ROUND(Data!$B100/(
  SUMPRODUCT(('Form responses 1'!$B$2:$B1000=$A100)*('Form responses 1'!$A$2:$A1000&lt;=EOMONTH(DATEVALUE("1 "&amp;AG$1),0)))+
  SUMPRODUCT(('Form responses 1'!$C$2:$C1000=$A100)*('Form responses 1'!$A$2:$A1000&lt;=EOMONTH(DATEVALUE("1 "&amp;AG$1),0)))+
  SUMPRODUCT(('Form responses 1'!$D$2:$D1000=$A100)*('Form responses 1'!$A$2:$A1000&lt;=EOMONTH(DATEVALUE("1 "&amp;AG$1),0)))+
  SUMPRODUCT(('Form responses 1'!$E$2:$E1000=$A100)*('Form responses 1'!$A$2:$A1000&lt;=EOMONTH(DATEVALUE("1 "&amp;AG$1),0)))+
  SUMPRODUCT(('Form responses 1'!$F$2:$F1000=$A100)*('Form responses 1'!$A$2:$A1000&lt;=EOMONTH(DATEVALUE("1 "&amp;AG$1),0)))+
  SUMPRODUCT(('Form responses 1'!$G$2:$G1000=$A100)*('Form responses 1'!$A$2:$A1000&lt;=EOMONTH(DATEVALUE("1 "&amp;AG$1),0)))
),2),"-")</f>
        <v>-</v>
      </c>
      <c r="AH100" s="2" t="str">
        <f>IFERROR(ROUND(Data!$B100/(
  SUMPRODUCT(('Form responses 1'!$B$2:$B1000=$A100)*('Form responses 1'!$A$2:$A1000&lt;=EOMONTH(DATEVALUE("1 "&amp;AH$1),0)))+
  SUMPRODUCT(('Form responses 1'!$C$2:$C1000=$A100)*('Form responses 1'!$A$2:$A1000&lt;=EOMONTH(DATEVALUE("1 "&amp;AH$1),0)))+
  SUMPRODUCT(('Form responses 1'!$D$2:$D1000=$A100)*('Form responses 1'!$A$2:$A1000&lt;=EOMONTH(DATEVALUE("1 "&amp;AH$1),0)))+
  SUMPRODUCT(('Form responses 1'!$E$2:$E1000=$A100)*('Form responses 1'!$A$2:$A1000&lt;=EOMONTH(DATEVALUE("1 "&amp;AH$1),0)))+
  SUMPRODUCT(('Form responses 1'!$F$2:$F1000=$A100)*('Form responses 1'!$A$2:$A1000&lt;=EOMONTH(DATEVALUE("1 "&amp;AH$1),0)))+
  SUMPRODUCT(('Form responses 1'!$G$2:$G1000=$A100)*('Form responses 1'!$A$2:$A1000&lt;=EOMONTH(DATEVALUE("1 "&amp;AH$1),0)))
),2),"-")</f>
        <v>-</v>
      </c>
      <c r="AI100" s="2" t="str">
        <f>IFERROR(ROUND(Data!$B100/(
  SUMPRODUCT(('Form responses 1'!$B$2:$B1000=$A100)*('Form responses 1'!$A$2:$A1000&lt;=EOMONTH(DATEVALUE("1 "&amp;AI$1),0)))+
  SUMPRODUCT(('Form responses 1'!$C$2:$C1000=$A100)*('Form responses 1'!$A$2:$A1000&lt;=EOMONTH(DATEVALUE("1 "&amp;AI$1),0)))+
  SUMPRODUCT(('Form responses 1'!$D$2:$D1000=$A100)*('Form responses 1'!$A$2:$A1000&lt;=EOMONTH(DATEVALUE("1 "&amp;AI$1),0)))+
  SUMPRODUCT(('Form responses 1'!$E$2:$E1000=$A100)*('Form responses 1'!$A$2:$A1000&lt;=EOMONTH(DATEVALUE("1 "&amp;AI$1),0)))+
  SUMPRODUCT(('Form responses 1'!$F$2:$F1000=$A100)*('Form responses 1'!$A$2:$A1000&lt;=EOMONTH(DATEVALUE("1 "&amp;AI$1),0)))+
  SUMPRODUCT(('Form responses 1'!$G$2:$G1000=$A100)*('Form responses 1'!$A$2:$A1000&lt;=EOMONTH(DATEVALUE("1 "&amp;AI$1),0)))
),2),"-")</f>
        <v>-</v>
      </c>
      <c r="AJ100" s="2" t="str">
        <f>IFERROR(ROUND(Data!$B100/(
  SUMPRODUCT(('Form responses 1'!$B$2:$B1000=$A100)*('Form responses 1'!$A$2:$A1000&lt;=EOMONTH(DATEVALUE("1 "&amp;AJ$1),0)))+
  SUMPRODUCT(('Form responses 1'!$C$2:$C1000=$A100)*('Form responses 1'!$A$2:$A1000&lt;=EOMONTH(DATEVALUE("1 "&amp;AJ$1),0)))+
  SUMPRODUCT(('Form responses 1'!$D$2:$D1000=$A100)*('Form responses 1'!$A$2:$A1000&lt;=EOMONTH(DATEVALUE("1 "&amp;AJ$1),0)))+
  SUMPRODUCT(('Form responses 1'!$E$2:$E1000=$A100)*('Form responses 1'!$A$2:$A1000&lt;=EOMONTH(DATEVALUE("1 "&amp;AJ$1),0)))+
  SUMPRODUCT(('Form responses 1'!$F$2:$F1000=$A100)*('Form responses 1'!$A$2:$A1000&lt;=EOMONTH(DATEVALUE("1 "&amp;AJ$1),0)))+
  SUMPRODUCT(('Form responses 1'!$G$2:$G1000=$A100)*('Form responses 1'!$A$2:$A1000&lt;=EOMONTH(DATEVALUE("1 "&amp;AJ$1),0)))
),2),"-")</f>
        <v>-</v>
      </c>
      <c r="AK100" s="2" t="str">
        <f>IFERROR(ROUND(Data!$B100/(
  SUMPRODUCT(('Form responses 1'!$B$2:$B1000=$A100)*('Form responses 1'!$A$2:$A1000&lt;=EOMONTH(DATEVALUE("1 "&amp;AK$1),0)))+
  SUMPRODUCT(('Form responses 1'!$C$2:$C1000=$A100)*('Form responses 1'!$A$2:$A1000&lt;=EOMONTH(DATEVALUE("1 "&amp;AK$1),0)))+
  SUMPRODUCT(('Form responses 1'!$D$2:$D1000=$A100)*('Form responses 1'!$A$2:$A1000&lt;=EOMONTH(DATEVALUE("1 "&amp;AK$1),0)))+
  SUMPRODUCT(('Form responses 1'!$E$2:$E1000=$A100)*('Form responses 1'!$A$2:$A1000&lt;=EOMONTH(DATEVALUE("1 "&amp;AK$1),0)))+
  SUMPRODUCT(('Form responses 1'!$F$2:$F1000=$A100)*('Form responses 1'!$A$2:$A1000&lt;=EOMONTH(DATEVALUE("1 "&amp;AK$1),0)))+
  SUMPRODUCT(('Form responses 1'!$G$2:$G1000=$A100)*('Form responses 1'!$A$2:$A1000&lt;=EOMONTH(DATEVALUE("1 "&amp;AK$1),0)))
),2),"-")</f>
        <v>-</v>
      </c>
      <c r="AL100" s="2" t="str">
        <f>IFERROR(ROUND(Data!$B100/(
  SUMPRODUCT(('Form responses 1'!$B$2:$B1000=$A100)*('Form responses 1'!$A$2:$A1000&lt;=EOMONTH(DATEVALUE("1 "&amp;AL$1),0)))+
  SUMPRODUCT(('Form responses 1'!$C$2:$C1000=$A100)*('Form responses 1'!$A$2:$A1000&lt;=EOMONTH(DATEVALUE("1 "&amp;AL$1),0)))+
  SUMPRODUCT(('Form responses 1'!$D$2:$D1000=$A100)*('Form responses 1'!$A$2:$A1000&lt;=EOMONTH(DATEVALUE("1 "&amp;AL$1),0)))+
  SUMPRODUCT(('Form responses 1'!$E$2:$E1000=$A100)*('Form responses 1'!$A$2:$A1000&lt;=EOMONTH(DATEVALUE("1 "&amp;AL$1),0)))+
  SUMPRODUCT(('Form responses 1'!$F$2:$F1000=$A100)*('Form responses 1'!$A$2:$A1000&lt;=EOMONTH(DATEVALUE("1 "&amp;AL$1),0)))+
  SUMPRODUCT(('Form responses 1'!$G$2:$G1000=$A100)*('Form responses 1'!$A$2:$A1000&lt;=EOMONTH(DATEVALUE("1 "&amp;AL$1),0)))
),2),"-")</f>
        <v>-</v>
      </c>
    </row>
    <row r="101">
      <c r="A101" s="3" t="str">
        <f>IFERROR(__xludf.DUMMYFUNCTION("""COMPUTED_VALUE"""),"Beige linnen overhemd Vanda Tailors")</f>
        <v>Beige linnen overhemd Vanda Tailors</v>
      </c>
      <c r="C101" s="2" t="str">
        <f>IFERROR(ROUND(Data!B92/(SUMPRODUCT(('Form responses 1'!$B$2:$B1000 = A101) * ('Form responses 1'!$A$2:$A1000 &lt;= DATE(2024, 1, 31)))
+ SUMPRODUCT(('Form responses 1'!$C$2:$C1000 = A101) * ('Form responses 1'!$A$2:$A1000 &lt;= DATE(2024, 1, 31)))
+ SUMPRODUCT(('Form responses 1'!$D$2:$D1000 = A101) * ('Form responses 1'!$A$2:$A1000 &lt;= DATE(2024, 1, 31)))
+ SUMPRODUCT(('Form responses 1'!$E$2:$E1000 = A101) * ('Form responses 1'!$A$2:$A1000 &lt;= DATE(2024, 1, 31)))
+ SUMPRODUCT(('Form responses 1'!$F$2:$F1000 = A101) * ('Form responses 1'!$A$2:$A1000 &lt;= DATE(2024, 1, 31)))
+ SUMPRODUCT(('Form responses 1'!$G$2:$G1000 = A101) * ('Form responses 1'!$A$2:$A1000 &lt;= DATE(2024, 1, 31)))), 2), "-")
</f>
        <v>-</v>
      </c>
      <c r="D101" s="2" t="str">
        <f>IFERROR(ROUND(Data!B92/(SUMPRODUCT(('Form responses 1'!$B$2:$B1000 = A101) * ('Form responses 1'!$A$2:$A1000 &lt;= DATE(2024, 2, 29)))
+ SUMPRODUCT(('Form responses 1'!$C$2:$C1000 = A101) * ('Form responses 1'!$A$2:$A1000 &lt;= DATE(2024, 2, 29)))
+ SUMPRODUCT(('Form responses 1'!$D$2:$D1000 = A101) * ('Form responses 1'!$A$2:$A1000 &lt;= DATE(2024, 2, 29)))
+ SUMPRODUCT(('Form responses 1'!$E$2:$E1000 = A101) * ('Form responses 1'!$A$2:$A1000 &lt;= DATE(2024, 2, 29)))
+ SUMPRODUCT(('Form responses 1'!$F$2:$F1000 = A101) * ('Form responses 1'!$A$2:$A1000 &lt;= DATE(2024, 2, 29)))
+ SUMPRODUCT(('Form responses 1'!$G$2:$G1000 = A101) * ('Form responses 1'!$A$2:$A1000 &lt;= DATE(2024, 2, 29)))), 2), "-")
</f>
        <v>-</v>
      </c>
      <c r="E101" s="2" t="str">
        <f>IFERROR(ROUND(Data!B92/(SUMPRODUCT(('Form responses 1'!$B$2:$B1000 = A101) * ('Form responses 1'!$A$2:$A1000 &lt;= DATE(2024, 3, 31)))
+ SUMPRODUCT(('Form responses 1'!$C$2:$C1000 = A101) * ('Form responses 1'!$A$2:$A1000 &lt;= DATE(2024, 3, 31)))
+ SUMPRODUCT(('Form responses 1'!$D$2:$D1000 = A101) * ('Form responses 1'!$A$2:$A1000 &lt;= DATE(2024, 3, 31)))
+ SUMPRODUCT(('Form responses 1'!$E$2:$E1000 = A101) * ('Form responses 1'!$A$2:$A1000 &lt;= DATE(2024, 3, 31)))
+ SUMPRODUCT(('Form responses 1'!$F$2:$F1000 = A101) * ('Form responses 1'!$A$2:$A1000 &lt;= DATE(2024, 3, 31)))
+ SUMPRODUCT(('Form responses 1'!$G$2:$G1000 = A101) * ('Form responses 1'!$A$2:$A1000 &lt;= DATE(2024, 3, 31)))), 2), "-")
</f>
        <v>-</v>
      </c>
      <c r="F101" s="2" t="str">
        <f>IFERROR(ROUND(Data!B92/(SUMPRODUCT(('Form responses 1'!$B$2:$B1000 = A101) * ('Form responses 1'!$A$2:$A1000 &lt;= DATE(2024, 4, 30)))
+ SUMPRODUCT(('Form responses 1'!$C$2:$C1000 = A101) * ('Form responses 1'!$A$2:$A1000 &lt;= DATE(2024, 4, 30)))
+ SUMPRODUCT(('Form responses 1'!$D$2:$D1000 = A101) * ('Form responses 1'!$A$2:$A1000 &lt;= DATE(2024, 4, 30)))
+ SUMPRODUCT(('Form responses 1'!$E$2:$E1000 = A101) * ('Form responses 1'!$A$2:$A1000 &lt;= DATE(2024, 4, 30)))
+ SUMPRODUCT(('Form responses 1'!$F$2:$F1000 = A101) * ('Form responses 1'!$A$2:$A1000 &lt;= DATE(2024, 4, 30)))
+ SUMPRODUCT(('Form responses 1'!$G$2:$G1000 = A101) * ('Form responses 1'!$A$2:$A1000 &lt;= DATE(2024, 4, 30)))), 2), "-")
</f>
        <v>-</v>
      </c>
      <c r="G101" s="2" t="str">
        <f>IFERROR(ROUND(Data!B92/(SUMPRODUCT(('Form responses 1'!$B$2:$B1000 = A101) * ('Form responses 1'!$A$2:$A1000 &lt;= DATE(2024, 5, 31)))
+ SUMPRODUCT(('Form responses 1'!$C$2:$C1000 = A101) * ('Form responses 1'!$A$2:$A1000 &lt;= DATE(2024, 5, 31)))
+ SUMPRODUCT(('Form responses 1'!$D$2:$D1000 = A101) * ('Form responses 1'!$A$2:$A1000 &lt;= DATE(2024, 5, 31)))
+ SUMPRODUCT(('Form responses 1'!$E$2:$E1000 = A101) * ('Form responses 1'!$A$2:$A1000 &lt;= DATE(2024, 5, 31)))
+ SUMPRODUCT(('Form responses 1'!$F$2:$F1000 = A101) * ('Form responses 1'!$A$2:$A1000 &lt;= DATE(2024, 5, 31)))
+ SUMPRODUCT(('Form responses 1'!$G$2:$G1000 = A101) * ('Form responses 1'!$A$2:$A1000 &lt;= DATE(2024, 5, 31)))), 2), "-")
</f>
        <v>-</v>
      </c>
      <c r="H101" s="2" t="str">
        <f>IFERROR(ROUND(Data!B92/(SUMPRODUCT(('Form responses 1'!$B$2:$B1000 = A101) * ('Form responses 1'!$A$2:$A1000 &lt;= DATE(2024, 6, 30)))
+ SUMPRODUCT(('Form responses 1'!$C$2:$C1000 = A101) * ('Form responses 1'!$A$2:$A1000 &lt;= DATE(2024, 6, 30)))
+ SUMPRODUCT(('Form responses 1'!$D$2:$D1000 = A101) * ('Form responses 1'!$A$2:$A1000 &lt;= DATE(2024, 6, 30)))
+ SUMPRODUCT(('Form responses 1'!$E$2:$E1000 = A101) * ('Form responses 1'!$A$2:$A1000 &lt;= DATE(2024, 6, 30)))
+ SUMPRODUCT(('Form responses 1'!$F$2:$F1000 = A101) * ('Form responses 1'!$A$2:$A1000 &lt;= DATE(2024, 6, 30)))
+ SUMPRODUCT(('Form responses 1'!$G$2:$G1000 = A101) * ('Form responses 1'!$A$2:$A1000 &lt;= DATE(2024, 6, 30)))), 2), "-")
</f>
        <v>-</v>
      </c>
      <c r="I101" s="2" t="str">
        <f>IFERROR(ROUND(Data!B92/(SUMPRODUCT(('Form responses 1'!$B$2:$B1000 = A101) * ('Form responses 1'!$A$2:$A1000 &lt;= DATE(2024, 7, 31)))
+ SUMPRODUCT(('Form responses 1'!$C$2:$C1000 = A101) * ('Form responses 1'!$A$2:$A1000 &lt;= DATE(2024, 7, 31)))
+ SUMPRODUCT(('Form responses 1'!$D$2:$D1000 = A101) * ('Form responses 1'!$A$2:$A1000 &lt;= DATE(2024, 7, 31)))
+ SUMPRODUCT(('Form responses 1'!$E$2:$E1000 = A101) * ('Form responses 1'!$A$2:$A1000 &lt;= DATE(2024, 7, 31)))
+ SUMPRODUCT(('Form responses 1'!$F$2:$F1000 = A101) * ('Form responses 1'!$A$2:$A1000 &lt;= DATE(2024, 7, 31)))
+ SUMPRODUCT(('Form responses 1'!$G$2:$G1000 = A101) * ('Form responses 1'!$A$2:$A1000 &lt;= DATE(2024, 7, 31)))), 2), "-")
</f>
        <v>-</v>
      </c>
      <c r="J101" s="2" t="str">
        <f>IFERROR(ROUND(Data!B92/(SUMPRODUCT(('Form responses 1'!$B$2:$B1000 = A101) * ('Form responses 1'!$A$2:$A1000 &lt;= DATE(2024, 8, 31)))
+ SUMPRODUCT(('Form responses 1'!$C$2:$C1000 = A101) * ('Form responses 1'!$A$2:$A1000 &lt;= DATE(2024, 8, 31)))
+ SUMPRODUCT(('Form responses 1'!$D$2:$D1000 = A101) * ('Form responses 1'!$A$2:$A1000 &lt;= DATE(2024, 8, 31)))
+ SUMPRODUCT(('Form responses 1'!$E$2:$E1000 = A101) * ('Form responses 1'!$A$2:$A1000 &lt;= DATE(2024, 8, 31)))
+ SUMPRODUCT(('Form responses 1'!$F$2:$F1000 = A101) * ('Form responses 1'!$A$2:$A1000 &lt;= DATE(2024, 8, 31)))
+ SUMPRODUCT(('Form responses 1'!$G$2:$G1000 = A101) * ('Form responses 1'!$A$2:$A1000 &lt;= DATE(2024, 8, 31)))), 2), "-")
</f>
        <v>-</v>
      </c>
      <c r="K101" s="2" t="str">
        <f>IFERROR(ROUND(Data!B92/(SUMPRODUCT(('Form responses 1'!$B$2:$B1000 = A101) * ('Form responses 1'!$A$2:$A1000 &lt;= DATE(2024, 9, 30)))
+ SUMPRODUCT(('Form responses 1'!$C$2:$C1000 = A101) * ('Form responses 1'!$A$2:$A1000 &lt;= DATE(2024, 9, 30)))
+ SUMPRODUCT(('Form responses 1'!$D$2:$D1000 = A101) * ('Form responses 1'!$A$2:$A1000 &lt;= DATE(2024, 9, 30)))
+ SUMPRODUCT(('Form responses 1'!$E$2:$E1000 = A101) * ('Form responses 1'!$A$2:$A1000 &lt;= DATE(2024, 9, 30)))
+ SUMPRODUCT(('Form responses 1'!$F$2:$F1000 = A101) * ('Form responses 1'!$A$2:$A1000 &lt;= DATE(2024, 9, 30)))
+ SUMPRODUCT(('Form responses 1'!$G$2:$G1000 = A101) * ('Form responses 1'!$A$2:$A1000 &lt;= DATE(2024, 9, 30)))), 2), "-")
</f>
        <v>-</v>
      </c>
      <c r="L101" s="2" t="str">
        <f>IFERROR(ROUND(Data!B92/(SUMPRODUCT(('Form responses 1'!$B$2:$B1000 = A101) * ('Form responses 1'!$A$2:$A1000 &lt;= DATE(2024, 10, 31)))
+ SUMPRODUCT(('Form responses 1'!$C$2:$C1000 = A101) * ('Form responses 1'!$A$2:$A1000 &lt;= DATE(2024, 10, 31)))
+ SUMPRODUCT(('Form responses 1'!$D$2:$D1000 = A101) * ('Form responses 1'!$A$2:$A1000 &lt;= DATE(2024, 10, 31)))
+ SUMPRODUCT(('Form responses 1'!$E$2:$E1000 = A101) * ('Form responses 1'!$A$2:$A1000 &lt;= DATE(2024, 10, 31)))
+ SUMPRODUCT(('Form responses 1'!$F$2:$F1000 = A101) * ('Form responses 1'!$A$2:$A1000 &lt;= DATE(2024, 10, 31)))
+ SUMPRODUCT(('Form responses 1'!$G$2:$G1000 = A101) * ('Form responses 1'!$A$2:$A1000 &lt;= DATE(2024, 10, 31)))), 2), "-")
</f>
        <v>-</v>
      </c>
      <c r="M101" s="2" t="str">
        <f>IFERROR(ROUND(Data!B92/(SUMPRODUCT(('Form responses 1'!$B$2:$B1000 = A101) * ('Form responses 1'!$A$2:$A1000 &lt;= DATE(2024, 11, 30)))
+ SUMPRODUCT(('Form responses 1'!$C$2:$C1000 = A101) * ('Form responses 1'!$A$2:$A1000 &lt;= DATE(2024, 11, 30)))
+ SUMPRODUCT(('Form responses 1'!$D$2:$D1000 = A101) * ('Form responses 1'!$A$2:$A1000 &lt;= DATE(2024, 11, 30)))
+ SUMPRODUCT(('Form responses 1'!$E$2:$E1000 = A101) * ('Form responses 1'!$A$2:$A1000 &lt;= DATE(2024, 11, 30)))
+ SUMPRODUCT(('Form responses 1'!$F$2:$F1000 = A101) * ('Form responses 1'!$A$2:$A1000 &lt;= DATE(2024, 11, 30)))
+ SUMPRODUCT(('Form responses 1'!$G$2:$G1000 = A101) * ('Form responses 1'!$A$2:$A1000 &lt;= DATE(2024, 11, 30)))), 2), "-")
</f>
        <v>-</v>
      </c>
      <c r="N101" s="2" t="str">
        <f>IFERROR(ROUND(Data!B92/(SUMPRODUCT(('Form responses 1'!$B$2:$B1000 = A101) * ('Form responses 1'!$A$2:$A1000 &lt;= DATE(2024, 12, 31)))
+ SUMPRODUCT(('Form responses 1'!$C$2:$C1000 = A101) * ('Form responses 1'!$A$2:$A1000 &lt;= DATE(2024, 12, 31)))
+ SUMPRODUCT(('Form responses 1'!$D$2:$D1000 = A101) * ('Form responses 1'!$A$2:$A1000 &lt;= DATE(2024, 12, 31)))
+ SUMPRODUCT(('Form responses 1'!$E$2:$E1000 = A101) * ('Form responses 1'!$A$2:$A1000 &lt;= DATE(2024, 12, 31)))
+ SUMPRODUCT(('Form responses 1'!$F$2:$F1000 = A101) * ('Form responses 1'!$A$2:$A1000 &lt;= DATE(2024, 12, 31)))
+ SUMPRODUCT(('Form responses 1'!$G$2:$G1000 = A101) * ('Form responses 1'!$A$2:$A1000 &lt;= DATE(2024, 12, 31)))), 2), "-")
</f>
        <v>-</v>
      </c>
      <c r="O101" s="2" t="str">
        <f>IFERROR(ROUND(Data!B92/(SUMPRODUCT(('Form responses 1'!$B$2:$B1000 = A101) * ('Form responses 1'!$A$2:$A1000 &lt;= DATE(2025, 1, 31)))
+ SUMPRODUCT(('Form responses 1'!$C$2:$C1000 = A101) * ('Form responses 1'!$A$2:$A1000 &lt;= DATE(2025, 1, 31)))
+ SUMPRODUCT(('Form responses 1'!$D$2:$D1000 = A101) * ('Form responses 1'!$A$2:$A1000 &lt;= DATE(2025, 1, 31)))
+ SUMPRODUCT(('Form responses 1'!$E$2:$E1000 = A101) * ('Form responses 1'!$A$2:$A1000 &lt;= DATE(2025, 1, 31)))
+ SUMPRODUCT(('Form responses 1'!$F$2:$F1000 = A101) * ('Form responses 1'!$A$2:$A1000 &lt;= DATE(2025, 1, 31)))
+ SUMPRODUCT(('Form responses 1'!$G$2:$G1000 = A101) * ('Form responses 1'!$A$2:$A1000 &lt;= DATE(2025, 1, 31)))), 2), "-")
</f>
        <v>-</v>
      </c>
      <c r="P101" s="2" t="str">
        <f>IFERROR(ROUND(Data!B92/(SUMPRODUCT(('Form responses 1'!$B$2:$B1000 = A101) * ('Form responses 1'!$A$2:$A1000 &lt;= DATE(2025, 2, 28)))
+ SUMPRODUCT(('Form responses 1'!$C$2:$C1000 = A101) * ('Form responses 1'!$A$2:$A1000 &lt;= DATE(2025, 2, 28)))
+ SUMPRODUCT(('Form responses 1'!$D$2:$D1000 = A101) * ('Form responses 1'!$A$2:$A1000 &lt;= DATE(2025, 2, 28)))
+ SUMPRODUCT(('Form responses 1'!$E$2:$E1000 = A101) * ('Form responses 1'!$A$2:$A1000 &lt;= DATE(2025, 2, 28)))
+ SUMPRODUCT(('Form responses 1'!$F$2:$F1000 = A101) * ('Form responses 1'!$A$2:$A1000 &lt;= DATE(2025, 2, 28)))
+ SUMPRODUCT(('Form responses 1'!$G$2:$G1000 = A101) * ('Form responses 1'!$A$2:$A1000 &lt;= DATE(2025, 2, 28)))), 2), "-")
</f>
        <v>-</v>
      </c>
      <c r="Q101" s="2" t="str">
        <f>IFERROR(ROUND(Data!B92/(SUMPRODUCT(('Form responses 1'!$B$2:$B1000 = A101) * ('Form responses 1'!$A$2:$A1000 &lt;= DATE(2025, 3, 31)))
+ SUMPRODUCT(('Form responses 1'!$C$2:$C1000 = A101) * ('Form responses 1'!$A$2:$A1000 &lt;= DATE(2025, 3, 31)))
+ SUMPRODUCT(('Form responses 1'!$D$2:$D1000 = A101) * ('Form responses 1'!$A$2:$A1000 &lt;= DATE(2025, 3, 31)))
+ SUMPRODUCT(('Form responses 1'!$E$2:$E1000 = A101) * ('Form responses 1'!$A$2:$A1000 &lt;= DATE(2025, 3, 31)))
+ SUMPRODUCT(('Form responses 1'!$F$2:$F1000 = A101) * ('Form responses 1'!$A$2:$A1000 &lt;= DATE(2025, 3, 31)))
+ SUMPRODUCT(('Form responses 1'!$G$2:$G1000 = A101) * ('Form responses 1'!$A$2:$A1000 &lt;= DATE(2025, 3, 31)))),2),"-")</f>
        <v>-</v>
      </c>
      <c r="R101" s="2" t="str">
        <f>IFERROR(ROUND(Data!B92/(SUMPRODUCT(('Form responses 1'!$B$2:$B1000 = A101) * ('Form responses 1'!$A$2:$A1000 &lt;= DATE(2025, 4, 30)))
+ SUMPRODUCT(('Form responses 1'!$C$2:$C1000 = A101) * ('Form responses 1'!$A$2:$A1000 &lt;= DATE(2025, 4, 30)))
+ SUMPRODUCT(('Form responses 1'!$D$2:$D1000 = A101) * ('Form responses 1'!$A$2:$A1000 &lt;= DATE(2025, 4, 30)))
+ SUMPRODUCT(('Form responses 1'!$E$2:$E1000 = A101) * ('Form responses 1'!$A$2:$A1000 &lt;= DATE(2025, 4, 30)))
+ SUMPRODUCT(('Form responses 1'!$F$2:$F1000 = A101) * ('Form responses 1'!$A$2:$A1000 &lt;= DATE(2025, 4, 30)))
+ SUMPRODUCT(('Form responses 1'!$G$2:$G1000 = A101) * ('Form responses 1'!$A$2:$A1000 &lt;= DATE(2025, 4, 30)))), 2), "-")
</f>
        <v>-</v>
      </c>
      <c r="S101" s="2" t="str">
        <f>IFERROR(ROUND(Data!B92/(SUMPRODUCT(('Form responses 1'!$B$2:$B1000 = A101) * ('Form responses 1'!$A$2:$A1000 &lt;= DATE(2025, 5, 31)))
+ SUMPRODUCT(('Form responses 1'!$C$2:$C1000 = A101) * ('Form responses 1'!$A$2:$A1000 &lt;= DATE(2025, 5, 31)))
+ SUMPRODUCT(('Form responses 1'!$D$2:$D1000 = A101) * ('Form responses 1'!$A$2:$A1000 &lt;= DATE(2025, 5, 31)))
+ SUMPRODUCT(('Form responses 1'!$E$2:$E1000 = A101) * ('Form responses 1'!$A$2:$A1000 &lt;= DATE(2025, 5, 31)))
+ SUMPRODUCT(('Form responses 1'!$F$2:$F1000 = A101) * ('Form responses 1'!$A$2:$A1000 &lt;= DATE(2025, 5, 31)))
+ SUMPRODUCT(('Form responses 1'!$G$2:$G1000 = A101) * ('Form responses 1'!$A$2:$A1000 &lt;= DATE(2025, 5, 31)))), 2), "-")
</f>
        <v>-</v>
      </c>
      <c r="T101" s="2" t="str">
        <f>IFERROR(ROUND(Data!B92/(SUMPRODUCT(('Form responses 1'!$B$2:$B1000 = A101) * ('Form responses 1'!$A$2:$A1000 &lt;= DATE(2025, 6, 30)))
+ SUMPRODUCT(('Form responses 1'!$C$2:$C1000 = A101) * ('Form responses 1'!$A$2:$A1000 &lt;= DATE(2025, 6, 30)))
+ SUMPRODUCT(('Form responses 1'!$D$2:$D1000 = A101) * ('Form responses 1'!$A$2:$A1000 &lt;= DATE(2025, 6, 30)))
+ SUMPRODUCT(('Form responses 1'!$E$2:$E1000 = A101) * ('Form responses 1'!$A$2:$A1000 &lt;= DATE(2025, 6, 30)))
+ SUMPRODUCT(('Form responses 1'!$F$2:$F1000 = A101) * ('Form responses 1'!$A$2:$A1000 &lt;= DATE(2025, 6, 30)))
+ SUMPRODUCT(('Form responses 1'!$G$2:$G1000 = A101) * ('Form responses 1'!$A$2:$A1000 &lt;= DATE(2025, 6, 30)))), 2), "-")
</f>
        <v>-</v>
      </c>
      <c r="U101" s="2" t="str">
        <f>IFERROR(ROUND(Data!B92/(SUMPRODUCT(('Form responses 1'!$B$2:$B1000 = A101) * ('Form responses 1'!$A$2:$A1000 &lt;= DATE(2025, 7, 31)))
+ SUMPRODUCT(('Form responses 1'!$C$2:$C1000 = A101) * ('Form responses 1'!$A$2:$A1000 &lt;= DATE(2025, 7, 31)))
+ SUMPRODUCT(('Form responses 1'!$D$2:$D1000 = A101) * ('Form responses 1'!$A$2:$A1000 &lt;= DATE(2025, 7, 31)))
+ SUMPRODUCT(('Form responses 1'!$E$2:$E1000 = A101) * ('Form responses 1'!$A$2:$A1000 &lt;= DATE(2025, 7, 31)))
+ SUMPRODUCT(('Form responses 1'!$F$2:$F1000 = A101) * ('Form responses 1'!$A$2:$A1000 &lt;= DATE(2025, 7, 31)))
+ SUMPRODUCT(('Form responses 1'!$G$2:$G1000 = A101) * ('Form responses 1'!$A$2:$A1000 &lt;= DATE(2025, 7, 31)))), 2), "-")
</f>
        <v>-</v>
      </c>
      <c r="V101" s="2" t="str">
        <f>IFERROR(ROUND(Data!B92/(SUMPRODUCT(('Form responses 1'!$B$2:$B1000 = A101) * ('Form responses 1'!$A$2:$A1000 &lt;= DATE(2025, 8, 31)))
+ SUMPRODUCT(('Form responses 1'!$C$2:$C1000 = A101) * ('Form responses 1'!$A$2:$A1000 &lt;= DATE(2025, 8, 31)))
+ SUMPRODUCT(('Form responses 1'!$D$2:$D1000 = A101) * ('Form responses 1'!$A$2:$A1000 &lt;= DATE(2025, 8, 31)))
+ SUMPRODUCT(('Form responses 1'!$E$2:$E1000 = A101) * ('Form responses 1'!$A$2:$A1000 &lt;= DATE(2025, 8, 31)))
+ SUMPRODUCT(('Form responses 1'!$F$2:$F1000 = A101) * ('Form responses 1'!$A$2:$A1000 &lt;= DATE(2025, 8, 31)))
+ SUMPRODUCT(('Form responses 1'!$G$2:$G1000 = A101) * ('Form responses 1'!$A$2:$A1000 &lt;= DATE(2025, 8, 31)))), 2), "-")
</f>
        <v>-</v>
      </c>
      <c r="W101" s="2">
        <f>IFERROR(ROUND(Data!B92/(SUMPRODUCT(('Form responses 1'!$B$2:$B1000 = A101) * ('Form responses 1'!$A$2:$A1000 &lt;= DATE(2025, 9, 30)))
+ SUMPRODUCT(('Form responses 1'!$C$2:$C1000 = A101) * ('Form responses 1'!$A$2:$A1000 &lt;= DATE(2025, 9, 30)))
+ SUMPRODUCT(('Form responses 1'!$D$2:$D1000 = A101) * ('Form responses 1'!$A$2:$A1000 &lt;= DATE(2025, 9, 30)))
+ SUMPRODUCT(('Form responses 1'!$E$2:$E1000 = A101) * ('Form responses 1'!$A$2:$A1000 &lt;= DATE(2025, 9, 30)))
+ SUMPRODUCT(('Form responses 1'!$F$2:$F1000 = A101) * ('Form responses 1'!$A$2:$A1000 &lt;= DATE(2025, 9, 30)))
+ SUMPRODUCT(('Form responses 1'!$G$2:$G1000 = A101) * ('Form responses 1'!$A$2:$A1000 &lt;= DATE(2025, 9, 30)))), 2), "-")
</f>
        <v>7.64</v>
      </c>
      <c r="X101" s="2">
        <f>IFERROR(ROUND(Data!B92/(SUMPRODUCT(('Form responses 1'!$B$2:$B1000 = A101) * ('Form responses 1'!$A$2:$A1000 &lt;= DATE(2025, 10, 31)))
+ SUMPRODUCT(('Form responses 1'!$C$2:$C1000 = A101) * ('Form responses 1'!$A$2:$A1000 &lt;= DATE(2025, 10, 31)))
+ SUMPRODUCT(('Form responses 1'!$D$2:$D1000 = A101) * ('Form responses 1'!$A$2:$A1000 &lt;= DATE(2025, 10, 31)))
+ SUMPRODUCT(('Form responses 1'!$E$2:$E1000 = A101) * ('Form responses 1'!$A$2:$A1000 &lt;= DATE(2025, 10, 31)))
+ SUMPRODUCT(('Form responses 1'!$F$2:$F1000 = A101) * ('Form responses 1'!$A$2:$A1000 &lt;= DATE(2025, 10, 31)))
+ SUMPRODUCT(('Form responses 1'!$G$2:$G1000 = A101) * ('Form responses 1'!$A$2:$A1000 &lt;= DATE(2025, 10, 31)))), 2), "-")
</f>
        <v>7.64</v>
      </c>
      <c r="Y101" s="2">
        <f>IFERROR(ROUND(Data!B92/(SUMPRODUCT(('Form responses 1'!$B$2:$B1000 = A101) * ('Form responses 1'!$A$2:$A1000 &lt;= DATE(2025, 11, 30)))
+ SUMPRODUCT(('Form responses 1'!$C$2:$C1000 = A101) * ('Form responses 1'!$A$2:$A1000 &lt;= DATE(2025, 11, 30)))
+ SUMPRODUCT(('Form responses 1'!$D$2:$D1000 = A101) * ('Form responses 1'!$A$2:$A1000 &lt;= DATE(2025, 11, 30)))
+ SUMPRODUCT(('Form responses 1'!$E$2:$E1000 = A101) * ('Form responses 1'!$A$2:$A1000 &lt;= DATE(2025, 11, 30)))
+ SUMPRODUCT(('Form responses 1'!$F$2:$F1000 = A101) * ('Form responses 1'!$A$2:$A1000 &lt;= DATE(2025, 11, 30)))
+ SUMPRODUCT(('Form responses 1'!$G$2:$G1000 = A101) * ('Form responses 1'!$A$2:$A1000 &lt;= DATE(2025, 11, 30)))), 2), "-")
</f>
        <v>7.64</v>
      </c>
      <c r="Z101" s="2">
        <f>IFERROR(ROUND(Data!B92/(SUMPRODUCT(('Form responses 1'!$B$2:$B1000 = A101) * ('Form responses 1'!$A$2:$A1000 &lt;= DATE(2025, 12, 31)))
+ SUMPRODUCT(('Form responses 1'!$C$2:$C1000 = A101) * ('Form responses 1'!$A$2:$A1000 &lt;= DATE(2025, 12, 31)))
+ SUMPRODUCT(('Form responses 1'!$D$2:$D1000 = A101) * ('Form responses 1'!$A$2:$A1000 &lt;= DATE(2025, 12, 31)))
+ SUMPRODUCT(('Form responses 1'!$E$2:$E1000 = A101) * ('Form responses 1'!$A$2:$A1000 &lt;= DATE(2025, 12, 31)))
+ SUMPRODUCT(('Form responses 1'!$F$2:$F1000 = A101) * ('Form responses 1'!$A$2:$A1000 &lt;= DATE(2025, 12, 31)))
+ SUMPRODUCT(('Form responses 1'!$G$2:$G1000 = A101) * ('Form responses 1'!$A$2:$A1000 &lt;= DATE(2025, 12, 31)))), 2), "-")
</f>
        <v>7.64</v>
      </c>
      <c r="AA101" s="2">
        <f>IFERROR(ROUND(Data!$B101/(
  SUMPRODUCT(('Form responses 1'!$B$2:$B1000=$A101)*('Form responses 1'!$A$2:$A1000&lt;=EOMONTH(DATEVALUE("1 "&amp;AA$1),0)))+
  SUMPRODUCT(('Form responses 1'!$C$2:$C1000=$A101)*('Form responses 1'!$A$2:$A1000&lt;=EOMONTH(DATEVALUE("1 "&amp;AA$1),0)))+
  SUMPRODUCT(('Form responses 1'!$D$2:$D1000=$A101)*('Form responses 1'!$A$2:$A1000&lt;=EOMONTH(DATEVALUE("1 "&amp;AA$1),0)))+
  SUMPRODUCT(('Form responses 1'!$E$2:$E1000=$A101)*('Form responses 1'!$A$2:$A1000&lt;=EOMONTH(DATEVALUE("1 "&amp;AA$1),0)))+
  SUMPRODUCT(('Form responses 1'!$F$2:$F1000=$A101)*('Form responses 1'!$A$2:$A1000&lt;=EOMONTH(DATEVALUE("1 "&amp;AA$1),0)))+
  SUMPRODUCT(('Form responses 1'!$G$2:$G1000=$A101)*('Form responses 1'!$A$2:$A1000&lt;=EOMONTH(DATEVALUE("1 "&amp;AA$1),0)))
),2),"-")</f>
        <v>32.33</v>
      </c>
      <c r="AB101" s="2">
        <f>IFERROR(ROUND(Data!$B101/(
  SUMPRODUCT(('Form responses 1'!$B$2:$B1000=$A101)*('Form responses 1'!$A$2:$A1000&lt;=EOMONTH(DATEVALUE("1 "&amp;AB$1),0)))+
  SUMPRODUCT(('Form responses 1'!$C$2:$C1000=$A101)*('Form responses 1'!$A$2:$A1000&lt;=EOMONTH(DATEVALUE("1 "&amp;AB$1),0)))+
  SUMPRODUCT(('Form responses 1'!$D$2:$D1000=$A101)*('Form responses 1'!$A$2:$A1000&lt;=EOMONTH(DATEVALUE("1 "&amp;AB$1),0)))+
  SUMPRODUCT(('Form responses 1'!$E$2:$E1000=$A101)*('Form responses 1'!$A$2:$A1000&lt;=EOMONTH(DATEVALUE("1 "&amp;AB$1),0)))+
  SUMPRODUCT(('Form responses 1'!$F$2:$F1000=$A101)*('Form responses 1'!$A$2:$A1000&lt;=EOMONTH(DATEVALUE("1 "&amp;AB$1),0)))+
  SUMPRODUCT(('Form responses 1'!$G$2:$G1000=$A101)*('Form responses 1'!$A$2:$A1000&lt;=EOMONTH(DATEVALUE("1 "&amp;AB$1),0)))
),2),"-")</f>
        <v>32.33</v>
      </c>
      <c r="AC101" s="2">
        <f>IFERROR(ROUND(Data!$B101/(
  SUMPRODUCT(('Form responses 1'!$B$2:$B1000=$A101)*('Form responses 1'!$A$2:$A1000&lt;=EOMONTH(DATEVALUE("1 "&amp;AC$1),0)))+
  SUMPRODUCT(('Form responses 1'!$C$2:$C1000=$A101)*('Form responses 1'!$A$2:$A1000&lt;=EOMONTH(DATEVALUE("1 "&amp;AC$1),0)))+
  SUMPRODUCT(('Form responses 1'!$D$2:$D1000=$A101)*('Form responses 1'!$A$2:$A1000&lt;=EOMONTH(DATEVALUE("1 "&amp;AC$1),0)))+
  SUMPRODUCT(('Form responses 1'!$E$2:$E1000=$A101)*('Form responses 1'!$A$2:$A1000&lt;=EOMONTH(DATEVALUE("1 "&amp;AC$1),0)))+
  SUMPRODUCT(('Form responses 1'!$F$2:$F1000=$A101)*('Form responses 1'!$A$2:$A1000&lt;=EOMONTH(DATEVALUE("1 "&amp;AC$1),0)))+
  SUMPRODUCT(('Form responses 1'!$G$2:$G1000=$A101)*('Form responses 1'!$A$2:$A1000&lt;=EOMONTH(DATEVALUE("1 "&amp;AC$1),0)))
),2),"-")</f>
        <v>32.33</v>
      </c>
      <c r="AD101" s="2" t="str">
        <f>IFERROR(ROUND(Data!$B101/(
  SUMPRODUCT(('Form responses 1'!$B$2:$B1000=$A101)*('Form responses 1'!$A$2:$A1000&lt;=EOMONTH(DATEVALUE("1 "&amp;AD$1),0)))+
  SUMPRODUCT(('Form responses 1'!$C$2:$C1000=$A101)*('Form responses 1'!$A$2:$A1000&lt;=EOMONTH(DATEVALUE("1 "&amp;AD$1),0)))+
  SUMPRODUCT(('Form responses 1'!$D$2:$D1000=$A101)*('Form responses 1'!$A$2:$A1000&lt;=EOMONTH(DATEVALUE("1 "&amp;AD$1),0)))+
  SUMPRODUCT(('Form responses 1'!$E$2:$E1000=$A101)*('Form responses 1'!$A$2:$A1000&lt;=EOMONTH(DATEVALUE("1 "&amp;AD$1),0)))+
  SUMPRODUCT(('Form responses 1'!$F$2:$F1000=$A101)*('Form responses 1'!$A$2:$A1000&lt;=EOMONTH(DATEVALUE("1 "&amp;AD$1),0)))+
  SUMPRODUCT(('Form responses 1'!$G$2:$G1000=$A101)*('Form responses 1'!$A$2:$A1000&lt;=EOMONTH(DATEVALUE("1 "&amp;AD$1),0)))
),2),"-")</f>
        <v>-</v>
      </c>
      <c r="AE101" s="2" t="str">
        <f>IFERROR(ROUND(Data!$B101/(
  SUMPRODUCT(('Form responses 1'!$B$2:$B1000=$A101)*('Form responses 1'!$A$2:$A1000&lt;=EOMONTH(DATEVALUE("1 "&amp;AE$1),0)))+
  SUMPRODUCT(('Form responses 1'!$C$2:$C1000=$A101)*('Form responses 1'!$A$2:$A1000&lt;=EOMONTH(DATEVALUE("1 "&amp;AE$1),0)))+
  SUMPRODUCT(('Form responses 1'!$D$2:$D1000=$A101)*('Form responses 1'!$A$2:$A1000&lt;=EOMONTH(DATEVALUE("1 "&amp;AE$1),0)))+
  SUMPRODUCT(('Form responses 1'!$E$2:$E1000=$A101)*('Form responses 1'!$A$2:$A1000&lt;=EOMONTH(DATEVALUE("1 "&amp;AE$1),0)))+
  SUMPRODUCT(('Form responses 1'!$F$2:$F1000=$A101)*('Form responses 1'!$A$2:$A1000&lt;=EOMONTH(DATEVALUE("1 "&amp;AE$1),0)))+
  SUMPRODUCT(('Form responses 1'!$G$2:$G1000=$A101)*('Form responses 1'!$A$2:$A1000&lt;=EOMONTH(DATEVALUE("1 "&amp;AE$1),0)))
),2),"-")</f>
        <v>-</v>
      </c>
      <c r="AF101" s="2" t="str">
        <f>IFERROR(ROUND(Data!$B101/(
  SUMPRODUCT(('Form responses 1'!$B$2:$B1000=$A101)*('Form responses 1'!$A$2:$A1000&lt;=EOMONTH(DATEVALUE("1 "&amp;AF$1),0)))+
  SUMPRODUCT(('Form responses 1'!$C$2:$C1000=$A101)*('Form responses 1'!$A$2:$A1000&lt;=EOMONTH(DATEVALUE("1 "&amp;AF$1),0)))+
  SUMPRODUCT(('Form responses 1'!$D$2:$D1000=$A101)*('Form responses 1'!$A$2:$A1000&lt;=EOMONTH(DATEVALUE("1 "&amp;AF$1),0)))+
  SUMPRODUCT(('Form responses 1'!$E$2:$E1000=$A101)*('Form responses 1'!$A$2:$A1000&lt;=EOMONTH(DATEVALUE("1 "&amp;AF$1),0)))+
  SUMPRODUCT(('Form responses 1'!$F$2:$F1000=$A101)*('Form responses 1'!$A$2:$A1000&lt;=EOMONTH(DATEVALUE("1 "&amp;AF$1),0)))+
  SUMPRODUCT(('Form responses 1'!$G$2:$G1000=$A101)*('Form responses 1'!$A$2:$A1000&lt;=EOMONTH(DATEVALUE("1 "&amp;AF$1),0)))
),2),"-")</f>
        <v>-</v>
      </c>
      <c r="AG101" s="2" t="str">
        <f>IFERROR(ROUND(Data!$B101/(
  SUMPRODUCT(('Form responses 1'!$B$2:$B1000=$A101)*('Form responses 1'!$A$2:$A1000&lt;=EOMONTH(DATEVALUE("1 "&amp;AG$1),0)))+
  SUMPRODUCT(('Form responses 1'!$C$2:$C1000=$A101)*('Form responses 1'!$A$2:$A1000&lt;=EOMONTH(DATEVALUE("1 "&amp;AG$1),0)))+
  SUMPRODUCT(('Form responses 1'!$D$2:$D1000=$A101)*('Form responses 1'!$A$2:$A1000&lt;=EOMONTH(DATEVALUE("1 "&amp;AG$1),0)))+
  SUMPRODUCT(('Form responses 1'!$E$2:$E1000=$A101)*('Form responses 1'!$A$2:$A1000&lt;=EOMONTH(DATEVALUE("1 "&amp;AG$1),0)))+
  SUMPRODUCT(('Form responses 1'!$F$2:$F1000=$A101)*('Form responses 1'!$A$2:$A1000&lt;=EOMONTH(DATEVALUE("1 "&amp;AG$1),0)))+
  SUMPRODUCT(('Form responses 1'!$G$2:$G1000=$A101)*('Form responses 1'!$A$2:$A1000&lt;=EOMONTH(DATEVALUE("1 "&amp;AG$1),0)))
),2),"-")</f>
        <v>-</v>
      </c>
      <c r="AH101" s="2" t="str">
        <f>IFERROR(ROUND(Data!$B101/(
  SUMPRODUCT(('Form responses 1'!$B$2:$B1000=$A101)*('Form responses 1'!$A$2:$A1000&lt;=EOMONTH(DATEVALUE("1 "&amp;AH$1),0)))+
  SUMPRODUCT(('Form responses 1'!$C$2:$C1000=$A101)*('Form responses 1'!$A$2:$A1000&lt;=EOMONTH(DATEVALUE("1 "&amp;AH$1),0)))+
  SUMPRODUCT(('Form responses 1'!$D$2:$D1000=$A101)*('Form responses 1'!$A$2:$A1000&lt;=EOMONTH(DATEVALUE("1 "&amp;AH$1),0)))+
  SUMPRODUCT(('Form responses 1'!$E$2:$E1000=$A101)*('Form responses 1'!$A$2:$A1000&lt;=EOMONTH(DATEVALUE("1 "&amp;AH$1),0)))+
  SUMPRODUCT(('Form responses 1'!$F$2:$F1000=$A101)*('Form responses 1'!$A$2:$A1000&lt;=EOMONTH(DATEVALUE("1 "&amp;AH$1),0)))+
  SUMPRODUCT(('Form responses 1'!$G$2:$G1000=$A101)*('Form responses 1'!$A$2:$A1000&lt;=EOMONTH(DATEVALUE("1 "&amp;AH$1),0)))
),2),"-")</f>
        <v>-</v>
      </c>
      <c r="AI101" s="2" t="str">
        <f>IFERROR(ROUND(Data!$B101/(
  SUMPRODUCT(('Form responses 1'!$B$2:$B1000=$A101)*('Form responses 1'!$A$2:$A1000&lt;=EOMONTH(DATEVALUE("1 "&amp;AI$1),0)))+
  SUMPRODUCT(('Form responses 1'!$C$2:$C1000=$A101)*('Form responses 1'!$A$2:$A1000&lt;=EOMONTH(DATEVALUE("1 "&amp;AI$1),0)))+
  SUMPRODUCT(('Form responses 1'!$D$2:$D1000=$A101)*('Form responses 1'!$A$2:$A1000&lt;=EOMONTH(DATEVALUE("1 "&amp;AI$1),0)))+
  SUMPRODUCT(('Form responses 1'!$E$2:$E1000=$A101)*('Form responses 1'!$A$2:$A1000&lt;=EOMONTH(DATEVALUE("1 "&amp;AI$1),0)))+
  SUMPRODUCT(('Form responses 1'!$F$2:$F1000=$A101)*('Form responses 1'!$A$2:$A1000&lt;=EOMONTH(DATEVALUE("1 "&amp;AI$1),0)))+
  SUMPRODUCT(('Form responses 1'!$G$2:$G1000=$A101)*('Form responses 1'!$A$2:$A1000&lt;=EOMONTH(DATEVALUE("1 "&amp;AI$1),0)))
),2),"-")</f>
        <v>-</v>
      </c>
      <c r="AJ101" s="2" t="str">
        <f>IFERROR(ROUND(Data!$B101/(
  SUMPRODUCT(('Form responses 1'!$B$2:$B1000=$A101)*('Form responses 1'!$A$2:$A1000&lt;=EOMONTH(DATEVALUE("1 "&amp;AJ$1),0)))+
  SUMPRODUCT(('Form responses 1'!$C$2:$C1000=$A101)*('Form responses 1'!$A$2:$A1000&lt;=EOMONTH(DATEVALUE("1 "&amp;AJ$1),0)))+
  SUMPRODUCT(('Form responses 1'!$D$2:$D1000=$A101)*('Form responses 1'!$A$2:$A1000&lt;=EOMONTH(DATEVALUE("1 "&amp;AJ$1),0)))+
  SUMPRODUCT(('Form responses 1'!$E$2:$E1000=$A101)*('Form responses 1'!$A$2:$A1000&lt;=EOMONTH(DATEVALUE("1 "&amp;AJ$1),0)))+
  SUMPRODUCT(('Form responses 1'!$F$2:$F1000=$A101)*('Form responses 1'!$A$2:$A1000&lt;=EOMONTH(DATEVALUE("1 "&amp;AJ$1),0)))+
  SUMPRODUCT(('Form responses 1'!$G$2:$G1000=$A101)*('Form responses 1'!$A$2:$A1000&lt;=EOMONTH(DATEVALUE("1 "&amp;AJ$1),0)))
),2),"-")</f>
        <v>-</v>
      </c>
      <c r="AK101" s="2" t="str">
        <f>IFERROR(ROUND(Data!$B101/(
  SUMPRODUCT(('Form responses 1'!$B$2:$B1000=$A101)*('Form responses 1'!$A$2:$A1000&lt;=EOMONTH(DATEVALUE("1 "&amp;AK$1),0)))+
  SUMPRODUCT(('Form responses 1'!$C$2:$C1000=$A101)*('Form responses 1'!$A$2:$A1000&lt;=EOMONTH(DATEVALUE("1 "&amp;AK$1),0)))+
  SUMPRODUCT(('Form responses 1'!$D$2:$D1000=$A101)*('Form responses 1'!$A$2:$A1000&lt;=EOMONTH(DATEVALUE("1 "&amp;AK$1),0)))+
  SUMPRODUCT(('Form responses 1'!$E$2:$E1000=$A101)*('Form responses 1'!$A$2:$A1000&lt;=EOMONTH(DATEVALUE("1 "&amp;AK$1),0)))+
  SUMPRODUCT(('Form responses 1'!$F$2:$F1000=$A101)*('Form responses 1'!$A$2:$A1000&lt;=EOMONTH(DATEVALUE("1 "&amp;AK$1),0)))+
  SUMPRODUCT(('Form responses 1'!$G$2:$G1000=$A101)*('Form responses 1'!$A$2:$A1000&lt;=EOMONTH(DATEVALUE("1 "&amp;AK$1),0)))
),2),"-")</f>
        <v>-</v>
      </c>
      <c r="AL101" s="2" t="str">
        <f>IFERROR(ROUND(Data!$B101/(
  SUMPRODUCT(('Form responses 1'!$B$2:$B1000=$A101)*('Form responses 1'!$A$2:$A1000&lt;=EOMONTH(DATEVALUE("1 "&amp;AL$1),0)))+
  SUMPRODUCT(('Form responses 1'!$C$2:$C1000=$A101)*('Form responses 1'!$A$2:$A1000&lt;=EOMONTH(DATEVALUE("1 "&amp;AL$1),0)))+
  SUMPRODUCT(('Form responses 1'!$D$2:$D1000=$A101)*('Form responses 1'!$A$2:$A1000&lt;=EOMONTH(DATEVALUE("1 "&amp;AL$1),0)))+
  SUMPRODUCT(('Form responses 1'!$E$2:$E1000=$A101)*('Form responses 1'!$A$2:$A1000&lt;=EOMONTH(DATEVALUE("1 "&amp;AL$1),0)))+
  SUMPRODUCT(('Form responses 1'!$F$2:$F1000=$A101)*('Form responses 1'!$A$2:$A1000&lt;=EOMONTH(DATEVALUE("1 "&amp;AL$1),0)))+
  SUMPRODUCT(('Form responses 1'!$G$2:$G1000=$A101)*('Form responses 1'!$A$2:$A1000&lt;=EOMONTH(DATEVALUE("1 "&amp;AL$1),0)))
),2),"-")</f>
        <v>-</v>
      </c>
    </row>
    <row r="102">
      <c r="A102" s="3" t="str">
        <f>IFERROR(__xludf.DUMMYFUNCTION("""COMPUTED_VALUE"""),"Wit overhemd Vanda Tailors")</f>
        <v>Wit overhemd Vanda Tailors</v>
      </c>
      <c r="C102" s="2" t="str">
        <f>IFERROR(ROUND(Data!B93/(SUMPRODUCT(('Form responses 1'!$B$2:$B1000 = A102) * ('Form responses 1'!$A$2:$A1000 &lt;= DATE(2024, 1, 31)))
+ SUMPRODUCT(('Form responses 1'!$C$2:$C1000 = A102) * ('Form responses 1'!$A$2:$A1000 &lt;= DATE(2024, 1, 31)))
+ SUMPRODUCT(('Form responses 1'!$D$2:$D1000 = A102) * ('Form responses 1'!$A$2:$A1000 &lt;= DATE(2024, 1, 31)))
+ SUMPRODUCT(('Form responses 1'!$E$2:$E1000 = A102) * ('Form responses 1'!$A$2:$A1000 &lt;= DATE(2024, 1, 31)))
+ SUMPRODUCT(('Form responses 1'!$F$2:$F1000 = A102) * ('Form responses 1'!$A$2:$A1000 &lt;= DATE(2024, 1, 31)))
+ SUMPRODUCT(('Form responses 1'!$G$2:$G1000 = A102) * ('Form responses 1'!$A$2:$A1000 &lt;= DATE(2024, 1, 31)))), 2), "-")
</f>
        <v>-</v>
      </c>
      <c r="D102" s="2" t="str">
        <f>IFERROR(ROUND(Data!B93/(SUMPRODUCT(('Form responses 1'!$B$2:$B1000 = A102) * ('Form responses 1'!$A$2:$A1000 &lt;= DATE(2024, 2, 29)))
+ SUMPRODUCT(('Form responses 1'!$C$2:$C1000 = A102) * ('Form responses 1'!$A$2:$A1000 &lt;= DATE(2024, 2, 29)))
+ SUMPRODUCT(('Form responses 1'!$D$2:$D1000 = A102) * ('Form responses 1'!$A$2:$A1000 &lt;= DATE(2024, 2, 29)))
+ SUMPRODUCT(('Form responses 1'!$E$2:$E1000 = A102) * ('Form responses 1'!$A$2:$A1000 &lt;= DATE(2024, 2, 29)))
+ SUMPRODUCT(('Form responses 1'!$F$2:$F1000 = A102) * ('Form responses 1'!$A$2:$A1000 &lt;= DATE(2024, 2, 29)))
+ SUMPRODUCT(('Form responses 1'!$G$2:$G1000 = A102) * ('Form responses 1'!$A$2:$A1000 &lt;= DATE(2024, 2, 29)))), 2), "-")
</f>
        <v>-</v>
      </c>
      <c r="E102" s="2" t="str">
        <f>IFERROR(ROUND(Data!B93/(SUMPRODUCT(('Form responses 1'!$B$2:$B1000 = A102) * ('Form responses 1'!$A$2:$A1000 &lt;= DATE(2024, 3, 31)))
+ SUMPRODUCT(('Form responses 1'!$C$2:$C1000 = A102) * ('Form responses 1'!$A$2:$A1000 &lt;= DATE(2024, 3, 31)))
+ SUMPRODUCT(('Form responses 1'!$D$2:$D1000 = A102) * ('Form responses 1'!$A$2:$A1000 &lt;= DATE(2024, 3, 31)))
+ SUMPRODUCT(('Form responses 1'!$E$2:$E1000 = A102) * ('Form responses 1'!$A$2:$A1000 &lt;= DATE(2024, 3, 31)))
+ SUMPRODUCT(('Form responses 1'!$F$2:$F1000 = A102) * ('Form responses 1'!$A$2:$A1000 &lt;= DATE(2024, 3, 31)))
+ SUMPRODUCT(('Form responses 1'!$G$2:$G1000 = A102) * ('Form responses 1'!$A$2:$A1000 &lt;= DATE(2024, 3, 31)))), 2), "-")
</f>
        <v>-</v>
      </c>
      <c r="F102" s="2" t="str">
        <f>IFERROR(ROUND(Data!B93/(SUMPRODUCT(('Form responses 1'!$B$2:$B1000 = A102) * ('Form responses 1'!$A$2:$A1000 &lt;= DATE(2024, 4, 30)))
+ SUMPRODUCT(('Form responses 1'!$C$2:$C1000 = A102) * ('Form responses 1'!$A$2:$A1000 &lt;= DATE(2024, 4, 30)))
+ SUMPRODUCT(('Form responses 1'!$D$2:$D1000 = A102) * ('Form responses 1'!$A$2:$A1000 &lt;= DATE(2024, 4, 30)))
+ SUMPRODUCT(('Form responses 1'!$E$2:$E1000 = A102) * ('Form responses 1'!$A$2:$A1000 &lt;= DATE(2024, 4, 30)))
+ SUMPRODUCT(('Form responses 1'!$F$2:$F1000 = A102) * ('Form responses 1'!$A$2:$A1000 &lt;= DATE(2024, 4, 30)))
+ SUMPRODUCT(('Form responses 1'!$G$2:$G1000 = A102) * ('Form responses 1'!$A$2:$A1000 &lt;= DATE(2024, 4, 30)))), 2), "-")
</f>
        <v>-</v>
      </c>
      <c r="G102" s="2" t="str">
        <f>IFERROR(ROUND(Data!B93/(SUMPRODUCT(('Form responses 1'!$B$2:$B1000 = A102) * ('Form responses 1'!$A$2:$A1000 &lt;= DATE(2024, 5, 31)))
+ SUMPRODUCT(('Form responses 1'!$C$2:$C1000 = A102) * ('Form responses 1'!$A$2:$A1000 &lt;= DATE(2024, 5, 31)))
+ SUMPRODUCT(('Form responses 1'!$D$2:$D1000 = A102) * ('Form responses 1'!$A$2:$A1000 &lt;= DATE(2024, 5, 31)))
+ SUMPRODUCT(('Form responses 1'!$E$2:$E1000 = A102) * ('Form responses 1'!$A$2:$A1000 &lt;= DATE(2024, 5, 31)))
+ SUMPRODUCT(('Form responses 1'!$F$2:$F1000 = A102) * ('Form responses 1'!$A$2:$A1000 &lt;= DATE(2024, 5, 31)))
+ SUMPRODUCT(('Form responses 1'!$G$2:$G1000 = A102) * ('Form responses 1'!$A$2:$A1000 &lt;= DATE(2024, 5, 31)))), 2), "-")
</f>
        <v>-</v>
      </c>
      <c r="H102" s="2" t="str">
        <f>IFERROR(ROUND(Data!B93/(SUMPRODUCT(('Form responses 1'!$B$2:$B1000 = A102) * ('Form responses 1'!$A$2:$A1000 &lt;= DATE(2024, 6, 30)))
+ SUMPRODUCT(('Form responses 1'!$C$2:$C1000 = A102) * ('Form responses 1'!$A$2:$A1000 &lt;= DATE(2024, 6, 30)))
+ SUMPRODUCT(('Form responses 1'!$D$2:$D1000 = A102) * ('Form responses 1'!$A$2:$A1000 &lt;= DATE(2024, 6, 30)))
+ SUMPRODUCT(('Form responses 1'!$E$2:$E1000 = A102) * ('Form responses 1'!$A$2:$A1000 &lt;= DATE(2024, 6, 30)))
+ SUMPRODUCT(('Form responses 1'!$F$2:$F1000 = A102) * ('Form responses 1'!$A$2:$A1000 &lt;= DATE(2024, 6, 30)))
+ SUMPRODUCT(('Form responses 1'!$G$2:$G1000 = A102) * ('Form responses 1'!$A$2:$A1000 &lt;= DATE(2024, 6, 30)))), 2), "-")
</f>
        <v>-</v>
      </c>
      <c r="I102" s="2" t="str">
        <f>IFERROR(ROUND(Data!B93/(SUMPRODUCT(('Form responses 1'!$B$2:$B1000 = A102) * ('Form responses 1'!$A$2:$A1000 &lt;= DATE(2024, 7, 31)))
+ SUMPRODUCT(('Form responses 1'!$C$2:$C1000 = A102) * ('Form responses 1'!$A$2:$A1000 &lt;= DATE(2024, 7, 31)))
+ SUMPRODUCT(('Form responses 1'!$D$2:$D1000 = A102) * ('Form responses 1'!$A$2:$A1000 &lt;= DATE(2024, 7, 31)))
+ SUMPRODUCT(('Form responses 1'!$E$2:$E1000 = A102) * ('Form responses 1'!$A$2:$A1000 &lt;= DATE(2024, 7, 31)))
+ SUMPRODUCT(('Form responses 1'!$F$2:$F1000 = A102) * ('Form responses 1'!$A$2:$A1000 &lt;= DATE(2024, 7, 31)))
+ SUMPRODUCT(('Form responses 1'!$G$2:$G1000 = A102) * ('Form responses 1'!$A$2:$A1000 &lt;= DATE(2024, 7, 31)))), 2), "-")
</f>
        <v>-</v>
      </c>
      <c r="J102" s="2" t="str">
        <f>IFERROR(ROUND(Data!B93/(SUMPRODUCT(('Form responses 1'!$B$2:$B1000 = A102) * ('Form responses 1'!$A$2:$A1000 &lt;= DATE(2024, 8, 31)))
+ SUMPRODUCT(('Form responses 1'!$C$2:$C1000 = A102) * ('Form responses 1'!$A$2:$A1000 &lt;= DATE(2024, 8, 31)))
+ SUMPRODUCT(('Form responses 1'!$D$2:$D1000 = A102) * ('Form responses 1'!$A$2:$A1000 &lt;= DATE(2024, 8, 31)))
+ SUMPRODUCT(('Form responses 1'!$E$2:$E1000 = A102) * ('Form responses 1'!$A$2:$A1000 &lt;= DATE(2024, 8, 31)))
+ SUMPRODUCT(('Form responses 1'!$F$2:$F1000 = A102) * ('Form responses 1'!$A$2:$A1000 &lt;= DATE(2024, 8, 31)))
+ SUMPRODUCT(('Form responses 1'!$G$2:$G1000 = A102) * ('Form responses 1'!$A$2:$A1000 &lt;= DATE(2024, 8, 31)))), 2), "-")
</f>
        <v>-</v>
      </c>
      <c r="K102" s="2" t="str">
        <f>IFERROR(ROUND(Data!B93/(SUMPRODUCT(('Form responses 1'!$B$2:$B1000 = A102) * ('Form responses 1'!$A$2:$A1000 &lt;= DATE(2024, 9, 30)))
+ SUMPRODUCT(('Form responses 1'!$C$2:$C1000 = A102) * ('Form responses 1'!$A$2:$A1000 &lt;= DATE(2024, 9, 30)))
+ SUMPRODUCT(('Form responses 1'!$D$2:$D1000 = A102) * ('Form responses 1'!$A$2:$A1000 &lt;= DATE(2024, 9, 30)))
+ SUMPRODUCT(('Form responses 1'!$E$2:$E1000 = A102) * ('Form responses 1'!$A$2:$A1000 &lt;= DATE(2024, 9, 30)))
+ SUMPRODUCT(('Form responses 1'!$F$2:$F1000 = A102) * ('Form responses 1'!$A$2:$A1000 &lt;= DATE(2024, 9, 30)))
+ SUMPRODUCT(('Form responses 1'!$G$2:$G1000 = A102) * ('Form responses 1'!$A$2:$A1000 &lt;= DATE(2024, 9, 30)))), 2), "-")
</f>
        <v>-</v>
      </c>
      <c r="L102" s="2" t="str">
        <f>IFERROR(ROUND(Data!B93/(SUMPRODUCT(('Form responses 1'!$B$2:$B1000 = A102) * ('Form responses 1'!$A$2:$A1000 &lt;= DATE(2024, 10, 31)))
+ SUMPRODUCT(('Form responses 1'!$C$2:$C1000 = A102) * ('Form responses 1'!$A$2:$A1000 &lt;= DATE(2024, 10, 31)))
+ SUMPRODUCT(('Form responses 1'!$D$2:$D1000 = A102) * ('Form responses 1'!$A$2:$A1000 &lt;= DATE(2024, 10, 31)))
+ SUMPRODUCT(('Form responses 1'!$E$2:$E1000 = A102) * ('Form responses 1'!$A$2:$A1000 &lt;= DATE(2024, 10, 31)))
+ SUMPRODUCT(('Form responses 1'!$F$2:$F1000 = A102) * ('Form responses 1'!$A$2:$A1000 &lt;= DATE(2024, 10, 31)))
+ SUMPRODUCT(('Form responses 1'!$G$2:$G1000 = A102) * ('Form responses 1'!$A$2:$A1000 &lt;= DATE(2024, 10, 31)))), 2), "-")
</f>
        <v>-</v>
      </c>
      <c r="M102" s="2" t="str">
        <f>IFERROR(ROUND(Data!B93/(SUMPRODUCT(('Form responses 1'!$B$2:$B1000 = A102) * ('Form responses 1'!$A$2:$A1000 &lt;= DATE(2024, 11, 30)))
+ SUMPRODUCT(('Form responses 1'!$C$2:$C1000 = A102) * ('Form responses 1'!$A$2:$A1000 &lt;= DATE(2024, 11, 30)))
+ SUMPRODUCT(('Form responses 1'!$D$2:$D1000 = A102) * ('Form responses 1'!$A$2:$A1000 &lt;= DATE(2024, 11, 30)))
+ SUMPRODUCT(('Form responses 1'!$E$2:$E1000 = A102) * ('Form responses 1'!$A$2:$A1000 &lt;= DATE(2024, 11, 30)))
+ SUMPRODUCT(('Form responses 1'!$F$2:$F1000 = A102) * ('Form responses 1'!$A$2:$A1000 &lt;= DATE(2024, 11, 30)))
+ SUMPRODUCT(('Form responses 1'!$G$2:$G1000 = A102) * ('Form responses 1'!$A$2:$A1000 &lt;= DATE(2024, 11, 30)))), 2), "-")
</f>
        <v>-</v>
      </c>
      <c r="N102" s="2" t="str">
        <f>IFERROR(ROUND(Data!B93/(SUMPRODUCT(('Form responses 1'!$B$2:$B1000 = A102) * ('Form responses 1'!$A$2:$A1000 &lt;= DATE(2024, 12, 31)))
+ SUMPRODUCT(('Form responses 1'!$C$2:$C1000 = A102) * ('Form responses 1'!$A$2:$A1000 &lt;= DATE(2024, 12, 31)))
+ SUMPRODUCT(('Form responses 1'!$D$2:$D1000 = A102) * ('Form responses 1'!$A$2:$A1000 &lt;= DATE(2024, 12, 31)))
+ SUMPRODUCT(('Form responses 1'!$E$2:$E1000 = A102) * ('Form responses 1'!$A$2:$A1000 &lt;= DATE(2024, 12, 31)))
+ SUMPRODUCT(('Form responses 1'!$F$2:$F1000 = A102) * ('Form responses 1'!$A$2:$A1000 &lt;= DATE(2024, 12, 31)))
+ SUMPRODUCT(('Form responses 1'!$G$2:$G1000 = A102) * ('Form responses 1'!$A$2:$A1000 &lt;= DATE(2024, 12, 31)))), 2), "-")
</f>
        <v>-</v>
      </c>
      <c r="O102" s="2" t="str">
        <f>IFERROR(ROUND(Data!B93/(SUMPRODUCT(('Form responses 1'!$B$2:$B1000 = A102) * ('Form responses 1'!$A$2:$A1000 &lt;= DATE(2025, 1, 31)))
+ SUMPRODUCT(('Form responses 1'!$C$2:$C1000 = A102) * ('Form responses 1'!$A$2:$A1000 &lt;= DATE(2025, 1, 31)))
+ SUMPRODUCT(('Form responses 1'!$D$2:$D1000 = A102) * ('Form responses 1'!$A$2:$A1000 &lt;= DATE(2025, 1, 31)))
+ SUMPRODUCT(('Form responses 1'!$E$2:$E1000 = A102) * ('Form responses 1'!$A$2:$A1000 &lt;= DATE(2025, 1, 31)))
+ SUMPRODUCT(('Form responses 1'!$F$2:$F1000 = A102) * ('Form responses 1'!$A$2:$A1000 &lt;= DATE(2025, 1, 31)))
+ SUMPRODUCT(('Form responses 1'!$G$2:$G1000 = A102) * ('Form responses 1'!$A$2:$A1000 &lt;= DATE(2025, 1, 31)))), 2), "-")
</f>
        <v>-</v>
      </c>
      <c r="P102" s="2" t="str">
        <f>IFERROR(ROUND(Data!B93/(SUMPRODUCT(('Form responses 1'!$B$2:$B1000 = A102) * ('Form responses 1'!$A$2:$A1000 &lt;= DATE(2025, 2, 28)))
+ SUMPRODUCT(('Form responses 1'!$C$2:$C1000 = A102) * ('Form responses 1'!$A$2:$A1000 &lt;= DATE(2025, 2, 28)))
+ SUMPRODUCT(('Form responses 1'!$D$2:$D1000 = A102) * ('Form responses 1'!$A$2:$A1000 &lt;= DATE(2025, 2, 28)))
+ SUMPRODUCT(('Form responses 1'!$E$2:$E1000 = A102) * ('Form responses 1'!$A$2:$A1000 &lt;= DATE(2025, 2, 28)))
+ SUMPRODUCT(('Form responses 1'!$F$2:$F1000 = A102) * ('Form responses 1'!$A$2:$A1000 &lt;= DATE(2025, 2, 28)))
+ SUMPRODUCT(('Form responses 1'!$G$2:$G1000 = A102) * ('Form responses 1'!$A$2:$A1000 &lt;= DATE(2025, 2, 28)))), 2), "-")
</f>
        <v>-</v>
      </c>
      <c r="Q102" s="2" t="str">
        <f>IFERROR(ROUND(Data!B93/(SUMPRODUCT(('Form responses 1'!$B$2:$B1000 = A102) * ('Form responses 1'!$A$2:$A1000 &lt;= DATE(2025, 3, 31)))
+ SUMPRODUCT(('Form responses 1'!$C$2:$C1000 = A102) * ('Form responses 1'!$A$2:$A1000 &lt;= DATE(2025, 3, 31)))
+ SUMPRODUCT(('Form responses 1'!$D$2:$D1000 = A102) * ('Form responses 1'!$A$2:$A1000 &lt;= DATE(2025, 3, 31)))
+ SUMPRODUCT(('Form responses 1'!$E$2:$E1000 = A102) * ('Form responses 1'!$A$2:$A1000 &lt;= DATE(2025, 3, 31)))
+ SUMPRODUCT(('Form responses 1'!$F$2:$F1000 = A102) * ('Form responses 1'!$A$2:$A1000 &lt;= DATE(2025, 3, 31)))
+ SUMPRODUCT(('Form responses 1'!$G$2:$G1000 = A102) * ('Form responses 1'!$A$2:$A1000 &lt;= DATE(2025, 3, 31)))),2),"-")</f>
        <v>-</v>
      </c>
      <c r="R102" s="2" t="str">
        <f>IFERROR(ROUND(Data!B93/(SUMPRODUCT(('Form responses 1'!$B$2:$B1000 = A102) * ('Form responses 1'!$A$2:$A1000 &lt;= DATE(2025, 4, 30)))
+ SUMPRODUCT(('Form responses 1'!$C$2:$C1000 = A102) * ('Form responses 1'!$A$2:$A1000 &lt;= DATE(2025, 4, 30)))
+ SUMPRODUCT(('Form responses 1'!$D$2:$D1000 = A102) * ('Form responses 1'!$A$2:$A1000 &lt;= DATE(2025, 4, 30)))
+ SUMPRODUCT(('Form responses 1'!$E$2:$E1000 = A102) * ('Form responses 1'!$A$2:$A1000 &lt;= DATE(2025, 4, 30)))
+ SUMPRODUCT(('Form responses 1'!$F$2:$F1000 = A102) * ('Form responses 1'!$A$2:$A1000 &lt;= DATE(2025, 4, 30)))
+ SUMPRODUCT(('Form responses 1'!$G$2:$G1000 = A102) * ('Form responses 1'!$A$2:$A1000 &lt;= DATE(2025, 4, 30)))), 2), "-")
</f>
        <v>-</v>
      </c>
      <c r="S102" s="2" t="str">
        <f>IFERROR(ROUND(Data!B93/(SUMPRODUCT(('Form responses 1'!$B$2:$B1000 = A102) * ('Form responses 1'!$A$2:$A1000 &lt;= DATE(2025, 5, 31)))
+ SUMPRODUCT(('Form responses 1'!$C$2:$C1000 = A102) * ('Form responses 1'!$A$2:$A1000 &lt;= DATE(2025, 5, 31)))
+ SUMPRODUCT(('Form responses 1'!$D$2:$D1000 = A102) * ('Form responses 1'!$A$2:$A1000 &lt;= DATE(2025, 5, 31)))
+ SUMPRODUCT(('Form responses 1'!$E$2:$E1000 = A102) * ('Form responses 1'!$A$2:$A1000 &lt;= DATE(2025, 5, 31)))
+ SUMPRODUCT(('Form responses 1'!$F$2:$F1000 = A102) * ('Form responses 1'!$A$2:$A1000 &lt;= DATE(2025, 5, 31)))
+ SUMPRODUCT(('Form responses 1'!$G$2:$G1000 = A102) * ('Form responses 1'!$A$2:$A1000 &lt;= DATE(2025, 5, 31)))), 2), "-")
</f>
        <v>-</v>
      </c>
      <c r="T102" s="2" t="str">
        <f>IFERROR(ROUND(Data!B93/(SUMPRODUCT(('Form responses 1'!$B$2:$B1000 = A102) * ('Form responses 1'!$A$2:$A1000 &lt;= DATE(2025, 6, 30)))
+ SUMPRODUCT(('Form responses 1'!$C$2:$C1000 = A102) * ('Form responses 1'!$A$2:$A1000 &lt;= DATE(2025, 6, 30)))
+ SUMPRODUCT(('Form responses 1'!$D$2:$D1000 = A102) * ('Form responses 1'!$A$2:$A1000 &lt;= DATE(2025, 6, 30)))
+ SUMPRODUCT(('Form responses 1'!$E$2:$E1000 = A102) * ('Form responses 1'!$A$2:$A1000 &lt;= DATE(2025, 6, 30)))
+ SUMPRODUCT(('Form responses 1'!$F$2:$F1000 = A102) * ('Form responses 1'!$A$2:$A1000 &lt;= DATE(2025, 6, 30)))
+ SUMPRODUCT(('Form responses 1'!$G$2:$G1000 = A102) * ('Form responses 1'!$A$2:$A1000 &lt;= DATE(2025, 6, 30)))), 2), "-")
</f>
        <v>-</v>
      </c>
      <c r="U102" s="2" t="str">
        <f>IFERROR(ROUND(Data!B93/(SUMPRODUCT(('Form responses 1'!$B$2:$B1000 = A102) * ('Form responses 1'!$A$2:$A1000 &lt;= DATE(2025, 7, 31)))
+ SUMPRODUCT(('Form responses 1'!$C$2:$C1000 = A102) * ('Form responses 1'!$A$2:$A1000 &lt;= DATE(2025, 7, 31)))
+ SUMPRODUCT(('Form responses 1'!$D$2:$D1000 = A102) * ('Form responses 1'!$A$2:$A1000 &lt;= DATE(2025, 7, 31)))
+ SUMPRODUCT(('Form responses 1'!$E$2:$E1000 = A102) * ('Form responses 1'!$A$2:$A1000 &lt;= DATE(2025, 7, 31)))
+ SUMPRODUCT(('Form responses 1'!$F$2:$F1000 = A102) * ('Form responses 1'!$A$2:$A1000 &lt;= DATE(2025, 7, 31)))
+ SUMPRODUCT(('Form responses 1'!$G$2:$G1000 = A102) * ('Form responses 1'!$A$2:$A1000 &lt;= DATE(2025, 7, 31)))), 2), "-")
</f>
        <v>-</v>
      </c>
      <c r="V102" s="2" t="str">
        <f>IFERROR(ROUND(Data!B93/(SUMPRODUCT(('Form responses 1'!$B$2:$B1000 = A102) * ('Form responses 1'!$A$2:$A1000 &lt;= DATE(2025, 8, 31)))
+ SUMPRODUCT(('Form responses 1'!$C$2:$C1000 = A102) * ('Form responses 1'!$A$2:$A1000 &lt;= DATE(2025, 8, 31)))
+ SUMPRODUCT(('Form responses 1'!$D$2:$D1000 = A102) * ('Form responses 1'!$A$2:$A1000 &lt;= DATE(2025, 8, 31)))
+ SUMPRODUCT(('Form responses 1'!$E$2:$E1000 = A102) * ('Form responses 1'!$A$2:$A1000 &lt;= DATE(2025, 8, 31)))
+ SUMPRODUCT(('Form responses 1'!$F$2:$F1000 = A102) * ('Form responses 1'!$A$2:$A1000 &lt;= DATE(2025, 8, 31)))
+ SUMPRODUCT(('Form responses 1'!$G$2:$G1000 = A102) * ('Form responses 1'!$A$2:$A1000 &lt;= DATE(2025, 8, 31)))), 2), "-")
</f>
        <v>-</v>
      </c>
      <c r="W102" s="2" t="str">
        <f>IFERROR(ROUND(Data!B93/(SUMPRODUCT(('Form responses 1'!$B$2:$B1000 = A102) * ('Form responses 1'!$A$2:$A1000 &lt;= DATE(2025, 9, 30)))
+ SUMPRODUCT(('Form responses 1'!$C$2:$C1000 = A102) * ('Form responses 1'!$A$2:$A1000 &lt;= DATE(2025, 9, 30)))
+ SUMPRODUCT(('Form responses 1'!$D$2:$D1000 = A102) * ('Form responses 1'!$A$2:$A1000 &lt;= DATE(2025, 9, 30)))
+ SUMPRODUCT(('Form responses 1'!$E$2:$E1000 = A102) * ('Form responses 1'!$A$2:$A1000 &lt;= DATE(2025, 9, 30)))
+ SUMPRODUCT(('Form responses 1'!$F$2:$F1000 = A102) * ('Form responses 1'!$A$2:$A1000 &lt;= DATE(2025, 9, 30)))
+ SUMPRODUCT(('Form responses 1'!$G$2:$G1000 = A102) * ('Form responses 1'!$A$2:$A1000 &lt;= DATE(2025, 9, 30)))), 2), "-")
</f>
        <v>-</v>
      </c>
      <c r="X102" s="2">
        <f>IFERROR(ROUND(Data!B93/(SUMPRODUCT(('Form responses 1'!$B$2:$B1000 = A102) * ('Form responses 1'!$A$2:$A1000 &lt;= DATE(2025, 10, 31)))
+ SUMPRODUCT(('Form responses 1'!$C$2:$C1000 = A102) * ('Form responses 1'!$A$2:$A1000 &lt;= DATE(2025, 10, 31)))
+ SUMPRODUCT(('Form responses 1'!$D$2:$D1000 = A102) * ('Form responses 1'!$A$2:$A1000 &lt;= DATE(2025, 10, 31)))
+ SUMPRODUCT(('Form responses 1'!$E$2:$E1000 = A102) * ('Form responses 1'!$A$2:$A1000 &lt;= DATE(2025, 10, 31)))
+ SUMPRODUCT(('Form responses 1'!$F$2:$F1000 = A102) * ('Form responses 1'!$A$2:$A1000 &lt;= DATE(2025, 10, 31)))
+ SUMPRODUCT(('Form responses 1'!$G$2:$G1000 = A102) * ('Form responses 1'!$A$2:$A1000 &lt;= DATE(2025, 10, 31)))), 2), "-")
</f>
        <v>38.74</v>
      </c>
      <c r="Y102" s="2">
        <f>IFERROR(ROUND(Data!B93/(SUMPRODUCT(('Form responses 1'!$B$2:$B1000 = A102) * ('Form responses 1'!$A$2:$A1000 &lt;= DATE(2025, 11, 30)))
+ SUMPRODUCT(('Form responses 1'!$C$2:$C1000 = A102) * ('Form responses 1'!$A$2:$A1000 &lt;= DATE(2025, 11, 30)))
+ SUMPRODUCT(('Form responses 1'!$D$2:$D1000 = A102) * ('Form responses 1'!$A$2:$A1000 &lt;= DATE(2025, 11, 30)))
+ SUMPRODUCT(('Form responses 1'!$E$2:$E1000 = A102) * ('Form responses 1'!$A$2:$A1000 &lt;= DATE(2025, 11, 30)))
+ SUMPRODUCT(('Form responses 1'!$F$2:$F1000 = A102) * ('Form responses 1'!$A$2:$A1000 &lt;= DATE(2025, 11, 30)))
+ SUMPRODUCT(('Form responses 1'!$G$2:$G1000 = A102) * ('Form responses 1'!$A$2:$A1000 &lt;= DATE(2025, 11, 30)))), 2), "-")
</f>
        <v>25.83</v>
      </c>
      <c r="Z102" s="2">
        <f>IFERROR(ROUND(Data!B93/(SUMPRODUCT(('Form responses 1'!$B$2:$B1000 = A102) * ('Form responses 1'!$A$2:$A1000 &lt;= DATE(2025, 12, 31)))
+ SUMPRODUCT(('Form responses 1'!$C$2:$C1000 = A102) * ('Form responses 1'!$A$2:$A1000 &lt;= DATE(2025, 12, 31)))
+ SUMPRODUCT(('Form responses 1'!$D$2:$D1000 = A102) * ('Form responses 1'!$A$2:$A1000 &lt;= DATE(2025, 12, 31)))
+ SUMPRODUCT(('Form responses 1'!$E$2:$E1000 = A102) * ('Form responses 1'!$A$2:$A1000 &lt;= DATE(2025, 12, 31)))
+ SUMPRODUCT(('Form responses 1'!$F$2:$F1000 = A102) * ('Form responses 1'!$A$2:$A1000 &lt;= DATE(2025, 12, 31)))
+ SUMPRODUCT(('Form responses 1'!$G$2:$G1000 = A102) * ('Form responses 1'!$A$2:$A1000 &lt;= DATE(2025, 12, 31)))), 2), "-")
</f>
        <v>17.22</v>
      </c>
      <c r="AA102" s="2">
        <f>IFERROR(ROUND(Data!$B102/(
  SUMPRODUCT(('Form responses 1'!$B$2:$B1000=$A102)*('Form responses 1'!$A$2:$A1000&lt;=EOMONTH(DATEVALUE("1 "&amp;AA$1),0)))+
  SUMPRODUCT(('Form responses 1'!$C$2:$C1000=$A102)*('Form responses 1'!$A$2:$A1000&lt;=EOMONTH(DATEVALUE("1 "&amp;AA$1),0)))+
  SUMPRODUCT(('Form responses 1'!$D$2:$D1000=$A102)*('Form responses 1'!$A$2:$A1000&lt;=EOMONTH(DATEVALUE("1 "&amp;AA$1),0)))+
  SUMPRODUCT(('Form responses 1'!$E$2:$E1000=$A102)*('Form responses 1'!$A$2:$A1000&lt;=EOMONTH(DATEVALUE("1 "&amp;AA$1),0)))+
  SUMPRODUCT(('Form responses 1'!$F$2:$F1000=$A102)*('Form responses 1'!$A$2:$A1000&lt;=EOMONTH(DATEVALUE("1 "&amp;AA$1),0)))+
  SUMPRODUCT(('Form responses 1'!$G$2:$G1000=$A102)*('Form responses 1'!$A$2:$A1000&lt;=EOMONTH(DATEVALUE("1 "&amp;AA$1),0)))
),2),"-")</f>
        <v>6.47</v>
      </c>
      <c r="AB102" s="2">
        <f>IFERROR(ROUND(Data!$B102/(
  SUMPRODUCT(('Form responses 1'!$B$2:$B1000=$A102)*('Form responses 1'!$A$2:$A1000&lt;=EOMONTH(DATEVALUE("1 "&amp;AB$1),0)))+
  SUMPRODUCT(('Form responses 1'!$C$2:$C1000=$A102)*('Form responses 1'!$A$2:$A1000&lt;=EOMONTH(DATEVALUE("1 "&amp;AB$1),0)))+
  SUMPRODUCT(('Form responses 1'!$D$2:$D1000=$A102)*('Form responses 1'!$A$2:$A1000&lt;=EOMONTH(DATEVALUE("1 "&amp;AB$1),0)))+
  SUMPRODUCT(('Form responses 1'!$E$2:$E1000=$A102)*('Form responses 1'!$A$2:$A1000&lt;=EOMONTH(DATEVALUE("1 "&amp;AB$1),0)))+
  SUMPRODUCT(('Form responses 1'!$F$2:$F1000=$A102)*('Form responses 1'!$A$2:$A1000&lt;=EOMONTH(DATEVALUE("1 "&amp;AB$1),0)))+
  SUMPRODUCT(('Form responses 1'!$G$2:$G1000=$A102)*('Form responses 1'!$A$2:$A1000&lt;=EOMONTH(DATEVALUE("1 "&amp;AB$1),0)))
),2),"-")</f>
        <v>4.04</v>
      </c>
      <c r="AC102" s="2">
        <f>IFERROR(ROUND(Data!$B102/(
  SUMPRODUCT(('Form responses 1'!$B$2:$B1000=$A102)*('Form responses 1'!$A$2:$A1000&lt;=EOMONTH(DATEVALUE("1 "&amp;AC$1),0)))+
  SUMPRODUCT(('Form responses 1'!$C$2:$C1000=$A102)*('Form responses 1'!$A$2:$A1000&lt;=EOMONTH(DATEVALUE("1 "&amp;AC$1),0)))+
  SUMPRODUCT(('Form responses 1'!$D$2:$D1000=$A102)*('Form responses 1'!$A$2:$A1000&lt;=EOMONTH(DATEVALUE("1 "&amp;AC$1),0)))+
  SUMPRODUCT(('Form responses 1'!$E$2:$E1000=$A102)*('Form responses 1'!$A$2:$A1000&lt;=EOMONTH(DATEVALUE("1 "&amp;AC$1),0)))+
  SUMPRODUCT(('Form responses 1'!$F$2:$F1000=$A102)*('Form responses 1'!$A$2:$A1000&lt;=EOMONTH(DATEVALUE("1 "&amp;AC$1),0)))+
  SUMPRODUCT(('Form responses 1'!$G$2:$G1000=$A102)*('Form responses 1'!$A$2:$A1000&lt;=EOMONTH(DATEVALUE("1 "&amp;AC$1),0)))
),2),"-")</f>
        <v>2.59</v>
      </c>
      <c r="AD102" s="2" t="str">
        <f>IFERROR(ROUND(Data!$B102/(
  SUMPRODUCT(('Form responses 1'!$B$2:$B1000=$A102)*('Form responses 1'!$A$2:$A1000&lt;=EOMONTH(DATEVALUE("1 "&amp;AD$1),0)))+
  SUMPRODUCT(('Form responses 1'!$C$2:$C1000=$A102)*('Form responses 1'!$A$2:$A1000&lt;=EOMONTH(DATEVALUE("1 "&amp;AD$1),0)))+
  SUMPRODUCT(('Form responses 1'!$D$2:$D1000=$A102)*('Form responses 1'!$A$2:$A1000&lt;=EOMONTH(DATEVALUE("1 "&amp;AD$1),0)))+
  SUMPRODUCT(('Form responses 1'!$E$2:$E1000=$A102)*('Form responses 1'!$A$2:$A1000&lt;=EOMONTH(DATEVALUE("1 "&amp;AD$1),0)))+
  SUMPRODUCT(('Form responses 1'!$F$2:$F1000=$A102)*('Form responses 1'!$A$2:$A1000&lt;=EOMONTH(DATEVALUE("1 "&amp;AD$1),0)))+
  SUMPRODUCT(('Form responses 1'!$G$2:$G1000=$A102)*('Form responses 1'!$A$2:$A1000&lt;=EOMONTH(DATEVALUE("1 "&amp;AD$1),0)))
),2),"-")</f>
        <v>-</v>
      </c>
      <c r="AE102" s="2" t="str">
        <f>IFERROR(ROUND(Data!$B102/(
  SUMPRODUCT(('Form responses 1'!$B$2:$B1000=$A102)*('Form responses 1'!$A$2:$A1000&lt;=EOMONTH(DATEVALUE("1 "&amp;AE$1),0)))+
  SUMPRODUCT(('Form responses 1'!$C$2:$C1000=$A102)*('Form responses 1'!$A$2:$A1000&lt;=EOMONTH(DATEVALUE("1 "&amp;AE$1),0)))+
  SUMPRODUCT(('Form responses 1'!$D$2:$D1000=$A102)*('Form responses 1'!$A$2:$A1000&lt;=EOMONTH(DATEVALUE("1 "&amp;AE$1),0)))+
  SUMPRODUCT(('Form responses 1'!$E$2:$E1000=$A102)*('Form responses 1'!$A$2:$A1000&lt;=EOMONTH(DATEVALUE("1 "&amp;AE$1),0)))+
  SUMPRODUCT(('Form responses 1'!$F$2:$F1000=$A102)*('Form responses 1'!$A$2:$A1000&lt;=EOMONTH(DATEVALUE("1 "&amp;AE$1),0)))+
  SUMPRODUCT(('Form responses 1'!$G$2:$G1000=$A102)*('Form responses 1'!$A$2:$A1000&lt;=EOMONTH(DATEVALUE("1 "&amp;AE$1),0)))
),2),"-")</f>
        <v>-</v>
      </c>
      <c r="AF102" s="2" t="str">
        <f>IFERROR(ROUND(Data!$B102/(
  SUMPRODUCT(('Form responses 1'!$B$2:$B1000=$A102)*('Form responses 1'!$A$2:$A1000&lt;=EOMONTH(DATEVALUE("1 "&amp;AF$1),0)))+
  SUMPRODUCT(('Form responses 1'!$C$2:$C1000=$A102)*('Form responses 1'!$A$2:$A1000&lt;=EOMONTH(DATEVALUE("1 "&amp;AF$1),0)))+
  SUMPRODUCT(('Form responses 1'!$D$2:$D1000=$A102)*('Form responses 1'!$A$2:$A1000&lt;=EOMONTH(DATEVALUE("1 "&amp;AF$1),0)))+
  SUMPRODUCT(('Form responses 1'!$E$2:$E1000=$A102)*('Form responses 1'!$A$2:$A1000&lt;=EOMONTH(DATEVALUE("1 "&amp;AF$1),0)))+
  SUMPRODUCT(('Form responses 1'!$F$2:$F1000=$A102)*('Form responses 1'!$A$2:$A1000&lt;=EOMONTH(DATEVALUE("1 "&amp;AF$1),0)))+
  SUMPRODUCT(('Form responses 1'!$G$2:$G1000=$A102)*('Form responses 1'!$A$2:$A1000&lt;=EOMONTH(DATEVALUE("1 "&amp;AF$1),0)))
),2),"-")</f>
        <v>-</v>
      </c>
      <c r="AG102" s="2" t="str">
        <f>IFERROR(ROUND(Data!$B102/(
  SUMPRODUCT(('Form responses 1'!$B$2:$B1000=$A102)*('Form responses 1'!$A$2:$A1000&lt;=EOMONTH(DATEVALUE("1 "&amp;AG$1),0)))+
  SUMPRODUCT(('Form responses 1'!$C$2:$C1000=$A102)*('Form responses 1'!$A$2:$A1000&lt;=EOMONTH(DATEVALUE("1 "&amp;AG$1),0)))+
  SUMPRODUCT(('Form responses 1'!$D$2:$D1000=$A102)*('Form responses 1'!$A$2:$A1000&lt;=EOMONTH(DATEVALUE("1 "&amp;AG$1),0)))+
  SUMPRODUCT(('Form responses 1'!$E$2:$E1000=$A102)*('Form responses 1'!$A$2:$A1000&lt;=EOMONTH(DATEVALUE("1 "&amp;AG$1),0)))+
  SUMPRODUCT(('Form responses 1'!$F$2:$F1000=$A102)*('Form responses 1'!$A$2:$A1000&lt;=EOMONTH(DATEVALUE("1 "&amp;AG$1),0)))+
  SUMPRODUCT(('Form responses 1'!$G$2:$G1000=$A102)*('Form responses 1'!$A$2:$A1000&lt;=EOMONTH(DATEVALUE("1 "&amp;AG$1),0)))
),2),"-")</f>
        <v>-</v>
      </c>
      <c r="AH102" s="2" t="str">
        <f>IFERROR(ROUND(Data!$B102/(
  SUMPRODUCT(('Form responses 1'!$B$2:$B1000=$A102)*('Form responses 1'!$A$2:$A1000&lt;=EOMONTH(DATEVALUE("1 "&amp;AH$1),0)))+
  SUMPRODUCT(('Form responses 1'!$C$2:$C1000=$A102)*('Form responses 1'!$A$2:$A1000&lt;=EOMONTH(DATEVALUE("1 "&amp;AH$1),0)))+
  SUMPRODUCT(('Form responses 1'!$D$2:$D1000=$A102)*('Form responses 1'!$A$2:$A1000&lt;=EOMONTH(DATEVALUE("1 "&amp;AH$1),0)))+
  SUMPRODUCT(('Form responses 1'!$E$2:$E1000=$A102)*('Form responses 1'!$A$2:$A1000&lt;=EOMONTH(DATEVALUE("1 "&amp;AH$1),0)))+
  SUMPRODUCT(('Form responses 1'!$F$2:$F1000=$A102)*('Form responses 1'!$A$2:$A1000&lt;=EOMONTH(DATEVALUE("1 "&amp;AH$1),0)))+
  SUMPRODUCT(('Form responses 1'!$G$2:$G1000=$A102)*('Form responses 1'!$A$2:$A1000&lt;=EOMONTH(DATEVALUE("1 "&amp;AH$1),0)))
),2),"-")</f>
        <v>-</v>
      </c>
      <c r="AI102" s="2" t="str">
        <f>IFERROR(ROUND(Data!$B102/(
  SUMPRODUCT(('Form responses 1'!$B$2:$B1000=$A102)*('Form responses 1'!$A$2:$A1000&lt;=EOMONTH(DATEVALUE("1 "&amp;AI$1),0)))+
  SUMPRODUCT(('Form responses 1'!$C$2:$C1000=$A102)*('Form responses 1'!$A$2:$A1000&lt;=EOMONTH(DATEVALUE("1 "&amp;AI$1),0)))+
  SUMPRODUCT(('Form responses 1'!$D$2:$D1000=$A102)*('Form responses 1'!$A$2:$A1000&lt;=EOMONTH(DATEVALUE("1 "&amp;AI$1),0)))+
  SUMPRODUCT(('Form responses 1'!$E$2:$E1000=$A102)*('Form responses 1'!$A$2:$A1000&lt;=EOMONTH(DATEVALUE("1 "&amp;AI$1),0)))+
  SUMPRODUCT(('Form responses 1'!$F$2:$F1000=$A102)*('Form responses 1'!$A$2:$A1000&lt;=EOMONTH(DATEVALUE("1 "&amp;AI$1),0)))+
  SUMPRODUCT(('Form responses 1'!$G$2:$G1000=$A102)*('Form responses 1'!$A$2:$A1000&lt;=EOMONTH(DATEVALUE("1 "&amp;AI$1),0)))
),2),"-")</f>
        <v>-</v>
      </c>
      <c r="AJ102" s="2" t="str">
        <f>IFERROR(ROUND(Data!$B102/(
  SUMPRODUCT(('Form responses 1'!$B$2:$B1000=$A102)*('Form responses 1'!$A$2:$A1000&lt;=EOMONTH(DATEVALUE("1 "&amp;AJ$1),0)))+
  SUMPRODUCT(('Form responses 1'!$C$2:$C1000=$A102)*('Form responses 1'!$A$2:$A1000&lt;=EOMONTH(DATEVALUE("1 "&amp;AJ$1),0)))+
  SUMPRODUCT(('Form responses 1'!$D$2:$D1000=$A102)*('Form responses 1'!$A$2:$A1000&lt;=EOMONTH(DATEVALUE("1 "&amp;AJ$1),0)))+
  SUMPRODUCT(('Form responses 1'!$E$2:$E1000=$A102)*('Form responses 1'!$A$2:$A1000&lt;=EOMONTH(DATEVALUE("1 "&amp;AJ$1),0)))+
  SUMPRODUCT(('Form responses 1'!$F$2:$F1000=$A102)*('Form responses 1'!$A$2:$A1000&lt;=EOMONTH(DATEVALUE("1 "&amp;AJ$1),0)))+
  SUMPRODUCT(('Form responses 1'!$G$2:$G1000=$A102)*('Form responses 1'!$A$2:$A1000&lt;=EOMONTH(DATEVALUE("1 "&amp;AJ$1),0)))
),2),"-")</f>
        <v>-</v>
      </c>
      <c r="AK102" s="2" t="str">
        <f>IFERROR(ROUND(Data!$B102/(
  SUMPRODUCT(('Form responses 1'!$B$2:$B1000=$A102)*('Form responses 1'!$A$2:$A1000&lt;=EOMONTH(DATEVALUE("1 "&amp;AK$1),0)))+
  SUMPRODUCT(('Form responses 1'!$C$2:$C1000=$A102)*('Form responses 1'!$A$2:$A1000&lt;=EOMONTH(DATEVALUE("1 "&amp;AK$1),0)))+
  SUMPRODUCT(('Form responses 1'!$D$2:$D1000=$A102)*('Form responses 1'!$A$2:$A1000&lt;=EOMONTH(DATEVALUE("1 "&amp;AK$1),0)))+
  SUMPRODUCT(('Form responses 1'!$E$2:$E1000=$A102)*('Form responses 1'!$A$2:$A1000&lt;=EOMONTH(DATEVALUE("1 "&amp;AK$1),0)))+
  SUMPRODUCT(('Form responses 1'!$F$2:$F1000=$A102)*('Form responses 1'!$A$2:$A1000&lt;=EOMONTH(DATEVALUE("1 "&amp;AK$1),0)))+
  SUMPRODUCT(('Form responses 1'!$G$2:$G1000=$A102)*('Form responses 1'!$A$2:$A1000&lt;=EOMONTH(DATEVALUE("1 "&amp;AK$1),0)))
),2),"-")</f>
        <v>-</v>
      </c>
      <c r="AL102" s="2" t="str">
        <f>IFERROR(ROUND(Data!$B102/(
  SUMPRODUCT(('Form responses 1'!$B$2:$B1000=$A102)*('Form responses 1'!$A$2:$A1000&lt;=EOMONTH(DATEVALUE("1 "&amp;AL$1),0)))+
  SUMPRODUCT(('Form responses 1'!$C$2:$C1000=$A102)*('Form responses 1'!$A$2:$A1000&lt;=EOMONTH(DATEVALUE("1 "&amp;AL$1),0)))+
  SUMPRODUCT(('Form responses 1'!$D$2:$D1000=$A102)*('Form responses 1'!$A$2:$A1000&lt;=EOMONTH(DATEVALUE("1 "&amp;AL$1),0)))+
  SUMPRODUCT(('Form responses 1'!$E$2:$E1000=$A102)*('Form responses 1'!$A$2:$A1000&lt;=EOMONTH(DATEVALUE("1 "&amp;AL$1),0)))+
  SUMPRODUCT(('Form responses 1'!$F$2:$F1000=$A102)*('Form responses 1'!$A$2:$A1000&lt;=EOMONTH(DATEVALUE("1 "&amp;AL$1),0)))+
  SUMPRODUCT(('Form responses 1'!$G$2:$G1000=$A102)*('Form responses 1'!$A$2:$A1000&lt;=EOMONTH(DATEVALUE("1 "&amp;AL$1),0)))
),2),"-")</f>
        <v>-</v>
      </c>
    </row>
    <row r="103">
      <c r="A103" s="3" t="str">
        <f>IFERROR(__xludf.DUMMYFUNCTION("""COMPUTED_VALUE"""),"Blauw overhemd Vanda Tailors")</f>
        <v>Blauw overhemd Vanda Tailors</v>
      </c>
      <c r="C103" s="2" t="str">
        <f>IFERROR(ROUND(Data!B94/(SUMPRODUCT(('Form responses 1'!$B$2:$B1000 = A103) * ('Form responses 1'!$A$2:$A1000 &lt;= DATE(2024, 1, 31)))
+ SUMPRODUCT(('Form responses 1'!$C$2:$C1000 = A103) * ('Form responses 1'!$A$2:$A1000 &lt;= DATE(2024, 1, 31)))
+ SUMPRODUCT(('Form responses 1'!$D$2:$D1000 = A103) * ('Form responses 1'!$A$2:$A1000 &lt;= DATE(2024, 1, 31)))
+ SUMPRODUCT(('Form responses 1'!$E$2:$E1000 = A103) * ('Form responses 1'!$A$2:$A1000 &lt;= DATE(2024, 1, 31)))
+ SUMPRODUCT(('Form responses 1'!$F$2:$F1000 = A103) * ('Form responses 1'!$A$2:$A1000 &lt;= DATE(2024, 1, 31)))
+ SUMPRODUCT(('Form responses 1'!$G$2:$G1000 = A103) * ('Form responses 1'!$A$2:$A1000 &lt;= DATE(2024, 1, 31)))), 2), "-")
</f>
        <v>-</v>
      </c>
      <c r="D103" s="2" t="str">
        <f>IFERROR(ROUND(Data!B94/(SUMPRODUCT(('Form responses 1'!$B$2:$B1000 = A103) * ('Form responses 1'!$A$2:$A1000 &lt;= DATE(2024, 2, 29)))
+ SUMPRODUCT(('Form responses 1'!$C$2:$C1000 = A103) * ('Form responses 1'!$A$2:$A1000 &lt;= DATE(2024, 2, 29)))
+ SUMPRODUCT(('Form responses 1'!$D$2:$D1000 = A103) * ('Form responses 1'!$A$2:$A1000 &lt;= DATE(2024, 2, 29)))
+ SUMPRODUCT(('Form responses 1'!$E$2:$E1000 = A103) * ('Form responses 1'!$A$2:$A1000 &lt;= DATE(2024, 2, 29)))
+ SUMPRODUCT(('Form responses 1'!$F$2:$F1000 = A103) * ('Form responses 1'!$A$2:$A1000 &lt;= DATE(2024, 2, 29)))
+ SUMPRODUCT(('Form responses 1'!$G$2:$G1000 = A103) * ('Form responses 1'!$A$2:$A1000 &lt;= DATE(2024, 2, 29)))), 2), "-")
</f>
        <v>-</v>
      </c>
      <c r="E103" s="2" t="str">
        <f>IFERROR(ROUND(Data!B94/(SUMPRODUCT(('Form responses 1'!$B$2:$B1000 = A103) * ('Form responses 1'!$A$2:$A1000 &lt;= DATE(2024, 3, 31)))
+ SUMPRODUCT(('Form responses 1'!$C$2:$C1000 = A103) * ('Form responses 1'!$A$2:$A1000 &lt;= DATE(2024, 3, 31)))
+ SUMPRODUCT(('Form responses 1'!$D$2:$D1000 = A103) * ('Form responses 1'!$A$2:$A1000 &lt;= DATE(2024, 3, 31)))
+ SUMPRODUCT(('Form responses 1'!$E$2:$E1000 = A103) * ('Form responses 1'!$A$2:$A1000 &lt;= DATE(2024, 3, 31)))
+ SUMPRODUCT(('Form responses 1'!$F$2:$F1000 = A103) * ('Form responses 1'!$A$2:$A1000 &lt;= DATE(2024, 3, 31)))
+ SUMPRODUCT(('Form responses 1'!$G$2:$G1000 = A103) * ('Form responses 1'!$A$2:$A1000 &lt;= DATE(2024, 3, 31)))), 2), "-")
</f>
        <v>-</v>
      </c>
      <c r="F103" s="2" t="str">
        <f>IFERROR(ROUND(Data!B94/(SUMPRODUCT(('Form responses 1'!$B$2:$B1000 = A103) * ('Form responses 1'!$A$2:$A1000 &lt;= DATE(2024, 4, 30)))
+ SUMPRODUCT(('Form responses 1'!$C$2:$C1000 = A103) * ('Form responses 1'!$A$2:$A1000 &lt;= DATE(2024, 4, 30)))
+ SUMPRODUCT(('Form responses 1'!$D$2:$D1000 = A103) * ('Form responses 1'!$A$2:$A1000 &lt;= DATE(2024, 4, 30)))
+ SUMPRODUCT(('Form responses 1'!$E$2:$E1000 = A103) * ('Form responses 1'!$A$2:$A1000 &lt;= DATE(2024, 4, 30)))
+ SUMPRODUCT(('Form responses 1'!$F$2:$F1000 = A103) * ('Form responses 1'!$A$2:$A1000 &lt;= DATE(2024, 4, 30)))
+ SUMPRODUCT(('Form responses 1'!$G$2:$G1000 = A103) * ('Form responses 1'!$A$2:$A1000 &lt;= DATE(2024, 4, 30)))), 2), "-")
</f>
        <v>-</v>
      </c>
      <c r="G103" s="2" t="str">
        <f>IFERROR(ROUND(Data!B94/(SUMPRODUCT(('Form responses 1'!$B$2:$B1000 = A103) * ('Form responses 1'!$A$2:$A1000 &lt;= DATE(2024, 5, 31)))
+ SUMPRODUCT(('Form responses 1'!$C$2:$C1000 = A103) * ('Form responses 1'!$A$2:$A1000 &lt;= DATE(2024, 5, 31)))
+ SUMPRODUCT(('Form responses 1'!$D$2:$D1000 = A103) * ('Form responses 1'!$A$2:$A1000 &lt;= DATE(2024, 5, 31)))
+ SUMPRODUCT(('Form responses 1'!$E$2:$E1000 = A103) * ('Form responses 1'!$A$2:$A1000 &lt;= DATE(2024, 5, 31)))
+ SUMPRODUCT(('Form responses 1'!$F$2:$F1000 = A103) * ('Form responses 1'!$A$2:$A1000 &lt;= DATE(2024, 5, 31)))
+ SUMPRODUCT(('Form responses 1'!$G$2:$G1000 = A103) * ('Form responses 1'!$A$2:$A1000 &lt;= DATE(2024, 5, 31)))), 2), "-")
</f>
        <v>-</v>
      </c>
      <c r="H103" s="2" t="str">
        <f>IFERROR(ROUND(Data!B94/(SUMPRODUCT(('Form responses 1'!$B$2:$B1000 = A103) * ('Form responses 1'!$A$2:$A1000 &lt;= DATE(2024, 6, 30)))
+ SUMPRODUCT(('Form responses 1'!$C$2:$C1000 = A103) * ('Form responses 1'!$A$2:$A1000 &lt;= DATE(2024, 6, 30)))
+ SUMPRODUCT(('Form responses 1'!$D$2:$D1000 = A103) * ('Form responses 1'!$A$2:$A1000 &lt;= DATE(2024, 6, 30)))
+ SUMPRODUCT(('Form responses 1'!$E$2:$E1000 = A103) * ('Form responses 1'!$A$2:$A1000 &lt;= DATE(2024, 6, 30)))
+ SUMPRODUCT(('Form responses 1'!$F$2:$F1000 = A103) * ('Form responses 1'!$A$2:$A1000 &lt;= DATE(2024, 6, 30)))
+ SUMPRODUCT(('Form responses 1'!$G$2:$G1000 = A103) * ('Form responses 1'!$A$2:$A1000 &lt;= DATE(2024, 6, 30)))), 2), "-")
</f>
        <v>-</v>
      </c>
      <c r="I103" s="2" t="str">
        <f>IFERROR(ROUND(Data!B94/(SUMPRODUCT(('Form responses 1'!$B$2:$B1000 = A103) * ('Form responses 1'!$A$2:$A1000 &lt;= DATE(2024, 7, 31)))
+ SUMPRODUCT(('Form responses 1'!$C$2:$C1000 = A103) * ('Form responses 1'!$A$2:$A1000 &lt;= DATE(2024, 7, 31)))
+ SUMPRODUCT(('Form responses 1'!$D$2:$D1000 = A103) * ('Form responses 1'!$A$2:$A1000 &lt;= DATE(2024, 7, 31)))
+ SUMPRODUCT(('Form responses 1'!$E$2:$E1000 = A103) * ('Form responses 1'!$A$2:$A1000 &lt;= DATE(2024, 7, 31)))
+ SUMPRODUCT(('Form responses 1'!$F$2:$F1000 = A103) * ('Form responses 1'!$A$2:$A1000 &lt;= DATE(2024, 7, 31)))
+ SUMPRODUCT(('Form responses 1'!$G$2:$G1000 = A103) * ('Form responses 1'!$A$2:$A1000 &lt;= DATE(2024, 7, 31)))), 2), "-")
</f>
        <v>-</v>
      </c>
      <c r="J103" s="2" t="str">
        <f>IFERROR(ROUND(Data!B94/(SUMPRODUCT(('Form responses 1'!$B$2:$B1000 = A103) * ('Form responses 1'!$A$2:$A1000 &lt;= DATE(2024, 8, 31)))
+ SUMPRODUCT(('Form responses 1'!$C$2:$C1000 = A103) * ('Form responses 1'!$A$2:$A1000 &lt;= DATE(2024, 8, 31)))
+ SUMPRODUCT(('Form responses 1'!$D$2:$D1000 = A103) * ('Form responses 1'!$A$2:$A1000 &lt;= DATE(2024, 8, 31)))
+ SUMPRODUCT(('Form responses 1'!$E$2:$E1000 = A103) * ('Form responses 1'!$A$2:$A1000 &lt;= DATE(2024, 8, 31)))
+ SUMPRODUCT(('Form responses 1'!$F$2:$F1000 = A103) * ('Form responses 1'!$A$2:$A1000 &lt;= DATE(2024, 8, 31)))
+ SUMPRODUCT(('Form responses 1'!$G$2:$G1000 = A103) * ('Form responses 1'!$A$2:$A1000 &lt;= DATE(2024, 8, 31)))), 2), "-")
</f>
        <v>-</v>
      </c>
      <c r="K103" s="2" t="str">
        <f>IFERROR(ROUND(Data!B94/(SUMPRODUCT(('Form responses 1'!$B$2:$B1000 = A103) * ('Form responses 1'!$A$2:$A1000 &lt;= DATE(2024, 9, 30)))
+ SUMPRODUCT(('Form responses 1'!$C$2:$C1000 = A103) * ('Form responses 1'!$A$2:$A1000 &lt;= DATE(2024, 9, 30)))
+ SUMPRODUCT(('Form responses 1'!$D$2:$D1000 = A103) * ('Form responses 1'!$A$2:$A1000 &lt;= DATE(2024, 9, 30)))
+ SUMPRODUCT(('Form responses 1'!$E$2:$E1000 = A103) * ('Form responses 1'!$A$2:$A1000 &lt;= DATE(2024, 9, 30)))
+ SUMPRODUCT(('Form responses 1'!$F$2:$F1000 = A103) * ('Form responses 1'!$A$2:$A1000 &lt;= DATE(2024, 9, 30)))
+ SUMPRODUCT(('Form responses 1'!$G$2:$G1000 = A103) * ('Form responses 1'!$A$2:$A1000 &lt;= DATE(2024, 9, 30)))), 2), "-")
</f>
        <v>-</v>
      </c>
      <c r="L103" s="2" t="str">
        <f>IFERROR(ROUND(Data!B94/(SUMPRODUCT(('Form responses 1'!$B$2:$B1000 = A103) * ('Form responses 1'!$A$2:$A1000 &lt;= DATE(2024, 10, 31)))
+ SUMPRODUCT(('Form responses 1'!$C$2:$C1000 = A103) * ('Form responses 1'!$A$2:$A1000 &lt;= DATE(2024, 10, 31)))
+ SUMPRODUCT(('Form responses 1'!$D$2:$D1000 = A103) * ('Form responses 1'!$A$2:$A1000 &lt;= DATE(2024, 10, 31)))
+ SUMPRODUCT(('Form responses 1'!$E$2:$E1000 = A103) * ('Form responses 1'!$A$2:$A1000 &lt;= DATE(2024, 10, 31)))
+ SUMPRODUCT(('Form responses 1'!$F$2:$F1000 = A103) * ('Form responses 1'!$A$2:$A1000 &lt;= DATE(2024, 10, 31)))
+ SUMPRODUCT(('Form responses 1'!$G$2:$G1000 = A103) * ('Form responses 1'!$A$2:$A1000 &lt;= DATE(2024, 10, 31)))), 2), "-")
</f>
        <v>-</v>
      </c>
      <c r="M103" s="2" t="str">
        <f>IFERROR(ROUND(Data!B94/(SUMPRODUCT(('Form responses 1'!$B$2:$B1000 = A103) * ('Form responses 1'!$A$2:$A1000 &lt;= DATE(2024, 11, 30)))
+ SUMPRODUCT(('Form responses 1'!$C$2:$C1000 = A103) * ('Form responses 1'!$A$2:$A1000 &lt;= DATE(2024, 11, 30)))
+ SUMPRODUCT(('Form responses 1'!$D$2:$D1000 = A103) * ('Form responses 1'!$A$2:$A1000 &lt;= DATE(2024, 11, 30)))
+ SUMPRODUCT(('Form responses 1'!$E$2:$E1000 = A103) * ('Form responses 1'!$A$2:$A1000 &lt;= DATE(2024, 11, 30)))
+ SUMPRODUCT(('Form responses 1'!$F$2:$F1000 = A103) * ('Form responses 1'!$A$2:$A1000 &lt;= DATE(2024, 11, 30)))
+ SUMPRODUCT(('Form responses 1'!$G$2:$G1000 = A103) * ('Form responses 1'!$A$2:$A1000 &lt;= DATE(2024, 11, 30)))), 2), "-")
</f>
        <v>-</v>
      </c>
      <c r="N103" s="2" t="str">
        <f>IFERROR(ROUND(Data!B94/(SUMPRODUCT(('Form responses 1'!$B$2:$B1000 = A103) * ('Form responses 1'!$A$2:$A1000 &lt;= DATE(2024, 12, 31)))
+ SUMPRODUCT(('Form responses 1'!$C$2:$C1000 = A103) * ('Form responses 1'!$A$2:$A1000 &lt;= DATE(2024, 12, 31)))
+ SUMPRODUCT(('Form responses 1'!$D$2:$D1000 = A103) * ('Form responses 1'!$A$2:$A1000 &lt;= DATE(2024, 12, 31)))
+ SUMPRODUCT(('Form responses 1'!$E$2:$E1000 = A103) * ('Form responses 1'!$A$2:$A1000 &lt;= DATE(2024, 12, 31)))
+ SUMPRODUCT(('Form responses 1'!$F$2:$F1000 = A103) * ('Form responses 1'!$A$2:$A1000 &lt;= DATE(2024, 12, 31)))
+ SUMPRODUCT(('Form responses 1'!$G$2:$G1000 = A103) * ('Form responses 1'!$A$2:$A1000 &lt;= DATE(2024, 12, 31)))), 2), "-")
</f>
        <v>-</v>
      </c>
      <c r="O103" s="2" t="str">
        <f>IFERROR(ROUND(Data!B94/(SUMPRODUCT(('Form responses 1'!$B$2:$B1000 = A103) * ('Form responses 1'!$A$2:$A1000 &lt;= DATE(2025, 1, 31)))
+ SUMPRODUCT(('Form responses 1'!$C$2:$C1000 = A103) * ('Form responses 1'!$A$2:$A1000 &lt;= DATE(2025, 1, 31)))
+ SUMPRODUCT(('Form responses 1'!$D$2:$D1000 = A103) * ('Form responses 1'!$A$2:$A1000 &lt;= DATE(2025, 1, 31)))
+ SUMPRODUCT(('Form responses 1'!$E$2:$E1000 = A103) * ('Form responses 1'!$A$2:$A1000 &lt;= DATE(2025, 1, 31)))
+ SUMPRODUCT(('Form responses 1'!$F$2:$F1000 = A103) * ('Form responses 1'!$A$2:$A1000 &lt;= DATE(2025, 1, 31)))
+ SUMPRODUCT(('Form responses 1'!$G$2:$G1000 = A103) * ('Form responses 1'!$A$2:$A1000 &lt;= DATE(2025, 1, 31)))), 2), "-")
</f>
        <v>-</v>
      </c>
      <c r="P103" s="2" t="str">
        <f>IFERROR(ROUND(Data!B94/(SUMPRODUCT(('Form responses 1'!$B$2:$B1000 = A103) * ('Form responses 1'!$A$2:$A1000 &lt;= DATE(2025, 2, 28)))
+ SUMPRODUCT(('Form responses 1'!$C$2:$C1000 = A103) * ('Form responses 1'!$A$2:$A1000 &lt;= DATE(2025, 2, 28)))
+ SUMPRODUCT(('Form responses 1'!$D$2:$D1000 = A103) * ('Form responses 1'!$A$2:$A1000 &lt;= DATE(2025, 2, 28)))
+ SUMPRODUCT(('Form responses 1'!$E$2:$E1000 = A103) * ('Form responses 1'!$A$2:$A1000 &lt;= DATE(2025, 2, 28)))
+ SUMPRODUCT(('Form responses 1'!$F$2:$F1000 = A103) * ('Form responses 1'!$A$2:$A1000 &lt;= DATE(2025, 2, 28)))
+ SUMPRODUCT(('Form responses 1'!$G$2:$G1000 = A103) * ('Form responses 1'!$A$2:$A1000 &lt;= DATE(2025, 2, 28)))), 2), "-")
</f>
        <v>-</v>
      </c>
      <c r="Q103" s="2" t="str">
        <f>IFERROR(ROUND(Data!B94/(SUMPRODUCT(('Form responses 1'!$B$2:$B1000 = A103) * ('Form responses 1'!$A$2:$A1000 &lt;= DATE(2025, 3, 31)))
+ SUMPRODUCT(('Form responses 1'!$C$2:$C1000 = A103) * ('Form responses 1'!$A$2:$A1000 &lt;= DATE(2025, 3, 31)))
+ SUMPRODUCT(('Form responses 1'!$D$2:$D1000 = A103) * ('Form responses 1'!$A$2:$A1000 &lt;= DATE(2025, 3, 31)))
+ SUMPRODUCT(('Form responses 1'!$E$2:$E1000 = A103) * ('Form responses 1'!$A$2:$A1000 &lt;= DATE(2025, 3, 31)))
+ SUMPRODUCT(('Form responses 1'!$F$2:$F1000 = A103) * ('Form responses 1'!$A$2:$A1000 &lt;= DATE(2025, 3, 31)))
+ SUMPRODUCT(('Form responses 1'!$G$2:$G1000 = A103) * ('Form responses 1'!$A$2:$A1000 &lt;= DATE(2025, 3, 31)))),2),"-")</f>
        <v>-</v>
      </c>
      <c r="R103" s="2" t="str">
        <f>IFERROR(ROUND(Data!B94/(SUMPRODUCT(('Form responses 1'!$B$2:$B1000 = A103) * ('Form responses 1'!$A$2:$A1000 &lt;= DATE(2025, 4, 30)))
+ SUMPRODUCT(('Form responses 1'!$C$2:$C1000 = A103) * ('Form responses 1'!$A$2:$A1000 &lt;= DATE(2025, 4, 30)))
+ SUMPRODUCT(('Form responses 1'!$D$2:$D1000 = A103) * ('Form responses 1'!$A$2:$A1000 &lt;= DATE(2025, 4, 30)))
+ SUMPRODUCT(('Form responses 1'!$E$2:$E1000 = A103) * ('Form responses 1'!$A$2:$A1000 &lt;= DATE(2025, 4, 30)))
+ SUMPRODUCT(('Form responses 1'!$F$2:$F1000 = A103) * ('Form responses 1'!$A$2:$A1000 &lt;= DATE(2025, 4, 30)))
+ SUMPRODUCT(('Form responses 1'!$G$2:$G1000 = A103) * ('Form responses 1'!$A$2:$A1000 &lt;= DATE(2025, 4, 30)))), 2), "-")
</f>
        <v>-</v>
      </c>
      <c r="S103" s="2" t="str">
        <f>IFERROR(ROUND(Data!B94/(SUMPRODUCT(('Form responses 1'!$B$2:$B1000 = A103) * ('Form responses 1'!$A$2:$A1000 &lt;= DATE(2025, 5, 31)))
+ SUMPRODUCT(('Form responses 1'!$C$2:$C1000 = A103) * ('Form responses 1'!$A$2:$A1000 &lt;= DATE(2025, 5, 31)))
+ SUMPRODUCT(('Form responses 1'!$D$2:$D1000 = A103) * ('Form responses 1'!$A$2:$A1000 &lt;= DATE(2025, 5, 31)))
+ SUMPRODUCT(('Form responses 1'!$E$2:$E1000 = A103) * ('Form responses 1'!$A$2:$A1000 &lt;= DATE(2025, 5, 31)))
+ SUMPRODUCT(('Form responses 1'!$F$2:$F1000 = A103) * ('Form responses 1'!$A$2:$A1000 &lt;= DATE(2025, 5, 31)))
+ SUMPRODUCT(('Form responses 1'!$G$2:$G1000 = A103) * ('Form responses 1'!$A$2:$A1000 &lt;= DATE(2025, 5, 31)))), 2), "-")
</f>
        <v>-</v>
      </c>
      <c r="T103" s="2" t="str">
        <f>IFERROR(ROUND(Data!B94/(SUMPRODUCT(('Form responses 1'!$B$2:$B1000 = A103) * ('Form responses 1'!$A$2:$A1000 &lt;= DATE(2025, 6, 30)))
+ SUMPRODUCT(('Form responses 1'!$C$2:$C1000 = A103) * ('Form responses 1'!$A$2:$A1000 &lt;= DATE(2025, 6, 30)))
+ SUMPRODUCT(('Form responses 1'!$D$2:$D1000 = A103) * ('Form responses 1'!$A$2:$A1000 &lt;= DATE(2025, 6, 30)))
+ SUMPRODUCT(('Form responses 1'!$E$2:$E1000 = A103) * ('Form responses 1'!$A$2:$A1000 &lt;= DATE(2025, 6, 30)))
+ SUMPRODUCT(('Form responses 1'!$F$2:$F1000 = A103) * ('Form responses 1'!$A$2:$A1000 &lt;= DATE(2025, 6, 30)))
+ SUMPRODUCT(('Form responses 1'!$G$2:$G1000 = A103) * ('Form responses 1'!$A$2:$A1000 &lt;= DATE(2025, 6, 30)))), 2), "-")
</f>
        <v>-</v>
      </c>
      <c r="U103" s="2" t="str">
        <f>IFERROR(ROUND(Data!B94/(SUMPRODUCT(('Form responses 1'!$B$2:$B1000 = A103) * ('Form responses 1'!$A$2:$A1000 &lt;= DATE(2025, 7, 31)))
+ SUMPRODUCT(('Form responses 1'!$C$2:$C1000 = A103) * ('Form responses 1'!$A$2:$A1000 &lt;= DATE(2025, 7, 31)))
+ SUMPRODUCT(('Form responses 1'!$D$2:$D1000 = A103) * ('Form responses 1'!$A$2:$A1000 &lt;= DATE(2025, 7, 31)))
+ SUMPRODUCT(('Form responses 1'!$E$2:$E1000 = A103) * ('Form responses 1'!$A$2:$A1000 &lt;= DATE(2025, 7, 31)))
+ SUMPRODUCT(('Form responses 1'!$F$2:$F1000 = A103) * ('Form responses 1'!$A$2:$A1000 &lt;= DATE(2025, 7, 31)))
+ SUMPRODUCT(('Form responses 1'!$G$2:$G1000 = A103) * ('Form responses 1'!$A$2:$A1000 &lt;= DATE(2025, 7, 31)))), 2), "-")
</f>
        <v>-</v>
      </c>
      <c r="V103" s="2" t="str">
        <f>IFERROR(ROUND(Data!B94/(SUMPRODUCT(('Form responses 1'!$B$2:$B1000 = A103) * ('Form responses 1'!$A$2:$A1000 &lt;= DATE(2025, 8, 31)))
+ SUMPRODUCT(('Form responses 1'!$C$2:$C1000 = A103) * ('Form responses 1'!$A$2:$A1000 &lt;= DATE(2025, 8, 31)))
+ SUMPRODUCT(('Form responses 1'!$D$2:$D1000 = A103) * ('Form responses 1'!$A$2:$A1000 &lt;= DATE(2025, 8, 31)))
+ SUMPRODUCT(('Form responses 1'!$E$2:$E1000 = A103) * ('Form responses 1'!$A$2:$A1000 &lt;= DATE(2025, 8, 31)))
+ SUMPRODUCT(('Form responses 1'!$F$2:$F1000 = A103) * ('Form responses 1'!$A$2:$A1000 &lt;= DATE(2025, 8, 31)))
+ SUMPRODUCT(('Form responses 1'!$G$2:$G1000 = A103) * ('Form responses 1'!$A$2:$A1000 &lt;= DATE(2025, 8, 31)))), 2), "-")
</f>
        <v>-</v>
      </c>
      <c r="W103" s="2" t="str">
        <f>IFERROR(ROUND(Data!B94/(SUMPRODUCT(('Form responses 1'!$B$2:$B1000 = A103) * ('Form responses 1'!$A$2:$A1000 &lt;= DATE(2025, 9, 30)))
+ SUMPRODUCT(('Form responses 1'!$C$2:$C1000 = A103) * ('Form responses 1'!$A$2:$A1000 &lt;= DATE(2025, 9, 30)))
+ SUMPRODUCT(('Form responses 1'!$D$2:$D1000 = A103) * ('Form responses 1'!$A$2:$A1000 &lt;= DATE(2025, 9, 30)))
+ SUMPRODUCT(('Form responses 1'!$E$2:$E1000 = A103) * ('Form responses 1'!$A$2:$A1000 &lt;= DATE(2025, 9, 30)))
+ SUMPRODUCT(('Form responses 1'!$F$2:$F1000 = A103) * ('Form responses 1'!$A$2:$A1000 &lt;= DATE(2025, 9, 30)))
+ SUMPRODUCT(('Form responses 1'!$G$2:$G1000 = A103) * ('Form responses 1'!$A$2:$A1000 &lt;= DATE(2025, 9, 30)))), 2), "-")
</f>
        <v>-</v>
      </c>
      <c r="X103" s="2">
        <f>IFERROR(ROUND(Data!B94/(SUMPRODUCT(('Form responses 1'!$B$2:$B1000 = A103) * ('Form responses 1'!$A$2:$A1000 &lt;= DATE(2025, 10, 31)))
+ SUMPRODUCT(('Form responses 1'!$C$2:$C1000 = A103) * ('Form responses 1'!$A$2:$A1000 &lt;= DATE(2025, 10, 31)))
+ SUMPRODUCT(('Form responses 1'!$D$2:$D1000 = A103) * ('Form responses 1'!$A$2:$A1000 &lt;= DATE(2025, 10, 31)))
+ SUMPRODUCT(('Form responses 1'!$E$2:$E1000 = A103) * ('Form responses 1'!$A$2:$A1000 &lt;= DATE(2025, 10, 31)))
+ SUMPRODUCT(('Form responses 1'!$F$2:$F1000 = A103) * ('Form responses 1'!$A$2:$A1000 &lt;= DATE(2025, 10, 31)))
+ SUMPRODUCT(('Form responses 1'!$G$2:$G1000 = A103) * ('Form responses 1'!$A$2:$A1000 &lt;= DATE(2025, 10, 31)))), 2), "-")
</f>
        <v>20.97</v>
      </c>
      <c r="Y103" s="2">
        <f>IFERROR(ROUND(Data!B94/(SUMPRODUCT(('Form responses 1'!$B$2:$B1000 = A103) * ('Form responses 1'!$A$2:$A1000 &lt;= DATE(2025, 11, 30)))
+ SUMPRODUCT(('Form responses 1'!$C$2:$C1000 = A103) * ('Form responses 1'!$A$2:$A1000 &lt;= DATE(2025, 11, 30)))
+ SUMPRODUCT(('Form responses 1'!$D$2:$D1000 = A103) * ('Form responses 1'!$A$2:$A1000 &lt;= DATE(2025, 11, 30)))
+ SUMPRODUCT(('Form responses 1'!$E$2:$E1000 = A103) * ('Form responses 1'!$A$2:$A1000 &lt;= DATE(2025, 11, 30)))
+ SUMPRODUCT(('Form responses 1'!$F$2:$F1000 = A103) * ('Form responses 1'!$A$2:$A1000 &lt;= DATE(2025, 11, 30)))
+ SUMPRODUCT(('Form responses 1'!$G$2:$G1000 = A103) * ('Form responses 1'!$A$2:$A1000 &lt;= DATE(2025, 11, 30)))), 2), "-")
</f>
        <v>10.49</v>
      </c>
      <c r="Z103" s="2">
        <f>IFERROR(ROUND(Data!B94/(SUMPRODUCT(('Form responses 1'!$B$2:$B1000 = A103) * ('Form responses 1'!$A$2:$A1000 &lt;= DATE(2025, 12, 31)))
+ SUMPRODUCT(('Form responses 1'!$C$2:$C1000 = A103) * ('Form responses 1'!$A$2:$A1000 &lt;= DATE(2025, 12, 31)))
+ SUMPRODUCT(('Form responses 1'!$D$2:$D1000 = A103) * ('Form responses 1'!$A$2:$A1000 &lt;= DATE(2025, 12, 31)))
+ SUMPRODUCT(('Form responses 1'!$E$2:$E1000 = A103) * ('Form responses 1'!$A$2:$A1000 &lt;= DATE(2025, 12, 31)))
+ SUMPRODUCT(('Form responses 1'!$F$2:$F1000 = A103) * ('Form responses 1'!$A$2:$A1000 &lt;= DATE(2025, 12, 31)))
+ SUMPRODUCT(('Form responses 1'!$G$2:$G1000 = A103) * ('Form responses 1'!$A$2:$A1000 &lt;= DATE(2025, 12, 31)))), 2), "-")
</f>
        <v>6.99</v>
      </c>
      <c r="AA103" s="2">
        <f>IFERROR(ROUND(Data!$B103/(
  SUMPRODUCT(('Form responses 1'!$B$2:$B1000=$A103)*('Form responses 1'!$A$2:$A1000&lt;=EOMONTH(DATEVALUE("1 "&amp;AA$1),0)))+
  SUMPRODUCT(('Form responses 1'!$C$2:$C1000=$A103)*('Form responses 1'!$A$2:$A1000&lt;=EOMONTH(DATEVALUE("1 "&amp;AA$1),0)))+
  SUMPRODUCT(('Form responses 1'!$D$2:$D1000=$A103)*('Form responses 1'!$A$2:$A1000&lt;=EOMONTH(DATEVALUE("1 "&amp;AA$1),0)))+
  SUMPRODUCT(('Form responses 1'!$E$2:$E1000=$A103)*('Form responses 1'!$A$2:$A1000&lt;=EOMONTH(DATEVALUE("1 "&amp;AA$1),0)))+
  SUMPRODUCT(('Form responses 1'!$F$2:$F1000=$A103)*('Form responses 1'!$A$2:$A1000&lt;=EOMONTH(DATEVALUE("1 "&amp;AA$1),0)))+
  SUMPRODUCT(('Form responses 1'!$G$2:$G1000=$A103)*('Form responses 1'!$A$2:$A1000&lt;=EOMONTH(DATEVALUE("1 "&amp;AA$1),0)))
),2),"-")</f>
        <v>6.47</v>
      </c>
      <c r="AB103" s="2">
        <f>IFERROR(ROUND(Data!$B103/(
  SUMPRODUCT(('Form responses 1'!$B$2:$B1000=$A103)*('Form responses 1'!$A$2:$A1000&lt;=EOMONTH(DATEVALUE("1 "&amp;AB$1),0)))+
  SUMPRODUCT(('Form responses 1'!$C$2:$C1000=$A103)*('Form responses 1'!$A$2:$A1000&lt;=EOMONTH(DATEVALUE("1 "&amp;AB$1),0)))+
  SUMPRODUCT(('Form responses 1'!$D$2:$D1000=$A103)*('Form responses 1'!$A$2:$A1000&lt;=EOMONTH(DATEVALUE("1 "&amp;AB$1),0)))+
  SUMPRODUCT(('Form responses 1'!$E$2:$E1000=$A103)*('Form responses 1'!$A$2:$A1000&lt;=EOMONTH(DATEVALUE("1 "&amp;AB$1),0)))+
  SUMPRODUCT(('Form responses 1'!$F$2:$F1000=$A103)*('Form responses 1'!$A$2:$A1000&lt;=EOMONTH(DATEVALUE("1 "&amp;AB$1),0)))+
  SUMPRODUCT(('Form responses 1'!$G$2:$G1000=$A103)*('Form responses 1'!$A$2:$A1000&lt;=EOMONTH(DATEVALUE("1 "&amp;AB$1),0)))
),2),"-")</f>
        <v>4.04</v>
      </c>
      <c r="AC103" s="2">
        <f>IFERROR(ROUND(Data!$B103/(
  SUMPRODUCT(('Form responses 1'!$B$2:$B1000=$A103)*('Form responses 1'!$A$2:$A1000&lt;=EOMONTH(DATEVALUE("1 "&amp;AC$1),0)))+
  SUMPRODUCT(('Form responses 1'!$C$2:$C1000=$A103)*('Form responses 1'!$A$2:$A1000&lt;=EOMONTH(DATEVALUE("1 "&amp;AC$1),0)))+
  SUMPRODUCT(('Form responses 1'!$D$2:$D1000=$A103)*('Form responses 1'!$A$2:$A1000&lt;=EOMONTH(DATEVALUE("1 "&amp;AC$1),0)))+
  SUMPRODUCT(('Form responses 1'!$E$2:$E1000=$A103)*('Form responses 1'!$A$2:$A1000&lt;=EOMONTH(DATEVALUE("1 "&amp;AC$1),0)))+
  SUMPRODUCT(('Form responses 1'!$F$2:$F1000=$A103)*('Form responses 1'!$A$2:$A1000&lt;=EOMONTH(DATEVALUE("1 "&amp;AC$1),0)))+
  SUMPRODUCT(('Form responses 1'!$G$2:$G1000=$A103)*('Form responses 1'!$A$2:$A1000&lt;=EOMONTH(DATEVALUE("1 "&amp;AC$1),0)))
),2),"-")</f>
        <v>3.59</v>
      </c>
      <c r="AD103" s="2" t="str">
        <f>IFERROR(ROUND(Data!$B103/(
  SUMPRODUCT(('Form responses 1'!$B$2:$B1000=$A103)*('Form responses 1'!$A$2:$A1000&lt;=EOMONTH(DATEVALUE("1 "&amp;AD$1),0)))+
  SUMPRODUCT(('Form responses 1'!$C$2:$C1000=$A103)*('Form responses 1'!$A$2:$A1000&lt;=EOMONTH(DATEVALUE("1 "&amp;AD$1),0)))+
  SUMPRODUCT(('Form responses 1'!$D$2:$D1000=$A103)*('Form responses 1'!$A$2:$A1000&lt;=EOMONTH(DATEVALUE("1 "&amp;AD$1),0)))+
  SUMPRODUCT(('Form responses 1'!$E$2:$E1000=$A103)*('Form responses 1'!$A$2:$A1000&lt;=EOMONTH(DATEVALUE("1 "&amp;AD$1),0)))+
  SUMPRODUCT(('Form responses 1'!$F$2:$F1000=$A103)*('Form responses 1'!$A$2:$A1000&lt;=EOMONTH(DATEVALUE("1 "&amp;AD$1),0)))+
  SUMPRODUCT(('Form responses 1'!$G$2:$G1000=$A103)*('Form responses 1'!$A$2:$A1000&lt;=EOMONTH(DATEVALUE("1 "&amp;AD$1),0)))
),2),"-")</f>
        <v>-</v>
      </c>
      <c r="AE103" s="2" t="str">
        <f>IFERROR(ROUND(Data!$B103/(
  SUMPRODUCT(('Form responses 1'!$B$2:$B1000=$A103)*('Form responses 1'!$A$2:$A1000&lt;=EOMONTH(DATEVALUE("1 "&amp;AE$1),0)))+
  SUMPRODUCT(('Form responses 1'!$C$2:$C1000=$A103)*('Form responses 1'!$A$2:$A1000&lt;=EOMONTH(DATEVALUE("1 "&amp;AE$1),0)))+
  SUMPRODUCT(('Form responses 1'!$D$2:$D1000=$A103)*('Form responses 1'!$A$2:$A1000&lt;=EOMONTH(DATEVALUE("1 "&amp;AE$1),0)))+
  SUMPRODUCT(('Form responses 1'!$E$2:$E1000=$A103)*('Form responses 1'!$A$2:$A1000&lt;=EOMONTH(DATEVALUE("1 "&amp;AE$1),0)))+
  SUMPRODUCT(('Form responses 1'!$F$2:$F1000=$A103)*('Form responses 1'!$A$2:$A1000&lt;=EOMONTH(DATEVALUE("1 "&amp;AE$1),0)))+
  SUMPRODUCT(('Form responses 1'!$G$2:$G1000=$A103)*('Form responses 1'!$A$2:$A1000&lt;=EOMONTH(DATEVALUE("1 "&amp;AE$1),0)))
),2),"-")</f>
        <v>-</v>
      </c>
      <c r="AF103" s="2" t="str">
        <f>IFERROR(ROUND(Data!$B103/(
  SUMPRODUCT(('Form responses 1'!$B$2:$B1000=$A103)*('Form responses 1'!$A$2:$A1000&lt;=EOMONTH(DATEVALUE("1 "&amp;AF$1),0)))+
  SUMPRODUCT(('Form responses 1'!$C$2:$C1000=$A103)*('Form responses 1'!$A$2:$A1000&lt;=EOMONTH(DATEVALUE("1 "&amp;AF$1),0)))+
  SUMPRODUCT(('Form responses 1'!$D$2:$D1000=$A103)*('Form responses 1'!$A$2:$A1000&lt;=EOMONTH(DATEVALUE("1 "&amp;AF$1),0)))+
  SUMPRODUCT(('Form responses 1'!$E$2:$E1000=$A103)*('Form responses 1'!$A$2:$A1000&lt;=EOMONTH(DATEVALUE("1 "&amp;AF$1),0)))+
  SUMPRODUCT(('Form responses 1'!$F$2:$F1000=$A103)*('Form responses 1'!$A$2:$A1000&lt;=EOMONTH(DATEVALUE("1 "&amp;AF$1),0)))+
  SUMPRODUCT(('Form responses 1'!$G$2:$G1000=$A103)*('Form responses 1'!$A$2:$A1000&lt;=EOMONTH(DATEVALUE("1 "&amp;AF$1),0)))
),2),"-")</f>
        <v>-</v>
      </c>
      <c r="AG103" s="2" t="str">
        <f>IFERROR(ROUND(Data!$B103/(
  SUMPRODUCT(('Form responses 1'!$B$2:$B1000=$A103)*('Form responses 1'!$A$2:$A1000&lt;=EOMONTH(DATEVALUE("1 "&amp;AG$1),0)))+
  SUMPRODUCT(('Form responses 1'!$C$2:$C1000=$A103)*('Form responses 1'!$A$2:$A1000&lt;=EOMONTH(DATEVALUE("1 "&amp;AG$1),0)))+
  SUMPRODUCT(('Form responses 1'!$D$2:$D1000=$A103)*('Form responses 1'!$A$2:$A1000&lt;=EOMONTH(DATEVALUE("1 "&amp;AG$1),0)))+
  SUMPRODUCT(('Form responses 1'!$E$2:$E1000=$A103)*('Form responses 1'!$A$2:$A1000&lt;=EOMONTH(DATEVALUE("1 "&amp;AG$1),0)))+
  SUMPRODUCT(('Form responses 1'!$F$2:$F1000=$A103)*('Form responses 1'!$A$2:$A1000&lt;=EOMONTH(DATEVALUE("1 "&amp;AG$1),0)))+
  SUMPRODUCT(('Form responses 1'!$G$2:$G1000=$A103)*('Form responses 1'!$A$2:$A1000&lt;=EOMONTH(DATEVALUE("1 "&amp;AG$1),0)))
),2),"-")</f>
        <v>-</v>
      </c>
      <c r="AH103" s="2" t="str">
        <f>IFERROR(ROUND(Data!$B103/(
  SUMPRODUCT(('Form responses 1'!$B$2:$B1000=$A103)*('Form responses 1'!$A$2:$A1000&lt;=EOMONTH(DATEVALUE("1 "&amp;AH$1),0)))+
  SUMPRODUCT(('Form responses 1'!$C$2:$C1000=$A103)*('Form responses 1'!$A$2:$A1000&lt;=EOMONTH(DATEVALUE("1 "&amp;AH$1),0)))+
  SUMPRODUCT(('Form responses 1'!$D$2:$D1000=$A103)*('Form responses 1'!$A$2:$A1000&lt;=EOMONTH(DATEVALUE("1 "&amp;AH$1),0)))+
  SUMPRODUCT(('Form responses 1'!$E$2:$E1000=$A103)*('Form responses 1'!$A$2:$A1000&lt;=EOMONTH(DATEVALUE("1 "&amp;AH$1),0)))+
  SUMPRODUCT(('Form responses 1'!$F$2:$F1000=$A103)*('Form responses 1'!$A$2:$A1000&lt;=EOMONTH(DATEVALUE("1 "&amp;AH$1),0)))+
  SUMPRODUCT(('Form responses 1'!$G$2:$G1000=$A103)*('Form responses 1'!$A$2:$A1000&lt;=EOMONTH(DATEVALUE("1 "&amp;AH$1),0)))
),2),"-")</f>
        <v>-</v>
      </c>
      <c r="AI103" s="2" t="str">
        <f>IFERROR(ROUND(Data!$B103/(
  SUMPRODUCT(('Form responses 1'!$B$2:$B1000=$A103)*('Form responses 1'!$A$2:$A1000&lt;=EOMONTH(DATEVALUE("1 "&amp;AI$1),0)))+
  SUMPRODUCT(('Form responses 1'!$C$2:$C1000=$A103)*('Form responses 1'!$A$2:$A1000&lt;=EOMONTH(DATEVALUE("1 "&amp;AI$1),0)))+
  SUMPRODUCT(('Form responses 1'!$D$2:$D1000=$A103)*('Form responses 1'!$A$2:$A1000&lt;=EOMONTH(DATEVALUE("1 "&amp;AI$1),0)))+
  SUMPRODUCT(('Form responses 1'!$E$2:$E1000=$A103)*('Form responses 1'!$A$2:$A1000&lt;=EOMONTH(DATEVALUE("1 "&amp;AI$1),0)))+
  SUMPRODUCT(('Form responses 1'!$F$2:$F1000=$A103)*('Form responses 1'!$A$2:$A1000&lt;=EOMONTH(DATEVALUE("1 "&amp;AI$1),0)))+
  SUMPRODUCT(('Form responses 1'!$G$2:$G1000=$A103)*('Form responses 1'!$A$2:$A1000&lt;=EOMONTH(DATEVALUE("1 "&amp;AI$1),0)))
),2),"-")</f>
        <v>-</v>
      </c>
      <c r="AJ103" s="2" t="str">
        <f>IFERROR(ROUND(Data!$B103/(
  SUMPRODUCT(('Form responses 1'!$B$2:$B1000=$A103)*('Form responses 1'!$A$2:$A1000&lt;=EOMONTH(DATEVALUE("1 "&amp;AJ$1),0)))+
  SUMPRODUCT(('Form responses 1'!$C$2:$C1000=$A103)*('Form responses 1'!$A$2:$A1000&lt;=EOMONTH(DATEVALUE("1 "&amp;AJ$1),0)))+
  SUMPRODUCT(('Form responses 1'!$D$2:$D1000=$A103)*('Form responses 1'!$A$2:$A1000&lt;=EOMONTH(DATEVALUE("1 "&amp;AJ$1),0)))+
  SUMPRODUCT(('Form responses 1'!$E$2:$E1000=$A103)*('Form responses 1'!$A$2:$A1000&lt;=EOMONTH(DATEVALUE("1 "&amp;AJ$1),0)))+
  SUMPRODUCT(('Form responses 1'!$F$2:$F1000=$A103)*('Form responses 1'!$A$2:$A1000&lt;=EOMONTH(DATEVALUE("1 "&amp;AJ$1),0)))+
  SUMPRODUCT(('Form responses 1'!$G$2:$G1000=$A103)*('Form responses 1'!$A$2:$A1000&lt;=EOMONTH(DATEVALUE("1 "&amp;AJ$1),0)))
),2),"-")</f>
        <v>-</v>
      </c>
      <c r="AK103" s="2" t="str">
        <f>IFERROR(ROUND(Data!$B103/(
  SUMPRODUCT(('Form responses 1'!$B$2:$B1000=$A103)*('Form responses 1'!$A$2:$A1000&lt;=EOMONTH(DATEVALUE("1 "&amp;AK$1),0)))+
  SUMPRODUCT(('Form responses 1'!$C$2:$C1000=$A103)*('Form responses 1'!$A$2:$A1000&lt;=EOMONTH(DATEVALUE("1 "&amp;AK$1),0)))+
  SUMPRODUCT(('Form responses 1'!$D$2:$D1000=$A103)*('Form responses 1'!$A$2:$A1000&lt;=EOMONTH(DATEVALUE("1 "&amp;AK$1),0)))+
  SUMPRODUCT(('Form responses 1'!$E$2:$E1000=$A103)*('Form responses 1'!$A$2:$A1000&lt;=EOMONTH(DATEVALUE("1 "&amp;AK$1),0)))+
  SUMPRODUCT(('Form responses 1'!$F$2:$F1000=$A103)*('Form responses 1'!$A$2:$A1000&lt;=EOMONTH(DATEVALUE("1 "&amp;AK$1),0)))+
  SUMPRODUCT(('Form responses 1'!$G$2:$G1000=$A103)*('Form responses 1'!$A$2:$A1000&lt;=EOMONTH(DATEVALUE("1 "&amp;AK$1),0)))
),2),"-")</f>
        <v>-</v>
      </c>
      <c r="AL103" s="2" t="str">
        <f>IFERROR(ROUND(Data!$B103/(
  SUMPRODUCT(('Form responses 1'!$B$2:$B1000=$A103)*('Form responses 1'!$A$2:$A1000&lt;=EOMONTH(DATEVALUE("1 "&amp;AL$1),0)))+
  SUMPRODUCT(('Form responses 1'!$C$2:$C1000=$A103)*('Form responses 1'!$A$2:$A1000&lt;=EOMONTH(DATEVALUE("1 "&amp;AL$1),0)))+
  SUMPRODUCT(('Form responses 1'!$D$2:$D1000=$A103)*('Form responses 1'!$A$2:$A1000&lt;=EOMONTH(DATEVALUE("1 "&amp;AL$1),0)))+
  SUMPRODUCT(('Form responses 1'!$E$2:$E1000=$A103)*('Form responses 1'!$A$2:$A1000&lt;=EOMONTH(DATEVALUE("1 "&amp;AL$1),0)))+
  SUMPRODUCT(('Form responses 1'!$F$2:$F1000=$A103)*('Form responses 1'!$A$2:$A1000&lt;=EOMONTH(DATEVALUE("1 "&amp;AL$1),0)))+
  SUMPRODUCT(('Form responses 1'!$G$2:$G1000=$A103)*('Form responses 1'!$A$2:$A1000&lt;=EOMONTH(DATEVALUE("1 "&amp;AL$1),0)))
),2),"-")</f>
        <v>-</v>
      </c>
    </row>
    <row r="104">
      <c r="A104" s="3" t="str">
        <f>IFERROR(__xludf.DUMMYFUNCTION("""COMPUTED_VALUE"""),"Spijkerbroek Compound Garment")</f>
        <v>Spijkerbroek Compound Garment</v>
      </c>
      <c r="C104" s="2" t="str">
        <f>IFERROR(ROUND(Data!B95/(SUMPRODUCT(('Form responses 1'!$B$2:$B1000 = A104) * ('Form responses 1'!$A$2:$A1000 &lt;= DATE(2024, 1, 31)))
+ SUMPRODUCT(('Form responses 1'!$C$2:$C1000 = A104) * ('Form responses 1'!$A$2:$A1000 &lt;= DATE(2024, 1, 31)))
+ SUMPRODUCT(('Form responses 1'!$D$2:$D1000 = A104) * ('Form responses 1'!$A$2:$A1000 &lt;= DATE(2024, 1, 31)))
+ SUMPRODUCT(('Form responses 1'!$E$2:$E1000 = A104) * ('Form responses 1'!$A$2:$A1000 &lt;= DATE(2024, 1, 31)))
+ SUMPRODUCT(('Form responses 1'!$F$2:$F1000 = A104) * ('Form responses 1'!$A$2:$A1000 &lt;= DATE(2024, 1, 31)))
+ SUMPRODUCT(('Form responses 1'!$G$2:$G1000 = A104) * ('Form responses 1'!$A$2:$A1000 &lt;= DATE(2024, 1, 31)))), 2), "-")
</f>
        <v>-</v>
      </c>
      <c r="D104" s="2" t="str">
        <f>IFERROR(ROUND(Data!B95/(SUMPRODUCT(('Form responses 1'!$B$2:$B1000 = A104) * ('Form responses 1'!$A$2:$A1000 &lt;= DATE(2024, 2, 29)))
+ SUMPRODUCT(('Form responses 1'!$C$2:$C1000 = A104) * ('Form responses 1'!$A$2:$A1000 &lt;= DATE(2024, 2, 29)))
+ SUMPRODUCT(('Form responses 1'!$D$2:$D1000 = A104) * ('Form responses 1'!$A$2:$A1000 &lt;= DATE(2024, 2, 29)))
+ SUMPRODUCT(('Form responses 1'!$E$2:$E1000 = A104) * ('Form responses 1'!$A$2:$A1000 &lt;= DATE(2024, 2, 29)))
+ SUMPRODUCT(('Form responses 1'!$F$2:$F1000 = A104) * ('Form responses 1'!$A$2:$A1000 &lt;= DATE(2024, 2, 29)))
+ SUMPRODUCT(('Form responses 1'!$G$2:$G1000 = A104) * ('Form responses 1'!$A$2:$A1000 &lt;= DATE(2024, 2, 29)))), 2), "-")
</f>
        <v>-</v>
      </c>
      <c r="E104" s="2" t="str">
        <f>IFERROR(ROUND(Data!B95/(SUMPRODUCT(('Form responses 1'!$B$2:$B1000 = A104) * ('Form responses 1'!$A$2:$A1000 &lt;= DATE(2024, 3, 31)))
+ SUMPRODUCT(('Form responses 1'!$C$2:$C1000 = A104) * ('Form responses 1'!$A$2:$A1000 &lt;= DATE(2024, 3, 31)))
+ SUMPRODUCT(('Form responses 1'!$D$2:$D1000 = A104) * ('Form responses 1'!$A$2:$A1000 &lt;= DATE(2024, 3, 31)))
+ SUMPRODUCT(('Form responses 1'!$E$2:$E1000 = A104) * ('Form responses 1'!$A$2:$A1000 &lt;= DATE(2024, 3, 31)))
+ SUMPRODUCT(('Form responses 1'!$F$2:$F1000 = A104) * ('Form responses 1'!$A$2:$A1000 &lt;= DATE(2024, 3, 31)))
+ SUMPRODUCT(('Form responses 1'!$G$2:$G1000 = A104) * ('Form responses 1'!$A$2:$A1000 &lt;= DATE(2024, 3, 31)))), 2), "-")
</f>
        <v>-</v>
      </c>
      <c r="F104" s="2" t="str">
        <f>IFERROR(ROUND(Data!B95/(SUMPRODUCT(('Form responses 1'!$B$2:$B1000 = A104) * ('Form responses 1'!$A$2:$A1000 &lt;= DATE(2024, 4, 30)))
+ SUMPRODUCT(('Form responses 1'!$C$2:$C1000 = A104) * ('Form responses 1'!$A$2:$A1000 &lt;= DATE(2024, 4, 30)))
+ SUMPRODUCT(('Form responses 1'!$D$2:$D1000 = A104) * ('Form responses 1'!$A$2:$A1000 &lt;= DATE(2024, 4, 30)))
+ SUMPRODUCT(('Form responses 1'!$E$2:$E1000 = A104) * ('Form responses 1'!$A$2:$A1000 &lt;= DATE(2024, 4, 30)))
+ SUMPRODUCT(('Form responses 1'!$F$2:$F1000 = A104) * ('Form responses 1'!$A$2:$A1000 &lt;= DATE(2024, 4, 30)))
+ SUMPRODUCT(('Form responses 1'!$G$2:$G1000 = A104) * ('Form responses 1'!$A$2:$A1000 &lt;= DATE(2024, 4, 30)))), 2), "-")
</f>
        <v>-</v>
      </c>
      <c r="G104" s="2" t="str">
        <f>IFERROR(ROUND(Data!B95/(SUMPRODUCT(('Form responses 1'!$B$2:$B1000 = A104) * ('Form responses 1'!$A$2:$A1000 &lt;= DATE(2024, 5, 31)))
+ SUMPRODUCT(('Form responses 1'!$C$2:$C1000 = A104) * ('Form responses 1'!$A$2:$A1000 &lt;= DATE(2024, 5, 31)))
+ SUMPRODUCT(('Form responses 1'!$D$2:$D1000 = A104) * ('Form responses 1'!$A$2:$A1000 &lt;= DATE(2024, 5, 31)))
+ SUMPRODUCT(('Form responses 1'!$E$2:$E1000 = A104) * ('Form responses 1'!$A$2:$A1000 &lt;= DATE(2024, 5, 31)))
+ SUMPRODUCT(('Form responses 1'!$F$2:$F1000 = A104) * ('Form responses 1'!$A$2:$A1000 &lt;= DATE(2024, 5, 31)))
+ SUMPRODUCT(('Form responses 1'!$G$2:$G1000 = A104) * ('Form responses 1'!$A$2:$A1000 &lt;= DATE(2024, 5, 31)))), 2), "-")
</f>
        <v>-</v>
      </c>
      <c r="H104" s="2" t="str">
        <f>IFERROR(ROUND(Data!B95/(SUMPRODUCT(('Form responses 1'!$B$2:$B1000 = A104) * ('Form responses 1'!$A$2:$A1000 &lt;= DATE(2024, 6, 30)))
+ SUMPRODUCT(('Form responses 1'!$C$2:$C1000 = A104) * ('Form responses 1'!$A$2:$A1000 &lt;= DATE(2024, 6, 30)))
+ SUMPRODUCT(('Form responses 1'!$D$2:$D1000 = A104) * ('Form responses 1'!$A$2:$A1000 &lt;= DATE(2024, 6, 30)))
+ SUMPRODUCT(('Form responses 1'!$E$2:$E1000 = A104) * ('Form responses 1'!$A$2:$A1000 &lt;= DATE(2024, 6, 30)))
+ SUMPRODUCT(('Form responses 1'!$F$2:$F1000 = A104) * ('Form responses 1'!$A$2:$A1000 &lt;= DATE(2024, 6, 30)))
+ SUMPRODUCT(('Form responses 1'!$G$2:$G1000 = A104) * ('Form responses 1'!$A$2:$A1000 &lt;= DATE(2024, 6, 30)))), 2), "-")
</f>
        <v>-</v>
      </c>
      <c r="I104" s="2" t="str">
        <f>IFERROR(ROUND(Data!B95/(SUMPRODUCT(('Form responses 1'!$B$2:$B1000 = A104) * ('Form responses 1'!$A$2:$A1000 &lt;= DATE(2024, 7, 31)))
+ SUMPRODUCT(('Form responses 1'!$C$2:$C1000 = A104) * ('Form responses 1'!$A$2:$A1000 &lt;= DATE(2024, 7, 31)))
+ SUMPRODUCT(('Form responses 1'!$D$2:$D1000 = A104) * ('Form responses 1'!$A$2:$A1000 &lt;= DATE(2024, 7, 31)))
+ SUMPRODUCT(('Form responses 1'!$E$2:$E1000 = A104) * ('Form responses 1'!$A$2:$A1000 &lt;= DATE(2024, 7, 31)))
+ SUMPRODUCT(('Form responses 1'!$F$2:$F1000 = A104) * ('Form responses 1'!$A$2:$A1000 &lt;= DATE(2024, 7, 31)))
+ SUMPRODUCT(('Form responses 1'!$G$2:$G1000 = A104) * ('Form responses 1'!$A$2:$A1000 &lt;= DATE(2024, 7, 31)))), 2), "-")
</f>
        <v>-</v>
      </c>
      <c r="J104" s="2" t="str">
        <f>IFERROR(ROUND(Data!B95/(SUMPRODUCT(('Form responses 1'!$B$2:$B1000 = A104) * ('Form responses 1'!$A$2:$A1000 &lt;= DATE(2024, 8, 31)))
+ SUMPRODUCT(('Form responses 1'!$C$2:$C1000 = A104) * ('Form responses 1'!$A$2:$A1000 &lt;= DATE(2024, 8, 31)))
+ SUMPRODUCT(('Form responses 1'!$D$2:$D1000 = A104) * ('Form responses 1'!$A$2:$A1000 &lt;= DATE(2024, 8, 31)))
+ SUMPRODUCT(('Form responses 1'!$E$2:$E1000 = A104) * ('Form responses 1'!$A$2:$A1000 &lt;= DATE(2024, 8, 31)))
+ SUMPRODUCT(('Form responses 1'!$F$2:$F1000 = A104) * ('Form responses 1'!$A$2:$A1000 &lt;= DATE(2024, 8, 31)))
+ SUMPRODUCT(('Form responses 1'!$G$2:$G1000 = A104) * ('Form responses 1'!$A$2:$A1000 &lt;= DATE(2024, 8, 31)))), 2), "-")
</f>
        <v>-</v>
      </c>
      <c r="K104" s="2" t="str">
        <f>IFERROR(ROUND(Data!B95/(SUMPRODUCT(('Form responses 1'!$B$2:$B1000 = A104) * ('Form responses 1'!$A$2:$A1000 &lt;= DATE(2024, 9, 30)))
+ SUMPRODUCT(('Form responses 1'!$C$2:$C1000 = A104) * ('Form responses 1'!$A$2:$A1000 &lt;= DATE(2024, 9, 30)))
+ SUMPRODUCT(('Form responses 1'!$D$2:$D1000 = A104) * ('Form responses 1'!$A$2:$A1000 &lt;= DATE(2024, 9, 30)))
+ SUMPRODUCT(('Form responses 1'!$E$2:$E1000 = A104) * ('Form responses 1'!$A$2:$A1000 &lt;= DATE(2024, 9, 30)))
+ SUMPRODUCT(('Form responses 1'!$F$2:$F1000 = A104) * ('Form responses 1'!$A$2:$A1000 &lt;= DATE(2024, 9, 30)))
+ SUMPRODUCT(('Form responses 1'!$G$2:$G1000 = A104) * ('Form responses 1'!$A$2:$A1000 &lt;= DATE(2024, 9, 30)))), 2), "-")
</f>
        <v>-</v>
      </c>
      <c r="L104" s="2" t="str">
        <f>IFERROR(ROUND(Data!B95/(SUMPRODUCT(('Form responses 1'!$B$2:$B1000 = A104) * ('Form responses 1'!$A$2:$A1000 &lt;= DATE(2024, 10, 31)))
+ SUMPRODUCT(('Form responses 1'!$C$2:$C1000 = A104) * ('Form responses 1'!$A$2:$A1000 &lt;= DATE(2024, 10, 31)))
+ SUMPRODUCT(('Form responses 1'!$D$2:$D1000 = A104) * ('Form responses 1'!$A$2:$A1000 &lt;= DATE(2024, 10, 31)))
+ SUMPRODUCT(('Form responses 1'!$E$2:$E1000 = A104) * ('Form responses 1'!$A$2:$A1000 &lt;= DATE(2024, 10, 31)))
+ SUMPRODUCT(('Form responses 1'!$F$2:$F1000 = A104) * ('Form responses 1'!$A$2:$A1000 &lt;= DATE(2024, 10, 31)))
+ SUMPRODUCT(('Form responses 1'!$G$2:$G1000 = A104) * ('Form responses 1'!$A$2:$A1000 &lt;= DATE(2024, 10, 31)))), 2), "-")
</f>
        <v>-</v>
      </c>
      <c r="M104" s="2" t="str">
        <f>IFERROR(ROUND(Data!B95/(SUMPRODUCT(('Form responses 1'!$B$2:$B1000 = A104) * ('Form responses 1'!$A$2:$A1000 &lt;= DATE(2024, 11, 30)))
+ SUMPRODUCT(('Form responses 1'!$C$2:$C1000 = A104) * ('Form responses 1'!$A$2:$A1000 &lt;= DATE(2024, 11, 30)))
+ SUMPRODUCT(('Form responses 1'!$D$2:$D1000 = A104) * ('Form responses 1'!$A$2:$A1000 &lt;= DATE(2024, 11, 30)))
+ SUMPRODUCT(('Form responses 1'!$E$2:$E1000 = A104) * ('Form responses 1'!$A$2:$A1000 &lt;= DATE(2024, 11, 30)))
+ SUMPRODUCT(('Form responses 1'!$F$2:$F1000 = A104) * ('Form responses 1'!$A$2:$A1000 &lt;= DATE(2024, 11, 30)))
+ SUMPRODUCT(('Form responses 1'!$G$2:$G1000 = A104) * ('Form responses 1'!$A$2:$A1000 &lt;= DATE(2024, 11, 30)))), 2), "-")
</f>
        <v>-</v>
      </c>
      <c r="N104" s="2" t="str">
        <f>IFERROR(ROUND(Data!B95/(SUMPRODUCT(('Form responses 1'!$B$2:$B1000 = A104) * ('Form responses 1'!$A$2:$A1000 &lt;= DATE(2024, 12, 31)))
+ SUMPRODUCT(('Form responses 1'!$C$2:$C1000 = A104) * ('Form responses 1'!$A$2:$A1000 &lt;= DATE(2024, 12, 31)))
+ SUMPRODUCT(('Form responses 1'!$D$2:$D1000 = A104) * ('Form responses 1'!$A$2:$A1000 &lt;= DATE(2024, 12, 31)))
+ SUMPRODUCT(('Form responses 1'!$E$2:$E1000 = A104) * ('Form responses 1'!$A$2:$A1000 &lt;= DATE(2024, 12, 31)))
+ SUMPRODUCT(('Form responses 1'!$F$2:$F1000 = A104) * ('Form responses 1'!$A$2:$A1000 &lt;= DATE(2024, 12, 31)))
+ SUMPRODUCT(('Form responses 1'!$G$2:$G1000 = A104) * ('Form responses 1'!$A$2:$A1000 &lt;= DATE(2024, 12, 31)))), 2), "-")
</f>
        <v>-</v>
      </c>
      <c r="O104" s="2" t="str">
        <f>IFERROR(ROUND(Data!B95/(SUMPRODUCT(('Form responses 1'!$B$2:$B1000 = A104) * ('Form responses 1'!$A$2:$A1000 &lt;= DATE(2025, 1, 31)))
+ SUMPRODUCT(('Form responses 1'!$C$2:$C1000 = A104) * ('Form responses 1'!$A$2:$A1000 &lt;= DATE(2025, 1, 31)))
+ SUMPRODUCT(('Form responses 1'!$D$2:$D1000 = A104) * ('Form responses 1'!$A$2:$A1000 &lt;= DATE(2025, 1, 31)))
+ SUMPRODUCT(('Form responses 1'!$E$2:$E1000 = A104) * ('Form responses 1'!$A$2:$A1000 &lt;= DATE(2025, 1, 31)))
+ SUMPRODUCT(('Form responses 1'!$F$2:$F1000 = A104) * ('Form responses 1'!$A$2:$A1000 &lt;= DATE(2025, 1, 31)))
+ SUMPRODUCT(('Form responses 1'!$G$2:$G1000 = A104) * ('Form responses 1'!$A$2:$A1000 &lt;= DATE(2025, 1, 31)))), 2), "-")
</f>
        <v>-</v>
      </c>
      <c r="P104" s="2" t="str">
        <f>IFERROR(ROUND(Data!B95/(SUMPRODUCT(('Form responses 1'!$B$2:$B1000 = A104) * ('Form responses 1'!$A$2:$A1000 &lt;= DATE(2025, 2, 28)))
+ SUMPRODUCT(('Form responses 1'!$C$2:$C1000 = A104) * ('Form responses 1'!$A$2:$A1000 &lt;= DATE(2025, 2, 28)))
+ SUMPRODUCT(('Form responses 1'!$D$2:$D1000 = A104) * ('Form responses 1'!$A$2:$A1000 &lt;= DATE(2025, 2, 28)))
+ SUMPRODUCT(('Form responses 1'!$E$2:$E1000 = A104) * ('Form responses 1'!$A$2:$A1000 &lt;= DATE(2025, 2, 28)))
+ SUMPRODUCT(('Form responses 1'!$F$2:$F1000 = A104) * ('Form responses 1'!$A$2:$A1000 &lt;= DATE(2025, 2, 28)))
+ SUMPRODUCT(('Form responses 1'!$G$2:$G1000 = A104) * ('Form responses 1'!$A$2:$A1000 &lt;= DATE(2025, 2, 28)))), 2), "-")
</f>
        <v>-</v>
      </c>
      <c r="Q104" s="2" t="str">
        <f>IFERROR(ROUND(Data!B95/(SUMPRODUCT(('Form responses 1'!$B$2:$B1000 = A104) * ('Form responses 1'!$A$2:$A1000 &lt;= DATE(2025, 3, 31)))
+ SUMPRODUCT(('Form responses 1'!$C$2:$C1000 = A104) * ('Form responses 1'!$A$2:$A1000 &lt;= DATE(2025, 3, 31)))
+ SUMPRODUCT(('Form responses 1'!$D$2:$D1000 = A104) * ('Form responses 1'!$A$2:$A1000 &lt;= DATE(2025, 3, 31)))
+ SUMPRODUCT(('Form responses 1'!$E$2:$E1000 = A104) * ('Form responses 1'!$A$2:$A1000 &lt;= DATE(2025, 3, 31)))
+ SUMPRODUCT(('Form responses 1'!$F$2:$F1000 = A104) * ('Form responses 1'!$A$2:$A1000 &lt;= DATE(2025, 3, 31)))
+ SUMPRODUCT(('Form responses 1'!$G$2:$G1000 = A104) * ('Form responses 1'!$A$2:$A1000 &lt;= DATE(2025, 3, 31)))),2),"-")</f>
        <v>-</v>
      </c>
      <c r="R104" s="2" t="str">
        <f>IFERROR(ROUND(Data!B95/(SUMPRODUCT(('Form responses 1'!$B$2:$B1000 = A104) * ('Form responses 1'!$A$2:$A1000 &lt;= DATE(2025, 4, 30)))
+ SUMPRODUCT(('Form responses 1'!$C$2:$C1000 = A104) * ('Form responses 1'!$A$2:$A1000 &lt;= DATE(2025, 4, 30)))
+ SUMPRODUCT(('Form responses 1'!$D$2:$D1000 = A104) * ('Form responses 1'!$A$2:$A1000 &lt;= DATE(2025, 4, 30)))
+ SUMPRODUCT(('Form responses 1'!$E$2:$E1000 = A104) * ('Form responses 1'!$A$2:$A1000 &lt;= DATE(2025, 4, 30)))
+ SUMPRODUCT(('Form responses 1'!$F$2:$F1000 = A104) * ('Form responses 1'!$A$2:$A1000 &lt;= DATE(2025, 4, 30)))
+ SUMPRODUCT(('Form responses 1'!$G$2:$G1000 = A104) * ('Form responses 1'!$A$2:$A1000 &lt;= DATE(2025, 4, 30)))), 2), "-")
</f>
        <v>-</v>
      </c>
      <c r="S104" s="2" t="str">
        <f>IFERROR(ROUND(Data!B95/(SUMPRODUCT(('Form responses 1'!$B$2:$B1000 = A104) * ('Form responses 1'!$A$2:$A1000 &lt;= DATE(2025, 5, 31)))
+ SUMPRODUCT(('Form responses 1'!$C$2:$C1000 = A104) * ('Form responses 1'!$A$2:$A1000 &lt;= DATE(2025, 5, 31)))
+ SUMPRODUCT(('Form responses 1'!$D$2:$D1000 = A104) * ('Form responses 1'!$A$2:$A1000 &lt;= DATE(2025, 5, 31)))
+ SUMPRODUCT(('Form responses 1'!$E$2:$E1000 = A104) * ('Form responses 1'!$A$2:$A1000 &lt;= DATE(2025, 5, 31)))
+ SUMPRODUCT(('Form responses 1'!$F$2:$F1000 = A104) * ('Form responses 1'!$A$2:$A1000 &lt;= DATE(2025, 5, 31)))
+ SUMPRODUCT(('Form responses 1'!$G$2:$G1000 = A104) * ('Form responses 1'!$A$2:$A1000 &lt;= DATE(2025, 5, 31)))), 2), "-")
</f>
        <v>-</v>
      </c>
      <c r="T104" s="2" t="str">
        <f>IFERROR(ROUND(Data!B95/(SUMPRODUCT(('Form responses 1'!$B$2:$B1000 = A104) * ('Form responses 1'!$A$2:$A1000 &lt;= DATE(2025, 6, 30)))
+ SUMPRODUCT(('Form responses 1'!$C$2:$C1000 = A104) * ('Form responses 1'!$A$2:$A1000 &lt;= DATE(2025, 6, 30)))
+ SUMPRODUCT(('Form responses 1'!$D$2:$D1000 = A104) * ('Form responses 1'!$A$2:$A1000 &lt;= DATE(2025, 6, 30)))
+ SUMPRODUCT(('Form responses 1'!$E$2:$E1000 = A104) * ('Form responses 1'!$A$2:$A1000 &lt;= DATE(2025, 6, 30)))
+ SUMPRODUCT(('Form responses 1'!$F$2:$F1000 = A104) * ('Form responses 1'!$A$2:$A1000 &lt;= DATE(2025, 6, 30)))
+ SUMPRODUCT(('Form responses 1'!$G$2:$G1000 = A104) * ('Form responses 1'!$A$2:$A1000 &lt;= DATE(2025, 6, 30)))), 2), "-")
</f>
        <v>-</v>
      </c>
      <c r="U104" s="2" t="str">
        <f>IFERROR(ROUND(Data!B95/(SUMPRODUCT(('Form responses 1'!$B$2:$B1000 = A104) * ('Form responses 1'!$A$2:$A1000 &lt;= DATE(2025, 7, 31)))
+ SUMPRODUCT(('Form responses 1'!$C$2:$C1000 = A104) * ('Form responses 1'!$A$2:$A1000 &lt;= DATE(2025, 7, 31)))
+ SUMPRODUCT(('Form responses 1'!$D$2:$D1000 = A104) * ('Form responses 1'!$A$2:$A1000 &lt;= DATE(2025, 7, 31)))
+ SUMPRODUCT(('Form responses 1'!$E$2:$E1000 = A104) * ('Form responses 1'!$A$2:$A1000 &lt;= DATE(2025, 7, 31)))
+ SUMPRODUCT(('Form responses 1'!$F$2:$F1000 = A104) * ('Form responses 1'!$A$2:$A1000 &lt;= DATE(2025, 7, 31)))
+ SUMPRODUCT(('Form responses 1'!$G$2:$G1000 = A104) * ('Form responses 1'!$A$2:$A1000 &lt;= DATE(2025, 7, 31)))), 2), "-")
</f>
        <v>-</v>
      </c>
      <c r="V104" s="2" t="str">
        <f>IFERROR(ROUND(Data!B95/(SUMPRODUCT(('Form responses 1'!$B$2:$B1000 = A104) * ('Form responses 1'!$A$2:$A1000 &lt;= DATE(2025, 8, 31)))
+ SUMPRODUCT(('Form responses 1'!$C$2:$C1000 = A104) * ('Form responses 1'!$A$2:$A1000 &lt;= DATE(2025, 8, 31)))
+ SUMPRODUCT(('Form responses 1'!$D$2:$D1000 = A104) * ('Form responses 1'!$A$2:$A1000 &lt;= DATE(2025, 8, 31)))
+ SUMPRODUCT(('Form responses 1'!$E$2:$E1000 = A104) * ('Form responses 1'!$A$2:$A1000 &lt;= DATE(2025, 8, 31)))
+ SUMPRODUCT(('Form responses 1'!$F$2:$F1000 = A104) * ('Form responses 1'!$A$2:$A1000 &lt;= DATE(2025, 8, 31)))
+ SUMPRODUCT(('Form responses 1'!$G$2:$G1000 = A104) * ('Form responses 1'!$A$2:$A1000 &lt;= DATE(2025, 8, 31)))), 2), "-")
</f>
        <v>-</v>
      </c>
      <c r="W104" s="2">
        <f>IFERROR(ROUND(Data!B95/(SUMPRODUCT(('Form responses 1'!$B$2:$B1000 = A104) * ('Form responses 1'!$A$2:$A1000 &lt;= DATE(2025, 9, 30)))
+ SUMPRODUCT(('Form responses 1'!$C$2:$C1000 = A104) * ('Form responses 1'!$A$2:$A1000 &lt;= DATE(2025, 9, 30)))
+ SUMPRODUCT(('Form responses 1'!$D$2:$D1000 = A104) * ('Form responses 1'!$A$2:$A1000 &lt;= DATE(2025, 9, 30)))
+ SUMPRODUCT(('Form responses 1'!$E$2:$E1000 = A104) * ('Form responses 1'!$A$2:$A1000 &lt;= DATE(2025, 9, 30)))
+ SUMPRODUCT(('Form responses 1'!$F$2:$F1000 = A104) * ('Form responses 1'!$A$2:$A1000 &lt;= DATE(2025, 9, 30)))
+ SUMPRODUCT(('Form responses 1'!$G$2:$G1000 = A104) * ('Form responses 1'!$A$2:$A1000 &lt;= DATE(2025, 9, 30)))), 2), "-")
</f>
        <v>1</v>
      </c>
      <c r="X104" s="2">
        <f>IFERROR(ROUND(Data!B95/(SUMPRODUCT(('Form responses 1'!$B$2:$B1000 = A104) * ('Form responses 1'!$A$2:$A1000 &lt;= DATE(2025, 10, 31)))
+ SUMPRODUCT(('Form responses 1'!$C$2:$C1000 = A104) * ('Form responses 1'!$A$2:$A1000 &lt;= DATE(2025, 10, 31)))
+ SUMPRODUCT(('Form responses 1'!$D$2:$D1000 = A104) * ('Form responses 1'!$A$2:$A1000 &lt;= DATE(2025, 10, 31)))
+ SUMPRODUCT(('Form responses 1'!$E$2:$E1000 = A104) * ('Form responses 1'!$A$2:$A1000 &lt;= DATE(2025, 10, 31)))
+ SUMPRODUCT(('Form responses 1'!$F$2:$F1000 = A104) * ('Form responses 1'!$A$2:$A1000 &lt;= DATE(2025, 10, 31)))
+ SUMPRODUCT(('Form responses 1'!$G$2:$G1000 = A104) * ('Form responses 1'!$A$2:$A1000 &lt;= DATE(2025, 10, 31)))), 2), "-")
</f>
        <v>0.78</v>
      </c>
      <c r="Y104" s="2">
        <f>IFERROR(ROUND(Data!B95/(SUMPRODUCT(('Form responses 1'!$B$2:$B1000 = A104) * ('Form responses 1'!$A$2:$A1000 &lt;= DATE(2025, 11, 30)))
+ SUMPRODUCT(('Form responses 1'!$C$2:$C1000 = A104) * ('Form responses 1'!$A$2:$A1000 &lt;= DATE(2025, 11, 30)))
+ SUMPRODUCT(('Form responses 1'!$D$2:$D1000 = A104) * ('Form responses 1'!$A$2:$A1000 &lt;= DATE(2025, 11, 30)))
+ SUMPRODUCT(('Form responses 1'!$E$2:$E1000 = A104) * ('Form responses 1'!$A$2:$A1000 &lt;= DATE(2025, 11, 30)))
+ SUMPRODUCT(('Form responses 1'!$F$2:$F1000 = A104) * ('Form responses 1'!$A$2:$A1000 &lt;= DATE(2025, 11, 30)))
+ SUMPRODUCT(('Form responses 1'!$G$2:$G1000 = A104) * ('Form responses 1'!$A$2:$A1000 &lt;= DATE(2025, 11, 30)))), 2), "-")
</f>
        <v>0.64</v>
      </c>
      <c r="Z104" s="2">
        <f>IFERROR(ROUND(Data!B95/(SUMPRODUCT(('Form responses 1'!$B$2:$B1000 = A104) * ('Form responses 1'!$A$2:$A1000 &lt;= DATE(2025, 12, 31)))
+ SUMPRODUCT(('Form responses 1'!$C$2:$C1000 = A104) * ('Form responses 1'!$A$2:$A1000 &lt;= DATE(2025, 12, 31)))
+ SUMPRODUCT(('Form responses 1'!$D$2:$D1000 = A104) * ('Form responses 1'!$A$2:$A1000 &lt;= DATE(2025, 12, 31)))
+ SUMPRODUCT(('Form responses 1'!$E$2:$E1000 = A104) * ('Form responses 1'!$A$2:$A1000 &lt;= DATE(2025, 12, 31)))
+ SUMPRODUCT(('Form responses 1'!$F$2:$F1000 = A104) * ('Form responses 1'!$A$2:$A1000 &lt;= DATE(2025, 12, 31)))
+ SUMPRODUCT(('Form responses 1'!$G$2:$G1000 = A104) * ('Form responses 1'!$A$2:$A1000 &lt;= DATE(2025, 12, 31)))), 2), "-")
</f>
        <v>0.64</v>
      </c>
      <c r="AA104" s="2">
        <f>IFERROR(ROUND(Data!$B104/(
  SUMPRODUCT(('Form responses 1'!$B$2:$B1000=$A104)*('Form responses 1'!$A$2:$A1000&lt;=EOMONTH(DATEVALUE("1 "&amp;AA$1),0)))+
  SUMPRODUCT(('Form responses 1'!$C$2:$C1000=$A104)*('Form responses 1'!$A$2:$A1000&lt;=EOMONTH(DATEVALUE("1 "&amp;AA$1),0)))+
  SUMPRODUCT(('Form responses 1'!$D$2:$D1000=$A104)*('Form responses 1'!$A$2:$A1000&lt;=EOMONTH(DATEVALUE("1 "&amp;AA$1),0)))+
  SUMPRODUCT(('Form responses 1'!$E$2:$E1000=$A104)*('Form responses 1'!$A$2:$A1000&lt;=EOMONTH(DATEVALUE("1 "&amp;AA$1),0)))+
  SUMPRODUCT(('Form responses 1'!$F$2:$F1000=$A104)*('Form responses 1'!$A$2:$A1000&lt;=EOMONTH(DATEVALUE("1 "&amp;AA$1),0)))+
  SUMPRODUCT(('Form responses 1'!$G$2:$G1000=$A104)*('Form responses 1'!$A$2:$A1000&lt;=EOMONTH(DATEVALUE("1 "&amp;AA$1),0)))
),2),"-")</f>
        <v>2.65</v>
      </c>
      <c r="AB104" s="2">
        <f>IFERROR(ROUND(Data!$B104/(
  SUMPRODUCT(('Form responses 1'!$B$2:$B1000=$A104)*('Form responses 1'!$A$2:$A1000&lt;=EOMONTH(DATEVALUE("1 "&amp;AB$1),0)))+
  SUMPRODUCT(('Form responses 1'!$C$2:$C1000=$A104)*('Form responses 1'!$A$2:$A1000&lt;=EOMONTH(DATEVALUE("1 "&amp;AB$1),0)))+
  SUMPRODUCT(('Form responses 1'!$D$2:$D1000=$A104)*('Form responses 1'!$A$2:$A1000&lt;=EOMONTH(DATEVALUE("1 "&amp;AB$1),0)))+
  SUMPRODUCT(('Form responses 1'!$E$2:$E1000=$A104)*('Form responses 1'!$A$2:$A1000&lt;=EOMONTH(DATEVALUE("1 "&amp;AB$1),0)))+
  SUMPRODUCT(('Form responses 1'!$F$2:$F1000=$A104)*('Form responses 1'!$A$2:$A1000&lt;=EOMONTH(DATEVALUE("1 "&amp;AB$1),0)))+
  SUMPRODUCT(('Form responses 1'!$G$2:$G1000=$A104)*('Form responses 1'!$A$2:$A1000&lt;=EOMONTH(DATEVALUE("1 "&amp;AB$1),0)))
),2),"-")</f>
        <v>2.65</v>
      </c>
      <c r="AC104" s="2">
        <f>IFERROR(ROUND(Data!$B104/(
  SUMPRODUCT(('Form responses 1'!$B$2:$B1000=$A104)*('Form responses 1'!$A$2:$A1000&lt;=EOMONTH(DATEVALUE("1 "&amp;AC$1),0)))+
  SUMPRODUCT(('Form responses 1'!$C$2:$C1000=$A104)*('Form responses 1'!$A$2:$A1000&lt;=EOMONTH(DATEVALUE("1 "&amp;AC$1),0)))+
  SUMPRODUCT(('Form responses 1'!$D$2:$D1000=$A104)*('Form responses 1'!$A$2:$A1000&lt;=EOMONTH(DATEVALUE("1 "&amp;AC$1),0)))+
  SUMPRODUCT(('Form responses 1'!$E$2:$E1000=$A104)*('Form responses 1'!$A$2:$A1000&lt;=EOMONTH(DATEVALUE("1 "&amp;AC$1),0)))+
  SUMPRODUCT(('Form responses 1'!$F$2:$F1000=$A104)*('Form responses 1'!$A$2:$A1000&lt;=EOMONTH(DATEVALUE("1 "&amp;AC$1),0)))+
  SUMPRODUCT(('Form responses 1'!$G$2:$G1000=$A104)*('Form responses 1'!$A$2:$A1000&lt;=EOMONTH(DATEVALUE("1 "&amp;AC$1),0)))
),2),"-")</f>
        <v>2.65</v>
      </c>
      <c r="AD104" s="2" t="str">
        <f>IFERROR(ROUND(Data!$B104/(
  SUMPRODUCT(('Form responses 1'!$B$2:$B1000=$A104)*('Form responses 1'!$A$2:$A1000&lt;=EOMONTH(DATEVALUE("1 "&amp;AD$1),0)))+
  SUMPRODUCT(('Form responses 1'!$C$2:$C1000=$A104)*('Form responses 1'!$A$2:$A1000&lt;=EOMONTH(DATEVALUE("1 "&amp;AD$1),0)))+
  SUMPRODUCT(('Form responses 1'!$D$2:$D1000=$A104)*('Form responses 1'!$A$2:$A1000&lt;=EOMONTH(DATEVALUE("1 "&amp;AD$1),0)))+
  SUMPRODUCT(('Form responses 1'!$E$2:$E1000=$A104)*('Form responses 1'!$A$2:$A1000&lt;=EOMONTH(DATEVALUE("1 "&amp;AD$1),0)))+
  SUMPRODUCT(('Form responses 1'!$F$2:$F1000=$A104)*('Form responses 1'!$A$2:$A1000&lt;=EOMONTH(DATEVALUE("1 "&amp;AD$1),0)))+
  SUMPRODUCT(('Form responses 1'!$G$2:$G1000=$A104)*('Form responses 1'!$A$2:$A1000&lt;=EOMONTH(DATEVALUE("1 "&amp;AD$1),0)))
),2),"-")</f>
        <v>-</v>
      </c>
      <c r="AE104" s="2" t="str">
        <f>IFERROR(ROUND(Data!$B104/(
  SUMPRODUCT(('Form responses 1'!$B$2:$B1000=$A104)*('Form responses 1'!$A$2:$A1000&lt;=EOMONTH(DATEVALUE("1 "&amp;AE$1),0)))+
  SUMPRODUCT(('Form responses 1'!$C$2:$C1000=$A104)*('Form responses 1'!$A$2:$A1000&lt;=EOMONTH(DATEVALUE("1 "&amp;AE$1),0)))+
  SUMPRODUCT(('Form responses 1'!$D$2:$D1000=$A104)*('Form responses 1'!$A$2:$A1000&lt;=EOMONTH(DATEVALUE("1 "&amp;AE$1),0)))+
  SUMPRODUCT(('Form responses 1'!$E$2:$E1000=$A104)*('Form responses 1'!$A$2:$A1000&lt;=EOMONTH(DATEVALUE("1 "&amp;AE$1),0)))+
  SUMPRODUCT(('Form responses 1'!$F$2:$F1000=$A104)*('Form responses 1'!$A$2:$A1000&lt;=EOMONTH(DATEVALUE("1 "&amp;AE$1),0)))+
  SUMPRODUCT(('Form responses 1'!$G$2:$G1000=$A104)*('Form responses 1'!$A$2:$A1000&lt;=EOMONTH(DATEVALUE("1 "&amp;AE$1),0)))
),2),"-")</f>
        <v>-</v>
      </c>
      <c r="AF104" s="2" t="str">
        <f>IFERROR(ROUND(Data!$B104/(
  SUMPRODUCT(('Form responses 1'!$B$2:$B1000=$A104)*('Form responses 1'!$A$2:$A1000&lt;=EOMONTH(DATEVALUE("1 "&amp;AF$1),0)))+
  SUMPRODUCT(('Form responses 1'!$C$2:$C1000=$A104)*('Form responses 1'!$A$2:$A1000&lt;=EOMONTH(DATEVALUE("1 "&amp;AF$1),0)))+
  SUMPRODUCT(('Form responses 1'!$D$2:$D1000=$A104)*('Form responses 1'!$A$2:$A1000&lt;=EOMONTH(DATEVALUE("1 "&amp;AF$1),0)))+
  SUMPRODUCT(('Form responses 1'!$E$2:$E1000=$A104)*('Form responses 1'!$A$2:$A1000&lt;=EOMONTH(DATEVALUE("1 "&amp;AF$1),0)))+
  SUMPRODUCT(('Form responses 1'!$F$2:$F1000=$A104)*('Form responses 1'!$A$2:$A1000&lt;=EOMONTH(DATEVALUE("1 "&amp;AF$1),0)))+
  SUMPRODUCT(('Form responses 1'!$G$2:$G1000=$A104)*('Form responses 1'!$A$2:$A1000&lt;=EOMONTH(DATEVALUE("1 "&amp;AF$1),0)))
),2),"-")</f>
        <v>-</v>
      </c>
      <c r="AG104" s="2" t="str">
        <f>IFERROR(ROUND(Data!$B104/(
  SUMPRODUCT(('Form responses 1'!$B$2:$B1000=$A104)*('Form responses 1'!$A$2:$A1000&lt;=EOMONTH(DATEVALUE("1 "&amp;AG$1),0)))+
  SUMPRODUCT(('Form responses 1'!$C$2:$C1000=$A104)*('Form responses 1'!$A$2:$A1000&lt;=EOMONTH(DATEVALUE("1 "&amp;AG$1),0)))+
  SUMPRODUCT(('Form responses 1'!$D$2:$D1000=$A104)*('Form responses 1'!$A$2:$A1000&lt;=EOMONTH(DATEVALUE("1 "&amp;AG$1),0)))+
  SUMPRODUCT(('Form responses 1'!$E$2:$E1000=$A104)*('Form responses 1'!$A$2:$A1000&lt;=EOMONTH(DATEVALUE("1 "&amp;AG$1),0)))+
  SUMPRODUCT(('Form responses 1'!$F$2:$F1000=$A104)*('Form responses 1'!$A$2:$A1000&lt;=EOMONTH(DATEVALUE("1 "&amp;AG$1),0)))+
  SUMPRODUCT(('Form responses 1'!$G$2:$G1000=$A104)*('Form responses 1'!$A$2:$A1000&lt;=EOMONTH(DATEVALUE("1 "&amp;AG$1),0)))
),2),"-")</f>
        <v>-</v>
      </c>
      <c r="AH104" s="2" t="str">
        <f>IFERROR(ROUND(Data!$B104/(
  SUMPRODUCT(('Form responses 1'!$B$2:$B1000=$A104)*('Form responses 1'!$A$2:$A1000&lt;=EOMONTH(DATEVALUE("1 "&amp;AH$1),0)))+
  SUMPRODUCT(('Form responses 1'!$C$2:$C1000=$A104)*('Form responses 1'!$A$2:$A1000&lt;=EOMONTH(DATEVALUE("1 "&amp;AH$1),0)))+
  SUMPRODUCT(('Form responses 1'!$D$2:$D1000=$A104)*('Form responses 1'!$A$2:$A1000&lt;=EOMONTH(DATEVALUE("1 "&amp;AH$1),0)))+
  SUMPRODUCT(('Form responses 1'!$E$2:$E1000=$A104)*('Form responses 1'!$A$2:$A1000&lt;=EOMONTH(DATEVALUE("1 "&amp;AH$1),0)))+
  SUMPRODUCT(('Form responses 1'!$F$2:$F1000=$A104)*('Form responses 1'!$A$2:$A1000&lt;=EOMONTH(DATEVALUE("1 "&amp;AH$1),0)))+
  SUMPRODUCT(('Form responses 1'!$G$2:$G1000=$A104)*('Form responses 1'!$A$2:$A1000&lt;=EOMONTH(DATEVALUE("1 "&amp;AH$1),0)))
),2),"-")</f>
        <v>-</v>
      </c>
      <c r="AI104" s="2" t="str">
        <f>IFERROR(ROUND(Data!$B104/(
  SUMPRODUCT(('Form responses 1'!$B$2:$B1000=$A104)*('Form responses 1'!$A$2:$A1000&lt;=EOMONTH(DATEVALUE("1 "&amp;AI$1),0)))+
  SUMPRODUCT(('Form responses 1'!$C$2:$C1000=$A104)*('Form responses 1'!$A$2:$A1000&lt;=EOMONTH(DATEVALUE("1 "&amp;AI$1),0)))+
  SUMPRODUCT(('Form responses 1'!$D$2:$D1000=$A104)*('Form responses 1'!$A$2:$A1000&lt;=EOMONTH(DATEVALUE("1 "&amp;AI$1),0)))+
  SUMPRODUCT(('Form responses 1'!$E$2:$E1000=$A104)*('Form responses 1'!$A$2:$A1000&lt;=EOMONTH(DATEVALUE("1 "&amp;AI$1),0)))+
  SUMPRODUCT(('Form responses 1'!$F$2:$F1000=$A104)*('Form responses 1'!$A$2:$A1000&lt;=EOMONTH(DATEVALUE("1 "&amp;AI$1),0)))+
  SUMPRODUCT(('Form responses 1'!$G$2:$G1000=$A104)*('Form responses 1'!$A$2:$A1000&lt;=EOMONTH(DATEVALUE("1 "&amp;AI$1),0)))
),2),"-")</f>
        <v>-</v>
      </c>
      <c r="AJ104" s="2" t="str">
        <f>IFERROR(ROUND(Data!$B104/(
  SUMPRODUCT(('Form responses 1'!$B$2:$B1000=$A104)*('Form responses 1'!$A$2:$A1000&lt;=EOMONTH(DATEVALUE("1 "&amp;AJ$1),0)))+
  SUMPRODUCT(('Form responses 1'!$C$2:$C1000=$A104)*('Form responses 1'!$A$2:$A1000&lt;=EOMONTH(DATEVALUE("1 "&amp;AJ$1),0)))+
  SUMPRODUCT(('Form responses 1'!$D$2:$D1000=$A104)*('Form responses 1'!$A$2:$A1000&lt;=EOMONTH(DATEVALUE("1 "&amp;AJ$1),0)))+
  SUMPRODUCT(('Form responses 1'!$E$2:$E1000=$A104)*('Form responses 1'!$A$2:$A1000&lt;=EOMONTH(DATEVALUE("1 "&amp;AJ$1),0)))+
  SUMPRODUCT(('Form responses 1'!$F$2:$F1000=$A104)*('Form responses 1'!$A$2:$A1000&lt;=EOMONTH(DATEVALUE("1 "&amp;AJ$1),0)))+
  SUMPRODUCT(('Form responses 1'!$G$2:$G1000=$A104)*('Form responses 1'!$A$2:$A1000&lt;=EOMONTH(DATEVALUE("1 "&amp;AJ$1),0)))
),2),"-")</f>
        <v>-</v>
      </c>
      <c r="AK104" s="2" t="str">
        <f>IFERROR(ROUND(Data!$B104/(
  SUMPRODUCT(('Form responses 1'!$B$2:$B1000=$A104)*('Form responses 1'!$A$2:$A1000&lt;=EOMONTH(DATEVALUE("1 "&amp;AK$1),0)))+
  SUMPRODUCT(('Form responses 1'!$C$2:$C1000=$A104)*('Form responses 1'!$A$2:$A1000&lt;=EOMONTH(DATEVALUE("1 "&amp;AK$1),0)))+
  SUMPRODUCT(('Form responses 1'!$D$2:$D1000=$A104)*('Form responses 1'!$A$2:$A1000&lt;=EOMONTH(DATEVALUE("1 "&amp;AK$1),0)))+
  SUMPRODUCT(('Form responses 1'!$E$2:$E1000=$A104)*('Form responses 1'!$A$2:$A1000&lt;=EOMONTH(DATEVALUE("1 "&amp;AK$1),0)))+
  SUMPRODUCT(('Form responses 1'!$F$2:$F1000=$A104)*('Form responses 1'!$A$2:$A1000&lt;=EOMONTH(DATEVALUE("1 "&amp;AK$1),0)))+
  SUMPRODUCT(('Form responses 1'!$G$2:$G1000=$A104)*('Form responses 1'!$A$2:$A1000&lt;=EOMONTH(DATEVALUE("1 "&amp;AK$1),0)))
),2),"-")</f>
        <v>-</v>
      </c>
      <c r="AL104" s="2" t="str">
        <f>IFERROR(ROUND(Data!$B104/(
  SUMPRODUCT(('Form responses 1'!$B$2:$B1000=$A104)*('Form responses 1'!$A$2:$A1000&lt;=EOMONTH(DATEVALUE("1 "&amp;AL$1),0)))+
  SUMPRODUCT(('Form responses 1'!$C$2:$C1000=$A104)*('Form responses 1'!$A$2:$A1000&lt;=EOMONTH(DATEVALUE("1 "&amp;AL$1),0)))+
  SUMPRODUCT(('Form responses 1'!$D$2:$D1000=$A104)*('Form responses 1'!$A$2:$A1000&lt;=EOMONTH(DATEVALUE("1 "&amp;AL$1),0)))+
  SUMPRODUCT(('Form responses 1'!$E$2:$E1000=$A104)*('Form responses 1'!$A$2:$A1000&lt;=EOMONTH(DATEVALUE("1 "&amp;AL$1),0)))+
  SUMPRODUCT(('Form responses 1'!$F$2:$F1000=$A104)*('Form responses 1'!$A$2:$A1000&lt;=EOMONTH(DATEVALUE("1 "&amp;AL$1),0)))+
  SUMPRODUCT(('Form responses 1'!$G$2:$G1000=$A104)*('Form responses 1'!$A$2:$A1000&lt;=EOMONTH(DATEVALUE("1 "&amp;AL$1),0)))
),2),"-")</f>
        <v>-</v>
      </c>
    </row>
    <row r="105">
      <c r="A105" s="3" t="str">
        <f>IFERROR(__xludf.DUMMYFUNCTION("""COMPUTED_VALUE"""),"Grijze pantalon pak Vanda Tailors")</f>
        <v>Grijze pantalon pak Vanda Tailors</v>
      </c>
      <c r="C105" s="2" t="str">
        <f>IFERROR(ROUND(Data!B96/(SUMPRODUCT(('Form responses 1'!$B$2:$B1000 = A105) * ('Form responses 1'!$A$2:$A1000 &lt;= DATE(2024, 1, 31)))
+ SUMPRODUCT(('Form responses 1'!$C$2:$C1000 = A105) * ('Form responses 1'!$A$2:$A1000 &lt;= DATE(2024, 1, 31)))
+ SUMPRODUCT(('Form responses 1'!$D$2:$D1000 = A105) * ('Form responses 1'!$A$2:$A1000 &lt;= DATE(2024, 1, 31)))
+ SUMPRODUCT(('Form responses 1'!$E$2:$E1000 = A105) * ('Form responses 1'!$A$2:$A1000 &lt;= DATE(2024, 1, 31)))
+ SUMPRODUCT(('Form responses 1'!$F$2:$F1000 = A105) * ('Form responses 1'!$A$2:$A1000 &lt;= DATE(2024, 1, 31)))
+ SUMPRODUCT(('Form responses 1'!$G$2:$G1000 = A105) * ('Form responses 1'!$A$2:$A1000 &lt;= DATE(2024, 1, 31)))), 2), "-")
</f>
        <v>-</v>
      </c>
      <c r="D105" s="2" t="str">
        <f>IFERROR(ROUND(Data!B96/(SUMPRODUCT(('Form responses 1'!$B$2:$B1000 = A105) * ('Form responses 1'!$A$2:$A1000 &lt;= DATE(2024, 2, 29)))
+ SUMPRODUCT(('Form responses 1'!$C$2:$C1000 = A105) * ('Form responses 1'!$A$2:$A1000 &lt;= DATE(2024, 2, 29)))
+ SUMPRODUCT(('Form responses 1'!$D$2:$D1000 = A105) * ('Form responses 1'!$A$2:$A1000 &lt;= DATE(2024, 2, 29)))
+ SUMPRODUCT(('Form responses 1'!$E$2:$E1000 = A105) * ('Form responses 1'!$A$2:$A1000 &lt;= DATE(2024, 2, 29)))
+ SUMPRODUCT(('Form responses 1'!$F$2:$F1000 = A105) * ('Form responses 1'!$A$2:$A1000 &lt;= DATE(2024, 2, 29)))
+ SUMPRODUCT(('Form responses 1'!$G$2:$G1000 = A105) * ('Form responses 1'!$A$2:$A1000 &lt;= DATE(2024, 2, 29)))), 2), "-")
</f>
        <v>-</v>
      </c>
      <c r="E105" s="2" t="str">
        <f>IFERROR(ROUND(Data!B96/(SUMPRODUCT(('Form responses 1'!$B$2:$B1000 = A105) * ('Form responses 1'!$A$2:$A1000 &lt;= DATE(2024, 3, 31)))
+ SUMPRODUCT(('Form responses 1'!$C$2:$C1000 = A105) * ('Form responses 1'!$A$2:$A1000 &lt;= DATE(2024, 3, 31)))
+ SUMPRODUCT(('Form responses 1'!$D$2:$D1000 = A105) * ('Form responses 1'!$A$2:$A1000 &lt;= DATE(2024, 3, 31)))
+ SUMPRODUCT(('Form responses 1'!$E$2:$E1000 = A105) * ('Form responses 1'!$A$2:$A1000 &lt;= DATE(2024, 3, 31)))
+ SUMPRODUCT(('Form responses 1'!$F$2:$F1000 = A105) * ('Form responses 1'!$A$2:$A1000 &lt;= DATE(2024, 3, 31)))
+ SUMPRODUCT(('Form responses 1'!$G$2:$G1000 = A105) * ('Form responses 1'!$A$2:$A1000 &lt;= DATE(2024, 3, 31)))), 2), "-")
</f>
        <v>-</v>
      </c>
      <c r="F105" s="2" t="str">
        <f>IFERROR(ROUND(Data!B96/(SUMPRODUCT(('Form responses 1'!$B$2:$B1000 = A105) * ('Form responses 1'!$A$2:$A1000 &lt;= DATE(2024, 4, 30)))
+ SUMPRODUCT(('Form responses 1'!$C$2:$C1000 = A105) * ('Form responses 1'!$A$2:$A1000 &lt;= DATE(2024, 4, 30)))
+ SUMPRODUCT(('Form responses 1'!$D$2:$D1000 = A105) * ('Form responses 1'!$A$2:$A1000 &lt;= DATE(2024, 4, 30)))
+ SUMPRODUCT(('Form responses 1'!$E$2:$E1000 = A105) * ('Form responses 1'!$A$2:$A1000 &lt;= DATE(2024, 4, 30)))
+ SUMPRODUCT(('Form responses 1'!$F$2:$F1000 = A105) * ('Form responses 1'!$A$2:$A1000 &lt;= DATE(2024, 4, 30)))
+ SUMPRODUCT(('Form responses 1'!$G$2:$G1000 = A105) * ('Form responses 1'!$A$2:$A1000 &lt;= DATE(2024, 4, 30)))), 2), "-")
</f>
        <v>-</v>
      </c>
      <c r="G105" s="2" t="str">
        <f>IFERROR(ROUND(Data!B96/(SUMPRODUCT(('Form responses 1'!$B$2:$B1000 = A105) * ('Form responses 1'!$A$2:$A1000 &lt;= DATE(2024, 5, 31)))
+ SUMPRODUCT(('Form responses 1'!$C$2:$C1000 = A105) * ('Form responses 1'!$A$2:$A1000 &lt;= DATE(2024, 5, 31)))
+ SUMPRODUCT(('Form responses 1'!$D$2:$D1000 = A105) * ('Form responses 1'!$A$2:$A1000 &lt;= DATE(2024, 5, 31)))
+ SUMPRODUCT(('Form responses 1'!$E$2:$E1000 = A105) * ('Form responses 1'!$A$2:$A1000 &lt;= DATE(2024, 5, 31)))
+ SUMPRODUCT(('Form responses 1'!$F$2:$F1000 = A105) * ('Form responses 1'!$A$2:$A1000 &lt;= DATE(2024, 5, 31)))
+ SUMPRODUCT(('Form responses 1'!$G$2:$G1000 = A105) * ('Form responses 1'!$A$2:$A1000 &lt;= DATE(2024, 5, 31)))), 2), "-")
</f>
        <v>-</v>
      </c>
      <c r="H105" s="2" t="str">
        <f>IFERROR(ROUND(Data!B96/(SUMPRODUCT(('Form responses 1'!$B$2:$B1000 = A105) * ('Form responses 1'!$A$2:$A1000 &lt;= DATE(2024, 6, 30)))
+ SUMPRODUCT(('Form responses 1'!$C$2:$C1000 = A105) * ('Form responses 1'!$A$2:$A1000 &lt;= DATE(2024, 6, 30)))
+ SUMPRODUCT(('Form responses 1'!$D$2:$D1000 = A105) * ('Form responses 1'!$A$2:$A1000 &lt;= DATE(2024, 6, 30)))
+ SUMPRODUCT(('Form responses 1'!$E$2:$E1000 = A105) * ('Form responses 1'!$A$2:$A1000 &lt;= DATE(2024, 6, 30)))
+ SUMPRODUCT(('Form responses 1'!$F$2:$F1000 = A105) * ('Form responses 1'!$A$2:$A1000 &lt;= DATE(2024, 6, 30)))
+ SUMPRODUCT(('Form responses 1'!$G$2:$G1000 = A105) * ('Form responses 1'!$A$2:$A1000 &lt;= DATE(2024, 6, 30)))), 2), "-")
</f>
        <v>-</v>
      </c>
      <c r="I105" s="2" t="str">
        <f>IFERROR(ROUND(Data!B96/(SUMPRODUCT(('Form responses 1'!$B$2:$B1000 = A105) * ('Form responses 1'!$A$2:$A1000 &lt;= DATE(2024, 7, 31)))
+ SUMPRODUCT(('Form responses 1'!$C$2:$C1000 = A105) * ('Form responses 1'!$A$2:$A1000 &lt;= DATE(2024, 7, 31)))
+ SUMPRODUCT(('Form responses 1'!$D$2:$D1000 = A105) * ('Form responses 1'!$A$2:$A1000 &lt;= DATE(2024, 7, 31)))
+ SUMPRODUCT(('Form responses 1'!$E$2:$E1000 = A105) * ('Form responses 1'!$A$2:$A1000 &lt;= DATE(2024, 7, 31)))
+ SUMPRODUCT(('Form responses 1'!$F$2:$F1000 = A105) * ('Form responses 1'!$A$2:$A1000 &lt;= DATE(2024, 7, 31)))
+ SUMPRODUCT(('Form responses 1'!$G$2:$G1000 = A105) * ('Form responses 1'!$A$2:$A1000 &lt;= DATE(2024, 7, 31)))), 2), "-")
</f>
        <v>-</v>
      </c>
      <c r="J105" s="2" t="str">
        <f>IFERROR(ROUND(Data!B96/(SUMPRODUCT(('Form responses 1'!$B$2:$B1000 = A105) * ('Form responses 1'!$A$2:$A1000 &lt;= DATE(2024, 8, 31)))
+ SUMPRODUCT(('Form responses 1'!$C$2:$C1000 = A105) * ('Form responses 1'!$A$2:$A1000 &lt;= DATE(2024, 8, 31)))
+ SUMPRODUCT(('Form responses 1'!$D$2:$D1000 = A105) * ('Form responses 1'!$A$2:$A1000 &lt;= DATE(2024, 8, 31)))
+ SUMPRODUCT(('Form responses 1'!$E$2:$E1000 = A105) * ('Form responses 1'!$A$2:$A1000 &lt;= DATE(2024, 8, 31)))
+ SUMPRODUCT(('Form responses 1'!$F$2:$F1000 = A105) * ('Form responses 1'!$A$2:$A1000 &lt;= DATE(2024, 8, 31)))
+ SUMPRODUCT(('Form responses 1'!$G$2:$G1000 = A105) * ('Form responses 1'!$A$2:$A1000 &lt;= DATE(2024, 8, 31)))), 2), "-")
</f>
        <v>-</v>
      </c>
      <c r="K105" s="2" t="str">
        <f>IFERROR(ROUND(Data!B96/(SUMPRODUCT(('Form responses 1'!$B$2:$B1000 = A105) * ('Form responses 1'!$A$2:$A1000 &lt;= DATE(2024, 9, 30)))
+ SUMPRODUCT(('Form responses 1'!$C$2:$C1000 = A105) * ('Form responses 1'!$A$2:$A1000 &lt;= DATE(2024, 9, 30)))
+ SUMPRODUCT(('Form responses 1'!$D$2:$D1000 = A105) * ('Form responses 1'!$A$2:$A1000 &lt;= DATE(2024, 9, 30)))
+ SUMPRODUCT(('Form responses 1'!$E$2:$E1000 = A105) * ('Form responses 1'!$A$2:$A1000 &lt;= DATE(2024, 9, 30)))
+ SUMPRODUCT(('Form responses 1'!$F$2:$F1000 = A105) * ('Form responses 1'!$A$2:$A1000 &lt;= DATE(2024, 9, 30)))
+ SUMPRODUCT(('Form responses 1'!$G$2:$G1000 = A105) * ('Form responses 1'!$A$2:$A1000 &lt;= DATE(2024, 9, 30)))), 2), "-")
</f>
        <v>-</v>
      </c>
      <c r="L105" s="2" t="str">
        <f>IFERROR(ROUND(Data!B96/(SUMPRODUCT(('Form responses 1'!$B$2:$B1000 = A105) * ('Form responses 1'!$A$2:$A1000 &lt;= DATE(2024, 10, 31)))
+ SUMPRODUCT(('Form responses 1'!$C$2:$C1000 = A105) * ('Form responses 1'!$A$2:$A1000 &lt;= DATE(2024, 10, 31)))
+ SUMPRODUCT(('Form responses 1'!$D$2:$D1000 = A105) * ('Form responses 1'!$A$2:$A1000 &lt;= DATE(2024, 10, 31)))
+ SUMPRODUCT(('Form responses 1'!$E$2:$E1000 = A105) * ('Form responses 1'!$A$2:$A1000 &lt;= DATE(2024, 10, 31)))
+ SUMPRODUCT(('Form responses 1'!$F$2:$F1000 = A105) * ('Form responses 1'!$A$2:$A1000 &lt;= DATE(2024, 10, 31)))
+ SUMPRODUCT(('Form responses 1'!$G$2:$G1000 = A105) * ('Form responses 1'!$A$2:$A1000 &lt;= DATE(2024, 10, 31)))), 2), "-")
</f>
        <v>-</v>
      </c>
      <c r="M105" s="2" t="str">
        <f>IFERROR(ROUND(Data!B96/(SUMPRODUCT(('Form responses 1'!$B$2:$B1000 = A105) * ('Form responses 1'!$A$2:$A1000 &lt;= DATE(2024, 11, 30)))
+ SUMPRODUCT(('Form responses 1'!$C$2:$C1000 = A105) * ('Form responses 1'!$A$2:$A1000 &lt;= DATE(2024, 11, 30)))
+ SUMPRODUCT(('Form responses 1'!$D$2:$D1000 = A105) * ('Form responses 1'!$A$2:$A1000 &lt;= DATE(2024, 11, 30)))
+ SUMPRODUCT(('Form responses 1'!$E$2:$E1000 = A105) * ('Form responses 1'!$A$2:$A1000 &lt;= DATE(2024, 11, 30)))
+ SUMPRODUCT(('Form responses 1'!$F$2:$F1000 = A105) * ('Form responses 1'!$A$2:$A1000 &lt;= DATE(2024, 11, 30)))
+ SUMPRODUCT(('Form responses 1'!$G$2:$G1000 = A105) * ('Form responses 1'!$A$2:$A1000 &lt;= DATE(2024, 11, 30)))), 2), "-")
</f>
        <v>-</v>
      </c>
      <c r="N105" s="2" t="str">
        <f>IFERROR(ROUND(Data!B96/(SUMPRODUCT(('Form responses 1'!$B$2:$B1000 = A105) * ('Form responses 1'!$A$2:$A1000 &lt;= DATE(2024, 12, 31)))
+ SUMPRODUCT(('Form responses 1'!$C$2:$C1000 = A105) * ('Form responses 1'!$A$2:$A1000 &lt;= DATE(2024, 12, 31)))
+ SUMPRODUCT(('Form responses 1'!$D$2:$D1000 = A105) * ('Form responses 1'!$A$2:$A1000 &lt;= DATE(2024, 12, 31)))
+ SUMPRODUCT(('Form responses 1'!$E$2:$E1000 = A105) * ('Form responses 1'!$A$2:$A1000 &lt;= DATE(2024, 12, 31)))
+ SUMPRODUCT(('Form responses 1'!$F$2:$F1000 = A105) * ('Form responses 1'!$A$2:$A1000 &lt;= DATE(2024, 12, 31)))
+ SUMPRODUCT(('Form responses 1'!$G$2:$G1000 = A105) * ('Form responses 1'!$A$2:$A1000 &lt;= DATE(2024, 12, 31)))), 2), "-")
</f>
        <v>-</v>
      </c>
      <c r="O105" s="2" t="str">
        <f>IFERROR(ROUND(Data!B96/(SUMPRODUCT(('Form responses 1'!$B$2:$B1000 = A105) * ('Form responses 1'!$A$2:$A1000 &lt;= DATE(2025, 1, 31)))
+ SUMPRODUCT(('Form responses 1'!$C$2:$C1000 = A105) * ('Form responses 1'!$A$2:$A1000 &lt;= DATE(2025, 1, 31)))
+ SUMPRODUCT(('Form responses 1'!$D$2:$D1000 = A105) * ('Form responses 1'!$A$2:$A1000 &lt;= DATE(2025, 1, 31)))
+ SUMPRODUCT(('Form responses 1'!$E$2:$E1000 = A105) * ('Form responses 1'!$A$2:$A1000 &lt;= DATE(2025, 1, 31)))
+ SUMPRODUCT(('Form responses 1'!$F$2:$F1000 = A105) * ('Form responses 1'!$A$2:$A1000 &lt;= DATE(2025, 1, 31)))
+ SUMPRODUCT(('Form responses 1'!$G$2:$G1000 = A105) * ('Form responses 1'!$A$2:$A1000 &lt;= DATE(2025, 1, 31)))), 2), "-")
</f>
        <v>-</v>
      </c>
      <c r="P105" s="2" t="str">
        <f>IFERROR(ROUND(Data!B96/(SUMPRODUCT(('Form responses 1'!$B$2:$B1000 = A105) * ('Form responses 1'!$A$2:$A1000 &lt;= DATE(2025, 2, 28)))
+ SUMPRODUCT(('Form responses 1'!$C$2:$C1000 = A105) * ('Form responses 1'!$A$2:$A1000 &lt;= DATE(2025, 2, 28)))
+ SUMPRODUCT(('Form responses 1'!$D$2:$D1000 = A105) * ('Form responses 1'!$A$2:$A1000 &lt;= DATE(2025, 2, 28)))
+ SUMPRODUCT(('Form responses 1'!$E$2:$E1000 = A105) * ('Form responses 1'!$A$2:$A1000 &lt;= DATE(2025, 2, 28)))
+ SUMPRODUCT(('Form responses 1'!$F$2:$F1000 = A105) * ('Form responses 1'!$A$2:$A1000 &lt;= DATE(2025, 2, 28)))
+ SUMPRODUCT(('Form responses 1'!$G$2:$G1000 = A105) * ('Form responses 1'!$A$2:$A1000 &lt;= DATE(2025, 2, 28)))), 2), "-")
</f>
        <v>-</v>
      </c>
      <c r="Q105" s="2" t="str">
        <f>IFERROR(ROUND(Data!B96/(SUMPRODUCT(('Form responses 1'!$B$2:$B1000 = A105) * ('Form responses 1'!$A$2:$A1000 &lt;= DATE(2025, 3, 31)))
+ SUMPRODUCT(('Form responses 1'!$C$2:$C1000 = A105) * ('Form responses 1'!$A$2:$A1000 &lt;= DATE(2025, 3, 31)))
+ SUMPRODUCT(('Form responses 1'!$D$2:$D1000 = A105) * ('Form responses 1'!$A$2:$A1000 &lt;= DATE(2025, 3, 31)))
+ SUMPRODUCT(('Form responses 1'!$E$2:$E1000 = A105) * ('Form responses 1'!$A$2:$A1000 &lt;= DATE(2025, 3, 31)))
+ SUMPRODUCT(('Form responses 1'!$F$2:$F1000 = A105) * ('Form responses 1'!$A$2:$A1000 &lt;= DATE(2025, 3, 31)))
+ SUMPRODUCT(('Form responses 1'!$G$2:$G1000 = A105) * ('Form responses 1'!$A$2:$A1000 &lt;= DATE(2025, 3, 31)))),2),"-")</f>
        <v>-</v>
      </c>
      <c r="R105" s="2" t="str">
        <f>IFERROR(ROUND(Data!B96/(SUMPRODUCT(('Form responses 1'!$B$2:$B1000 = A105) * ('Form responses 1'!$A$2:$A1000 &lt;= DATE(2025, 4, 30)))
+ SUMPRODUCT(('Form responses 1'!$C$2:$C1000 = A105) * ('Form responses 1'!$A$2:$A1000 &lt;= DATE(2025, 4, 30)))
+ SUMPRODUCT(('Form responses 1'!$D$2:$D1000 = A105) * ('Form responses 1'!$A$2:$A1000 &lt;= DATE(2025, 4, 30)))
+ SUMPRODUCT(('Form responses 1'!$E$2:$E1000 = A105) * ('Form responses 1'!$A$2:$A1000 &lt;= DATE(2025, 4, 30)))
+ SUMPRODUCT(('Form responses 1'!$F$2:$F1000 = A105) * ('Form responses 1'!$A$2:$A1000 &lt;= DATE(2025, 4, 30)))
+ SUMPRODUCT(('Form responses 1'!$G$2:$G1000 = A105) * ('Form responses 1'!$A$2:$A1000 &lt;= DATE(2025, 4, 30)))), 2), "-")
</f>
        <v>-</v>
      </c>
      <c r="S105" s="2" t="str">
        <f>IFERROR(ROUND(Data!B96/(SUMPRODUCT(('Form responses 1'!$B$2:$B1000 = A105) * ('Form responses 1'!$A$2:$A1000 &lt;= DATE(2025, 5, 31)))
+ SUMPRODUCT(('Form responses 1'!$C$2:$C1000 = A105) * ('Form responses 1'!$A$2:$A1000 &lt;= DATE(2025, 5, 31)))
+ SUMPRODUCT(('Form responses 1'!$D$2:$D1000 = A105) * ('Form responses 1'!$A$2:$A1000 &lt;= DATE(2025, 5, 31)))
+ SUMPRODUCT(('Form responses 1'!$E$2:$E1000 = A105) * ('Form responses 1'!$A$2:$A1000 &lt;= DATE(2025, 5, 31)))
+ SUMPRODUCT(('Form responses 1'!$F$2:$F1000 = A105) * ('Form responses 1'!$A$2:$A1000 &lt;= DATE(2025, 5, 31)))
+ SUMPRODUCT(('Form responses 1'!$G$2:$G1000 = A105) * ('Form responses 1'!$A$2:$A1000 &lt;= DATE(2025, 5, 31)))), 2), "-")
</f>
        <v>-</v>
      </c>
      <c r="T105" s="2" t="str">
        <f>IFERROR(ROUND(Data!B96/(SUMPRODUCT(('Form responses 1'!$B$2:$B1000 = A105) * ('Form responses 1'!$A$2:$A1000 &lt;= DATE(2025, 6, 30)))
+ SUMPRODUCT(('Form responses 1'!$C$2:$C1000 = A105) * ('Form responses 1'!$A$2:$A1000 &lt;= DATE(2025, 6, 30)))
+ SUMPRODUCT(('Form responses 1'!$D$2:$D1000 = A105) * ('Form responses 1'!$A$2:$A1000 &lt;= DATE(2025, 6, 30)))
+ SUMPRODUCT(('Form responses 1'!$E$2:$E1000 = A105) * ('Form responses 1'!$A$2:$A1000 &lt;= DATE(2025, 6, 30)))
+ SUMPRODUCT(('Form responses 1'!$F$2:$F1000 = A105) * ('Form responses 1'!$A$2:$A1000 &lt;= DATE(2025, 6, 30)))
+ SUMPRODUCT(('Form responses 1'!$G$2:$G1000 = A105) * ('Form responses 1'!$A$2:$A1000 &lt;= DATE(2025, 6, 30)))), 2), "-")
</f>
        <v>-</v>
      </c>
      <c r="U105" s="2" t="str">
        <f>IFERROR(ROUND(Data!B96/(SUMPRODUCT(('Form responses 1'!$B$2:$B1000 = A105) * ('Form responses 1'!$A$2:$A1000 &lt;= DATE(2025, 7, 31)))
+ SUMPRODUCT(('Form responses 1'!$C$2:$C1000 = A105) * ('Form responses 1'!$A$2:$A1000 &lt;= DATE(2025, 7, 31)))
+ SUMPRODUCT(('Form responses 1'!$D$2:$D1000 = A105) * ('Form responses 1'!$A$2:$A1000 &lt;= DATE(2025, 7, 31)))
+ SUMPRODUCT(('Form responses 1'!$E$2:$E1000 = A105) * ('Form responses 1'!$A$2:$A1000 &lt;= DATE(2025, 7, 31)))
+ SUMPRODUCT(('Form responses 1'!$F$2:$F1000 = A105) * ('Form responses 1'!$A$2:$A1000 &lt;= DATE(2025, 7, 31)))
+ SUMPRODUCT(('Form responses 1'!$G$2:$G1000 = A105) * ('Form responses 1'!$A$2:$A1000 &lt;= DATE(2025, 7, 31)))), 2), "-")
</f>
        <v>-</v>
      </c>
      <c r="V105" s="2" t="str">
        <f>IFERROR(ROUND(Data!B96/(SUMPRODUCT(('Form responses 1'!$B$2:$B1000 = A105) * ('Form responses 1'!$A$2:$A1000 &lt;= DATE(2025, 8, 31)))
+ SUMPRODUCT(('Form responses 1'!$C$2:$C1000 = A105) * ('Form responses 1'!$A$2:$A1000 &lt;= DATE(2025, 8, 31)))
+ SUMPRODUCT(('Form responses 1'!$D$2:$D1000 = A105) * ('Form responses 1'!$A$2:$A1000 &lt;= DATE(2025, 8, 31)))
+ SUMPRODUCT(('Form responses 1'!$E$2:$E1000 = A105) * ('Form responses 1'!$A$2:$A1000 &lt;= DATE(2025, 8, 31)))
+ SUMPRODUCT(('Form responses 1'!$F$2:$F1000 = A105) * ('Form responses 1'!$A$2:$A1000 &lt;= DATE(2025, 8, 31)))
+ SUMPRODUCT(('Form responses 1'!$G$2:$G1000 = A105) * ('Form responses 1'!$A$2:$A1000 &lt;= DATE(2025, 8, 31)))), 2), "-")
</f>
        <v>-</v>
      </c>
      <c r="W105" s="2" t="str">
        <f>IFERROR(ROUND(Data!B96/(SUMPRODUCT(('Form responses 1'!$B$2:$B1000 = A105) * ('Form responses 1'!$A$2:$A1000 &lt;= DATE(2025, 9, 30)))
+ SUMPRODUCT(('Form responses 1'!$C$2:$C1000 = A105) * ('Form responses 1'!$A$2:$A1000 &lt;= DATE(2025, 9, 30)))
+ SUMPRODUCT(('Form responses 1'!$D$2:$D1000 = A105) * ('Form responses 1'!$A$2:$A1000 &lt;= DATE(2025, 9, 30)))
+ SUMPRODUCT(('Form responses 1'!$E$2:$E1000 = A105) * ('Form responses 1'!$A$2:$A1000 &lt;= DATE(2025, 9, 30)))
+ SUMPRODUCT(('Form responses 1'!$F$2:$F1000 = A105) * ('Form responses 1'!$A$2:$A1000 &lt;= DATE(2025, 9, 30)))
+ SUMPRODUCT(('Form responses 1'!$G$2:$G1000 = A105) * ('Form responses 1'!$A$2:$A1000 &lt;= DATE(2025, 9, 30)))), 2), "-")
</f>
        <v>-</v>
      </c>
      <c r="X105" s="2">
        <f>IFERROR(ROUND(Data!B96/(SUMPRODUCT(('Form responses 1'!$B$2:$B1000 = A105) * ('Form responses 1'!$A$2:$A1000 &lt;= DATE(2025, 10, 31)))
+ SUMPRODUCT(('Form responses 1'!$C$2:$C1000 = A105) * ('Form responses 1'!$A$2:$A1000 &lt;= DATE(2025, 10, 31)))
+ SUMPRODUCT(('Form responses 1'!$D$2:$D1000 = A105) * ('Form responses 1'!$A$2:$A1000 &lt;= DATE(2025, 10, 31)))
+ SUMPRODUCT(('Form responses 1'!$E$2:$E1000 = A105) * ('Form responses 1'!$A$2:$A1000 &lt;= DATE(2025, 10, 31)))
+ SUMPRODUCT(('Form responses 1'!$F$2:$F1000 = A105) * ('Form responses 1'!$A$2:$A1000 &lt;= DATE(2025, 10, 31)))
+ SUMPRODUCT(('Form responses 1'!$G$2:$G1000 = A105) * ('Form responses 1'!$A$2:$A1000 &lt;= DATE(2025, 10, 31)))), 2), "-")
</f>
        <v>24.99</v>
      </c>
      <c r="Y105" s="2">
        <f>IFERROR(ROUND(Data!B96/(SUMPRODUCT(('Form responses 1'!$B$2:$B1000 = A105) * ('Form responses 1'!$A$2:$A1000 &lt;= DATE(2025, 11, 30)))
+ SUMPRODUCT(('Form responses 1'!$C$2:$C1000 = A105) * ('Form responses 1'!$A$2:$A1000 &lt;= DATE(2025, 11, 30)))
+ SUMPRODUCT(('Form responses 1'!$D$2:$D1000 = A105) * ('Form responses 1'!$A$2:$A1000 &lt;= DATE(2025, 11, 30)))
+ SUMPRODUCT(('Form responses 1'!$E$2:$E1000 = A105) * ('Form responses 1'!$A$2:$A1000 &lt;= DATE(2025, 11, 30)))
+ SUMPRODUCT(('Form responses 1'!$F$2:$F1000 = A105) * ('Form responses 1'!$A$2:$A1000 &lt;= DATE(2025, 11, 30)))
+ SUMPRODUCT(('Form responses 1'!$G$2:$G1000 = A105) * ('Form responses 1'!$A$2:$A1000 &lt;= DATE(2025, 11, 30)))), 2), "-")
</f>
        <v>12.5</v>
      </c>
      <c r="Z105" s="2">
        <f>IFERROR(ROUND(Data!B96/(SUMPRODUCT(('Form responses 1'!$B$2:$B1000 = A105) * ('Form responses 1'!$A$2:$A1000 &lt;= DATE(2025, 12, 31)))
+ SUMPRODUCT(('Form responses 1'!$C$2:$C1000 = A105) * ('Form responses 1'!$A$2:$A1000 &lt;= DATE(2025, 12, 31)))
+ SUMPRODUCT(('Form responses 1'!$D$2:$D1000 = A105) * ('Form responses 1'!$A$2:$A1000 &lt;= DATE(2025, 12, 31)))
+ SUMPRODUCT(('Form responses 1'!$E$2:$E1000 = A105) * ('Form responses 1'!$A$2:$A1000 &lt;= DATE(2025, 12, 31)))
+ SUMPRODUCT(('Form responses 1'!$F$2:$F1000 = A105) * ('Form responses 1'!$A$2:$A1000 &lt;= DATE(2025, 12, 31)))
+ SUMPRODUCT(('Form responses 1'!$G$2:$G1000 = A105) * ('Form responses 1'!$A$2:$A1000 &lt;= DATE(2025, 12, 31)))), 2), "-")
</f>
        <v>4.17</v>
      </c>
      <c r="AA105" s="2">
        <f>IFERROR(ROUND(Data!$B105/(
  SUMPRODUCT(('Form responses 1'!$B$2:$B1000=$A105)*('Form responses 1'!$A$2:$A1000&lt;=EOMONTH(DATEVALUE("1 "&amp;AA$1),0)))+
  SUMPRODUCT(('Form responses 1'!$C$2:$C1000=$A105)*('Form responses 1'!$A$2:$A1000&lt;=EOMONTH(DATEVALUE("1 "&amp;AA$1),0)))+
  SUMPRODUCT(('Form responses 1'!$D$2:$D1000=$A105)*('Form responses 1'!$A$2:$A1000&lt;=EOMONTH(DATEVALUE("1 "&amp;AA$1),0)))+
  SUMPRODUCT(('Form responses 1'!$E$2:$E1000=$A105)*('Form responses 1'!$A$2:$A1000&lt;=EOMONTH(DATEVALUE("1 "&amp;AA$1),0)))+
  SUMPRODUCT(('Form responses 1'!$F$2:$F1000=$A105)*('Form responses 1'!$A$2:$A1000&lt;=EOMONTH(DATEVALUE("1 "&amp;AA$1),0)))+
  SUMPRODUCT(('Form responses 1'!$G$2:$G1000=$A105)*('Form responses 1'!$A$2:$A1000&lt;=EOMONTH(DATEVALUE("1 "&amp;AA$1),0)))
),2),"-")</f>
        <v>9.7</v>
      </c>
      <c r="AB105" s="2">
        <f>IFERROR(ROUND(Data!$B105/(
  SUMPRODUCT(('Form responses 1'!$B$2:$B1000=$A105)*('Form responses 1'!$A$2:$A1000&lt;=EOMONTH(DATEVALUE("1 "&amp;AB$1),0)))+
  SUMPRODUCT(('Form responses 1'!$C$2:$C1000=$A105)*('Form responses 1'!$A$2:$A1000&lt;=EOMONTH(DATEVALUE("1 "&amp;AB$1),0)))+
  SUMPRODUCT(('Form responses 1'!$D$2:$D1000=$A105)*('Form responses 1'!$A$2:$A1000&lt;=EOMONTH(DATEVALUE("1 "&amp;AB$1),0)))+
  SUMPRODUCT(('Form responses 1'!$E$2:$E1000=$A105)*('Form responses 1'!$A$2:$A1000&lt;=EOMONTH(DATEVALUE("1 "&amp;AB$1),0)))+
  SUMPRODUCT(('Form responses 1'!$F$2:$F1000=$A105)*('Form responses 1'!$A$2:$A1000&lt;=EOMONTH(DATEVALUE("1 "&amp;AB$1),0)))+
  SUMPRODUCT(('Form responses 1'!$G$2:$G1000=$A105)*('Form responses 1'!$A$2:$A1000&lt;=EOMONTH(DATEVALUE("1 "&amp;AB$1),0)))
),2),"-")</f>
        <v>5.71</v>
      </c>
      <c r="AC105" s="2">
        <f>IFERROR(ROUND(Data!$B105/(
  SUMPRODUCT(('Form responses 1'!$B$2:$B1000=$A105)*('Form responses 1'!$A$2:$A1000&lt;=EOMONTH(DATEVALUE("1 "&amp;AC$1),0)))+
  SUMPRODUCT(('Form responses 1'!$C$2:$C1000=$A105)*('Form responses 1'!$A$2:$A1000&lt;=EOMONTH(DATEVALUE("1 "&amp;AC$1),0)))+
  SUMPRODUCT(('Form responses 1'!$D$2:$D1000=$A105)*('Form responses 1'!$A$2:$A1000&lt;=EOMONTH(DATEVALUE("1 "&amp;AC$1),0)))+
  SUMPRODUCT(('Form responses 1'!$E$2:$E1000=$A105)*('Form responses 1'!$A$2:$A1000&lt;=EOMONTH(DATEVALUE("1 "&amp;AC$1),0)))+
  SUMPRODUCT(('Form responses 1'!$F$2:$F1000=$A105)*('Form responses 1'!$A$2:$A1000&lt;=EOMONTH(DATEVALUE("1 "&amp;AC$1),0)))+
  SUMPRODUCT(('Form responses 1'!$G$2:$G1000=$A105)*('Form responses 1'!$A$2:$A1000&lt;=EOMONTH(DATEVALUE("1 "&amp;AC$1),0)))
),2),"-")</f>
        <v>4.22</v>
      </c>
      <c r="AD105" s="2" t="str">
        <f>IFERROR(ROUND(Data!$B105/(
  SUMPRODUCT(('Form responses 1'!$B$2:$B1000=$A105)*('Form responses 1'!$A$2:$A1000&lt;=EOMONTH(DATEVALUE("1 "&amp;AD$1),0)))+
  SUMPRODUCT(('Form responses 1'!$C$2:$C1000=$A105)*('Form responses 1'!$A$2:$A1000&lt;=EOMONTH(DATEVALUE("1 "&amp;AD$1),0)))+
  SUMPRODUCT(('Form responses 1'!$D$2:$D1000=$A105)*('Form responses 1'!$A$2:$A1000&lt;=EOMONTH(DATEVALUE("1 "&amp;AD$1),0)))+
  SUMPRODUCT(('Form responses 1'!$E$2:$E1000=$A105)*('Form responses 1'!$A$2:$A1000&lt;=EOMONTH(DATEVALUE("1 "&amp;AD$1),0)))+
  SUMPRODUCT(('Form responses 1'!$F$2:$F1000=$A105)*('Form responses 1'!$A$2:$A1000&lt;=EOMONTH(DATEVALUE("1 "&amp;AD$1),0)))+
  SUMPRODUCT(('Form responses 1'!$G$2:$G1000=$A105)*('Form responses 1'!$A$2:$A1000&lt;=EOMONTH(DATEVALUE("1 "&amp;AD$1),0)))
),2),"-")</f>
        <v>-</v>
      </c>
      <c r="AE105" s="2" t="str">
        <f>IFERROR(ROUND(Data!$B105/(
  SUMPRODUCT(('Form responses 1'!$B$2:$B1000=$A105)*('Form responses 1'!$A$2:$A1000&lt;=EOMONTH(DATEVALUE("1 "&amp;AE$1),0)))+
  SUMPRODUCT(('Form responses 1'!$C$2:$C1000=$A105)*('Form responses 1'!$A$2:$A1000&lt;=EOMONTH(DATEVALUE("1 "&amp;AE$1),0)))+
  SUMPRODUCT(('Form responses 1'!$D$2:$D1000=$A105)*('Form responses 1'!$A$2:$A1000&lt;=EOMONTH(DATEVALUE("1 "&amp;AE$1),0)))+
  SUMPRODUCT(('Form responses 1'!$E$2:$E1000=$A105)*('Form responses 1'!$A$2:$A1000&lt;=EOMONTH(DATEVALUE("1 "&amp;AE$1),0)))+
  SUMPRODUCT(('Form responses 1'!$F$2:$F1000=$A105)*('Form responses 1'!$A$2:$A1000&lt;=EOMONTH(DATEVALUE("1 "&amp;AE$1),0)))+
  SUMPRODUCT(('Form responses 1'!$G$2:$G1000=$A105)*('Form responses 1'!$A$2:$A1000&lt;=EOMONTH(DATEVALUE("1 "&amp;AE$1),0)))
),2),"-")</f>
        <v>-</v>
      </c>
      <c r="AF105" s="2" t="str">
        <f>IFERROR(ROUND(Data!$B105/(
  SUMPRODUCT(('Form responses 1'!$B$2:$B1000=$A105)*('Form responses 1'!$A$2:$A1000&lt;=EOMONTH(DATEVALUE("1 "&amp;AF$1),0)))+
  SUMPRODUCT(('Form responses 1'!$C$2:$C1000=$A105)*('Form responses 1'!$A$2:$A1000&lt;=EOMONTH(DATEVALUE("1 "&amp;AF$1),0)))+
  SUMPRODUCT(('Form responses 1'!$D$2:$D1000=$A105)*('Form responses 1'!$A$2:$A1000&lt;=EOMONTH(DATEVALUE("1 "&amp;AF$1),0)))+
  SUMPRODUCT(('Form responses 1'!$E$2:$E1000=$A105)*('Form responses 1'!$A$2:$A1000&lt;=EOMONTH(DATEVALUE("1 "&amp;AF$1),0)))+
  SUMPRODUCT(('Form responses 1'!$F$2:$F1000=$A105)*('Form responses 1'!$A$2:$A1000&lt;=EOMONTH(DATEVALUE("1 "&amp;AF$1),0)))+
  SUMPRODUCT(('Form responses 1'!$G$2:$G1000=$A105)*('Form responses 1'!$A$2:$A1000&lt;=EOMONTH(DATEVALUE("1 "&amp;AF$1),0)))
),2),"-")</f>
        <v>-</v>
      </c>
      <c r="AG105" s="2" t="str">
        <f>IFERROR(ROUND(Data!$B105/(
  SUMPRODUCT(('Form responses 1'!$B$2:$B1000=$A105)*('Form responses 1'!$A$2:$A1000&lt;=EOMONTH(DATEVALUE("1 "&amp;AG$1),0)))+
  SUMPRODUCT(('Form responses 1'!$C$2:$C1000=$A105)*('Form responses 1'!$A$2:$A1000&lt;=EOMONTH(DATEVALUE("1 "&amp;AG$1),0)))+
  SUMPRODUCT(('Form responses 1'!$D$2:$D1000=$A105)*('Form responses 1'!$A$2:$A1000&lt;=EOMONTH(DATEVALUE("1 "&amp;AG$1),0)))+
  SUMPRODUCT(('Form responses 1'!$E$2:$E1000=$A105)*('Form responses 1'!$A$2:$A1000&lt;=EOMONTH(DATEVALUE("1 "&amp;AG$1),0)))+
  SUMPRODUCT(('Form responses 1'!$F$2:$F1000=$A105)*('Form responses 1'!$A$2:$A1000&lt;=EOMONTH(DATEVALUE("1 "&amp;AG$1),0)))+
  SUMPRODUCT(('Form responses 1'!$G$2:$G1000=$A105)*('Form responses 1'!$A$2:$A1000&lt;=EOMONTH(DATEVALUE("1 "&amp;AG$1),0)))
),2),"-")</f>
        <v>-</v>
      </c>
      <c r="AH105" s="2" t="str">
        <f>IFERROR(ROUND(Data!$B105/(
  SUMPRODUCT(('Form responses 1'!$B$2:$B1000=$A105)*('Form responses 1'!$A$2:$A1000&lt;=EOMONTH(DATEVALUE("1 "&amp;AH$1),0)))+
  SUMPRODUCT(('Form responses 1'!$C$2:$C1000=$A105)*('Form responses 1'!$A$2:$A1000&lt;=EOMONTH(DATEVALUE("1 "&amp;AH$1),0)))+
  SUMPRODUCT(('Form responses 1'!$D$2:$D1000=$A105)*('Form responses 1'!$A$2:$A1000&lt;=EOMONTH(DATEVALUE("1 "&amp;AH$1),0)))+
  SUMPRODUCT(('Form responses 1'!$E$2:$E1000=$A105)*('Form responses 1'!$A$2:$A1000&lt;=EOMONTH(DATEVALUE("1 "&amp;AH$1),0)))+
  SUMPRODUCT(('Form responses 1'!$F$2:$F1000=$A105)*('Form responses 1'!$A$2:$A1000&lt;=EOMONTH(DATEVALUE("1 "&amp;AH$1),0)))+
  SUMPRODUCT(('Form responses 1'!$G$2:$G1000=$A105)*('Form responses 1'!$A$2:$A1000&lt;=EOMONTH(DATEVALUE("1 "&amp;AH$1),0)))
),2),"-")</f>
        <v>-</v>
      </c>
      <c r="AI105" s="2" t="str">
        <f>IFERROR(ROUND(Data!$B105/(
  SUMPRODUCT(('Form responses 1'!$B$2:$B1000=$A105)*('Form responses 1'!$A$2:$A1000&lt;=EOMONTH(DATEVALUE("1 "&amp;AI$1),0)))+
  SUMPRODUCT(('Form responses 1'!$C$2:$C1000=$A105)*('Form responses 1'!$A$2:$A1000&lt;=EOMONTH(DATEVALUE("1 "&amp;AI$1),0)))+
  SUMPRODUCT(('Form responses 1'!$D$2:$D1000=$A105)*('Form responses 1'!$A$2:$A1000&lt;=EOMONTH(DATEVALUE("1 "&amp;AI$1),0)))+
  SUMPRODUCT(('Form responses 1'!$E$2:$E1000=$A105)*('Form responses 1'!$A$2:$A1000&lt;=EOMONTH(DATEVALUE("1 "&amp;AI$1),0)))+
  SUMPRODUCT(('Form responses 1'!$F$2:$F1000=$A105)*('Form responses 1'!$A$2:$A1000&lt;=EOMONTH(DATEVALUE("1 "&amp;AI$1),0)))+
  SUMPRODUCT(('Form responses 1'!$G$2:$G1000=$A105)*('Form responses 1'!$A$2:$A1000&lt;=EOMONTH(DATEVALUE("1 "&amp;AI$1),0)))
),2),"-")</f>
        <v>-</v>
      </c>
      <c r="AJ105" s="2" t="str">
        <f>IFERROR(ROUND(Data!$B105/(
  SUMPRODUCT(('Form responses 1'!$B$2:$B1000=$A105)*('Form responses 1'!$A$2:$A1000&lt;=EOMONTH(DATEVALUE("1 "&amp;AJ$1),0)))+
  SUMPRODUCT(('Form responses 1'!$C$2:$C1000=$A105)*('Form responses 1'!$A$2:$A1000&lt;=EOMONTH(DATEVALUE("1 "&amp;AJ$1),0)))+
  SUMPRODUCT(('Form responses 1'!$D$2:$D1000=$A105)*('Form responses 1'!$A$2:$A1000&lt;=EOMONTH(DATEVALUE("1 "&amp;AJ$1),0)))+
  SUMPRODUCT(('Form responses 1'!$E$2:$E1000=$A105)*('Form responses 1'!$A$2:$A1000&lt;=EOMONTH(DATEVALUE("1 "&amp;AJ$1),0)))+
  SUMPRODUCT(('Form responses 1'!$F$2:$F1000=$A105)*('Form responses 1'!$A$2:$A1000&lt;=EOMONTH(DATEVALUE("1 "&amp;AJ$1),0)))+
  SUMPRODUCT(('Form responses 1'!$G$2:$G1000=$A105)*('Form responses 1'!$A$2:$A1000&lt;=EOMONTH(DATEVALUE("1 "&amp;AJ$1),0)))
),2),"-")</f>
        <v>-</v>
      </c>
      <c r="AK105" s="2" t="str">
        <f>IFERROR(ROUND(Data!$B105/(
  SUMPRODUCT(('Form responses 1'!$B$2:$B1000=$A105)*('Form responses 1'!$A$2:$A1000&lt;=EOMONTH(DATEVALUE("1 "&amp;AK$1),0)))+
  SUMPRODUCT(('Form responses 1'!$C$2:$C1000=$A105)*('Form responses 1'!$A$2:$A1000&lt;=EOMONTH(DATEVALUE("1 "&amp;AK$1),0)))+
  SUMPRODUCT(('Form responses 1'!$D$2:$D1000=$A105)*('Form responses 1'!$A$2:$A1000&lt;=EOMONTH(DATEVALUE("1 "&amp;AK$1),0)))+
  SUMPRODUCT(('Form responses 1'!$E$2:$E1000=$A105)*('Form responses 1'!$A$2:$A1000&lt;=EOMONTH(DATEVALUE("1 "&amp;AK$1),0)))+
  SUMPRODUCT(('Form responses 1'!$F$2:$F1000=$A105)*('Form responses 1'!$A$2:$A1000&lt;=EOMONTH(DATEVALUE("1 "&amp;AK$1),0)))+
  SUMPRODUCT(('Form responses 1'!$G$2:$G1000=$A105)*('Form responses 1'!$A$2:$A1000&lt;=EOMONTH(DATEVALUE("1 "&amp;AK$1),0)))
),2),"-")</f>
        <v>-</v>
      </c>
      <c r="AL105" s="2" t="str">
        <f>IFERROR(ROUND(Data!$B105/(
  SUMPRODUCT(('Form responses 1'!$B$2:$B1000=$A105)*('Form responses 1'!$A$2:$A1000&lt;=EOMONTH(DATEVALUE("1 "&amp;AL$1),0)))+
  SUMPRODUCT(('Form responses 1'!$C$2:$C1000=$A105)*('Form responses 1'!$A$2:$A1000&lt;=EOMONTH(DATEVALUE("1 "&amp;AL$1),0)))+
  SUMPRODUCT(('Form responses 1'!$D$2:$D1000=$A105)*('Form responses 1'!$A$2:$A1000&lt;=EOMONTH(DATEVALUE("1 "&amp;AL$1),0)))+
  SUMPRODUCT(('Form responses 1'!$E$2:$E1000=$A105)*('Form responses 1'!$A$2:$A1000&lt;=EOMONTH(DATEVALUE("1 "&amp;AL$1),0)))+
  SUMPRODUCT(('Form responses 1'!$F$2:$F1000=$A105)*('Form responses 1'!$A$2:$A1000&lt;=EOMONTH(DATEVALUE("1 "&amp;AL$1),0)))+
  SUMPRODUCT(('Form responses 1'!$G$2:$G1000=$A105)*('Form responses 1'!$A$2:$A1000&lt;=EOMONTH(DATEVALUE("1 "&amp;AL$1),0)))
),2),"-")</f>
        <v>-</v>
      </c>
    </row>
    <row r="106">
      <c r="A106" s="3" t="str">
        <f>IFERROR(__xludf.DUMMYFUNCTION("""COMPUTED_VALUE"""),"Grijs jas pak Vanda Tailors")</f>
        <v>Grijs jas pak Vanda Tailors</v>
      </c>
      <c r="C106" s="2" t="str">
        <f>IFERROR(ROUND(Data!B97/(SUMPRODUCT(('Form responses 1'!$B$2:$B1000 = A106) * ('Form responses 1'!$A$2:$A1000 &lt;= DATE(2024, 1, 31)))
+ SUMPRODUCT(('Form responses 1'!$C$2:$C1000 = A106) * ('Form responses 1'!$A$2:$A1000 &lt;= DATE(2024, 1, 31)))
+ SUMPRODUCT(('Form responses 1'!$D$2:$D1000 = A106) * ('Form responses 1'!$A$2:$A1000 &lt;= DATE(2024, 1, 31)))
+ SUMPRODUCT(('Form responses 1'!$E$2:$E1000 = A106) * ('Form responses 1'!$A$2:$A1000 &lt;= DATE(2024, 1, 31)))
+ SUMPRODUCT(('Form responses 1'!$F$2:$F1000 = A106) * ('Form responses 1'!$A$2:$A1000 &lt;= DATE(2024, 1, 31)))
+ SUMPRODUCT(('Form responses 1'!$G$2:$G1000 = A106) * ('Form responses 1'!$A$2:$A1000 &lt;= DATE(2024, 1, 31)))), 2), "-")
</f>
        <v>-</v>
      </c>
      <c r="D106" s="2" t="str">
        <f>IFERROR(ROUND(Data!B97/(SUMPRODUCT(('Form responses 1'!$B$2:$B1000 = A106) * ('Form responses 1'!$A$2:$A1000 &lt;= DATE(2024, 2, 29)))
+ SUMPRODUCT(('Form responses 1'!$C$2:$C1000 = A106) * ('Form responses 1'!$A$2:$A1000 &lt;= DATE(2024, 2, 29)))
+ SUMPRODUCT(('Form responses 1'!$D$2:$D1000 = A106) * ('Form responses 1'!$A$2:$A1000 &lt;= DATE(2024, 2, 29)))
+ SUMPRODUCT(('Form responses 1'!$E$2:$E1000 = A106) * ('Form responses 1'!$A$2:$A1000 &lt;= DATE(2024, 2, 29)))
+ SUMPRODUCT(('Form responses 1'!$F$2:$F1000 = A106) * ('Form responses 1'!$A$2:$A1000 &lt;= DATE(2024, 2, 29)))
+ SUMPRODUCT(('Form responses 1'!$G$2:$G1000 = A106) * ('Form responses 1'!$A$2:$A1000 &lt;= DATE(2024, 2, 29)))), 2), "-")
</f>
        <v>-</v>
      </c>
      <c r="E106" s="2" t="str">
        <f>IFERROR(ROUND(Data!B97/(SUMPRODUCT(('Form responses 1'!$B$2:$B1000 = A106) * ('Form responses 1'!$A$2:$A1000 &lt;= DATE(2024, 3, 31)))
+ SUMPRODUCT(('Form responses 1'!$C$2:$C1000 = A106) * ('Form responses 1'!$A$2:$A1000 &lt;= DATE(2024, 3, 31)))
+ SUMPRODUCT(('Form responses 1'!$D$2:$D1000 = A106) * ('Form responses 1'!$A$2:$A1000 &lt;= DATE(2024, 3, 31)))
+ SUMPRODUCT(('Form responses 1'!$E$2:$E1000 = A106) * ('Form responses 1'!$A$2:$A1000 &lt;= DATE(2024, 3, 31)))
+ SUMPRODUCT(('Form responses 1'!$F$2:$F1000 = A106) * ('Form responses 1'!$A$2:$A1000 &lt;= DATE(2024, 3, 31)))
+ SUMPRODUCT(('Form responses 1'!$G$2:$G1000 = A106) * ('Form responses 1'!$A$2:$A1000 &lt;= DATE(2024, 3, 31)))), 2), "-")
</f>
        <v>-</v>
      </c>
      <c r="F106" s="2" t="str">
        <f>IFERROR(ROUND(Data!B97/(SUMPRODUCT(('Form responses 1'!$B$2:$B1000 = A106) * ('Form responses 1'!$A$2:$A1000 &lt;= DATE(2024, 4, 30)))
+ SUMPRODUCT(('Form responses 1'!$C$2:$C1000 = A106) * ('Form responses 1'!$A$2:$A1000 &lt;= DATE(2024, 4, 30)))
+ SUMPRODUCT(('Form responses 1'!$D$2:$D1000 = A106) * ('Form responses 1'!$A$2:$A1000 &lt;= DATE(2024, 4, 30)))
+ SUMPRODUCT(('Form responses 1'!$E$2:$E1000 = A106) * ('Form responses 1'!$A$2:$A1000 &lt;= DATE(2024, 4, 30)))
+ SUMPRODUCT(('Form responses 1'!$F$2:$F1000 = A106) * ('Form responses 1'!$A$2:$A1000 &lt;= DATE(2024, 4, 30)))
+ SUMPRODUCT(('Form responses 1'!$G$2:$G1000 = A106) * ('Form responses 1'!$A$2:$A1000 &lt;= DATE(2024, 4, 30)))), 2), "-")
</f>
        <v>-</v>
      </c>
      <c r="G106" s="2" t="str">
        <f>IFERROR(ROUND(Data!B97/(SUMPRODUCT(('Form responses 1'!$B$2:$B1000 = A106) * ('Form responses 1'!$A$2:$A1000 &lt;= DATE(2024, 5, 31)))
+ SUMPRODUCT(('Form responses 1'!$C$2:$C1000 = A106) * ('Form responses 1'!$A$2:$A1000 &lt;= DATE(2024, 5, 31)))
+ SUMPRODUCT(('Form responses 1'!$D$2:$D1000 = A106) * ('Form responses 1'!$A$2:$A1000 &lt;= DATE(2024, 5, 31)))
+ SUMPRODUCT(('Form responses 1'!$E$2:$E1000 = A106) * ('Form responses 1'!$A$2:$A1000 &lt;= DATE(2024, 5, 31)))
+ SUMPRODUCT(('Form responses 1'!$F$2:$F1000 = A106) * ('Form responses 1'!$A$2:$A1000 &lt;= DATE(2024, 5, 31)))
+ SUMPRODUCT(('Form responses 1'!$G$2:$G1000 = A106) * ('Form responses 1'!$A$2:$A1000 &lt;= DATE(2024, 5, 31)))), 2), "-")
</f>
        <v>-</v>
      </c>
      <c r="H106" s="2" t="str">
        <f>IFERROR(ROUND(Data!B97/(SUMPRODUCT(('Form responses 1'!$B$2:$B1000 = A106) * ('Form responses 1'!$A$2:$A1000 &lt;= DATE(2024, 6, 30)))
+ SUMPRODUCT(('Form responses 1'!$C$2:$C1000 = A106) * ('Form responses 1'!$A$2:$A1000 &lt;= DATE(2024, 6, 30)))
+ SUMPRODUCT(('Form responses 1'!$D$2:$D1000 = A106) * ('Form responses 1'!$A$2:$A1000 &lt;= DATE(2024, 6, 30)))
+ SUMPRODUCT(('Form responses 1'!$E$2:$E1000 = A106) * ('Form responses 1'!$A$2:$A1000 &lt;= DATE(2024, 6, 30)))
+ SUMPRODUCT(('Form responses 1'!$F$2:$F1000 = A106) * ('Form responses 1'!$A$2:$A1000 &lt;= DATE(2024, 6, 30)))
+ SUMPRODUCT(('Form responses 1'!$G$2:$G1000 = A106) * ('Form responses 1'!$A$2:$A1000 &lt;= DATE(2024, 6, 30)))), 2), "-")
</f>
        <v>-</v>
      </c>
      <c r="I106" s="2" t="str">
        <f>IFERROR(ROUND(Data!B97/(SUMPRODUCT(('Form responses 1'!$B$2:$B1000 = A106) * ('Form responses 1'!$A$2:$A1000 &lt;= DATE(2024, 7, 31)))
+ SUMPRODUCT(('Form responses 1'!$C$2:$C1000 = A106) * ('Form responses 1'!$A$2:$A1000 &lt;= DATE(2024, 7, 31)))
+ SUMPRODUCT(('Form responses 1'!$D$2:$D1000 = A106) * ('Form responses 1'!$A$2:$A1000 &lt;= DATE(2024, 7, 31)))
+ SUMPRODUCT(('Form responses 1'!$E$2:$E1000 = A106) * ('Form responses 1'!$A$2:$A1000 &lt;= DATE(2024, 7, 31)))
+ SUMPRODUCT(('Form responses 1'!$F$2:$F1000 = A106) * ('Form responses 1'!$A$2:$A1000 &lt;= DATE(2024, 7, 31)))
+ SUMPRODUCT(('Form responses 1'!$G$2:$G1000 = A106) * ('Form responses 1'!$A$2:$A1000 &lt;= DATE(2024, 7, 31)))), 2), "-")
</f>
        <v>-</v>
      </c>
      <c r="J106" s="2" t="str">
        <f>IFERROR(ROUND(Data!B97/(SUMPRODUCT(('Form responses 1'!$B$2:$B1000 = A106) * ('Form responses 1'!$A$2:$A1000 &lt;= DATE(2024, 8, 31)))
+ SUMPRODUCT(('Form responses 1'!$C$2:$C1000 = A106) * ('Form responses 1'!$A$2:$A1000 &lt;= DATE(2024, 8, 31)))
+ SUMPRODUCT(('Form responses 1'!$D$2:$D1000 = A106) * ('Form responses 1'!$A$2:$A1000 &lt;= DATE(2024, 8, 31)))
+ SUMPRODUCT(('Form responses 1'!$E$2:$E1000 = A106) * ('Form responses 1'!$A$2:$A1000 &lt;= DATE(2024, 8, 31)))
+ SUMPRODUCT(('Form responses 1'!$F$2:$F1000 = A106) * ('Form responses 1'!$A$2:$A1000 &lt;= DATE(2024, 8, 31)))
+ SUMPRODUCT(('Form responses 1'!$G$2:$G1000 = A106) * ('Form responses 1'!$A$2:$A1000 &lt;= DATE(2024, 8, 31)))), 2), "-")
</f>
        <v>-</v>
      </c>
      <c r="K106" s="2" t="str">
        <f>IFERROR(ROUND(Data!B97/(SUMPRODUCT(('Form responses 1'!$B$2:$B1000 = A106) * ('Form responses 1'!$A$2:$A1000 &lt;= DATE(2024, 9, 30)))
+ SUMPRODUCT(('Form responses 1'!$C$2:$C1000 = A106) * ('Form responses 1'!$A$2:$A1000 &lt;= DATE(2024, 9, 30)))
+ SUMPRODUCT(('Form responses 1'!$D$2:$D1000 = A106) * ('Form responses 1'!$A$2:$A1000 &lt;= DATE(2024, 9, 30)))
+ SUMPRODUCT(('Form responses 1'!$E$2:$E1000 = A106) * ('Form responses 1'!$A$2:$A1000 &lt;= DATE(2024, 9, 30)))
+ SUMPRODUCT(('Form responses 1'!$F$2:$F1000 = A106) * ('Form responses 1'!$A$2:$A1000 &lt;= DATE(2024, 9, 30)))
+ SUMPRODUCT(('Form responses 1'!$G$2:$G1000 = A106) * ('Form responses 1'!$A$2:$A1000 &lt;= DATE(2024, 9, 30)))), 2), "-")
</f>
        <v>-</v>
      </c>
      <c r="L106" s="2" t="str">
        <f>IFERROR(ROUND(Data!B97/(SUMPRODUCT(('Form responses 1'!$B$2:$B1000 = A106) * ('Form responses 1'!$A$2:$A1000 &lt;= DATE(2024, 10, 31)))
+ SUMPRODUCT(('Form responses 1'!$C$2:$C1000 = A106) * ('Form responses 1'!$A$2:$A1000 &lt;= DATE(2024, 10, 31)))
+ SUMPRODUCT(('Form responses 1'!$D$2:$D1000 = A106) * ('Form responses 1'!$A$2:$A1000 &lt;= DATE(2024, 10, 31)))
+ SUMPRODUCT(('Form responses 1'!$E$2:$E1000 = A106) * ('Form responses 1'!$A$2:$A1000 &lt;= DATE(2024, 10, 31)))
+ SUMPRODUCT(('Form responses 1'!$F$2:$F1000 = A106) * ('Form responses 1'!$A$2:$A1000 &lt;= DATE(2024, 10, 31)))
+ SUMPRODUCT(('Form responses 1'!$G$2:$G1000 = A106) * ('Form responses 1'!$A$2:$A1000 &lt;= DATE(2024, 10, 31)))), 2), "-")
</f>
        <v>-</v>
      </c>
      <c r="M106" s="2" t="str">
        <f>IFERROR(ROUND(Data!B97/(SUMPRODUCT(('Form responses 1'!$B$2:$B1000 = A106) * ('Form responses 1'!$A$2:$A1000 &lt;= DATE(2024, 11, 30)))
+ SUMPRODUCT(('Form responses 1'!$C$2:$C1000 = A106) * ('Form responses 1'!$A$2:$A1000 &lt;= DATE(2024, 11, 30)))
+ SUMPRODUCT(('Form responses 1'!$D$2:$D1000 = A106) * ('Form responses 1'!$A$2:$A1000 &lt;= DATE(2024, 11, 30)))
+ SUMPRODUCT(('Form responses 1'!$E$2:$E1000 = A106) * ('Form responses 1'!$A$2:$A1000 &lt;= DATE(2024, 11, 30)))
+ SUMPRODUCT(('Form responses 1'!$F$2:$F1000 = A106) * ('Form responses 1'!$A$2:$A1000 &lt;= DATE(2024, 11, 30)))
+ SUMPRODUCT(('Form responses 1'!$G$2:$G1000 = A106) * ('Form responses 1'!$A$2:$A1000 &lt;= DATE(2024, 11, 30)))), 2), "-")
</f>
        <v>-</v>
      </c>
      <c r="N106" s="2" t="str">
        <f>IFERROR(ROUND(Data!B97/(SUMPRODUCT(('Form responses 1'!$B$2:$B1000 = A106) * ('Form responses 1'!$A$2:$A1000 &lt;= DATE(2024, 12, 31)))
+ SUMPRODUCT(('Form responses 1'!$C$2:$C1000 = A106) * ('Form responses 1'!$A$2:$A1000 &lt;= DATE(2024, 12, 31)))
+ SUMPRODUCT(('Form responses 1'!$D$2:$D1000 = A106) * ('Form responses 1'!$A$2:$A1000 &lt;= DATE(2024, 12, 31)))
+ SUMPRODUCT(('Form responses 1'!$E$2:$E1000 = A106) * ('Form responses 1'!$A$2:$A1000 &lt;= DATE(2024, 12, 31)))
+ SUMPRODUCT(('Form responses 1'!$F$2:$F1000 = A106) * ('Form responses 1'!$A$2:$A1000 &lt;= DATE(2024, 12, 31)))
+ SUMPRODUCT(('Form responses 1'!$G$2:$G1000 = A106) * ('Form responses 1'!$A$2:$A1000 &lt;= DATE(2024, 12, 31)))), 2), "-")
</f>
        <v>-</v>
      </c>
      <c r="O106" s="2" t="str">
        <f>IFERROR(ROUND(Data!B97/(SUMPRODUCT(('Form responses 1'!$B$2:$B1000 = A106) * ('Form responses 1'!$A$2:$A1000 &lt;= DATE(2025, 1, 31)))
+ SUMPRODUCT(('Form responses 1'!$C$2:$C1000 = A106) * ('Form responses 1'!$A$2:$A1000 &lt;= DATE(2025, 1, 31)))
+ SUMPRODUCT(('Form responses 1'!$D$2:$D1000 = A106) * ('Form responses 1'!$A$2:$A1000 &lt;= DATE(2025, 1, 31)))
+ SUMPRODUCT(('Form responses 1'!$E$2:$E1000 = A106) * ('Form responses 1'!$A$2:$A1000 &lt;= DATE(2025, 1, 31)))
+ SUMPRODUCT(('Form responses 1'!$F$2:$F1000 = A106) * ('Form responses 1'!$A$2:$A1000 &lt;= DATE(2025, 1, 31)))
+ SUMPRODUCT(('Form responses 1'!$G$2:$G1000 = A106) * ('Form responses 1'!$A$2:$A1000 &lt;= DATE(2025, 1, 31)))), 2), "-")
</f>
        <v>-</v>
      </c>
      <c r="P106" s="2" t="str">
        <f>IFERROR(ROUND(Data!B97/(SUMPRODUCT(('Form responses 1'!$B$2:$B1000 = A106) * ('Form responses 1'!$A$2:$A1000 &lt;= DATE(2025, 2, 28)))
+ SUMPRODUCT(('Form responses 1'!$C$2:$C1000 = A106) * ('Form responses 1'!$A$2:$A1000 &lt;= DATE(2025, 2, 28)))
+ SUMPRODUCT(('Form responses 1'!$D$2:$D1000 = A106) * ('Form responses 1'!$A$2:$A1000 &lt;= DATE(2025, 2, 28)))
+ SUMPRODUCT(('Form responses 1'!$E$2:$E1000 = A106) * ('Form responses 1'!$A$2:$A1000 &lt;= DATE(2025, 2, 28)))
+ SUMPRODUCT(('Form responses 1'!$F$2:$F1000 = A106) * ('Form responses 1'!$A$2:$A1000 &lt;= DATE(2025, 2, 28)))
+ SUMPRODUCT(('Form responses 1'!$G$2:$G1000 = A106) * ('Form responses 1'!$A$2:$A1000 &lt;= DATE(2025, 2, 28)))), 2), "-")
</f>
        <v>-</v>
      </c>
      <c r="Q106" s="2" t="str">
        <f>IFERROR(ROUND(Data!B97/(SUMPRODUCT(('Form responses 1'!$B$2:$B1000 = A106) * ('Form responses 1'!$A$2:$A1000 &lt;= DATE(2025, 3, 31)))
+ SUMPRODUCT(('Form responses 1'!$C$2:$C1000 = A106) * ('Form responses 1'!$A$2:$A1000 &lt;= DATE(2025, 3, 31)))
+ SUMPRODUCT(('Form responses 1'!$D$2:$D1000 = A106) * ('Form responses 1'!$A$2:$A1000 &lt;= DATE(2025, 3, 31)))
+ SUMPRODUCT(('Form responses 1'!$E$2:$E1000 = A106) * ('Form responses 1'!$A$2:$A1000 &lt;= DATE(2025, 3, 31)))
+ SUMPRODUCT(('Form responses 1'!$F$2:$F1000 = A106) * ('Form responses 1'!$A$2:$A1000 &lt;= DATE(2025, 3, 31)))
+ SUMPRODUCT(('Form responses 1'!$G$2:$G1000 = A106) * ('Form responses 1'!$A$2:$A1000 &lt;= DATE(2025, 3, 31)))),2),"-")</f>
        <v>-</v>
      </c>
      <c r="R106" s="2" t="str">
        <f>IFERROR(ROUND(Data!B97/(SUMPRODUCT(('Form responses 1'!$B$2:$B1000 = A106) * ('Form responses 1'!$A$2:$A1000 &lt;= DATE(2025, 4, 30)))
+ SUMPRODUCT(('Form responses 1'!$C$2:$C1000 = A106) * ('Form responses 1'!$A$2:$A1000 &lt;= DATE(2025, 4, 30)))
+ SUMPRODUCT(('Form responses 1'!$D$2:$D1000 = A106) * ('Form responses 1'!$A$2:$A1000 &lt;= DATE(2025, 4, 30)))
+ SUMPRODUCT(('Form responses 1'!$E$2:$E1000 = A106) * ('Form responses 1'!$A$2:$A1000 &lt;= DATE(2025, 4, 30)))
+ SUMPRODUCT(('Form responses 1'!$F$2:$F1000 = A106) * ('Form responses 1'!$A$2:$A1000 &lt;= DATE(2025, 4, 30)))
+ SUMPRODUCT(('Form responses 1'!$G$2:$G1000 = A106) * ('Form responses 1'!$A$2:$A1000 &lt;= DATE(2025, 4, 30)))), 2), "-")
</f>
        <v>-</v>
      </c>
      <c r="S106" s="2" t="str">
        <f>IFERROR(ROUND(Data!B97/(SUMPRODUCT(('Form responses 1'!$B$2:$B1000 = A106) * ('Form responses 1'!$A$2:$A1000 &lt;= DATE(2025, 5, 31)))
+ SUMPRODUCT(('Form responses 1'!$C$2:$C1000 = A106) * ('Form responses 1'!$A$2:$A1000 &lt;= DATE(2025, 5, 31)))
+ SUMPRODUCT(('Form responses 1'!$D$2:$D1000 = A106) * ('Form responses 1'!$A$2:$A1000 &lt;= DATE(2025, 5, 31)))
+ SUMPRODUCT(('Form responses 1'!$E$2:$E1000 = A106) * ('Form responses 1'!$A$2:$A1000 &lt;= DATE(2025, 5, 31)))
+ SUMPRODUCT(('Form responses 1'!$F$2:$F1000 = A106) * ('Form responses 1'!$A$2:$A1000 &lt;= DATE(2025, 5, 31)))
+ SUMPRODUCT(('Form responses 1'!$G$2:$G1000 = A106) * ('Form responses 1'!$A$2:$A1000 &lt;= DATE(2025, 5, 31)))), 2), "-")
</f>
        <v>-</v>
      </c>
      <c r="T106" s="2" t="str">
        <f>IFERROR(ROUND(Data!B97/(SUMPRODUCT(('Form responses 1'!$B$2:$B1000 = A106) * ('Form responses 1'!$A$2:$A1000 &lt;= DATE(2025, 6, 30)))
+ SUMPRODUCT(('Form responses 1'!$C$2:$C1000 = A106) * ('Form responses 1'!$A$2:$A1000 &lt;= DATE(2025, 6, 30)))
+ SUMPRODUCT(('Form responses 1'!$D$2:$D1000 = A106) * ('Form responses 1'!$A$2:$A1000 &lt;= DATE(2025, 6, 30)))
+ SUMPRODUCT(('Form responses 1'!$E$2:$E1000 = A106) * ('Form responses 1'!$A$2:$A1000 &lt;= DATE(2025, 6, 30)))
+ SUMPRODUCT(('Form responses 1'!$F$2:$F1000 = A106) * ('Form responses 1'!$A$2:$A1000 &lt;= DATE(2025, 6, 30)))
+ SUMPRODUCT(('Form responses 1'!$G$2:$G1000 = A106) * ('Form responses 1'!$A$2:$A1000 &lt;= DATE(2025, 6, 30)))), 2), "-")
</f>
        <v>-</v>
      </c>
      <c r="U106" s="2" t="str">
        <f>IFERROR(ROUND(Data!B97/(SUMPRODUCT(('Form responses 1'!$B$2:$B1000 = A106) * ('Form responses 1'!$A$2:$A1000 &lt;= DATE(2025, 7, 31)))
+ SUMPRODUCT(('Form responses 1'!$C$2:$C1000 = A106) * ('Form responses 1'!$A$2:$A1000 &lt;= DATE(2025, 7, 31)))
+ SUMPRODUCT(('Form responses 1'!$D$2:$D1000 = A106) * ('Form responses 1'!$A$2:$A1000 &lt;= DATE(2025, 7, 31)))
+ SUMPRODUCT(('Form responses 1'!$E$2:$E1000 = A106) * ('Form responses 1'!$A$2:$A1000 &lt;= DATE(2025, 7, 31)))
+ SUMPRODUCT(('Form responses 1'!$F$2:$F1000 = A106) * ('Form responses 1'!$A$2:$A1000 &lt;= DATE(2025, 7, 31)))
+ SUMPRODUCT(('Form responses 1'!$G$2:$G1000 = A106) * ('Form responses 1'!$A$2:$A1000 &lt;= DATE(2025, 7, 31)))), 2), "-")
</f>
        <v>-</v>
      </c>
      <c r="V106" s="2" t="str">
        <f>IFERROR(ROUND(Data!B97/(SUMPRODUCT(('Form responses 1'!$B$2:$B1000 = A106) * ('Form responses 1'!$A$2:$A1000 &lt;= DATE(2025, 8, 31)))
+ SUMPRODUCT(('Form responses 1'!$C$2:$C1000 = A106) * ('Form responses 1'!$A$2:$A1000 &lt;= DATE(2025, 8, 31)))
+ SUMPRODUCT(('Form responses 1'!$D$2:$D1000 = A106) * ('Form responses 1'!$A$2:$A1000 &lt;= DATE(2025, 8, 31)))
+ SUMPRODUCT(('Form responses 1'!$E$2:$E1000 = A106) * ('Form responses 1'!$A$2:$A1000 &lt;= DATE(2025, 8, 31)))
+ SUMPRODUCT(('Form responses 1'!$F$2:$F1000 = A106) * ('Form responses 1'!$A$2:$A1000 &lt;= DATE(2025, 8, 31)))
+ SUMPRODUCT(('Form responses 1'!$G$2:$G1000 = A106) * ('Form responses 1'!$A$2:$A1000 &lt;= DATE(2025, 8, 31)))), 2), "-")
</f>
        <v>-</v>
      </c>
      <c r="W106" s="2" t="str">
        <f>IFERROR(ROUND(Data!B97/(SUMPRODUCT(('Form responses 1'!$B$2:$B1000 = A106) * ('Form responses 1'!$A$2:$A1000 &lt;= DATE(2025, 9, 30)))
+ SUMPRODUCT(('Form responses 1'!$C$2:$C1000 = A106) * ('Form responses 1'!$A$2:$A1000 &lt;= DATE(2025, 9, 30)))
+ SUMPRODUCT(('Form responses 1'!$D$2:$D1000 = A106) * ('Form responses 1'!$A$2:$A1000 &lt;= DATE(2025, 9, 30)))
+ SUMPRODUCT(('Form responses 1'!$E$2:$E1000 = A106) * ('Form responses 1'!$A$2:$A1000 &lt;= DATE(2025, 9, 30)))
+ SUMPRODUCT(('Form responses 1'!$F$2:$F1000 = A106) * ('Form responses 1'!$A$2:$A1000 &lt;= DATE(2025, 9, 30)))
+ SUMPRODUCT(('Form responses 1'!$G$2:$G1000 = A106) * ('Form responses 1'!$A$2:$A1000 &lt;= DATE(2025, 9, 30)))), 2), "-")
</f>
        <v>-</v>
      </c>
      <c r="X106" s="2" t="str">
        <f>IFERROR(ROUND(Data!B97/(SUMPRODUCT(('Form responses 1'!$B$2:$B1000 = A106) * ('Form responses 1'!$A$2:$A1000 &lt;= DATE(2025, 10, 31)))
+ SUMPRODUCT(('Form responses 1'!$C$2:$C1000 = A106) * ('Form responses 1'!$A$2:$A1000 &lt;= DATE(2025, 10, 31)))
+ SUMPRODUCT(('Form responses 1'!$D$2:$D1000 = A106) * ('Form responses 1'!$A$2:$A1000 &lt;= DATE(2025, 10, 31)))
+ SUMPRODUCT(('Form responses 1'!$E$2:$E1000 = A106) * ('Form responses 1'!$A$2:$A1000 &lt;= DATE(2025, 10, 31)))
+ SUMPRODUCT(('Form responses 1'!$F$2:$F1000 = A106) * ('Form responses 1'!$A$2:$A1000 &lt;= DATE(2025, 10, 31)))
+ SUMPRODUCT(('Form responses 1'!$G$2:$G1000 = A106) * ('Form responses 1'!$A$2:$A1000 &lt;= DATE(2025, 10, 31)))), 2), "-")
</f>
        <v>-</v>
      </c>
      <c r="Y106" s="2">
        <f>IFERROR(ROUND(Data!B97/(SUMPRODUCT(('Form responses 1'!$B$2:$B1000 = A106) * ('Form responses 1'!$A$2:$A1000 &lt;= DATE(2025, 11, 30)))
+ SUMPRODUCT(('Form responses 1'!$C$2:$C1000 = A106) * ('Form responses 1'!$A$2:$A1000 &lt;= DATE(2025, 11, 30)))
+ SUMPRODUCT(('Form responses 1'!$D$2:$D1000 = A106) * ('Form responses 1'!$A$2:$A1000 &lt;= DATE(2025, 11, 30)))
+ SUMPRODUCT(('Form responses 1'!$E$2:$E1000 = A106) * ('Form responses 1'!$A$2:$A1000 &lt;= DATE(2025, 11, 30)))
+ SUMPRODUCT(('Form responses 1'!$F$2:$F1000 = A106) * ('Form responses 1'!$A$2:$A1000 &lt;= DATE(2025, 11, 30)))
+ SUMPRODUCT(('Form responses 1'!$G$2:$G1000 = A106) * ('Form responses 1'!$A$2:$A1000 &lt;= DATE(2025, 11, 30)))), 2), "-")
</f>
        <v>17.99</v>
      </c>
      <c r="Z106" s="2">
        <f>IFERROR(ROUND(Data!B97/(SUMPRODUCT(('Form responses 1'!$B$2:$B1000 = A106) * ('Form responses 1'!$A$2:$A1000 &lt;= DATE(2025, 12, 31)))
+ SUMPRODUCT(('Form responses 1'!$C$2:$C1000 = A106) * ('Form responses 1'!$A$2:$A1000 &lt;= DATE(2025, 12, 31)))
+ SUMPRODUCT(('Form responses 1'!$D$2:$D1000 = A106) * ('Form responses 1'!$A$2:$A1000 &lt;= DATE(2025, 12, 31)))
+ SUMPRODUCT(('Form responses 1'!$E$2:$E1000 = A106) * ('Form responses 1'!$A$2:$A1000 &lt;= DATE(2025, 12, 31)))
+ SUMPRODUCT(('Form responses 1'!$F$2:$F1000 = A106) * ('Form responses 1'!$A$2:$A1000 &lt;= DATE(2025, 12, 31)))
+ SUMPRODUCT(('Form responses 1'!$G$2:$G1000 = A106) * ('Form responses 1'!$A$2:$A1000 &lt;= DATE(2025, 12, 31)))), 2), "-")
</f>
        <v>3.6</v>
      </c>
      <c r="AA106" s="2">
        <f>IFERROR(ROUND(Data!$B106/(
  SUMPRODUCT(('Form responses 1'!$B$2:$B1000=$A106)*('Form responses 1'!$A$2:$A1000&lt;=EOMONTH(DATEVALUE("1 "&amp;AA$1),0)))+
  SUMPRODUCT(('Form responses 1'!$C$2:$C1000=$A106)*('Form responses 1'!$A$2:$A1000&lt;=EOMONTH(DATEVALUE("1 "&amp;AA$1),0)))+
  SUMPRODUCT(('Form responses 1'!$D$2:$D1000=$A106)*('Form responses 1'!$A$2:$A1000&lt;=EOMONTH(DATEVALUE("1 "&amp;AA$1),0)))+
  SUMPRODUCT(('Form responses 1'!$E$2:$E1000=$A106)*('Form responses 1'!$A$2:$A1000&lt;=EOMONTH(DATEVALUE("1 "&amp;AA$1),0)))+
  SUMPRODUCT(('Form responses 1'!$F$2:$F1000=$A106)*('Form responses 1'!$A$2:$A1000&lt;=EOMONTH(DATEVALUE("1 "&amp;AA$1),0)))+
  SUMPRODUCT(('Form responses 1'!$G$2:$G1000=$A106)*('Form responses 1'!$A$2:$A1000&lt;=EOMONTH(DATEVALUE("1 "&amp;AA$1),0)))
),2),"-")</f>
        <v>10.78</v>
      </c>
      <c r="AB106" s="2">
        <f>IFERROR(ROUND(Data!$B106/(
  SUMPRODUCT(('Form responses 1'!$B$2:$B1000=$A106)*('Form responses 1'!$A$2:$A1000&lt;=EOMONTH(DATEVALUE("1 "&amp;AB$1),0)))+
  SUMPRODUCT(('Form responses 1'!$C$2:$C1000=$A106)*('Form responses 1'!$A$2:$A1000&lt;=EOMONTH(DATEVALUE("1 "&amp;AB$1),0)))+
  SUMPRODUCT(('Form responses 1'!$D$2:$D1000=$A106)*('Form responses 1'!$A$2:$A1000&lt;=EOMONTH(DATEVALUE("1 "&amp;AB$1),0)))+
  SUMPRODUCT(('Form responses 1'!$E$2:$E1000=$A106)*('Form responses 1'!$A$2:$A1000&lt;=EOMONTH(DATEVALUE("1 "&amp;AB$1),0)))+
  SUMPRODUCT(('Form responses 1'!$F$2:$F1000=$A106)*('Form responses 1'!$A$2:$A1000&lt;=EOMONTH(DATEVALUE("1 "&amp;AB$1),0)))+
  SUMPRODUCT(('Form responses 1'!$G$2:$G1000=$A106)*('Form responses 1'!$A$2:$A1000&lt;=EOMONTH(DATEVALUE("1 "&amp;AB$1),0)))
),2),"-")</f>
        <v>6.06</v>
      </c>
      <c r="AC106" s="2">
        <f>IFERROR(ROUND(Data!$B106/(
  SUMPRODUCT(('Form responses 1'!$B$2:$B1000=$A106)*('Form responses 1'!$A$2:$A1000&lt;=EOMONTH(DATEVALUE("1 "&amp;AC$1),0)))+
  SUMPRODUCT(('Form responses 1'!$C$2:$C1000=$A106)*('Form responses 1'!$A$2:$A1000&lt;=EOMONTH(DATEVALUE("1 "&amp;AC$1),0)))+
  SUMPRODUCT(('Form responses 1'!$D$2:$D1000=$A106)*('Form responses 1'!$A$2:$A1000&lt;=EOMONTH(DATEVALUE("1 "&amp;AC$1),0)))+
  SUMPRODUCT(('Form responses 1'!$E$2:$E1000=$A106)*('Form responses 1'!$A$2:$A1000&lt;=EOMONTH(DATEVALUE("1 "&amp;AC$1),0)))+
  SUMPRODUCT(('Form responses 1'!$F$2:$F1000=$A106)*('Form responses 1'!$A$2:$A1000&lt;=EOMONTH(DATEVALUE("1 "&amp;AC$1),0)))+
  SUMPRODUCT(('Form responses 1'!$G$2:$G1000=$A106)*('Form responses 1'!$A$2:$A1000&lt;=EOMONTH(DATEVALUE("1 "&amp;AC$1),0)))
),2),"-")</f>
        <v>4.41</v>
      </c>
      <c r="AD106" s="2" t="str">
        <f>IFERROR(ROUND(Data!$B106/(
  SUMPRODUCT(('Form responses 1'!$B$2:$B1000=$A106)*('Form responses 1'!$A$2:$A1000&lt;=EOMONTH(DATEVALUE("1 "&amp;AD$1),0)))+
  SUMPRODUCT(('Form responses 1'!$C$2:$C1000=$A106)*('Form responses 1'!$A$2:$A1000&lt;=EOMONTH(DATEVALUE("1 "&amp;AD$1),0)))+
  SUMPRODUCT(('Form responses 1'!$D$2:$D1000=$A106)*('Form responses 1'!$A$2:$A1000&lt;=EOMONTH(DATEVALUE("1 "&amp;AD$1),0)))+
  SUMPRODUCT(('Form responses 1'!$E$2:$E1000=$A106)*('Form responses 1'!$A$2:$A1000&lt;=EOMONTH(DATEVALUE("1 "&amp;AD$1),0)))+
  SUMPRODUCT(('Form responses 1'!$F$2:$F1000=$A106)*('Form responses 1'!$A$2:$A1000&lt;=EOMONTH(DATEVALUE("1 "&amp;AD$1),0)))+
  SUMPRODUCT(('Form responses 1'!$G$2:$G1000=$A106)*('Form responses 1'!$A$2:$A1000&lt;=EOMONTH(DATEVALUE("1 "&amp;AD$1),0)))
),2),"-")</f>
        <v>-</v>
      </c>
      <c r="AE106" s="2" t="str">
        <f>IFERROR(ROUND(Data!$B106/(
  SUMPRODUCT(('Form responses 1'!$B$2:$B1000=$A106)*('Form responses 1'!$A$2:$A1000&lt;=EOMONTH(DATEVALUE("1 "&amp;AE$1),0)))+
  SUMPRODUCT(('Form responses 1'!$C$2:$C1000=$A106)*('Form responses 1'!$A$2:$A1000&lt;=EOMONTH(DATEVALUE("1 "&amp;AE$1),0)))+
  SUMPRODUCT(('Form responses 1'!$D$2:$D1000=$A106)*('Form responses 1'!$A$2:$A1000&lt;=EOMONTH(DATEVALUE("1 "&amp;AE$1),0)))+
  SUMPRODUCT(('Form responses 1'!$E$2:$E1000=$A106)*('Form responses 1'!$A$2:$A1000&lt;=EOMONTH(DATEVALUE("1 "&amp;AE$1),0)))+
  SUMPRODUCT(('Form responses 1'!$F$2:$F1000=$A106)*('Form responses 1'!$A$2:$A1000&lt;=EOMONTH(DATEVALUE("1 "&amp;AE$1),0)))+
  SUMPRODUCT(('Form responses 1'!$G$2:$G1000=$A106)*('Form responses 1'!$A$2:$A1000&lt;=EOMONTH(DATEVALUE("1 "&amp;AE$1),0)))
),2),"-")</f>
        <v>-</v>
      </c>
      <c r="AF106" s="2" t="str">
        <f>IFERROR(ROUND(Data!$B106/(
  SUMPRODUCT(('Form responses 1'!$B$2:$B1000=$A106)*('Form responses 1'!$A$2:$A1000&lt;=EOMONTH(DATEVALUE("1 "&amp;AF$1),0)))+
  SUMPRODUCT(('Form responses 1'!$C$2:$C1000=$A106)*('Form responses 1'!$A$2:$A1000&lt;=EOMONTH(DATEVALUE("1 "&amp;AF$1),0)))+
  SUMPRODUCT(('Form responses 1'!$D$2:$D1000=$A106)*('Form responses 1'!$A$2:$A1000&lt;=EOMONTH(DATEVALUE("1 "&amp;AF$1),0)))+
  SUMPRODUCT(('Form responses 1'!$E$2:$E1000=$A106)*('Form responses 1'!$A$2:$A1000&lt;=EOMONTH(DATEVALUE("1 "&amp;AF$1),0)))+
  SUMPRODUCT(('Form responses 1'!$F$2:$F1000=$A106)*('Form responses 1'!$A$2:$A1000&lt;=EOMONTH(DATEVALUE("1 "&amp;AF$1),0)))+
  SUMPRODUCT(('Form responses 1'!$G$2:$G1000=$A106)*('Form responses 1'!$A$2:$A1000&lt;=EOMONTH(DATEVALUE("1 "&amp;AF$1),0)))
),2),"-")</f>
        <v>-</v>
      </c>
      <c r="AG106" s="2" t="str">
        <f>IFERROR(ROUND(Data!$B106/(
  SUMPRODUCT(('Form responses 1'!$B$2:$B1000=$A106)*('Form responses 1'!$A$2:$A1000&lt;=EOMONTH(DATEVALUE("1 "&amp;AG$1),0)))+
  SUMPRODUCT(('Form responses 1'!$C$2:$C1000=$A106)*('Form responses 1'!$A$2:$A1000&lt;=EOMONTH(DATEVALUE("1 "&amp;AG$1),0)))+
  SUMPRODUCT(('Form responses 1'!$D$2:$D1000=$A106)*('Form responses 1'!$A$2:$A1000&lt;=EOMONTH(DATEVALUE("1 "&amp;AG$1),0)))+
  SUMPRODUCT(('Form responses 1'!$E$2:$E1000=$A106)*('Form responses 1'!$A$2:$A1000&lt;=EOMONTH(DATEVALUE("1 "&amp;AG$1),0)))+
  SUMPRODUCT(('Form responses 1'!$F$2:$F1000=$A106)*('Form responses 1'!$A$2:$A1000&lt;=EOMONTH(DATEVALUE("1 "&amp;AG$1),0)))+
  SUMPRODUCT(('Form responses 1'!$G$2:$G1000=$A106)*('Form responses 1'!$A$2:$A1000&lt;=EOMONTH(DATEVALUE("1 "&amp;AG$1),0)))
),2),"-")</f>
        <v>-</v>
      </c>
      <c r="AH106" s="2" t="str">
        <f>IFERROR(ROUND(Data!$B106/(
  SUMPRODUCT(('Form responses 1'!$B$2:$B1000=$A106)*('Form responses 1'!$A$2:$A1000&lt;=EOMONTH(DATEVALUE("1 "&amp;AH$1),0)))+
  SUMPRODUCT(('Form responses 1'!$C$2:$C1000=$A106)*('Form responses 1'!$A$2:$A1000&lt;=EOMONTH(DATEVALUE("1 "&amp;AH$1),0)))+
  SUMPRODUCT(('Form responses 1'!$D$2:$D1000=$A106)*('Form responses 1'!$A$2:$A1000&lt;=EOMONTH(DATEVALUE("1 "&amp;AH$1),0)))+
  SUMPRODUCT(('Form responses 1'!$E$2:$E1000=$A106)*('Form responses 1'!$A$2:$A1000&lt;=EOMONTH(DATEVALUE("1 "&amp;AH$1),0)))+
  SUMPRODUCT(('Form responses 1'!$F$2:$F1000=$A106)*('Form responses 1'!$A$2:$A1000&lt;=EOMONTH(DATEVALUE("1 "&amp;AH$1),0)))+
  SUMPRODUCT(('Form responses 1'!$G$2:$G1000=$A106)*('Form responses 1'!$A$2:$A1000&lt;=EOMONTH(DATEVALUE("1 "&amp;AH$1),0)))
),2),"-")</f>
        <v>-</v>
      </c>
      <c r="AI106" s="2" t="str">
        <f>IFERROR(ROUND(Data!$B106/(
  SUMPRODUCT(('Form responses 1'!$B$2:$B1000=$A106)*('Form responses 1'!$A$2:$A1000&lt;=EOMONTH(DATEVALUE("1 "&amp;AI$1),0)))+
  SUMPRODUCT(('Form responses 1'!$C$2:$C1000=$A106)*('Form responses 1'!$A$2:$A1000&lt;=EOMONTH(DATEVALUE("1 "&amp;AI$1),0)))+
  SUMPRODUCT(('Form responses 1'!$D$2:$D1000=$A106)*('Form responses 1'!$A$2:$A1000&lt;=EOMONTH(DATEVALUE("1 "&amp;AI$1),0)))+
  SUMPRODUCT(('Form responses 1'!$E$2:$E1000=$A106)*('Form responses 1'!$A$2:$A1000&lt;=EOMONTH(DATEVALUE("1 "&amp;AI$1),0)))+
  SUMPRODUCT(('Form responses 1'!$F$2:$F1000=$A106)*('Form responses 1'!$A$2:$A1000&lt;=EOMONTH(DATEVALUE("1 "&amp;AI$1),0)))+
  SUMPRODUCT(('Form responses 1'!$G$2:$G1000=$A106)*('Form responses 1'!$A$2:$A1000&lt;=EOMONTH(DATEVALUE("1 "&amp;AI$1),0)))
),2),"-")</f>
        <v>-</v>
      </c>
      <c r="AJ106" s="2" t="str">
        <f>IFERROR(ROUND(Data!$B106/(
  SUMPRODUCT(('Form responses 1'!$B$2:$B1000=$A106)*('Form responses 1'!$A$2:$A1000&lt;=EOMONTH(DATEVALUE("1 "&amp;AJ$1),0)))+
  SUMPRODUCT(('Form responses 1'!$C$2:$C1000=$A106)*('Form responses 1'!$A$2:$A1000&lt;=EOMONTH(DATEVALUE("1 "&amp;AJ$1),0)))+
  SUMPRODUCT(('Form responses 1'!$D$2:$D1000=$A106)*('Form responses 1'!$A$2:$A1000&lt;=EOMONTH(DATEVALUE("1 "&amp;AJ$1),0)))+
  SUMPRODUCT(('Form responses 1'!$E$2:$E1000=$A106)*('Form responses 1'!$A$2:$A1000&lt;=EOMONTH(DATEVALUE("1 "&amp;AJ$1),0)))+
  SUMPRODUCT(('Form responses 1'!$F$2:$F1000=$A106)*('Form responses 1'!$A$2:$A1000&lt;=EOMONTH(DATEVALUE("1 "&amp;AJ$1),0)))+
  SUMPRODUCT(('Form responses 1'!$G$2:$G1000=$A106)*('Form responses 1'!$A$2:$A1000&lt;=EOMONTH(DATEVALUE("1 "&amp;AJ$1),0)))
),2),"-")</f>
        <v>-</v>
      </c>
      <c r="AK106" s="2" t="str">
        <f>IFERROR(ROUND(Data!$B106/(
  SUMPRODUCT(('Form responses 1'!$B$2:$B1000=$A106)*('Form responses 1'!$A$2:$A1000&lt;=EOMONTH(DATEVALUE("1 "&amp;AK$1),0)))+
  SUMPRODUCT(('Form responses 1'!$C$2:$C1000=$A106)*('Form responses 1'!$A$2:$A1000&lt;=EOMONTH(DATEVALUE("1 "&amp;AK$1),0)))+
  SUMPRODUCT(('Form responses 1'!$D$2:$D1000=$A106)*('Form responses 1'!$A$2:$A1000&lt;=EOMONTH(DATEVALUE("1 "&amp;AK$1),0)))+
  SUMPRODUCT(('Form responses 1'!$E$2:$E1000=$A106)*('Form responses 1'!$A$2:$A1000&lt;=EOMONTH(DATEVALUE("1 "&amp;AK$1),0)))+
  SUMPRODUCT(('Form responses 1'!$F$2:$F1000=$A106)*('Form responses 1'!$A$2:$A1000&lt;=EOMONTH(DATEVALUE("1 "&amp;AK$1),0)))+
  SUMPRODUCT(('Form responses 1'!$G$2:$G1000=$A106)*('Form responses 1'!$A$2:$A1000&lt;=EOMONTH(DATEVALUE("1 "&amp;AK$1),0)))
),2),"-")</f>
        <v>-</v>
      </c>
      <c r="AL106" s="2" t="str">
        <f>IFERROR(ROUND(Data!$B106/(
  SUMPRODUCT(('Form responses 1'!$B$2:$B1000=$A106)*('Form responses 1'!$A$2:$A1000&lt;=EOMONTH(DATEVALUE("1 "&amp;AL$1),0)))+
  SUMPRODUCT(('Form responses 1'!$C$2:$C1000=$A106)*('Form responses 1'!$A$2:$A1000&lt;=EOMONTH(DATEVALUE("1 "&amp;AL$1),0)))+
  SUMPRODUCT(('Form responses 1'!$D$2:$D1000=$A106)*('Form responses 1'!$A$2:$A1000&lt;=EOMONTH(DATEVALUE("1 "&amp;AL$1),0)))+
  SUMPRODUCT(('Form responses 1'!$E$2:$E1000=$A106)*('Form responses 1'!$A$2:$A1000&lt;=EOMONTH(DATEVALUE("1 "&amp;AL$1),0)))+
  SUMPRODUCT(('Form responses 1'!$F$2:$F1000=$A106)*('Form responses 1'!$A$2:$A1000&lt;=EOMONTH(DATEVALUE("1 "&amp;AL$1),0)))+
  SUMPRODUCT(('Form responses 1'!$G$2:$G1000=$A106)*('Form responses 1'!$A$2:$A1000&lt;=EOMONTH(DATEVALUE("1 "&amp;AL$1),0)))
),2),"-")</f>
        <v>-</v>
      </c>
    </row>
    <row r="107">
      <c r="A107" s="3" t="str">
        <f>IFERROR(__xludf.DUMMYFUNCTION("""COMPUTED_VALUE"""),"Zwarte smoking broek")</f>
        <v>Zwarte smoking broek</v>
      </c>
      <c r="C107" s="2" t="str">
        <f>IFERROR(ROUND(Data!B98/(SUMPRODUCT(('Form responses 1'!$B$2:$B1000 = A107) * ('Form responses 1'!$A$2:$A1000 &lt;= DATE(2024, 1, 31)))
+ SUMPRODUCT(('Form responses 1'!$C$2:$C1000 = A107) * ('Form responses 1'!$A$2:$A1000 &lt;= DATE(2024, 1, 31)))
+ SUMPRODUCT(('Form responses 1'!$D$2:$D1000 = A107) * ('Form responses 1'!$A$2:$A1000 &lt;= DATE(2024, 1, 31)))
+ SUMPRODUCT(('Form responses 1'!$E$2:$E1000 = A107) * ('Form responses 1'!$A$2:$A1000 &lt;= DATE(2024, 1, 31)))
+ SUMPRODUCT(('Form responses 1'!$F$2:$F1000 = A107) * ('Form responses 1'!$A$2:$A1000 &lt;= DATE(2024, 1, 31)))
+ SUMPRODUCT(('Form responses 1'!$G$2:$G1000 = A107) * ('Form responses 1'!$A$2:$A1000 &lt;= DATE(2024, 1, 31)))), 2), "-")
</f>
        <v>-</v>
      </c>
      <c r="D107" s="2" t="str">
        <f>IFERROR(ROUND(Data!B98/(SUMPRODUCT(('Form responses 1'!$B$2:$B1000 = A107) * ('Form responses 1'!$A$2:$A1000 &lt;= DATE(2024, 2, 29)))
+ SUMPRODUCT(('Form responses 1'!$C$2:$C1000 = A107) * ('Form responses 1'!$A$2:$A1000 &lt;= DATE(2024, 2, 29)))
+ SUMPRODUCT(('Form responses 1'!$D$2:$D1000 = A107) * ('Form responses 1'!$A$2:$A1000 &lt;= DATE(2024, 2, 29)))
+ SUMPRODUCT(('Form responses 1'!$E$2:$E1000 = A107) * ('Form responses 1'!$A$2:$A1000 &lt;= DATE(2024, 2, 29)))
+ SUMPRODUCT(('Form responses 1'!$F$2:$F1000 = A107) * ('Form responses 1'!$A$2:$A1000 &lt;= DATE(2024, 2, 29)))
+ SUMPRODUCT(('Form responses 1'!$G$2:$G1000 = A107) * ('Form responses 1'!$A$2:$A1000 &lt;= DATE(2024, 2, 29)))), 2), "-")
</f>
        <v>-</v>
      </c>
      <c r="E107" s="2" t="str">
        <f>IFERROR(ROUND(Data!B98/(SUMPRODUCT(('Form responses 1'!$B$2:$B1000 = A107) * ('Form responses 1'!$A$2:$A1000 &lt;= DATE(2024, 3, 31)))
+ SUMPRODUCT(('Form responses 1'!$C$2:$C1000 = A107) * ('Form responses 1'!$A$2:$A1000 &lt;= DATE(2024, 3, 31)))
+ SUMPRODUCT(('Form responses 1'!$D$2:$D1000 = A107) * ('Form responses 1'!$A$2:$A1000 &lt;= DATE(2024, 3, 31)))
+ SUMPRODUCT(('Form responses 1'!$E$2:$E1000 = A107) * ('Form responses 1'!$A$2:$A1000 &lt;= DATE(2024, 3, 31)))
+ SUMPRODUCT(('Form responses 1'!$F$2:$F1000 = A107) * ('Form responses 1'!$A$2:$A1000 &lt;= DATE(2024, 3, 31)))
+ SUMPRODUCT(('Form responses 1'!$G$2:$G1000 = A107) * ('Form responses 1'!$A$2:$A1000 &lt;= DATE(2024, 3, 31)))), 2), "-")
</f>
        <v>-</v>
      </c>
      <c r="F107" s="2" t="str">
        <f>IFERROR(ROUND(Data!B98/(SUMPRODUCT(('Form responses 1'!$B$2:$B1000 = A107) * ('Form responses 1'!$A$2:$A1000 &lt;= DATE(2024, 4, 30)))
+ SUMPRODUCT(('Form responses 1'!$C$2:$C1000 = A107) * ('Form responses 1'!$A$2:$A1000 &lt;= DATE(2024, 4, 30)))
+ SUMPRODUCT(('Form responses 1'!$D$2:$D1000 = A107) * ('Form responses 1'!$A$2:$A1000 &lt;= DATE(2024, 4, 30)))
+ SUMPRODUCT(('Form responses 1'!$E$2:$E1000 = A107) * ('Form responses 1'!$A$2:$A1000 &lt;= DATE(2024, 4, 30)))
+ SUMPRODUCT(('Form responses 1'!$F$2:$F1000 = A107) * ('Form responses 1'!$A$2:$A1000 &lt;= DATE(2024, 4, 30)))
+ SUMPRODUCT(('Form responses 1'!$G$2:$G1000 = A107) * ('Form responses 1'!$A$2:$A1000 &lt;= DATE(2024, 4, 30)))), 2), "-")
</f>
        <v>-</v>
      </c>
      <c r="G107" s="2" t="str">
        <f>IFERROR(ROUND(Data!B98/(SUMPRODUCT(('Form responses 1'!$B$2:$B1000 = A107) * ('Form responses 1'!$A$2:$A1000 &lt;= DATE(2024, 5, 31)))
+ SUMPRODUCT(('Form responses 1'!$C$2:$C1000 = A107) * ('Form responses 1'!$A$2:$A1000 &lt;= DATE(2024, 5, 31)))
+ SUMPRODUCT(('Form responses 1'!$D$2:$D1000 = A107) * ('Form responses 1'!$A$2:$A1000 &lt;= DATE(2024, 5, 31)))
+ SUMPRODUCT(('Form responses 1'!$E$2:$E1000 = A107) * ('Form responses 1'!$A$2:$A1000 &lt;= DATE(2024, 5, 31)))
+ SUMPRODUCT(('Form responses 1'!$F$2:$F1000 = A107) * ('Form responses 1'!$A$2:$A1000 &lt;= DATE(2024, 5, 31)))
+ SUMPRODUCT(('Form responses 1'!$G$2:$G1000 = A107) * ('Form responses 1'!$A$2:$A1000 &lt;= DATE(2024, 5, 31)))), 2), "-")
</f>
        <v>-</v>
      </c>
      <c r="H107" s="2" t="str">
        <f>IFERROR(ROUND(Data!B98/(SUMPRODUCT(('Form responses 1'!$B$2:$B1000 = A107) * ('Form responses 1'!$A$2:$A1000 &lt;= DATE(2024, 6, 30)))
+ SUMPRODUCT(('Form responses 1'!$C$2:$C1000 = A107) * ('Form responses 1'!$A$2:$A1000 &lt;= DATE(2024, 6, 30)))
+ SUMPRODUCT(('Form responses 1'!$D$2:$D1000 = A107) * ('Form responses 1'!$A$2:$A1000 &lt;= DATE(2024, 6, 30)))
+ SUMPRODUCT(('Form responses 1'!$E$2:$E1000 = A107) * ('Form responses 1'!$A$2:$A1000 &lt;= DATE(2024, 6, 30)))
+ SUMPRODUCT(('Form responses 1'!$F$2:$F1000 = A107) * ('Form responses 1'!$A$2:$A1000 &lt;= DATE(2024, 6, 30)))
+ SUMPRODUCT(('Form responses 1'!$G$2:$G1000 = A107) * ('Form responses 1'!$A$2:$A1000 &lt;= DATE(2024, 6, 30)))), 2), "-")
</f>
        <v>-</v>
      </c>
      <c r="I107" s="2" t="str">
        <f>IFERROR(ROUND(Data!B98/(SUMPRODUCT(('Form responses 1'!$B$2:$B1000 = A107) * ('Form responses 1'!$A$2:$A1000 &lt;= DATE(2024, 7, 31)))
+ SUMPRODUCT(('Form responses 1'!$C$2:$C1000 = A107) * ('Form responses 1'!$A$2:$A1000 &lt;= DATE(2024, 7, 31)))
+ SUMPRODUCT(('Form responses 1'!$D$2:$D1000 = A107) * ('Form responses 1'!$A$2:$A1000 &lt;= DATE(2024, 7, 31)))
+ SUMPRODUCT(('Form responses 1'!$E$2:$E1000 = A107) * ('Form responses 1'!$A$2:$A1000 &lt;= DATE(2024, 7, 31)))
+ SUMPRODUCT(('Form responses 1'!$F$2:$F1000 = A107) * ('Form responses 1'!$A$2:$A1000 &lt;= DATE(2024, 7, 31)))
+ SUMPRODUCT(('Form responses 1'!$G$2:$G1000 = A107) * ('Form responses 1'!$A$2:$A1000 &lt;= DATE(2024, 7, 31)))), 2), "-")
</f>
        <v>-</v>
      </c>
      <c r="J107" s="2" t="str">
        <f>IFERROR(ROUND(Data!B98/(SUMPRODUCT(('Form responses 1'!$B$2:$B1000 = A107) * ('Form responses 1'!$A$2:$A1000 &lt;= DATE(2024, 8, 31)))
+ SUMPRODUCT(('Form responses 1'!$C$2:$C1000 = A107) * ('Form responses 1'!$A$2:$A1000 &lt;= DATE(2024, 8, 31)))
+ SUMPRODUCT(('Form responses 1'!$D$2:$D1000 = A107) * ('Form responses 1'!$A$2:$A1000 &lt;= DATE(2024, 8, 31)))
+ SUMPRODUCT(('Form responses 1'!$E$2:$E1000 = A107) * ('Form responses 1'!$A$2:$A1000 &lt;= DATE(2024, 8, 31)))
+ SUMPRODUCT(('Form responses 1'!$F$2:$F1000 = A107) * ('Form responses 1'!$A$2:$A1000 &lt;= DATE(2024, 8, 31)))
+ SUMPRODUCT(('Form responses 1'!$G$2:$G1000 = A107) * ('Form responses 1'!$A$2:$A1000 &lt;= DATE(2024, 8, 31)))), 2), "-")
</f>
        <v>-</v>
      </c>
      <c r="K107" s="2" t="str">
        <f>IFERROR(ROUND(Data!B98/(SUMPRODUCT(('Form responses 1'!$B$2:$B1000 = A107) * ('Form responses 1'!$A$2:$A1000 &lt;= DATE(2024, 9, 30)))
+ SUMPRODUCT(('Form responses 1'!$C$2:$C1000 = A107) * ('Form responses 1'!$A$2:$A1000 &lt;= DATE(2024, 9, 30)))
+ SUMPRODUCT(('Form responses 1'!$D$2:$D1000 = A107) * ('Form responses 1'!$A$2:$A1000 &lt;= DATE(2024, 9, 30)))
+ SUMPRODUCT(('Form responses 1'!$E$2:$E1000 = A107) * ('Form responses 1'!$A$2:$A1000 &lt;= DATE(2024, 9, 30)))
+ SUMPRODUCT(('Form responses 1'!$F$2:$F1000 = A107) * ('Form responses 1'!$A$2:$A1000 &lt;= DATE(2024, 9, 30)))
+ SUMPRODUCT(('Form responses 1'!$G$2:$G1000 = A107) * ('Form responses 1'!$A$2:$A1000 &lt;= DATE(2024, 9, 30)))), 2), "-")
</f>
        <v>-</v>
      </c>
      <c r="L107" s="2" t="str">
        <f>IFERROR(ROUND(Data!B98/(SUMPRODUCT(('Form responses 1'!$B$2:$B1000 = A107) * ('Form responses 1'!$A$2:$A1000 &lt;= DATE(2024, 10, 31)))
+ SUMPRODUCT(('Form responses 1'!$C$2:$C1000 = A107) * ('Form responses 1'!$A$2:$A1000 &lt;= DATE(2024, 10, 31)))
+ SUMPRODUCT(('Form responses 1'!$D$2:$D1000 = A107) * ('Form responses 1'!$A$2:$A1000 &lt;= DATE(2024, 10, 31)))
+ SUMPRODUCT(('Form responses 1'!$E$2:$E1000 = A107) * ('Form responses 1'!$A$2:$A1000 &lt;= DATE(2024, 10, 31)))
+ SUMPRODUCT(('Form responses 1'!$F$2:$F1000 = A107) * ('Form responses 1'!$A$2:$A1000 &lt;= DATE(2024, 10, 31)))
+ SUMPRODUCT(('Form responses 1'!$G$2:$G1000 = A107) * ('Form responses 1'!$A$2:$A1000 &lt;= DATE(2024, 10, 31)))), 2), "-")
</f>
        <v>-</v>
      </c>
      <c r="M107" s="2" t="str">
        <f>IFERROR(ROUND(Data!B98/(SUMPRODUCT(('Form responses 1'!$B$2:$B1000 = A107) * ('Form responses 1'!$A$2:$A1000 &lt;= DATE(2024, 11, 30)))
+ SUMPRODUCT(('Form responses 1'!$C$2:$C1000 = A107) * ('Form responses 1'!$A$2:$A1000 &lt;= DATE(2024, 11, 30)))
+ SUMPRODUCT(('Form responses 1'!$D$2:$D1000 = A107) * ('Form responses 1'!$A$2:$A1000 &lt;= DATE(2024, 11, 30)))
+ SUMPRODUCT(('Form responses 1'!$E$2:$E1000 = A107) * ('Form responses 1'!$A$2:$A1000 &lt;= DATE(2024, 11, 30)))
+ SUMPRODUCT(('Form responses 1'!$F$2:$F1000 = A107) * ('Form responses 1'!$A$2:$A1000 &lt;= DATE(2024, 11, 30)))
+ SUMPRODUCT(('Form responses 1'!$G$2:$G1000 = A107) * ('Form responses 1'!$A$2:$A1000 &lt;= DATE(2024, 11, 30)))), 2), "-")
</f>
        <v>-</v>
      </c>
      <c r="N107" s="2" t="str">
        <f>IFERROR(ROUND(Data!B98/(SUMPRODUCT(('Form responses 1'!$B$2:$B1000 = A107) * ('Form responses 1'!$A$2:$A1000 &lt;= DATE(2024, 12, 31)))
+ SUMPRODUCT(('Form responses 1'!$C$2:$C1000 = A107) * ('Form responses 1'!$A$2:$A1000 &lt;= DATE(2024, 12, 31)))
+ SUMPRODUCT(('Form responses 1'!$D$2:$D1000 = A107) * ('Form responses 1'!$A$2:$A1000 &lt;= DATE(2024, 12, 31)))
+ SUMPRODUCT(('Form responses 1'!$E$2:$E1000 = A107) * ('Form responses 1'!$A$2:$A1000 &lt;= DATE(2024, 12, 31)))
+ SUMPRODUCT(('Form responses 1'!$F$2:$F1000 = A107) * ('Form responses 1'!$A$2:$A1000 &lt;= DATE(2024, 12, 31)))
+ SUMPRODUCT(('Form responses 1'!$G$2:$G1000 = A107) * ('Form responses 1'!$A$2:$A1000 &lt;= DATE(2024, 12, 31)))), 2), "-")
</f>
        <v>-</v>
      </c>
      <c r="O107" s="2" t="str">
        <f>IFERROR(ROUND(Data!B98/(SUMPRODUCT(('Form responses 1'!$B$2:$B1000 = A107) * ('Form responses 1'!$A$2:$A1000 &lt;= DATE(2025, 1, 31)))
+ SUMPRODUCT(('Form responses 1'!$C$2:$C1000 = A107) * ('Form responses 1'!$A$2:$A1000 &lt;= DATE(2025, 1, 31)))
+ SUMPRODUCT(('Form responses 1'!$D$2:$D1000 = A107) * ('Form responses 1'!$A$2:$A1000 &lt;= DATE(2025, 1, 31)))
+ SUMPRODUCT(('Form responses 1'!$E$2:$E1000 = A107) * ('Form responses 1'!$A$2:$A1000 &lt;= DATE(2025, 1, 31)))
+ SUMPRODUCT(('Form responses 1'!$F$2:$F1000 = A107) * ('Form responses 1'!$A$2:$A1000 &lt;= DATE(2025, 1, 31)))
+ SUMPRODUCT(('Form responses 1'!$G$2:$G1000 = A107) * ('Form responses 1'!$A$2:$A1000 &lt;= DATE(2025, 1, 31)))), 2), "-")
</f>
        <v>-</v>
      </c>
      <c r="P107" s="2" t="str">
        <f>IFERROR(ROUND(Data!B98/(SUMPRODUCT(('Form responses 1'!$B$2:$B1000 = A107) * ('Form responses 1'!$A$2:$A1000 &lt;= DATE(2025, 2, 28)))
+ SUMPRODUCT(('Form responses 1'!$C$2:$C1000 = A107) * ('Form responses 1'!$A$2:$A1000 &lt;= DATE(2025, 2, 28)))
+ SUMPRODUCT(('Form responses 1'!$D$2:$D1000 = A107) * ('Form responses 1'!$A$2:$A1000 &lt;= DATE(2025, 2, 28)))
+ SUMPRODUCT(('Form responses 1'!$E$2:$E1000 = A107) * ('Form responses 1'!$A$2:$A1000 &lt;= DATE(2025, 2, 28)))
+ SUMPRODUCT(('Form responses 1'!$F$2:$F1000 = A107) * ('Form responses 1'!$A$2:$A1000 &lt;= DATE(2025, 2, 28)))
+ SUMPRODUCT(('Form responses 1'!$G$2:$G1000 = A107) * ('Form responses 1'!$A$2:$A1000 &lt;= DATE(2025, 2, 28)))), 2), "-")
</f>
        <v>-</v>
      </c>
      <c r="Q107" s="2" t="str">
        <f>IFERROR(ROUND(Data!B98/(SUMPRODUCT(('Form responses 1'!$B$2:$B1000 = A107) * ('Form responses 1'!$A$2:$A1000 &lt;= DATE(2025, 3, 31)))
+ SUMPRODUCT(('Form responses 1'!$C$2:$C1000 = A107) * ('Form responses 1'!$A$2:$A1000 &lt;= DATE(2025, 3, 31)))
+ SUMPRODUCT(('Form responses 1'!$D$2:$D1000 = A107) * ('Form responses 1'!$A$2:$A1000 &lt;= DATE(2025, 3, 31)))
+ SUMPRODUCT(('Form responses 1'!$E$2:$E1000 = A107) * ('Form responses 1'!$A$2:$A1000 &lt;= DATE(2025, 3, 31)))
+ SUMPRODUCT(('Form responses 1'!$F$2:$F1000 = A107) * ('Form responses 1'!$A$2:$A1000 &lt;= DATE(2025, 3, 31)))
+ SUMPRODUCT(('Form responses 1'!$G$2:$G1000 = A107) * ('Form responses 1'!$A$2:$A1000 &lt;= DATE(2025, 3, 31)))),2),"-")</f>
        <v>-</v>
      </c>
      <c r="R107" s="2" t="str">
        <f>IFERROR(ROUND(Data!B98/(SUMPRODUCT(('Form responses 1'!$B$2:$B1000 = A107) * ('Form responses 1'!$A$2:$A1000 &lt;= DATE(2025, 4, 30)))
+ SUMPRODUCT(('Form responses 1'!$C$2:$C1000 = A107) * ('Form responses 1'!$A$2:$A1000 &lt;= DATE(2025, 4, 30)))
+ SUMPRODUCT(('Form responses 1'!$D$2:$D1000 = A107) * ('Form responses 1'!$A$2:$A1000 &lt;= DATE(2025, 4, 30)))
+ SUMPRODUCT(('Form responses 1'!$E$2:$E1000 = A107) * ('Form responses 1'!$A$2:$A1000 &lt;= DATE(2025, 4, 30)))
+ SUMPRODUCT(('Form responses 1'!$F$2:$F1000 = A107) * ('Form responses 1'!$A$2:$A1000 &lt;= DATE(2025, 4, 30)))
+ SUMPRODUCT(('Form responses 1'!$G$2:$G1000 = A107) * ('Form responses 1'!$A$2:$A1000 &lt;= DATE(2025, 4, 30)))), 2), "-")
</f>
        <v>-</v>
      </c>
      <c r="S107" s="2" t="str">
        <f>IFERROR(ROUND(Data!B98/(SUMPRODUCT(('Form responses 1'!$B$2:$B1000 = A107) * ('Form responses 1'!$A$2:$A1000 &lt;= DATE(2025, 5, 31)))
+ SUMPRODUCT(('Form responses 1'!$C$2:$C1000 = A107) * ('Form responses 1'!$A$2:$A1000 &lt;= DATE(2025, 5, 31)))
+ SUMPRODUCT(('Form responses 1'!$D$2:$D1000 = A107) * ('Form responses 1'!$A$2:$A1000 &lt;= DATE(2025, 5, 31)))
+ SUMPRODUCT(('Form responses 1'!$E$2:$E1000 = A107) * ('Form responses 1'!$A$2:$A1000 &lt;= DATE(2025, 5, 31)))
+ SUMPRODUCT(('Form responses 1'!$F$2:$F1000 = A107) * ('Form responses 1'!$A$2:$A1000 &lt;= DATE(2025, 5, 31)))
+ SUMPRODUCT(('Form responses 1'!$G$2:$G1000 = A107) * ('Form responses 1'!$A$2:$A1000 &lt;= DATE(2025, 5, 31)))), 2), "-")
</f>
        <v>-</v>
      </c>
      <c r="T107" s="2" t="str">
        <f>IFERROR(ROUND(Data!B98/(SUMPRODUCT(('Form responses 1'!$B$2:$B1000 = A107) * ('Form responses 1'!$A$2:$A1000 &lt;= DATE(2025, 6, 30)))
+ SUMPRODUCT(('Form responses 1'!$C$2:$C1000 = A107) * ('Form responses 1'!$A$2:$A1000 &lt;= DATE(2025, 6, 30)))
+ SUMPRODUCT(('Form responses 1'!$D$2:$D1000 = A107) * ('Form responses 1'!$A$2:$A1000 &lt;= DATE(2025, 6, 30)))
+ SUMPRODUCT(('Form responses 1'!$E$2:$E1000 = A107) * ('Form responses 1'!$A$2:$A1000 &lt;= DATE(2025, 6, 30)))
+ SUMPRODUCT(('Form responses 1'!$F$2:$F1000 = A107) * ('Form responses 1'!$A$2:$A1000 &lt;= DATE(2025, 6, 30)))
+ SUMPRODUCT(('Form responses 1'!$G$2:$G1000 = A107) * ('Form responses 1'!$A$2:$A1000 &lt;= DATE(2025, 6, 30)))), 2), "-")
</f>
        <v>-</v>
      </c>
      <c r="U107" s="2" t="str">
        <f>IFERROR(ROUND(Data!B98/(SUMPRODUCT(('Form responses 1'!$B$2:$B1000 = A107) * ('Form responses 1'!$A$2:$A1000 &lt;= DATE(2025, 7, 31)))
+ SUMPRODUCT(('Form responses 1'!$C$2:$C1000 = A107) * ('Form responses 1'!$A$2:$A1000 &lt;= DATE(2025, 7, 31)))
+ SUMPRODUCT(('Form responses 1'!$D$2:$D1000 = A107) * ('Form responses 1'!$A$2:$A1000 &lt;= DATE(2025, 7, 31)))
+ SUMPRODUCT(('Form responses 1'!$E$2:$E1000 = A107) * ('Form responses 1'!$A$2:$A1000 &lt;= DATE(2025, 7, 31)))
+ SUMPRODUCT(('Form responses 1'!$F$2:$F1000 = A107) * ('Form responses 1'!$A$2:$A1000 &lt;= DATE(2025, 7, 31)))
+ SUMPRODUCT(('Form responses 1'!$G$2:$G1000 = A107) * ('Form responses 1'!$A$2:$A1000 &lt;= DATE(2025, 7, 31)))), 2), "-")
</f>
        <v>-</v>
      </c>
      <c r="V107" s="2" t="str">
        <f>IFERROR(ROUND(Data!B98/(SUMPRODUCT(('Form responses 1'!$B$2:$B1000 = A107) * ('Form responses 1'!$A$2:$A1000 &lt;= DATE(2025, 8, 31)))
+ SUMPRODUCT(('Form responses 1'!$C$2:$C1000 = A107) * ('Form responses 1'!$A$2:$A1000 &lt;= DATE(2025, 8, 31)))
+ SUMPRODUCT(('Form responses 1'!$D$2:$D1000 = A107) * ('Form responses 1'!$A$2:$A1000 &lt;= DATE(2025, 8, 31)))
+ SUMPRODUCT(('Form responses 1'!$E$2:$E1000 = A107) * ('Form responses 1'!$A$2:$A1000 &lt;= DATE(2025, 8, 31)))
+ SUMPRODUCT(('Form responses 1'!$F$2:$F1000 = A107) * ('Form responses 1'!$A$2:$A1000 &lt;= DATE(2025, 8, 31)))
+ SUMPRODUCT(('Form responses 1'!$G$2:$G1000 = A107) * ('Form responses 1'!$A$2:$A1000 &lt;= DATE(2025, 8, 31)))), 2), "-")
</f>
        <v>-</v>
      </c>
      <c r="W107" s="2" t="str">
        <f>IFERROR(ROUND(Data!B98/(SUMPRODUCT(('Form responses 1'!$B$2:$B1000 = A107) * ('Form responses 1'!$A$2:$A1000 &lt;= DATE(2025, 9, 30)))
+ SUMPRODUCT(('Form responses 1'!$C$2:$C1000 = A107) * ('Form responses 1'!$A$2:$A1000 &lt;= DATE(2025, 9, 30)))
+ SUMPRODUCT(('Form responses 1'!$D$2:$D1000 = A107) * ('Form responses 1'!$A$2:$A1000 &lt;= DATE(2025, 9, 30)))
+ SUMPRODUCT(('Form responses 1'!$E$2:$E1000 = A107) * ('Form responses 1'!$A$2:$A1000 &lt;= DATE(2025, 9, 30)))
+ SUMPRODUCT(('Form responses 1'!$F$2:$F1000 = A107) * ('Form responses 1'!$A$2:$A1000 &lt;= DATE(2025, 9, 30)))
+ SUMPRODUCT(('Form responses 1'!$G$2:$G1000 = A107) * ('Form responses 1'!$A$2:$A1000 &lt;= DATE(2025, 9, 30)))), 2), "-")
</f>
        <v>-</v>
      </c>
      <c r="X107" s="2" t="str">
        <f>IFERROR(ROUND(Data!B98/(SUMPRODUCT(('Form responses 1'!$B$2:$B1000 = A107) * ('Form responses 1'!$A$2:$A1000 &lt;= DATE(2025, 10, 31)))
+ SUMPRODUCT(('Form responses 1'!$C$2:$C1000 = A107) * ('Form responses 1'!$A$2:$A1000 &lt;= DATE(2025, 10, 31)))
+ SUMPRODUCT(('Form responses 1'!$D$2:$D1000 = A107) * ('Form responses 1'!$A$2:$A1000 &lt;= DATE(2025, 10, 31)))
+ SUMPRODUCT(('Form responses 1'!$E$2:$E1000 = A107) * ('Form responses 1'!$A$2:$A1000 &lt;= DATE(2025, 10, 31)))
+ SUMPRODUCT(('Form responses 1'!$F$2:$F1000 = A107) * ('Form responses 1'!$A$2:$A1000 &lt;= DATE(2025, 10, 31)))
+ SUMPRODUCT(('Form responses 1'!$G$2:$G1000 = A107) * ('Form responses 1'!$A$2:$A1000 &lt;= DATE(2025, 10, 31)))), 2), "-")
</f>
        <v>-</v>
      </c>
      <c r="Y107" s="2">
        <f>IFERROR(ROUND(Data!B98/(SUMPRODUCT(('Form responses 1'!$B$2:$B1000 = A107) * ('Form responses 1'!$A$2:$A1000 &lt;= DATE(2025, 11, 30)))
+ SUMPRODUCT(('Form responses 1'!$C$2:$C1000 = A107) * ('Form responses 1'!$A$2:$A1000 &lt;= DATE(2025, 11, 30)))
+ SUMPRODUCT(('Form responses 1'!$D$2:$D1000 = A107) * ('Form responses 1'!$A$2:$A1000 &lt;= DATE(2025, 11, 30)))
+ SUMPRODUCT(('Form responses 1'!$E$2:$E1000 = A107) * ('Form responses 1'!$A$2:$A1000 &lt;= DATE(2025, 11, 30)))
+ SUMPRODUCT(('Form responses 1'!$F$2:$F1000 = A107) * ('Form responses 1'!$A$2:$A1000 &lt;= DATE(2025, 11, 30)))
+ SUMPRODUCT(('Form responses 1'!$G$2:$G1000 = A107) * ('Form responses 1'!$A$2:$A1000 &lt;= DATE(2025, 11, 30)))), 2), "-")
</f>
        <v>22.98</v>
      </c>
      <c r="Z107" s="2">
        <f>IFERROR(ROUND(Data!B98/(SUMPRODUCT(('Form responses 1'!$B$2:$B1000 = A107) * ('Form responses 1'!$A$2:$A1000 &lt;= DATE(2025, 12, 31)))
+ SUMPRODUCT(('Form responses 1'!$C$2:$C1000 = A107) * ('Form responses 1'!$A$2:$A1000 &lt;= DATE(2025, 12, 31)))
+ SUMPRODUCT(('Form responses 1'!$D$2:$D1000 = A107) * ('Form responses 1'!$A$2:$A1000 &lt;= DATE(2025, 12, 31)))
+ SUMPRODUCT(('Form responses 1'!$E$2:$E1000 = A107) * ('Form responses 1'!$A$2:$A1000 &lt;= DATE(2025, 12, 31)))
+ SUMPRODUCT(('Form responses 1'!$F$2:$F1000 = A107) * ('Form responses 1'!$A$2:$A1000 &lt;= DATE(2025, 12, 31)))
+ SUMPRODUCT(('Form responses 1'!$G$2:$G1000 = A107) * ('Form responses 1'!$A$2:$A1000 &lt;= DATE(2025, 12, 31)))), 2), "-")
</f>
        <v>22.98</v>
      </c>
      <c r="AA107" s="2">
        <f>IFERROR(ROUND(Data!$B107/(
  SUMPRODUCT(('Form responses 1'!$B$2:$B1000=$A107)*('Form responses 1'!$A$2:$A1000&lt;=EOMONTH(DATEVALUE("1 "&amp;AA$1),0)))+
  SUMPRODUCT(('Form responses 1'!$C$2:$C1000=$A107)*('Form responses 1'!$A$2:$A1000&lt;=EOMONTH(DATEVALUE("1 "&amp;AA$1),0)))+
  SUMPRODUCT(('Form responses 1'!$D$2:$D1000=$A107)*('Form responses 1'!$A$2:$A1000&lt;=EOMONTH(DATEVALUE("1 "&amp;AA$1),0)))+
  SUMPRODUCT(('Form responses 1'!$E$2:$E1000=$A107)*('Form responses 1'!$A$2:$A1000&lt;=EOMONTH(DATEVALUE("1 "&amp;AA$1),0)))+
  SUMPRODUCT(('Form responses 1'!$F$2:$F1000=$A107)*('Form responses 1'!$A$2:$A1000&lt;=EOMONTH(DATEVALUE("1 "&amp;AA$1),0)))+
  SUMPRODUCT(('Form responses 1'!$G$2:$G1000=$A107)*('Form responses 1'!$A$2:$A1000&lt;=EOMONTH(DATEVALUE("1 "&amp;AA$1),0)))
),2),"-")</f>
        <v>44.95</v>
      </c>
      <c r="AB107" s="2">
        <f>IFERROR(ROUND(Data!$B107/(
  SUMPRODUCT(('Form responses 1'!$B$2:$B1000=$A107)*('Form responses 1'!$A$2:$A1000&lt;=EOMONTH(DATEVALUE("1 "&amp;AB$1),0)))+
  SUMPRODUCT(('Form responses 1'!$C$2:$C1000=$A107)*('Form responses 1'!$A$2:$A1000&lt;=EOMONTH(DATEVALUE("1 "&amp;AB$1),0)))+
  SUMPRODUCT(('Form responses 1'!$D$2:$D1000=$A107)*('Form responses 1'!$A$2:$A1000&lt;=EOMONTH(DATEVALUE("1 "&amp;AB$1),0)))+
  SUMPRODUCT(('Form responses 1'!$E$2:$E1000=$A107)*('Form responses 1'!$A$2:$A1000&lt;=EOMONTH(DATEVALUE("1 "&amp;AB$1),0)))+
  SUMPRODUCT(('Form responses 1'!$F$2:$F1000=$A107)*('Form responses 1'!$A$2:$A1000&lt;=EOMONTH(DATEVALUE("1 "&amp;AB$1),0)))+
  SUMPRODUCT(('Form responses 1'!$G$2:$G1000=$A107)*('Form responses 1'!$A$2:$A1000&lt;=EOMONTH(DATEVALUE("1 "&amp;AB$1),0)))
),2),"-")</f>
        <v>44.95</v>
      </c>
      <c r="AC107" s="2">
        <f>IFERROR(ROUND(Data!$B107/(
  SUMPRODUCT(('Form responses 1'!$B$2:$B1000=$A107)*('Form responses 1'!$A$2:$A1000&lt;=EOMONTH(DATEVALUE("1 "&amp;AC$1),0)))+
  SUMPRODUCT(('Form responses 1'!$C$2:$C1000=$A107)*('Form responses 1'!$A$2:$A1000&lt;=EOMONTH(DATEVALUE("1 "&amp;AC$1),0)))+
  SUMPRODUCT(('Form responses 1'!$D$2:$D1000=$A107)*('Form responses 1'!$A$2:$A1000&lt;=EOMONTH(DATEVALUE("1 "&amp;AC$1),0)))+
  SUMPRODUCT(('Form responses 1'!$E$2:$E1000=$A107)*('Form responses 1'!$A$2:$A1000&lt;=EOMONTH(DATEVALUE("1 "&amp;AC$1),0)))+
  SUMPRODUCT(('Form responses 1'!$F$2:$F1000=$A107)*('Form responses 1'!$A$2:$A1000&lt;=EOMONTH(DATEVALUE("1 "&amp;AC$1),0)))+
  SUMPRODUCT(('Form responses 1'!$G$2:$G1000=$A107)*('Form responses 1'!$A$2:$A1000&lt;=EOMONTH(DATEVALUE("1 "&amp;AC$1),0)))
),2),"-")</f>
        <v>44.95</v>
      </c>
      <c r="AD107" s="2" t="str">
        <f>IFERROR(ROUND(Data!$B107/(
  SUMPRODUCT(('Form responses 1'!$B$2:$B1000=$A107)*('Form responses 1'!$A$2:$A1000&lt;=EOMONTH(DATEVALUE("1 "&amp;AD$1),0)))+
  SUMPRODUCT(('Form responses 1'!$C$2:$C1000=$A107)*('Form responses 1'!$A$2:$A1000&lt;=EOMONTH(DATEVALUE("1 "&amp;AD$1),0)))+
  SUMPRODUCT(('Form responses 1'!$D$2:$D1000=$A107)*('Form responses 1'!$A$2:$A1000&lt;=EOMONTH(DATEVALUE("1 "&amp;AD$1),0)))+
  SUMPRODUCT(('Form responses 1'!$E$2:$E1000=$A107)*('Form responses 1'!$A$2:$A1000&lt;=EOMONTH(DATEVALUE("1 "&amp;AD$1),0)))+
  SUMPRODUCT(('Form responses 1'!$F$2:$F1000=$A107)*('Form responses 1'!$A$2:$A1000&lt;=EOMONTH(DATEVALUE("1 "&amp;AD$1),0)))+
  SUMPRODUCT(('Form responses 1'!$G$2:$G1000=$A107)*('Form responses 1'!$A$2:$A1000&lt;=EOMONTH(DATEVALUE("1 "&amp;AD$1),0)))
),2),"-")</f>
        <v>-</v>
      </c>
      <c r="AE107" s="2" t="str">
        <f>IFERROR(ROUND(Data!$B107/(
  SUMPRODUCT(('Form responses 1'!$B$2:$B1000=$A107)*('Form responses 1'!$A$2:$A1000&lt;=EOMONTH(DATEVALUE("1 "&amp;AE$1),0)))+
  SUMPRODUCT(('Form responses 1'!$C$2:$C1000=$A107)*('Form responses 1'!$A$2:$A1000&lt;=EOMONTH(DATEVALUE("1 "&amp;AE$1),0)))+
  SUMPRODUCT(('Form responses 1'!$D$2:$D1000=$A107)*('Form responses 1'!$A$2:$A1000&lt;=EOMONTH(DATEVALUE("1 "&amp;AE$1),0)))+
  SUMPRODUCT(('Form responses 1'!$E$2:$E1000=$A107)*('Form responses 1'!$A$2:$A1000&lt;=EOMONTH(DATEVALUE("1 "&amp;AE$1),0)))+
  SUMPRODUCT(('Form responses 1'!$F$2:$F1000=$A107)*('Form responses 1'!$A$2:$A1000&lt;=EOMONTH(DATEVALUE("1 "&amp;AE$1),0)))+
  SUMPRODUCT(('Form responses 1'!$G$2:$G1000=$A107)*('Form responses 1'!$A$2:$A1000&lt;=EOMONTH(DATEVALUE("1 "&amp;AE$1),0)))
),2),"-")</f>
        <v>-</v>
      </c>
      <c r="AF107" s="2" t="str">
        <f>IFERROR(ROUND(Data!$B107/(
  SUMPRODUCT(('Form responses 1'!$B$2:$B1000=$A107)*('Form responses 1'!$A$2:$A1000&lt;=EOMONTH(DATEVALUE("1 "&amp;AF$1),0)))+
  SUMPRODUCT(('Form responses 1'!$C$2:$C1000=$A107)*('Form responses 1'!$A$2:$A1000&lt;=EOMONTH(DATEVALUE("1 "&amp;AF$1),0)))+
  SUMPRODUCT(('Form responses 1'!$D$2:$D1000=$A107)*('Form responses 1'!$A$2:$A1000&lt;=EOMONTH(DATEVALUE("1 "&amp;AF$1),0)))+
  SUMPRODUCT(('Form responses 1'!$E$2:$E1000=$A107)*('Form responses 1'!$A$2:$A1000&lt;=EOMONTH(DATEVALUE("1 "&amp;AF$1),0)))+
  SUMPRODUCT(('Form responses 1'!$F$2:$F1000=$A107)*('Form responses 1'!$A$2:$A1000&lt;=EOMONTH(DATEVALUE("1 "&amp;AF$1),0)))+
  SUMPRODUCT(('Form responses 1'!$G$2:$G1000=$A107)*('Form responses 1'!$A$2:$A1000&lt;=EOMONTH(DATEVALUE("1 "&amp;AF$1),0)))
),2),"-")</f>
        <v>-</v>
      </c>
      <c r="AG107" s="2" t="str">
        <f>IFERROR(ROUND(Data!$B107/(
  SUMPRODUCT(('Form responses 1'!$B$2:$B1000=$A107)*('Form responses 1'!$A$2:$A1000&lt;=EOMONTH(DATEVALUE("1 "&amp;AG$1),0)))+
  SUMPRODUCT(('Form responses 1'!$C$2:$C1000=$A107)*('Form responses 1'!$A$2:$A1000&lt;=EOMONTH(DATEVALUE("1 "&amp;AG$1),0)))+
  SUMPRODUCT(('Form responses 1'!$D$2:$D1000=$A107)*('Form responses 1'!$A$2:$A1000&lt;=EOMONTH(DATEVALUE("1 "&amp;AG$1),0)))+
  SUMPRODUCT(('Form responses 1'!$E$2:$E1000=$A107)*('Form responses 1'!$A$2:$A1000&lt;=EOMONTH(DATEVALUE("1 "&amp;AG$1),0)))+
  SUMPRODUCT(('Form responses 1'!$F$2:$F1000=$A107)*('Form responses 1'!$A$2:$A1000&lt;=EOMONTH(DATEVALUE("1 "&amp;AG$1),0)))+
  SUMPRODUCT(('Form responses 1'!$G$2:$G1000=$A107)*('Form responses 1'!$A$2:$A1000&lt;=EOMONTH(DATEVALUE("1 "&amp;AG$1),0)))
),2),"-")</f>
        <v>-</v>
      </c>
      <c r="AH107" s="2" t="str">
        <f>IFERROR(ROUND(Data!$B107/(
  SUMPRODUCT(('Form responses 1'!$B$2:$B1000=$A107)*('Form responses 1'!$A$2:$A1000&lt;=EOMONTH(DATEVALUE("1 "&amp;AH$1),0)))+
  SUMPRODUCT(('Form responses 1'!$C$2:$C1000=$A107)*('Form responses 1'!$A$2:$A1000&lt;=EOMONTH(DATEVALUE("1 "&amp;AH$1),0)))+
  SUMPRODUCT(('Form responses 1'!$D$2:$D1000=$A107)*('Form responses 1'!$A$2:$A1000&lt;=EOMONTH(DATEVALUE("1 "&amp;AH$1),0)))+
  SUMPRODUCT(('Form responses 1'!$E$2:$E1000=$A107)*('Form responses 1'!$A$2:$A1000&lt;=EOMONTH(DATEVALUE("1 "&amp;AH$1),0)))+
  SUMPRODUCT(('Form responses 1'!$F$2:$F1000=$A107)*('Form responses 1'!$A$2:$A1000&lt;=EOMONTH(DATEVALUE("1 "&amp;AH$1),0)))+
  SUMPRODUCT(('Form responses 1'!$G$2:$G1000=$A107)*('Form responses 1'!$A$2:$A1000&lt;=EOMONTH(DATEVALUE("1 "&amp;AH$1),0)))
),2),"-")</f>
        <v>-</v>
      </c>
      <c r="AI107" s="2" t="str">
        <f>IFERROR(ROUND(Data!$B107/(
  SUMPRODUCT(('Form responses 1'!$B$2:$B1000=$A107)*('Form responses 1'!$A$2:$A1000&lt;=EOMONTH(DATEVALUE("1 "&amp;AI$1),0)))+
  SUMPRODUCT(('Form responses 1'!$C$2:$C1000=$A107)*('Form responses 1'!$A$2:$A1000&lt;=EOMONTH(DATEVALUE("1 "&amp;AI$1),0)))+
  SUMPRODUCT(('Form responses 1'!$D$2:$D1000=$A107)*('Form responses 1'!$A$2:$A1000&lt;=EOMONTH(DATEVALUE("1 "&amp;AI$1),0)))+
  SUMPRODUCT(('Form responses 1'!$E$2:$E1000=$A107)*('Form responses 1'!$A$2:$A1000&lt;=EOMONTH(DATEVALUE("1 "&amp;AI$1),0)))+
  SUMPRODUCT(('Form responses 1'!$F$2:$F1000=$A107)*('Form responses 1'!$A$2:$A1000&lt;=EOMONTH(DATEVALUE("1 "&amp;AI$1),0)))+
  SUMPRODUCT(('Form responses 1'!$G$2:$G1000=$A107)*('Form responses 1'!$A$2:$A1000&lt;=EOMONTH(DATEVALUE("1 "&amp;AI$1),0)))
),2),"-")</f>
        <v>-</v>
      </c>
      <c r="AJ107" s="2" t="str">
        <f>IFERROR(ROUND(Data!$B107/(
  SUMPRODUCT(('Form responses 1'!$B$2:$B1000=$A107)*('Form responses 1'!$A$2:$A1000&lt;=EOMONTH(DATEVALUE("1 "&amp;AJ$1),0)))+
  SUMPRODUCT(('Form responses 1'!$C$2:$C1000=$A107)*('Form responses 1'!$A$2:$A1000&lt;=EOMONTH(DATEVALUE("1 "&amp;AJ$1),0)))+
  SUMPRODUCT(('Form responses 1'!$D$2:$D1000=$A107)*('Form responses 1'!$A$2:$A1000&lt;=EOMONTH(DATEVALUE("1 "&amp;AJ$1),0)))+
  SUMPRODUCT(('Form responses 1'!$E$2:$E1000=$A107)*('Form responses 1'!$A$2:$A1000&lt;=EOMONTH(DATEVALUE("1 "&amp;AJ$1),0)))+
  SUMPRODUCT(('Form responses 1'!$F$2:$F1000=$A107)*('Form responses 1'!$A$2:$A1000&lt;=EOMONTH(DATEVALUE("1 "&amp;AJ$1),0)))+
  SUMPRODUCT(('Form responses 1'!$G$2:$G1000=$A107)*('Form responses 1'!$A$2:$A1000&lt;=EOMONTH(DATEVALUE("1 "&amp;AJ$1),0)))
),2),"-")</f>
        <v>-</v>
      </c>
      <c r="AK107" s="2" t="str">
        <f>IFERROR(ROUND(Data!$B107/(
  SUMPRODUCT(('Form responses 1'!$B$2:$B1000=$A107)*('Form responses 1'!$A$2:$A1000&lt;=EOMONTH(DATEVALUE("1 "&amp;AK$1),0)))+
  SUMPRODUCT(('Form responses 1'!$C$2:$C1000=$A107)*('Form responses 1'!$A$2:$A1000&lt;=EOMONTH(DATEVALUE("1 "&amp;AK$1),0)))+
  SUMPRODUCT(('Form responses 1'!$D$2:$D1000=$A107)*('Form responses 1'!$A$2:$A1000&lt;=EOMONTH(DATEVALUE("1 "&amp;AK$1),0)))+
  SUMPRODUCT(('Form responses 1'!$E$2:$E1000=$A107)*('Form responses 1'!$A$2:$A1000&lt;=EOMONTH(DATEVALUE("1 "&amp;AK$1),0)))+
  SUMPRODUCT(('Form responses 1'!$F$2:$F1000=$A107)*('Form responses 1'!$A$2:$A1000&lt;=EOMONTH(DATEVALUE("1 "&amp;AK$1),0)))+
  SUMPRODUCT(('Form responses 1'!$G$2:$G1000=$A107)*('Form responses 1'!$A$2:$A1000&lt;=EOMONTH(DATEVALUE("1 "&amp;AK$1),0)))
),2),"-")</f>
        <v>-</v>
      </c>
      <c r="AL107" s="2" t="str">
        <f>IFERROR(ROUND(Data!$B107/(
  SUMPRODUCT(('Form responses 1'!$B$2:$B1000=$A107)*('Form responses 1'!$A$2:$A1000&lt;=EOMONTH(DATEVALUE("1 "&amp;AL$1),0)))+
  SUMPRODUCT(('Form responses 1'!$C$2:$C1000=$A107)*('Form responses 1'!$A$2:$A1000&lt;=EOMONTH(DATEVALUE("1 "&amp;AL$1),0)))+
  SUMPRODUCT(('Form responses 1'!$D$2:$D1000=$A107)*('Form responses 1'!$A$2:$A1000&lt;=EOMONTH(DATEVALUE("1 "&amp;AL$1),0)))+
  SUMPRODUCT(('Form responses 1'!$E$2:$E1000=$A107)*('Form responses 1'!$A$2:$A1000&lt;=EOMONTH(DATEVALUE("1 "&amp;AL$1),0)))+
  SUMPRODUCT(('Form responses 1'!$F$2:$F1000=$A107)*('Form responses 1'!$A$2:$A1000&lt;=EOMONTH(DATEVALUE("1 "&amp;AL$1),0)))+
  SUMPRODUCT(('Form responses 1'!$G$2:$G1000=$A107)*('Form responses 1'!$A$2:$A1000&lt;=EOMONTH(DATEVALUE("1 "&amp;AL$1),0)))
),2),"-")</f>
        <v>-</v>
      </c>
    </row>
    <row r="108">
      <c r="A108" s="3" t="str">
        <f>IFERROR(__xludf.DUMMYFUNCTION("""COMPUTED_VALUE"""),"Zwarte smoking jas")</f>
        <v>Zwarte smoking jas</v>
      </c>
      <c r="C108" s="2" t="str">
        <f>IFERROR(ROUND(Data!B99/(SUMPRODUCT(('Form responses 1'!$B$2:$B1000 = A108) * ('Form responses 1'!$A$2:$A1000 &lt;= DATE(2024, 1, 31)))
+ SUMPRODUCT(('Form responses 1'!$C$2:$C1000 = A108) * ('Form responses 1'!$A$2:$A1000 &lt;= DATE(2024, 1, 31)))
+ SUMPRODUCT(('Form responses 1'!$D$2:$D1000 = A108) * ('Form responses 1'!$A$2:$A1000 &lt;= DATE(2024, 1, 31)))
+ SUMPRODUCT(('Form responses 1'!$E$2:$E1000 = A108) * ('Form responses 1'!$A$2:$A1000 &lt;= DATE(2024, 1, 31)))
+ SUMPRODUCT(('Form responses 1'!$F$2:$F1000 = A108) * ('Form responses 1'!$A$2:$A1000 &lt;= DATE(2024, 1, 31)))
+ SUMPRODUCT(('Form responses 1'!$G$2:$G1000 = A108) * ('Form responses 1'!$A$2:$A1000 &lt;= DATE(2024, 1, 31)))), 2), "-")
</f>
        <v>-</v>
      </c>
      <c r="D108" s="2" t="str">
        <f>IFERROR(ROUND(Data!B99/(SUMPRODUCT(('Form responses 1'!$B$2:$B1000 = A108) * ('Form responses 1'!$A$2:$A1000 &lt;= DATE(2024, 2, 29)))
+ SUMPRODUCT(('Form responses 1'!$C$2:$C1000 = A108) * ('Form responses 1'!$A$2:$A1000 &lt;= DATE(2024, 2, 29)))
+ SUMPRODUCT(('Form responses 1'!$D$2:$D1000 = A108) * ('Form responses 1'!$A$2:$A1000 &lt;= DATE(2024, 2, 29)))
+ SUMPRODUCT(('Form responses 1'!$E$2:$E1000 = A108) * ('Form responses 1'!$A$2:$A1000 &lt;= DATE(2024, 2, 29)))
+ SUMPRODUCT(('Form responses 1'!$F$2:$F1000 = A108) * ('Form responses 1'!$A$2:$A1000 &lt;= DATE(2024, 2, 29)))
+ SUMPRODUCT(('Form responses 1'!$G$2:$G1000 = A108) * ('Form responses 1'!$A$2:$A1000 &lt;= DATE(2024, 2, 29)))), 2), "-")
</f>
        <v>-</v>
      </c>
      <c r="E108" s="2" t="str">
        <f>IFERROR(ROUND(Data!B99/(SUMPRODUCT(('Form responses 1'!$B$2:$B1000 = A108) * ('Form responses 1'!$A$2:$A1000 &lt;= DATE(2024, 3, 31)))
+ SUMPRODUCT(('Form responses 1'!$C$2:$C1000 = A108) * ('Form responses 1'!$A$2:$A1000 &lt;= DATE(2024, 3, 31)))
+ SUMPRODUCT(('Form responses 1'!$D$2:$D1000 = A108) * ('Form responses 1'!$A$2:$A1000 &lt;= DATE(2024, 3, 31)))
+ SUMPRODUCT(('Form responses 1'!$E$2:$E1000 = A108) * ('Form responses 1'!$A$2:$A1000 &lt;= DATE(2024, 3, 31)))
+ SUMPRODUCT(('Form responses 1'!$F$2:$F1000 = A108) * ('Form responses 1'!$A$2:$A1000 &lt;= DATE(2024, 3, 31)))
+ SUMPRODUCT(('Form responses 1'!$G$2:$G1000 = A108) * ('Form responses 1'!$A$2:$A1000 &lt;= DATE(2024, 3, 31)))), 2), "-")
</f>
        <v>-</v>
      </c>
      <c r="F108" s="2" t="str">
        <f>IFERROR(ROUND(Data!B99/(SUMPRODUCT(('Form responses 1'!$B$2:$B1000 = A108) * ('Form responses 1'!$A$2:$A1000 &lt;= DATE(2024, 4, 30)))
+ SUMPRODUCT(('Form responses 1'!$C$2:$C1000 = A108) * ('Form responses 1'!$A$2:$A1000 &lt;= DATE(2024, 4, 30)))
+ SUMPRODUCT(('Form responses 1'!$D$2:$D1000 = A108) * ('Form responses 1'!$A$2:$A1000 &lt;= DATE(2024, 4, 30)))
+ SUMPRODUCT(('Form responses 1'!$E$2:$E1000 = A108) * ('Form responses 1'!$A$2:$A1000 &lt;= DATE(2024, 4, 30)))
+ SUMPRODUCT(('Form responses 1'!$F$2:$F1000 = A108) * ('Form responses 1'!$A$2:$A1000 &lt;= DATE(2024, 4, 30)))
+ SUMPRODUCT(('Form responses 1'!$G$2:$G1000 = A108) * ('Form responses 1'!$A$2:$A1000 &lt;= DATE(2024, 4, 30)))), 2), "-")
</f>
        <v>-</v>
      </c>
      <c r="G108" s="2" t="str">
        <f>IFERROR(ROUND(Data!B99/(SUMPRODUCT(('Form responses 1'!$B$2:$B1000 = A108) * ('Form responses 1'!$A$2:$A1000 &lt;= DATE(2024, 5, 31)))
+ SUMPRODUCT(('Form responses 1'!$C$2:$C1000 = A108) * ('Form responses 1'!$A$2:$A1000 &lt;= DATE(2024, 5, 31)))
+ SUMPRODUCT(('Form responses 1'!$D$2:$D1000 = A108) * ('Form responses 1'!$A$2:$A1000 &lt;= DATE(2024, 5, 31)))
+ SUMPRODUCT(('Form responses 1'!$E$2:$E1000 = A108) * ('Form responses 1'!$A$2:$A1000 &lt;= DATE(2024, 5, 31)))
+ SUMPRODUCT(('Form responses 1'!$F$2:$F1000 = A108) * ('Form responses 1'!$A$2:$A1000 &lt;= DATE(2024, 5, 31)))
+ SUMPRODUCT(('Form responses 1'!$G$2:$G1000 = A108) * ('Form responses 1'!$A$2:$A1000 &lt;= DATE(2024, 5, 31)))), 2), "-")
</f>
        <v>-</v>
      </c>
      <c r="H108" s="2" t="str">
        <f>IFERROR(ROUND(Data!B99/(SUMPRODUCT(('Form responses 1'!$B$2:$B1000 = A108) * ('Form responses 1'!$A$2:$A1000 &lt;= DATE(2024, 6, 30)))
+ SUMPRODUCT(('Form responses 1'!$C$2:$C1000 = A108) * ('Form responses 1'!$A$2:$A1000 &lt;= DATE(2024, 6, 30)))
+ SUMPRODUCT(('Form responses 1'!$D$2:$D1000 = A108) * ('Form responses 1'!$A$2:$A1000 &lt;= DATE(2024, 6, 30)))
+ SUMPRODUCT(('Form responses 1'!$E$2:$E1000 = A108) * ('Form responses 1'!$A$2:$A1000 &lt;= DATE(2024, 6, 30)))
+ SUMPRODUCT(('Form responses 1'!$F$2:$F1000 = A108) * ('Form responses 1'!$A$2:$A1000 &lt;= DATE(2024, 6, 30)))
+ SUMPRODUCT(('Form responses 1'!$G$2:$G1000 = A108) * ('Form responses 1'!$A$2:$A1000 &lt;= DATE(2024, 6, 30)))), 2), "-")
</f>
        <v>-</v>
      </c>
      <c r="I108" s="2" t="str">
        <f>IFERROR(ROUND(Data!B99/(SUMPRODUCT(('Form responses 1'!$B$2:$B1000 = A108) * ('Form responses 1'!$A$2:$A1000 &lt;= DATE(2024, 7, 31)))
+ SUMPRODUCT(('Form responses 1'!$C$2:$C1000 = A108) * ('Form responses 1'!$A$2:$A1000 &lt;= DATE(2024, 7, 31)))
+ SUMPRODUCT(('Form responses 1'!$D$2:$D1000 = A108) * ('Form responses 1'!$A$2:$A1000 &lt;= DATE(2024, 7, 31)))
+ SUMPRODUCT(('Form responses 1'!$E$2:$E1000 = A108) * ('Form responses 1'!$A$2:$A1000 &lt;= DATE(2024, 7, 31)))
+ SUMPRODUCT(('Form responses 1'!$F$2:$F1000 = A108) * ('Form responses 1'!$A$2:$A1000 &lt;= DATE(2024, 7, 31)))
+ SUMPRODUCT(('Form responses 1'!$G$2:$G1000 = A108) * ('Form responses 1'!$A$2:$A1000 &lt;= DATE(2024, 7, 31)))), 2), "-")
</f>
        <v>-</v>
      </c>
      <c r="J108" s="2" t="str">
        <f>IFERROR(ROUND(Data!B99/(SUMPRODUCT(('Form responses 1'!$B$2:$B1000 = A108) * ('Form responses 1'!$A$2:$A1000 &lt;= DATE(2024, 8, 31)))
+ SUMPRODUCT(('Form responses 1'!$C$2:$C1000 = A108) * ('Form responses 1'!$A$2:$A1000 &lt;= DATE(2024, 8, 31)))
+ SUMPRODUCT(('Form responses 1'!$D$2:$D1000 = A108) * ('Form responses 1'!$A$2:$A1000 &lt;= DATE(2024, 8, 31)))
+ SUMPRODUCT(('Form responses 1'!$E$2:$E1000 = A108) * ('Form responses 1'!$A$2:$A1000 &lt;= DATE(2024, 8, 31)))
+ SUMPRODUCT(('Form responses 1'!$F$2:$F1000 = A108) * ('Form responses 1'!$A$2:$A1000 &lt;= DATE(2024, 8, 31)))
+ SUMPRODUCT(('Form responses 1'!$G$2:$G1000 = A108) * ('Form responses 1'!$A$2:$A1000 &lt;= DATE(2024, 8, 31)))), 2), "-")
</f>
        <v>-</v>
      </c>
      <c r="K108" s="2" t="str">
        <f>IFERROR(ROUND(Data!B99/(SUMPRODUCT(('Form responses 1'!$B$2:$B1000 = A108) * ('Form responses 1'!$A$2:$A1000 &lt;= DATE(2024, 9, 30)))
+ SUMPRODUCT(('Form responses 1'!$C$2:$C1000 = A108) * ('Form responses 1'!$A$2:$A1000 &lt;= DATE(2024, 9, 30)))
+ SUMPRODUCT(('Form responses 1'!$D$2:$D1000 = A108) * ('Form responses 1'!$A$2:$A1000 &lt;= DATE(2024, 9, 30)))
+ SUMPRODUCT(('Form responses 1'!$E$2:$E1000 = A108) * ('Form responses 1'!$A$2:$A1000 &lt;= DATE(2024, 9, 30)))
+ SUMPRODUCT(('Form responses 1'!$F$2:$F1000 = A108) * ('Form responses 1'!$A$2:$A1000 &lt;= DATE(2024, 9, 30)))
+ SUMPRODUCT(('Form responses 1'!$G$2:$G1000 = A108) * ('Form responses 1'!$A$2:$A1000 &lt;= DATE(2024, 9, 30)))), 2), "-")
</f>
        <v>-</v>
      </c>
      <c r="L108" s="2" t="str">
        <f>IFERROR(ROUND(Data!B99/(SUMPRODUCT(('Form responses 1'!$B$2:$B1000 = A108) * ('Form responses 1'!$A$2:$A1000 &lt;= DATE(2024, 10, 31)))
+ SUMPRODUCT(('Form responses 1'!$C$2:$C1000 = A108) * ('Form responses 1'!$A$2:$A1000 &lt;= DATE(2024, 10, 31)))
+ SUMPRODUCT(('Form responses 1'!$D$2:$D1000 = A108) * ('Form responses 1'!$A$2:$A1000 &lt;= DATE(2024, 10, 31)))
+ SUMPRODUCT(('Form responses 1'!$E$2:$E1000 = A108) * ('Form responses 1'!$A$2:$A1000 &lt;= DATE(2024, 10, 31)))
+ SUMPRODUCT(('Form responses 1'!$F$2:$F1000 = A108) * ('Form responses 1'!$A$2:$A1000 &lt;= DATE(2024, 10, 31)))
+ SUMPRODUCT(('Form responses 1'!$G$2:$G1000 = A108) * ('Form responses 1'!$A$2:$A1000 &lt;= DATE(2024, 10, 31)))), 2), "-")
</f>
        <v>-</v>
      </c>
      <c r="M108" s="2" t="str">
        <f>IFERROR(ROUND(Data!B99/(SUMPRODUCT(('Form responses 1'!$B$2:$B1000 = A108) * ('Form responses 1'!$A$2:$A1000 &lt;= DATE(2024, 11, 30)))
+ SUMPRODUCT(('Form responses 1'!$C$2:$C1000 = A108) * ('Form responses 1'!$A$2:$A1000 &lt;= DATE(2024, 11, 30)))
+ SUMPRODUCT(('Form responses 1'!$D$2:$D1000 = A108) * ('Form responses 1'!$A$2:$A1000 &lt;= DATE(2024, 11, 30)))
+ SUMPRODUCT(('Form responses 1'!$E$2:$E1000 = A108) * ('Form responses 1'!$A$2:$A1000 &lt;= DATE(2024, 11, 30)))
+ SUMPRODUCT(('Form responses 1'!$F$2:$F1000 = A108) * ('Form responses 1'!$A$2:$A1000 &lt;= DATE(2024, 11, 30)))
+ SUMPRODUCT(('Form responses 1'!$G$2:$G1000 = A108) * ('Form responses 1'!$A$2:$A1000 &lt;= DATE(2024, 11, 30)))), 2), "-")
</f>
        <v>-</v>
      </c>
      <c r="N108" s="2" t="str">
        <f>IFERROR(ROUND(Data!B99/(SUMPRODUCT(('Form responses 1'!$B$2:$B1000 = A108) * ('Form responses 1'!$A$2:$A1000 &lt;= DATE(2024, 12, 31)))
+ SUMPRODUCT(('Form responses 1'!$C$2:$C1000 = A108) * ('Form responses 1'!$A$2:$A1000 &lt;= DATE(2024, 12, 31)))
+ SUMPRODUCT(('Form responses 1'!$D$2:$D1000 = A108) * ('Form responses 1'!$A$2:$A1000 &lt;= DATE(2024, 12, 31)))
+ SUMPRODUCT(('Form responses 1'!$E$2:$E1000 = A108) * ('Form responses 1'!$A$2:$A1000 &lt;= DATE(2024, 12, 31)))
+ SUMPRODUCT(('Form responses 1'!$F$2:$F1000 = A108) * ('Form responses 1'!$A$2:$A1000 &lt;= DATE(2024, 12, 31)))
+ SUMPRODUCT(('Form responses 1'!$G$2:$G1000 = A108) * ('Form responses 1'!$A$2:$A1000 &lt;= DATE(2024, 12, 31)))), 2), "-")
</f>
        <v>-</v>
      </c>
      <c r="O108" s="2" t="str">
        <f>IFERROR(ROUND(Data!B99/(SUMPRODUCT(('Form responses 1'!$B$2:$B1000 = A108) * ('Form responses 1'!$A$2:$A1000 &lt;= DATE(2025, 1, 31)))
+ SUMPRODUCT(('Form responses 1'!$C$2:$C1000 = A108) * ('Form responses 1'!$A$2:$A1000 &lt;= DATE(2025, 1, 31)))
+ SUMPRODUCT(('Form responses 1'!$D$2:$D1000 = A108) * ('Form responses 1'!$A$2:$A1000 &lt;= DATE(2025, 1, 31)))
+ SUMPRODUCT(('Form responses 1'!$E$2:$E1000 = A108) * ('Form responses 1'!$A$2:$A1000 &lt;= DATE(2025, 1, 31)))
+ SUMPRODUCT(('Form responses 1'!$F$2:$F1000 = A108) * ('Form responses 1'!$A$2:$A1000 &lt;= DATE(2025, 1, 31)))
+ SUMPRODUCT(('Form responses 1'!$G$2:$G1000 = A108) * ('Form responses 1'!$A$2:$A1000 &lt;= DATE(2025, 1, 31)))), 2), "-")
</f>
        <v>-</v>
      </c>
      <c r="P108" s="2" t="str">
        <f>IFERROR(ROUND(Data!B99/(SUMPRODUCT(('Form responses 1'!$B$2:$B1000 = A108) * ('Form responses 1'!$A$2:$A1000 &lt;= DATE(2025, 2, 28)))
+ SUMPRODUCT(('Form responses 1'!$C$2:$C1000 = A108) * ('Form responses 1'!$A$2:$A1000 &lt;= DATE(2025, 2, 28)))
+ SUMPRODUCT(('Form responses 1'!$D$2:$D1000 = A108) * ('Form responses 1'!$A$2:$A1000 &lt;= DATE(2025, 2, 28)))
+ SUMPRODUCT(('Form responses 1'!$E$2:$E1000 = A108) * ('Form responses 1'!$A$2:$A1000 &lt;= DATE(2025, 2, 28)))
+ SUMPRODUCT(('Form responses 1'!$F$2:$F1000 = A108) * ('Form responses 1'!$A$2:$A1000 &lt;= DATE(2025, 2, 28)))
+ SUMPRODUCT(('Form responses 1'!$G$2:$G1000 = A108) * ('Form responses 1'!$A$2:$A1000 &lt;= DATE(2025, 2, 28)))), 2), "-")
</f>
        <v>-</v>
      </c>
      <c r="Q108" s="2" t="str">
        <f>IFERROR(ROUND(Data!B99/(SUMPRODUCT(('Form responses 1'!$B$2:$B1000 = A108) * ('Form responses 1'!$A$2:$A1000 &lt;= DATE(2025, 3, 31)))
+ SUMPRODUCT(('Form responses 1'!$C$2:$C1000 = A108) * ('Form responses 1'!$A$2:$A1000 &lt;= DATE(2025, 3, 31)))
+ SUMPRODUCT(('Form responses 1'!$D$2:$D1000 = A108) * ('Form responses 1'!$A$2:$A1000 &lt;= DATE(2025, 3, 31)))
+ SUMPRODUCT(('Form responses 1'!$E$2:$E1000 = A108) * ('Form responses 1'!$A$2:$A1000 &lt;= DATE(2025, 3, 31)))
+ SUMPRODUCT(('Form responses 1'!$F$2:$F1000 = A108) * ('Form responses 1'!$A$2:$A1000 &lt;= DATE(2025, 3, 31)))
+ SUMPRODUCT(('Form responses 1'!$G$2:$G1000 = A108) * ('Form responses 1'!$A$2:$A1000 &lt;= DATE(2025, 3, 31)))),2),"-")</f>
        <v>-</v>
      </c>
      <c r="R108" s="2" t="str">
        <f>IFERROR(ROUND(Data!B99/(SUMPRODUCT(('Form responses 1'!$B$2:$B1000 = A108) * ('Form responses 1'!$A$2:$A1000 &lt;= DATE(2025, 4, 30)))
+ SUMPRODUCT(('Form responses 1'!$C$2:$C1000 = A108) * ('Form responses 1'!$A$2:$A1000 &lt;= DATE(2025, 4, 30)))
+ SUMPRODUCT(('Form responses 1'!$D$2:$D1000 = A108) * ('Form responses 1'!$A$2:$A1000 &lt;= DATE(2025, 4, 30)))
+ SUMPRODUCT(('Form responses 1'!$E$2:$E1000 = A108) * ('Form responses 1'!$A$2:$A1000 &lt;= DATE(2025, 4, 30)))
+ SUMPRODUCT(('Form responses 1'!$F$2:$F1000 = A108) * ('Form responses 1'!$A$2:$A1000 &lt;= DATE(2025, 4, 30)))
+ SUMPRODUCT(('Form responses 1'!$G$2:$G1000 = A108) * ('Form responses 1'!$A$2:$A1000 &lt;= DATE(2025, 4, 30)))), 2), "-")
</f>
        <v>-</v>
      </c>
      <c r="S108" s="2" t="str">
        <f>IFERROR(ROUND(Data!B99/(SUMPRODUCT(('Form responses 1'!$B$2:$B1000 = A108) * ('Form responses 1'!$A$2:$A1000 &lt;= DATE(2025, 5, 31)))
+ SUMPRODUCT(('Form responses 1'!$C$2:$C1000 = A108) * ('Form responses 1'!$A$2:$A1000 &lt;= DATE(2025, 5, 31)))
+ SUMPRODUCT(('Form responses 1'!$D$2:$D1000 = A108) * ('Form responses 1'!$A$2:$A1000 &lt;= DATE(2025, 5, 31)))
+ SUMPRODUCT(('Form responses 1'!$E$2:$E1000 = A108) * ('Form responses 1'!$A$2:$A1000 &lt;= DATE(2025, 5, 31)))
+ SUMPRODUCT(('Form responses 1'!$F$2:$F1000 = A108) * ('Form responses 1'!$A$2:$A1000 &lt;= DATE(2025, 5, 31)))
+ SUMPRODUCT(('Form responses 1'!$G$2:$G1000 = A108) * ('Form responses 1'!$A$2:$A1000 &lt;= DATE(2025, 5, 31)))), 2), "-")
</f>
        <v>-</v>
      </c>
      <c r="T108" s="2" t="str">
        <f>IFERROR(ROUND(Data!B99/(SUMPRODUCT(('Form responses 1'!$B$2:$B1000 = A108) * ('Form responses 1'!$A$2:$A1000 &lt;= DATE(2025, 6, 30)))
+ SUMPRODUCT(('Form responses 1'!$C$2:$C1000 = A108) * ('Form responses 1'!$A$2:$A1000 &lt;= DATE(2025, 6, 30)))
+ SUMPRODUCT(('Form responses 1'!$D$2:$D1000 = A108) * ('Form responses 1'!$A$2:$A1000 &lt;= DATE(2025, 6, 30)))
+ SUMPRODUCT(('Form responses 1'!$E$2:$E1000 = A108) * ('Form responses 1'!$A$2:$A1000 &lt;= DATE(2025, 6, 30)))
+ SUMPRODUCT(('Form responses 1'!$F$2:$F1000 = A108) * ('Form responses 1'!$A$2:$A1000 &lt;= DATE(2025, 6, 30)))
+ SUMPRODUCT(('Form responses 1'!$G$2:$G1000 = A108) * ('Form responses 1'!$A$2:$A1000 &lt;= DATE(2025, 6, 30)))), 2), "-")
</f>
        <v>-</v>
      </c>
      <c r="U108" s="2" t="str">
        <f>IFERROR(ROUND(Data!B99/(SUMPRODUCT(('Form responses 1'!$B$2:$B1000 = A108) * ('Form responses 1'!$A$2:$A1000 &lt;= DATE(2025, 7, 31)))
+ SUMPRODUCT(('Form responses 1'!$C$2:$C1000 = A108) * ('Form responses 1'!$A$2:$A1000 &lt;= DATE(2025, 7, 31)))
+ SUMPRODUCT(('Form responses 1'!$D$2:$D1000 = A108) * ('Form responses 1'!$A$2:$A1000 &lt;= DATE(2025, 7, 31)))
+ SUMPRODUCT(('Form responses 1'!$E$2:$E1000 = A108) * ('Form responses 1'!$A$2:$A1000 &lt;= DATE(2025, 7, 31)))
+ SUMPRODUCT(('Form responses 1'!$F$2:$F1000 = A108) * ('Form responses 1'!$A$2:$A1000 &lt;= DATE(2025, 7, 31)))
+ SUMPRODUCT(('Form responses 1'!$G$2:$G1000 = A108) * ('Form responses 1'!$A$2:$A1000 &lt;= DATE(2025, 7, 31)))), 2), "-")
</f>
        <v>-</v>
      </c>
      <c r="V108" s="2" t="str">
        <f>IFERROR(ROUND(Data!B99/(SUMPRODUCT(('Form responses 1'!$B$2:$B1000 = A108) * ('Form responses 1'!$A$2:$A1000 &lt;= DATE(2025, 8, 31)))
+ SUMPRODUCT(('Form responses 1'!$C$2:$C1000 = A108) * ('Form responses 1'!$A$2:$A1000 &lt;= DATE(2025, 8, 31)))
+ SUMPRODUCT(('Form responses 1'!$D$2:$D1000 = A108) * ('Form responses 1'!$A$2:$A1000 &lt;= DATE(2025, 8, 31)))
+ SUMPRODUCT(('Form responses 1'!$E$2:$E1000 = A108) * ('Form responses 1'!$A$2:$A1000 &lt;= DATE(2025, 8, 31)))
+ SUMPRODUCT(('Form responses 1'!$F$2:$F1000 = A108) * ('Form responses 1'!$A$2:$A1000 &lt;= DATE(2025, 8, 31)))
+ SUMPRODUCT(('Form responses 1'!$G$2:$G1000 = A108) * ('Form responses 1'!$A$2:$A1000 &lt;= DATE(2025, 8, 31)))), 2), "-")
</f>
        <v>-</v>
      </c>
      <c r="W108" s="2" t="str">
        <f>IFERROR(ROUND(Data!B99/(SUMPRODUCT(('Form responses 1'!$B$2:$B1000 = A108) * ('Form responses 1'!$A$2:$A1000 &lt;= DATE(2025, 9, 30)))
+ SUMPRODUCT(('Form responses 1'!$C$2:$C1000 = A108) * ('Form responses 1'!$A$2:$A1000 &lt;= DATE(2025, 9, 30)))
+ SUMPRODUCT(('Form responses 1'!$D$2:$D1000 = A108) * ('Form responses 1'!$A$2:$A1000 &lt;= DATE(2025, 9, 30)))
+ SUMPRODUCT(('Form responses 1'!$E$2:$E1000 = A108) * ('Form responses 1'!$A$2:$A1000 &lt;= DATE(2025, 9, 30)))
+ SUMPRODUCT(('Form responses 1'!$F$2:$F1000 = A108) * ('Form responses 1'!$A$2:$A1000 &lt;= DATE(2025, 9, 30)))
+ SUMPRODUCT(('Form responses 1'!$G$2:$G1000 = A108) * ('Form responses 1'!$A$2:$A1000 &lt;= DATE(2025, 9, 30)))), 2), "-")
</f>
        <v>-</v>
      </c>
      <c r="X108" s="2" t="str">
        <f>IFERROR(ROUND(Data!B99/(SUMPRODUCT(('Form responses 1'!$B$2:$B1000 = A108) * ('Form responses 1'!$A$2:$A1000 &lt;= DATE(2025, 10, 31)))
+ SUMPRODUCT(('Form responses 1'!$C$2:$C1000 = A108) * ('Form responses 1'!$A$2:$A1000 &lt;= DATE(2025, 10, 31)))
+ SUMPRODUCT(('Form responses 1'!$D$2:$D1000 = A108) * ('Form responses 1'!$A$2:$A1000 &lt;= DATE(2025, 10, 31)))
+ SUMPRODUCT(('Form responses 1'!$E$2:$E1000 = A108) * ('Form responses 1'!$A$2:$A1000 &lt;= DATE(2025, 10, 31)))
+ SUMPRODUCT(('Form responses 1'!$F$2:$F1000 = A108) * ('Form responses 1'!$A$2:$A1000 &lt;= DATE(2025, 10, 31)))
+ SUMPRODUCT(('Form responses 1'!$G$2:$G1000 = A108) * ('Form responses 1'!$A$2:$A1000 &lt;= DATE(2025, 10, 31)))), 2), "-")
</f>
        <v>-</v>
      </c>
      <c r="Y108" s="2">
        <f>IFERROR(ROUND(Data!B99/(SUMPRODUCT(('Form responses 1'!$B$2:$B1000 = A108) * ('Form responses 1'!$A$2:$A1000 &lt;= DATE(2025, 11, 30)))
+ SUMPRODUCT(('Form responses 1'!$C$2:$C1000 = A108) * ('Form responses 1'!$A$2:$A1000 &lt;= DATE(2025, 11, 30)))
+ SUMPRODUCT(('Form responses 1'!$D$2:$D1000 = A108) * ('Form responses 1'!$A$2:$A1000 &lt;= DATE(2025, 11, 30)))
+ SUMPRODUCT(('Form responses 1'!$E$2:$E1000 = A108) * ('Form responses 1'!$A$2:$A1000 &lt;= DATE(2025, 11, 30)))
+ SUMPRODUCT(('Form responses 1'!$F$2:$F1000 = A108) * ('Form responses 1'!$A$2:$A1000 &lt;= DATE(2025, 11, 30)))
+ SUMPRODUCT(('Form responses 1'!$G$2:$G1000 = A108) * ('Form responses 1'!$A$2:$A1000 &lt;= DATE(2025, 11, 30)))), 2), "-")
</f>
        <v>34.99</v>
      </c>
      <c r="Z108" s="2">
        <f>IFERROR(ROUND(Data!B99/(SUMPRODUCT(('Form responses 1'!$B$2:$B1000 = A108) * ('Form responses 1'!$A$2:$A1000 &lt;= DATE(2025, 12, 31)))
+ SUMPRODUCT(('Form responses 1'!$C$2:$C1000 = A108) * ('Form responses 1'!$A$2:$A1000 &lt;= DATE(2025, 12, 31)))
+ SUMPRODUCT(('Form responses 1'!$D$2:$D1000 = A108) * ('Form responses 1'!$A$2:$A1000 &lt;= DATE(2025, 12, 31)))
+ SUMPRODUCT(('Form responses 1'!$E$2:$E1000 = A108) * ('Form responses 1'!$A$2:$A1000 &lt;= DATE(2025, 12, 31)))
+ SUMPRODUCT(('Form responses 1'!$F$2:$F1000 = A108) * ('Form responses 1'!$A$2:$A1000 &lt;= DATE(2025, 12, 31)))
+ SUMPRODUCT(('Form responses 1'!$G$2:$G1000 = A108) * ('Form responses 1'!$A$2:$A1000 &lt;= DATE(2025, 12, 31)))), 2), "-")
</f>
        <v>34.99</v>
      </c>
      <c r="AA108" s="2">
        <f>IFERROR(ROUND(Data!$B108/(
  SUMPRODUCT(('Form responses 1'!$B$2:$B1000=$A108)*('Form responses 1'!$A$2:$A1000&lt;=EOMONTH(DATEVALUE("1 "&amp;AA$1),0)))+
  SUMPRODUCT(('Form responses 1'!$C$2:$C1000=$A108)*('Form responses 1'!$A$2:$A1000&lt;=EOMONTH(DATEVALUE("1 "&amp;AA$1),0)))+
  SUMPRODUCT(('Form responses 1'!$D$2:$D1000=$A108)*('Form responses 1'!$A$2:$A1000&lt;=EOMONTH(DATEVALUE("1 "&amp;AA$1),0)))+
  SUMPRODUCT(('Form responses 1'!$E$2:$E1000=$A108)*('Form responses 1'!$A$2:$A1000&lt;=EOMONTH(DATEVALUE("1 "&amp;AA$1),0)))+
  SUMPRODUCT(('Form responses 1'!$F$2:$F1000=$A108)*('Form responses 1'!$A$2:$A1000&lt;=EOMONTH(DATEVALUE("1 "&amp;AA$1),0)))+
  SUMPRODUCT(('Form responses 1'!$G$2:$G1000=$A108)*('Form responses 1'!$A$2:$A1000&lt;=EOMONTH(DATEVALUE("1 "&amp;AA$1),0)))
),2),"-")</f>
        <v>79.95</v>
      </c>
      <c r="AB108" s="2">
        <f>IFERROR(ROUND(Data!$B108/(
  SUMPRODUCT(('Form responses 1'!$B$2:$B1000=$A108)*('Form responses 1'!$A$2:$A1000&lt;=EOMONTH(DATEVALUE("1 "&amp;AB$1),0)))+
  SUMPRODUCT(('Form responses 1'!$C$2:$C1000=$A108)*('Form responses 1'!$A$2:$A1000&lt;=EOMONTH(DATEVALUE("1 "&amp;AB$1),0)))+
  SUMPRODUCT(('Form responses 1'!$D$2:$D1000=$A108)*('Form responses 1'!$A$2:$A1000&lt;=EOMONTH(DATEVALUE("1 "&amp;AB$1),0)))+
  SUMPRODUCT(('Form responses 1'!$E$2:$E1000=$A108)*('Form responses 1'!$A$2:$A1000&lt;=EOMONTH(DATEVALUE("1 "&amp;AB$1),0)))+
  SUMPRODUCT(('Form responses 1'!$F$2:$F1000=$A108)*('Form responses 1'!$A$2:$A1000&lt;=EOMONTH(DATEVALUE("1 "&amp;AB$1),0)))+
  SUMPRODUCT(('Form responses 1'!$G$2:$G1000=$A108)*('Form responses 1'!$A$2:$A1000&lt;=EOMONTH(DATEVALUE("1 "&amp;AB$1),0)))
),2),"-")</f>
        <v>79.95</v>
      </c>
      <c r="AC108" s="2">
        <f>IFERROR(ROUND(Data!$B108/(
  SUMPRODUCT(('Form responses 1'!$B$2:$B1000=$A108)*('Form responses 1'!$A$2:$A1000&lt;=EOMONTH(DATEVALUE("1 "&amp;AC$1),0)))+
  SUMPRODUCT(('Form responses 1'!$C$2:$C1000=$A108)*('Form responses 1'!$A$2:$A1000&lt;=EOMONTH(DATEVALUE("1 "&amp;AC$1),0)))+
  SUMPRODUCT(('Form responses 1'!$D$2:$D1000=$A108)*('Form responses 1'!$A$2:$A1000&lt;=EOMONTH(DATEVALUE("1 "&amp;AC$1),0)))+
  SUMPRODUCT(('Form responses 1'!$E$2:$E1000=$A108)*('Form responses 1'!$A$2:$A1000&lt;=EOMONTH(DATEVALUE("1 "&amp;AC$1),0)))+
  SUMPRODUCT(('Form responses 1'!$F$2:$F1000=$A108)*('Form responses 1'!$A$2:$A1000&lt;=EOMONTH(DATEVALUE("1 "&amp;AC$1),0)))+
  SUMPRODUCT(('Form responses 1'!$G$2:$G1000=$A108)*('Form responses 1'!$A$2:$A1000&lt;=EOMONTH(DATEVALUE("1 "&amp;AC$1),0)))
),2),"-")</f>
        <v>79.95</v>
      </c>
      <c r="AD108" s="2" t="str">
        <f>IFERROR(ROUND(Data!$B108/(
  SUMPRODUCT(('Form responses 1'!$B$2:$B1000=$A108)*('Form responses 1'!$A$2:$A1000&lt;=EOMONTH(DATEVALUE("1 "&amp;AD$1),0)))+
  SUMPRODUCT(('Form responses 1'!$C$2:$C1000=$A108)*('Form responses 1'!$A$2:$A1000&lt;=EOMONTH(DATEVALUE("1 "&amp;AD$1),0)))+
  SUMPRODUCT(('Form responses 1'!$D$2:$D1000=$A108)*('Form responses 1'!$A$2:$A1000&lt;=EOMONTH(DATEVALUE("1 "&amp;AD$1),0)))+
  SUMPRODUCT(('Form responses 1'!$E$2:$E1000=$A108)*('Form responses 1'!$A$2:$A1000&lt;=EOMONTH(DATEVALUE("1 "&amp;AD$1),0)))+
  SUMPRODUCT(('Form responses 1'!$F$2:$F1000=$A108)*('Form responses 1'!$A$2:$A1000&lt;=EOMONTH(DATEVALUE("1 "&amp;AD$1),0)))+
  SUMPRODUCT(('Form responses 1'!$G$2:$G1000=$A108)*('Form responses 1'!$A$2:$A1000&lt;=EOMONTH(DATEVALUE("1 "&amp;AD$1),0)))
),2),"-")</f>
        <v>-</v>
      </c>
      <c r="AE108" s="2" t="str">
        <f>IFERROR(ROUND(Data!$B108/(
  SUMPRODUCT(('Form responses 1'!$B$2:$B1000=$A108)*('Form responses 1'!$A$2:$A1000&lt;=EOMONTH(DATEVALUE("1 "&amp;AE$1),0)))+
  SUMPRODUCT(('Form responses 1'!$C$2:$C1000=$A108)*('Form responses 1'!$A$2:$A1000&lt;=EOMONTH(DATEVALUE("1 "&amp;AE$1),0)))+
  SUMPRODUCT(('Form responses 1'!$D$2:$D1000=$A108)*('Form responses 1'!$A$2:$A1000&lt;=EOMONTH(DATEVALUE("1 "&amp;AE$1),0)))+
  SUMPRODUCT(('Form responses 1'!$E$2:$E1000=$A108)*('Form responses 1'!$A$2:$A1000&lt;=EOMONTH(DATEVALUE("1 "&amp;AE$1),0)))+
  SUMPRODUCT(('Form responses 1'!$F$2:$F1000=$A108)*('Form responses 1'!$A$2:$A1000&lt;=EOMONTH(DATEVALUE("1 "&amp;AE$1),0)))+
  SUMPRODUCT(('Form responses 1'!$G$2:$G1000=$A108)*('Form responses 1'!$A$2:$A1000&lt;=EOMONTH(DATEVALUE("1 "&amp;AE$1),0)))
),2),"-")</f>
        <v>-</v>
      </c>
      <c r="AF108" s="2" t="str">
        <f>IFERROR(ROUND(Data!$B108/(
  SUMPRODUCT(('Form responses 1'!$B$2:$B1000=$A108)*('Form responses 1'!$A$2:$A1000&lt;=EOMONTH(DATEVALUE("1 "&amp;AF$1),0)))+
  SUMPRODUCT(('Form responses 1'!$C$2:$C1000=$A108)*('Form responses 1'!$A$2:$A1000&lt;=EOMONTH(DATEVALUE("1 "&amp;AF$1),0)))+
  SUMPRODUCT(('Form responses 1'!$D$2:$D1000=$A108)*('Form responses 1'!$A$2:$A1000&lt;=EOMONTH(DATEVALUE("1 "&amp;AF$1),0)))+
  SUMPRODUCT(('Form responses 1'!$E$2:$E1000=$A108)*('Form responses 1'!$A$2:$A1000&lt;=EOMONTH(DATEVALUE("1 "&amp;AF$1),0)))+
  SUMPRODUCT(('Form responses 1'!$F$2:$F1000=$A108)*('Form responses 1'!$A$2:$A1000&lt;=EOMONTH(DATEVALUE("1 "&amp;AF$1),0)))+
  SUMPRODUCT(('Form responses 1'!$G$2:$G1000=$A108)*('Form responses 1'!$A$2:$A1000&lt;=EOMONTH(DATEVALUE("1 "&amp;AF$1),0)))
),2),"-")</f>
        <v>-</v>
      </c>
      <c r="AG108" s="2" t="str">
        <f>IFERROR(ROUND(Data!$B108/(
  SUMPRODUCT(('Form responses 1'!$B$2:$B1000=$A108)*('Form responses 1'!$A$2:$A1000&lt;=EOMONTH(DATEVALUE("1 "&amp;AG$1),0)))+
  SUMPRODUCT(('Form responses 1'!$C$2:$C1000=$A108)*('Form responses 1'!$A$2:$A1000&lt;=EOMONTH(DATEVALUE("1 "&amp;AG$1),0)))+
  SUMPRODUCT(('Form responses 1'!$D$2:$D1000=$A108)*('Form responses 1'!$A$2:$A1000&lt;=EOMONTH(DATEVALUE("1 "&amp;AG$1),0)))+
  SUMPRODUCT(('Form responses 1'!$E$2:$E1000=$A108)*('Form responses 1'!$A$2:$A1000&lt;=EOMONTH(DATEVALUE("1 "&amp;AG$1),0)))+
  SUMPRODUCT(('Form responses 1'!$F$2:$F1000=$A108)*('Form responses 1'!$A$2:$A1000&lt;=EOMONTH(DATEVALUE("1 "&amp;AG$1),0)))+
  SUMPRODUCT(('Form responses 1'!$G$2:$G1000=$A108)*('Form responses 1'!$A$2:$A1000&lt;=EOMONTH(DATEVALUE("1 "&amp;AG$1),0)))
),2),"-")</f>
        <v>-</v>
      </c>
      <c r="AH108" s="2" t="str">
        <f>IFERROR(ROUND(Data!$B108/(
  SUMPRODUCT(('Form responses 1'!$B$2:$B1000=$A108)*('Form responses 1'!$A$2:$A1000&lt;=EOMONTH(DATEVALUE("1 "&amp;AH$1),0)))+
  SUMPRODUCT(('Form responses 1'!$C$2:$C1000=$A108)*('Form responses 1'!$A$2:$A1000&lt;=EOMONTH(DATEVALUE("1 "&amp;AH$1),0)))+
  SUMPRODUCT(('Form responses 1'!$D$2:$D1000=$A108)*('Form responses 1'!$A$2:$A1000&lt;=EOMONTH(DATEVALUE("1 "&amp;AH$1),0)))+
  SUMPRODUCT(('Form responses 1'!$E$2:$E1000=$A108)*('Form responses 1'!$A$2:$A1000&lt;=EOMONTH(DATEVALUE("1 "&amp;AH$1),0)))+
  SUMPRODUCT(('Form responses 1'!$F$2:$F1000=$A108)*('Form responses 1'!$A$2:$A1000&lt;=EOMONTH(DATEVALUE("1 "&amp;AH$1),0)))+
  SUMPRODUCT(('Form responses 1'!$G$2:$G1000=$A108)*('Form responses 1'!$A$2:$A1000&lt;=EOMONTH(DATEVALUE("1 "&amp;AH$1),0)))
),2),"-")</f>
        <v>-</v>
      </c>
      <c r="AI108" s="2" t="str">
        <f>IFERROR(ROUND(Data!$B108/(
  SUMPRODUCT(('Form responses 1'!$B$2:$B1000=$A108)*('Form responses 1'!$A$2:$A1000&lt;=EOMONTH(DATEVALUE("1 "&amp;AI$1),0)))+
  SUMPRODUCT(('Form responses 1'!$C$2:$C1000=$A108)*('Form responses 1'!$A$2:$A1000&lt;=EOMONTH(DATEVALUE("1 "&amp;AI$1),0)))+
  SUMPRODUCT(('Form responses 1'!$D$2:$D1000=$A108)*('Form responses 1'!$A$2:$A1000&lt;=EOMONTH(DATEVALUE("1 "&amp;AI$1),0)))+
  SUMPRODUCT(('Form responses 1'!$E$2:$E1000=$A108)*('Form responses 1'!$A$2:$A1000&lt;=EOMONTH(DATEVALUE("1 "&amp;AI$1),0)))+
  SUMPRODUCT(('Form responses 1'!$F$2:$F1000=$A108)*('Form responses 1'!$A$2:$A1000&lt;=EOMONTH(DATEVALUE("1 "&amp;AI$1),0)))+
  SUMPRODUCT(('Form responses 1'!$G$2:$G1000=$A108)*('Form responses 1'!$A$2:$A1000&lt;=EOMONTH(DATEVALUE("1 "&amp;AI$1),0)))
),2),"-")</f>
        <v>-</v>
      </c>
      <c r="AJ108" s="2" t="str">
        <f>IFERROR(ROUND(Data!$B108/(
  SUMPRODUCT(('Form responses 1'!$B$2:$B1000=$A108)*('Form responses 1'!$A$2:$A1000&lt;=EOMONTH(DATEVALUE("1 "&amp;AJ$1),0)))+
  SUMPRODUCT(('Form responses 1'!$C$2:$C1000=$A108)*('Form responses 1'!$A$2:$A1000&lt;=EOMONTH(DATEVALUE("1 "&amp;AJ$1),0)))+
  SUMPRODUCT(('Form responses 1'!$D$2:$D1000=$A108)*('Form responses 1'!$A$2:$A1000&lt;=EOMONTH(DATEVALUE("1 "&amp;AJ$1),0)))+
  SUMPRODUCT(('Form responses 1'!$E$2:$E1000=$A108)*('Form responses 1'!$A$2:$A1000&lt;=EOMONTH(DATEVALUE("1 "&amp;AJ$1),0)))+
  SUMPRODUCT(('Form responses 1'!$F$2:$F1000=$A108)*('Form responses 1'!$A$2:$A1000&lt;=EOMONTH(DATEVALUE("1 "&amp;AJ$1),0)))+
  SUMPRODUCT(('Form responses 1'!$G$2:$G1000=$A108)*('Form responses 1'!$A$2:$A1000&lt;=EOMONTH(DATEVALUE("1 "&amp;AJ$1),0)))
),2),"-")</f>
        <v>-</v>
      </c>
      <c r="AK108" s="2" t="str">
        <f>IFERROR(ROUND(Data!$B108/(
  SUMPRODUCT(('Form responses 1'!$B$2:$B1000=$A108)*('Form responses 1'!$A$2:$A1000&lt;=EOMONTH(DATEVALUE("1 "&amp;AK$1),0)))+
  SUMPRODUCT(('Form responses 1'!$C$2:$C1000=$A108)*('Form responses 1'!$A$2:$A1000&lt;=EOMONTH(DATEVALUE("1 "&amp;AK$1),0)))+
  SUMPRODUCT(('Form responses 1'!$D$2:$D1000=$A108)*('Form responses 1'!$A$2:$A1000&lt;=EOMONTH(DATEVALUE("1 "&amp;AK$1),0)))+
  SUMPRODUCT(('Form responses 1'!$E$2:$E1000=$A108)*('Form responses 1'!$A$2:$A1000&lt;=EOMONTH(DATEVALUE("1 "&amp;AK$1),0)))+
  SUMPRODUCT(('Form responses 1'!$F$2:$F1000=$A108)*('Form responses 1'!$A$2:$A1000&lt;=EOMONTH(DATEVALUE("1 "&amp;AK$1),0)))+
  SUMPRODUCT(('Form responses 1'!$G$2:$G1000=$A108)*('Form responses 1'!$A$2:$A1000&lt;=EOMONTH(DATEVALUE("1 "&amp;AK$1),0)))
),2),"-")</f>
        <v>-</v>
      </c>
      <c r="AL108" s="2" t="str">
        <f>IFERROR(ROUND(Data!$B108/(
  SUMPRODUCT(('Form responses 1'!$B$2:$B1000=$A108)*('Form responses 1'!$A$2:$A1000&lt;=EOMONTH(DATEVALUE("1 "&amp;AL$1),0)))+
  SUMPRODUCT(('Form responses 1'!$C$2:$C1000=$A108)*('Form responses 1'!$A$2:$A1000&lt;=EOMONTH(DATEVALUE("1 "&amp;AL$1),0)))+
  SUMPRODUCT(('Form responses 1'!$D$2:$D1000=$A108)*('Form responses 1'!$A$2:$A1000&lt;=EOMONTH(DATEVALUE("1 "&amp;AL$1),0)))+
  SUMPRODUCT(('Form responses 1'!$E$2:$E1000=$A108)*('Form responses 1'!$A$2:$A1000&lt;=EOMONTH(DATEVALUE("1 "&amp;AL$1),0)))+
  SUMPRODUCT(('Form responses 1'!$F$2:$F1000=$A108)*('Form responses 1'!$A$2:$A1000&lt;=EOMONTH(DATEVALUE("1 "&amp;AL$1),0)))+
  SUMPRODUCT(('Form responses 1'!$G$2:$G1000=$A108)*('Form responses 1'!$A$2:$A1000&lt;=EOMONTH(DATEVALUE("1 "&amp;AL$1),0)))
),2),"-")</f>
        <v>-</v>
      </c>
    </row>
    <row r="109">
      <c r="A109" s="3" t="str">
        <f>IFERROR(__xludf.DUMMYFUNCTION("""COMPUTED_VALUE"""),"Wit smoking overhemd")</f>
        <v>Wit smoking overhemd</v>
      </c>
      <c r="C109" s="2" t="str">
        <f>IFERROR(ROUND(Data!B100/(SUMPRODUCT(('Form responses 1'!$B$2:$B1000 = A109) * ('Form responses 1'!$A$2:$A1000 &lt;= DATE(2024, 1, 31)))
+ SUMPRODUCT(('Form responses 1'!$C$2:$C1000 = A109) * ('Form responses 1'!$A$2:$A1000 &lt;= DATE(2024, 1, 31)))
+ SUMPRODUCT(('Form responses 1'!$D$2:$D1000 = A109) * ('Form responses 1'!$A$2:$A1000 &lt;= DATE(2024, 1, 31)))
+ SUMPRODUCT(('Form responses 1'!$E$2:$E1000 = A109) * ('Form responses 1'!$A$2:$A1000 &lt;= DATE(2024, 1, 31)))
+ SUMPRODUCT(('Form responses 1'!$F$2:$F1000 = A109) * ('Form responses 1'!$A$2:$A1000 &lt;= DATE(2024, 1, 31)))
+ SUMPRODUCT(('Form responses 1'!$G$2:$G1000 = A109) * ('Form responses 1'!$A$2:$A1000 &lt;= DATE(2024, 1, 31)))), 2), "-")
</f>
        <v>-</v>
      </c>
      <c r="D109" s="2" t="str">
        <f>IFERROR(ROUND(Data!B100/(SUMPRODUCT(('Form responses 1'!$B$2:$B1000 = A109) * ('Form responses 1'!$A$2:$A1000 &lt;= DATE(2024, 2, 29)))
+ SUMPRODUCT(('Form responses 1'!$C$2:$C1000 = A109) * ('Form responses 1'!$A$2:$A1000 &lt;= DATE(2024, 2, 29)))
+ SUMPRODUCT(('Form responses 1'!$D$2:$D1000 = A109) * ('Form responses 1'!$A$2:$A1000 &lt;= DATE(2024, 2, 29)))
+ SUMPRODUCT(('Form responses 1'!$E$2:$E1000 = A109) * ('Form responses 1'!$A$2:$A1000 &lt;= DATE(2024, 2, 29)))
+ SUMPRODUCT(('Form responses 1'!$F$2:$F1000 = A109) * ('Form responses 1'!$A$2:$A1000 &lt;= DATE(2024, 2, 29)))
+ SUMPRODUCT(('Form responses 1'!$G$2:$G1000 = A109) * ('Form responses 1'!$A$2:$A1000 &lt;= DATE(2024, 2, 29)))), 2), "-")
</f>
        <v>-</v>
      </c>
      <c r="E109" s="2" t="str">
        <f>IFERROR(ROUND(Data!B100/(SUMPRODUCT(('Form responses 1'!$B$2:$B1000 = A109) * ('Form responses 1'!$A$2:$A1000 &lt;= DATE(2024, 3, 31)))
+ SUMPRODUCT(('Form responses 1'!$C$2:$C1000 = A109) * ('Form responses 1'!$A$2:$A1000 &lt;= DATE(2024, 3, 31)))
+ SUMPRODUCT(('Form responses 1'!$D$2:$D1000 = A109) * ('Form responses 1'!$A$2:$A1000 &lt;= DATE(2024, 3, 31)))
+ SUMPRODUCT(('Form responses 1'!$E$2:$E1000 = A109) * ('Form responses 1'!$A$2:$A1000 &lt;= DATE(2024, 3, 31)))
+ SUMPRODUCT(('Form responses 1'!$F$2:$F1000 = A109) * ('Form responses 1'!$A$2:$A1000 &lt;= DATE(2024, 3, 31)))
+ SUMPRODUCT(('Form responses 1'!$G$2:$G1000 = A109) * ('Form responses 1'!$A$2:$A1000 &lt;= DATE(2024, 3, 31)))), 2), "-")
</f>
        <v>-</v>
      </c>
      <c r="F109" s="2" t="str">
        <f>IFERROR(ROUND(Data!B100/(SUMPRODUCT(('Form responses 1'!$B$2:$B1000 = A109) * ('Form responses 1'!$A$2:$A1000 &lt;= DATE(2024, 4, 30)))
+ SUMPRODUCT(('Form responses 1'!$C$2:$C1000 = A109) * ('Form responses 1'!$A$2:$A1000 &lt;= DATE(2024, 4, 30)))
+ SUMPRODUCT(('Form responses 1'!$D$2:$D1000 = A109) * ('Form responses 1'!$A$2:$A1000 &lt;= DATE(2024, 4, 30)))
+ SUMPRODUCT(('Form responses 1'!$E$2:$E1000 = A109) * ('Form responses 1'!$A$2:$A1000 &lt;= DATE(2024, 4, 30)))
+ SUMPRODUCT(('Form responses 1'!$F$2:$F1000 = A109) * ('Form responses 1'!$A$2:$A1000 &lt;= DATE(2024, 4, 30)))
+ SUMPRODUCT(('Form responses 1'!$G$2:$G1000 = A109) * ('Form responses 1'!$A$2:$A1000 &lt;= DATE(2024, 4, 30)))), 2), "-")
</f>
        <v>-</v>
      </c>
      <c r="G109" s="2" t="str">
        <f>IFERROR(ROUND(Data!B100/(SUMPRODUCT(('Form responses 1'!$B$2:$B1000 = A109) * ('Form responses 1'!$A$2:$A1000 &lt;= DATE(2024, 5, 31)))
+ SUMPRODUCT(('Form responses 1'!$C$2:$C1000 = A109) * ('Form responses 1'!$A$2:$A1000 &lt;= DATE(2024, 5, 31)))
+ SUMPRODUCT(('Form responses 1'!$D$2:$D1000 = A109) * ('Form responses 1'!$A$2:$A1000 &lt;= DATE(2024, 5, 31)))
+ SUMPRODUCT(('Form responses 1'!$E$2:$E1000 = A109) * ('Form responses 1'!$A$2:$A1000 &lt;= DATE(2024, 5, 31)))
+ SUMPRODUCT(('Form responses 1'!$F$2:$F1000 = A109) * ('Form responses 1'!$A$2:$A1000 &lt;= DATE(2024, 5, 31)))
+ SUMPRODUCT(('Form responses 1'!$G$2:$G1000 = A109) * ('Form responses 1'!$A$2:$A1000 &lt;= DATE(2024, 5, 31)))), 2), "-")
</f>
        <v>-</v>
      </c>
      <c r="H109" s="2" t="str">
        <f>IFERROR(ROUND(Data!B100/(SUMPRODUCT(('Form responses 1'!$B$2:$B1000 = A109) * ('Form responses 1'!$A$2:$A1000 &lt;= DATE(2024, 6, 30)))
+ SUMPRODUCT(('Form responses 1'!$C$2:$C1000 = A109) * ('Form responses 1'!$A$2:$A1000 &lt;= DATE(2024, 6, 30)))
+ SUMPRODUCT(('Form responses 1'!$D$2:$D1000 = A109) * ('Form responses 1'!$A$2:$A1000 &lt;= DATE(2024, 6, 30)))
+ SUMPRODUCT(('Form responses 1'!$E$2:$E1000 = A109) * ('Form responses 1'!$A$2:$A1000 &lt;= DATE(2024, 6, 30)))
+ SUMPRODUCT(('Form responses 1'!$F$2:$F1000 = A109) * ('Form responses 1'!$A$2:$A1000 &lt;= DATE(2024, 6, 30)))
+ SUMPRODUCT(('Form responses 1'!$G$2:$G1000 = A109) * ('Form responses 1'!$A$2:$A1000 &lt;= DATE(2024, 6, 30)))), 2), "-")
</f>
        <v>-</v>
      </c>
      <c r="I109" s="2" t="str">
        <f>IFERROR(ROUND(Data!B100/(SUMPRODUCT(('Form responses 1'!$B$2:$B1000 = A109) * ('Form responses 1'!$A$2:$A1000 &lt;= DATE(2024, 7, 31)))
+ SUMPRODUCT(('Form responses 1'!$C$2:$C1000 = A109) * ('Form responses 1'!$A$2:$A1000 &lt;= DATE(2024, 7, 31)))
+ SUMPRODUCT(('Form responses 1'!$D$2:$D1000 = A109) * ('Form responses 1'!$A$2:$A1000 &lt;= DATE(2024, 7, 31)))
+ SUMPRODUCT(('Form responses 1'!$E$2:$E1000 = A109) * ('Form responses 1'!$A$2:$A1000 &lt;= DATE(2024, 7, 31)))
+ SUMPRODUCT(('Form responses 1'!$F$2:$F1000 = A109) * ('Form responses 1'!$A$2:$A1000 &lt;= DATE(2024, 7, 31)))
+ SUMPRODUCT(('Form responses 1'!$G$2:$G1000 = A109) * ('Form responses 1'!$A$2:$A1000 &lt;= DATE(2024, 7, 31)))), 2), "-")
</f>
        <v>-</v>
      </c>
      <c r="J109" s="2" t="str">
        <f>IFERROR(ROUND(Data!B100/(SUMPRODUCT(('Form responses 1'!$B$2:$B1000 = A109) * ('Form responses 1'!$A$2:$A1000 &lt;= DATE(2024, 8, 31)))
+ SUMPRODUCT(('Form responses 1'!$C$2:$C1000 = A109) * ('Form responses 1'!$A$2:$A1000 &lt;= DATE(2024, 8, 31)))
+ SUMPRODUCT(('Form responses 1'!$D$2:$D1000 = A109) * ('Form responses 1'!$A$2:$A1000 &lt;= DATE(2024, 8, 31)))
+ SUMPRODUCT(('Form responses 1'!$E$2:$E1000 = A109) * ('Form responses 1'!$A$2:$A1000 &lt;= DATE(2024, 8, 31)))
+ SUMPRODUCT(('Form responses 1'!$F$2:$F1000 = A109) * ('Form responses 1'!$A$2:$A1000 &lt;= DATE(2024, 8, 31)))
+ SUMPRODUCT(('Form responses 1'!$G$2:$G1000 = A109) * ('Form responses 1'!$A$2:$A1000 &lt;= DATE(2024, 8, 31)))), 2), "-")
</f>
        <v>-</v>
      </c>
      <c r="K109" s="2" t="str">
        <f>IFERROR(ROUND(Data!B100/(SUMPRODUCT(('Form responses 1'!$B$2:$B1000 = A109) * ('Form responses 1'!$A$2:$A1000 &lt;= DATE(2024, 9, 30)))
+ SUMPRODUCT(('Form responses 1'!$C$2:$C1000 = A109) * ('Form responses 1'!$A$2:$A1000 &lt;= DATE(2024, 9, 30)))
+ SUMPRODUCT(('Form responses 1'!$D$2:$D1000 = A109) * ('Form responses 1'!$A$2:$A1000 &lt;= DATE(2024, 9, 30)))
+ SUMPRODUCT(('Form responses 1'!$E$2:$E1000 = A109) * ('Form responses 1'!$A$2:$A1000 &lt;= DATE(2024, 9, 30)))
+ SUMPRODUCT(('Form responses 1'!$F$2:$F1000 = A109) * ('Form responses 1'!$A$2:$A1000 &lt;= DATE(2024, 9, 30)))
+ SUMPRODUCT(('Form responses 1'!$G$2:$G1000 = A109) * ('Form responses 1'!$A$2:$A1000 &lt;= DATE(2024, 9, 30)))), 2), "-")
</f>
        <v>-</v>
      </c>
      <c r="L109" s="2" t="str">
        <f>IFERROR(ROUND(Data!B100/(SUMPRODUCT(('Form responses 1'!$B$2:$B1000 = A109) * ('Form responses 1'!$A$2:$A1000 &lt;= DATE(2024, 10, 31)))
+ SUMPRODUCT(('Form responses 1'!$C$2:$C1000 = A109) * ('Form responses 1'!$A$2:$A1000 &lt;= DATE(2024, 10, 31)))
+ SUMPRODUCT(('Form responses 1'!$D$2:$D1000 = A109) * ('Form responses 1'!$A$2:$A1000 &lt;= DATE(2024, 10, 31)))
+ SUMPRODUCT(('Form responses 1'!$E$2:$E1000 = A109) * ('Form responses 1'!$A$2:$A1000 &lt;= DATE(2024, 10, 31)))
+ SUMPRODUCT(('Form responses 1'!$F$2:$F1000 = A109) * ('Form responses 1'!$A$2:$A1000 &lt;= DATE(2024, 10, 31)))
+ SUMPRODUCT(('Form responses 1'!$G$2:$G1000 = A109) * ('Form responses 1'!$A$2:$A1000 &lt;= DATE(2024, 10, 31)))), 2), "-")
</f>
        <v>-</v>
      </c>
      <c r="M109" s="2" t="str">
        <f>IFERROR(ROUND(Data!B100/(SUMPRODUCT(('Form responses 1'!$B$2:$B1000 = A109) * ('Form responses 1'!$A$2:$A1000 &lt;= DATE(2024, 11, 30)))
+ SUMPRODUCT(('Form responses 1'!$C$2:$C1000 = A109) * ('Form responses 1'!$A$2:$A1000 &lt;= DATE(2024, 11, 30)))
+ SUMPRODUCT(('Form responses 1'!$D$2:$D1000 = A109) * ('Form responses 1'!$A$2:$A1000 &lt;= DATE(2024, 11, 30)))
+ SUMPRODUCT(('Form responses 1'!$E$2:$E1000 = A109) * ('Form responses 1'!$A$2:$A1000 &lt;= DATE(2024, 11, 30)))
+ SUMPRODUCT(('Form responses 1'!$F$2:$F1000 = A109) * ('Form responses 1'!$A$2:$A1000 &lt;= DATE(2024, 11, 30)))
+ SUMPRODUCT(('Form responses 1'!$G$2:$G1000 = A109) * ('Form responses 1'!$A$2:$A1000 &lt;= DATE(2024, 11, 30)))), 2), "-")
</f>
        <v>-</v>
      </c>
      <c r="N109" s="2" t="str">
        <f>IFERROR(ROUND(Data!B100/(SUMPRODUCT(('Form responses 1'!$B$2:$B1000 = A109) * ('Form responses 1'!$A$2:$A1000 &lt;= DATE(2024, 12, 31)))
+ SUMPRODUCT(('Form responses 1'!$C$2:$C1000 = A109) * ('Form responses 1'!$A$2:$A1000 &lt;= DATE(2024, 12, 31)))
+ SUMPRODUCT(('Form responses 1'!$D$2:$D1000 = A109) * ('Form responses 1'!$A$2:$A1000 &lt;= DATE(2024, 12, 31)))
+ SUMPRODUCT(('Form responses 1'!$E$2:$E1000 = A109) * ('Form responses 1'!$A$2:$A1000 &lt;= DATE(2024, 12, 31)))
+ SUMPRODUCT(('Form responses 1'!$F$2:$F1000 = A109) * ('Form responses 1'!$A$2:$A1000 &lt;= DATE(2024, 12, 31)))
+ SUMPRODUCT(('Form responses 1'!$G$2:$G1000 = A109) * ('Form responses 1'!$A$2:$A1000 &lt;= DATE(2024, 12, 31)))), 2), "-")
</f>
        <v>-</v>
      </c>
      <c r="O109" s="2" t="str">
        <f>IFERROR(ROUND(Data!B100/(SUMPRODUCT(('Form responses 1'!$B$2:$B1000 = A109) * ('Form responses 1'!$A$2:$A1000 &lt;= DATE(2025, 1, 31)))
+ SUMPRODUCT(('Form responses 1'!$C$2:$C1000 = A109) * ('Form responses 1'!$A$2:$A1000 &lt;= DATE(2025, 1, 31)))
+ SUMPRODUCT(('Form responses 1'!$D$2:$D1000 = A109) * ('Form responses 1'!$A$2:$A1000 &lt;= DATE(2025, 1, 31)))
+ SUMPRODUCT(('Form responses 1'!$E$2:$E1000 = A109) * ('Form responses 1'!$A$2:$A1000 &lt;= DATE(2025, 1, 31)))
+ SUMPRODUCT(('Form responses 1'!$F$2:$F1000 = A109) * ('Form responses 1'!$A$2:$A1000 &lt;= DATE(2025, 1, 31)))
+ SUMPRODUCT(('Form responses 1'!$G$2:$G1000 = A109) * ('Form responses 1'!$A$2:$A1000 &lt;= DATE(2025, 1, 31)))), 2), "-")
</f>
        <v>-</v>
      </c>
      <c r="P109" s="2" t="str">
        <f>IFERROR(ROUND(Data!B100/(SUMPRODUCT(('Form responses 1'!$B$2:$B1000 = A109) * ('Form responses 1'!$A$2:$A1000 &lt;= DATE(2025, 2, 28)))
+ SUMPRODUCT(('Form responses 1'!$C$2:$C1000 = A109) * ('Form responses 1'!$A$2:$A1000 &lt;= DATE(2025, 2, 28)))
+ SUMPRODUCT(('Form responses 1'!$D$2:$D1000 = A109) * ('Form responses 1'!$A$2:$A1000 &lt;= DATE(2025, 2, 28)))
+ SUMPRODUCT(('Form responses 1'!$E$2:$E1000 = A109) * ('Form responses 1'!$A$2:$A1000 &lt;= DATE(2025, 2, 28)))
+ SUMPRODUCT(('Form responses 1'!$F$2:$F1000 = A109) * ('Form responses 1'!$A$2:$A1000 &lt;= DATE(2025, 2, 28)))
+ SUMPRODUCT(('Form responses 1'!$G$2:$G1000 = A109) * ('Form responses 1'!$A$2:$A1000 &lt;= DATE(2025, 2, 28)))), 2), "-")
</f>
        <v>-</v>
      </c>
      <c r="Q109" s="2" t="str">
        <f>IFERROR(ROUND(Data!B100/(SUMPRODUCT(('Form responses 1'!$B$2:$B1000 = A109) * ('Form responses 1'!$A$2:$A1000 &lt;= DATE(2025, 3, 31)))
+ SUMPRODUCT(('Form responses 1'!$C$2:$C1000 = A109) * ('Form responses 1'!$A$2:$A1000 &lt;= DATE(2025, 3, 31)))
+ SUMPRODUCT(('Form responses 1'!$D$2:$D1000 = A109) * ('Form responses 1'!$A$2:$A1000 &lt;= DATE(2025, 3, 31)))
+ SUMPRODUCT(('Form responses 1'!$E$2:$E1000 = A109) * ('Form responses 1'!$A$2:$A1000 &lt;= DATE(2025, 3, 31)))
+ SUMPRODUCT(('Form responses 1'!$F$2:$F1000 = A109) * ('Form responses 1'!$A$2:$A1000 &lt;= DATE(2025, 3, 31)))
+ SUMPRODUCT(('Form responses 1'!$G$2:$G1000 = A109) * ('Form responses 1'!$A$2:$A1000 &lt;= DATE(2025, 3, 31)))),2),"-")</f>
        <v>-</v>
      </c>
      <c r="R109" s="2" t="str">
        <f>IFERROR(ROUND(Data!B100/(SUMPRODUCT(('Form responses 1'!$B$2:$B1000 = A109) * ('Form responses 1'!$A$2:$A1000 &lt;= DATE(2025, 4, 30)))
+ SUMPRODUCT(('Form responses 1'!$C$2:$C1000 = A109) * ('Form responses 1'!$A$2:$A1000 &lt;= DATE(2025, 4, 30)))
+ SUMPRODUCT(('Form responses 1'!$D$2:$D1000 = A109) * ('Form responses 1'!$A$2:$A1000 &lt;= DATE(2025, 4, 30)))
+ SUMPRODUCT(('Form responses 1'!$E$2:$E1000 = A109) * ('Form responses 1'!$A$2:$A1000 &lt;= DATE(2025, 4, 30)))
+ SUMPRODUCT(('Form responses 1'!$F$2:$F1000 = A109) * ('Form responses 1'!$A$2:$A1000 &lt;= DATE(2025, 4, 30)))
+ SUMPRODUCT(('Form responses 1'!$G$2:$G1000 = A109) * ('Form responses 1'!$A$2:$A1000 &lt;= DATE(2025, 4, 30)))), 2), "-")
</f>
        <v>-</v>
      </c>
      <c r="S109" s="2" t="str">
        <f>IFERROR(ROUND(Data!B100/(SUMPRODUCT(('Form responses 1'!$B$2:$B1000 = A109) * ('Form responses 1'!$A$2:$A1000 &lt;= DATE(2025, 5, 31)))
+ SUMPRODUCT(('Form responses 1'!$C$2:$C1000 = A109) * ('Form responses 1'!$A$2:$A1000 &lt;= DATE(2025, 5, 31)))
+ SUMPRODUCT(('Form responses 1'!$D$2:$D1000 = A109) * ('Form responses 1'!$A$2:$A1000 &lt;= DATE(2025, 5, 31)))
+ SUMPRODUCT(('Form responses 1'!$E$2:$E1000 = A109) * ('Form responses 1'!$A$2:$A1000 &lt;= DATE(2025, 5, 31)))
+ SUMPRODUCT(('Form responses 1'!$F$2:$F1000 = A109) * ('Form responses 1'!$A$2:$A1000 &lt;= DATE(2025, 5, 31)))
+ SUMPRODUCT(('Form responses 1'!$G$2:$G1000 = A109) * ('Form responses 1'!$A$2:$A1000 &lt;= DATE(2025, 5, 31)))), 2), "-")
</f>
        <v>-</v>
      </c>
      <c r="T109" s="2" t="str">
        <f>IFERROR(ROUND(Data!B100/(SUMPRODUCT(('Form responses 1'!$B$2:$B1000 = A109) * ('Form responses 1'!$A$2:$A1000 &lt;= DATE(2025, 6, 30)))
+ SUMPRODUCT(('Form responses 1'!$C$2:$C1000 = A109) * ('Form responses 1'!$A$2:$A1000 &lt;= DATE(2025, 6, 30)))
+ SUMPRODUCT(('Form responses 1'!$D$2:$D1000 = A109) * ('Form responses 1'!$A$2:$A1000 &lt;= DATE(2025, 6, 30)))
+ SUMPRODUCT(('Form responses 1'!$E$2:$E1000 = A109) * ('Form responses 1'!$A$2:$A1000 &lt;= DATE(2025, 6, 30)))
+ SUMPRODUCT(('Form responses 1'!$F$2:$F1000 = A109) * ('Form responses 1'!$A$2:$A1000 &lt;= DATE(2025, 6, 30)))
+ SUMPRODUCT(('Form responses 1'!$G$2:$G1000 = A109) * ('Form responses 1'!$A$2:$A1000 &lt;= DATE(2025, 6, 30)))), 2), "-")
</f>
        <v>-</v>
      </c>
      <c r="U109" s="2" t="str">
        <f>IFERROR(ROUND(Data!B100/(SUMPRODUCT(('Form responses 1'!$B$2:$B1000 = A109) * ('Form responses 1'!$A$2:$A1000 &lt;= DATE(2025, 7, 31)))
+ SUMPRODUCT(('Form responses 1'!$C$2:$C1000 = A109) * ('Form responses 1'!$A$2:$A1000 &lt;= DATE(2025, 7, 31)))
+ SUMPRODUCT(('Form responses 1'!$D$2:$D1000 = A109) * ('Form responses 1'!$A$2:$A1000 &lt;= DATE(2025, 7, 31)))
+ SUMPRODUCT(('Form responses 1'!$E$2:$E1000 = A109) * ('Form responses 1'!$A$2:$A1000 &lt;= DATE(2025, 7, 31)))
+ SUMPRODUCT(('Form responses 1'!$F$2:$F1000 = A109) * ('Form responses 1'!$A$2:$A1000 &lt;= DATE(2025, 7, 31)))
+ SUMPRODUCT(('Form responses 1'!$G$2:$G1000 = A109) * ('Form responses 1'!$A$2:$A1000 &lt;= DATE(2025, 7, 31)))), 2), "-")
</f>
        <v>-</v>
      </c>
      <c r="V109" s="2" t="str">
        <f>IFERROR(ROUND(Data!B100/(SUMPRODUCT(('Form responses 1'!$B$2:$B1000 = A109) * ('Form responses 1'!$A$2:$A1000 &lt;= DATE(2025, 8, 31)))
+ SUMPRODUCT(('Form responses 1'!$C$2:$C1000 = A109) * ('Form responses 1'!$A$2:$A1000 &lt;= DATE(2025, 8, 31)))
+ SUMPRODUCT(('Form responses 1'!$D$2:$D1000 = A109) * ('Form responses 1'!$A$2:$A1000 &lt;= DATE(2025, 8, 31)))
+ SUMPRODUCT(('Form responses 1'!$E$2:$E1000 = A109) * ('Form responses 1'!$A$2:$A1000 &lt;= DATE(2025, 8, 31)))
+ SUMPRODUCT(('Form responses 1'!$F$2:$F1000 = A109) * ('Form responses 1'!$A$2:$A1000 &lt;= DATE(2025, 8, 31)))
+ SUMPRODUCT(('Form responses 1'!$G$2:$G1000 = A109) * ('Form responses 1'!$A$2:$A1000 &lt;= DATE(2025, 8, 31)))), 2), "-")
</f>
        <v>-</v>
      </c>
      <c r="W109" s="2" t="str">
        <f>IFERROR(ROUND(Data!B100/(SUMPRODUCT(('Form responses 1'!$B$2:$B1000 = A109) * ('Form responses 1'!$A$2:$A1000 &lt;= DATE(2025, 9, 30)))
+ SUMPRODUCT(('Form responses 1'!$C$2:$C1000 = A109) * ('Form responses 1'!$A$2:$A1000 &lt;= DATE(2025, 9, 30)))
+ SUMPRODUCT(('Form responses 1'!$D$2:$D1000 = A109) * ('Form responses 1'!$A$2:$A1000 &lt;= DATE(2025, 9, 30)))
+ SUMPRODUCT(('Form responses 1'!$E$2:$E1000 = A109) * ('Form responses 1'!$A$2:$A1000 &lt;= DATE(2025, 9, 30)))
+ SUMPRODUCT(('Form responses 1'!$F$2:$F1000 = A109) * ('Form responses 1'!$A$2:$A1000 &lt;= DATE(2025, 9, 30)))
+ SUMPRODUCT(('Form responses 1'!$G$2:$G1000 = A109) * ('Form responses 1'!$A$2:$A1000 &lt;= DATE(2025, 9, 30)))), 2), "-")
</f>
        <v>-</v>
      </c>
      <c r="X109" s="2" t="str">
        <f>IFERROR(ROUND(Data!B100/(SUMPRODUCT(('Form responses 1'!$B$2:$B1000 = A109) * ('Form responses 1'!$A$2:$A1000 &lt;= DATE(2025, 10, 31)))
+ SUMPRODUCT(('Form responses 1'!$C$2:$C1000 = A109) * ('Form responses 1'!$A$2:$A1000 &lt;= DATE(2025, 10, 31)))
+ SUMPRODUCT(('Form responses 1'!$D$2:$D1000 = A109) * ('Form responses 1'!$A$2:$A1000 &lt;= DATE(2025, 10, 31)))
+ SUMPRODUCT(('Form responses 1'!$E$2:$E1000 = A109) * ('Form responses 1'!$A$2:$A1000 &lt;= DATE(2025, 10, 31)))
+ SUMPRODUCT(('Form responses 1'!$F$2:$F1000 = A109) * ('Form responses 1'!$A$2:$A1000 &lt;= DATE(2025, 10, 31)))
+ SUMPRODUCT(('Form responses 1'!$G$2:$G1000 = A109) * ('Form responses 1'!$A$2:$A1000 &lt;= DATE(2025, 10, 31)))), 2), "-")
</f>
        <v>-</v>
      </c>
      <c r="Y109" s="2">
        <f>IFERROR(ROUND(Data!B100/(SUMPRODUCT(('Form responses 1'!$B$2:$B1000 = A109) * ('Form responses 1'!$A$2:$A1000 &lt;= DATE(2025, 11, 30)))
+ SUMPRODUCT(('Form responses 1'!$C$2:$C1000 = A109) * ('Form responses 1'!$A$2:$A1000 &lt;= DATE(2025, 11, 30)))
+ SUMPRODUCT(('Form responses 1'!$D$2:$D1000 = A109) * ('Form responses 1'!$A$2:$A1000 &lt;= DATE(2025, 11, 30)))
+ SUMPRODUCT(('Form responses 1'!$E$2:$E1000 = A109) * ('Form responses 1'!$A$2:$A1000 &lt;= DATE(2025, 11, 30)))
+ SUMPRODUCT(('Form responses 1'!$F$2:$F1000 = A109) * ('Form responses 1'!$A$2:$A1000 &lt;= DATE(2025, 11, 30)))
+ SUMPRODUCT(('Form responses 1'!$G$2:$G1000 = A109) * ('Form responses 1'!$A$2:$A1000 &lt;= DATE(2025, 11, 30)))), 2), "-")
</f>
        <v>49.99</v>
      </c>
      <c r="Z109" s="2">
        <f>IFERROR(ROUND(Data!B100/(SUMPRODUCT(('Form responses 1'!$B$2:$B1000 = A109) * ('Form responses 1'!$A$2:$A1000 &lt;= DATE(2025, 12, 31)))
+ SUMPRODUCT(('Form responses 1'!$C$2:$C1000 = A109) * ('Form responses 1'!$A$2:$A1000 &lt;= DATE(2025, 12, 31)))
+ SUMPRODUCT(('Form responses 1'!$D$2:$D1000 = A109) * ('Form responses 1'!$A$2:$A1000 &lt;= DATE(2025, 12, 31)))
+ SUMPRODUCT(('Form responses 1'!$E$2:$E1000 = A109) * ('Form responses 1'!$A$2:$A1000 &lt;= DATE(2025, 12, 31)))
+ SUMPRODUCT(('Form responses 1'!$F$2:$F1000 = A109) * ('Form responses 1'!$A$2:$A1000 &lt;= DATE(2025, 12, 31)))
+ SUMPRODUCT(('Form responses 1'!$G$2:$G1000 = A109) * ('Form responses 1'!$A$2:$A1000 &lt;= DATE(2025, 12, 31)))), 2), "-")
</f>
        <v>49.99</v>
      </c>
      <c r="AA109" s="2">
        <f>IFERROR(ROUND(Data!$B109/(
  SUMPRODUCT(('Form responses 1'!$B$2:$B1000=$A109)*('Form responses 1'!$A$2:$A1000&lt;=EOMONTH(DATEVALUE("1 "&amp;AA$1),0)))+
  SUMPRODUCT(('Form responses 1'!$C$2:$C1000=$A109)*('Form responses 1'!$A$2:$A1000&lt;=EOMONTH(DATEVALUE("1 "&amp;AA$1),0)))+
  SUMPRODUCT(('Form responses 1'!$D$2:$D1000=$A109)*('Form responses 1'!$A$2:$A1000&lt;=EOMONTH(DATEVALUE("1 "&amp;AA$1),0)))+
  SUMPRODUCT(('Form responses 1'!$E$2:$E1000=$A109)*('Form responses 1'!$A$2:$A1000&lt;=EOMONTH(DATEVALUE("1 "&amp;AA$1),0)))+
  SUMPRODUCT(('Form responses 1'!$F$2:$F1000=$A109)*('Form responses 1'!$A$2:$A1000&lt;=EOMONTH(DATEVALUE("1 "&amp;AA$1),0)))+
  SUMPRODUCT(('Form responses 1'!$G$2:$G1000=$A109)*('Form responses 1'!$A$2:$A1000&lt;=EOMONTH(DATEVALUE("1 "&amp;AA$1),0)))
),2),"-")</f>
        <v>29.95</v>
      </c>
      <c r="AB109" s="2">
        <f>IFERROR(ROUND(Data!$B109/(
  SUMPRODUCT(('Form responses 1'!$B$2:$B1000=$A109)*('Form responses 1'!$A$2:$A1000&lt;=EOMONTH(DATEVALUE("1 "&amp;AB$1),0)))+
  SUMPRODUCT(('Form responses 1'!$C$2:$C1000=$A109)*('Form responses 1'!$A$2:$A1000&lt;=EOMONTH(DATEVALUE("1 "&amp;AB$1),0)))+
  SUMPRODUCT(('Form responses 1'!$D$2:$D1000=$A109)*('Form responses 1'!$A$2:$A1000&lt;=EOMONTH(DATEVALUE("1 "&amp;AB$1),0)))+
  SUMPRODUCT(('Form responses 1'!$E$2:$E1000=$A109)*('Form responses 1'!$A$2:$A1000&lt;=EOMONTH(DATEVALUE("1 "&amp;AB$1),0)))+
  SUMPRODUCT(('Form responses 1'!$F$2:$F1000=$A109)*('Form responses 1'!$A$2:$A1000&lt;=EOMONTH(DATEVALUE("1 "&amp;AB$1),0)))+
  SUMPRODUCT(('Form responses 1'!$G$2:$G1000=$A109)*('Form responses 1'!$A$2:$A1000&lt;=EOMONTH(DATEVALUE("1 "&amp;AB$1),0)))
),2),"-")</f>
        <v>29.95</v>
      </c>
      <c r="AC109" s="2">
        <f>IFERROR(ROUND(Data!$B109/(
  SUMPRODUCT(('Form responses 1'!$B$2:$B1000=$A109)*('Form responses 1'!$A$2:$A1000&lt;=EOMONTH(DATEVALUE("1 "&amp;AC$1),0)))+
  SUMPRODUCT(('Form responses 1'!$C$2:$C1000=$A109)*('Form responses 1'!$A$2:$A1000&lt;=EOMONTH(DATEVALUE("1 "&amp;AC$1),0)))+
  SUMPRODUCT(('Form responses 1'!$D$2:$D1000=$A109)*('Form responses 1'!$A$2:$A1000&lt;=EOMONTH(DATEVALUE("1 "&amp;AC$1),0)))+
  SUMPRODUCT(('Form responses 1'!$E$2:$E1000=$A109)*('Form responses 1'!$A$2:$A1000&lt;=EOMONTH(DATEVALUE("1 "&amp;AC$1),0)))+
  SUMPRODUCT(('Form responses 1'!$F$2:$F1000=$A109)*('Form responses 1'!$A$2:$A1000&lt;=EOMONTH(DATEVALUE("1 "&amp;AC$1),0)))+
  SUMPRODUCT(('Form responses 1'!$G$2:$G1000=$A109)*('Form responses 1'!$A$2:$A1000&lt;=EOMONTH(DATEVALUE("1 "&amp;AC$1),0)))
),2),"-")</f>
        <v>29.95</v>
      </c>
      <c r="AD109" s="2" t="str">
        <f>IFERROR(ROUND(Data!$B109/(
  SUMPRODUCT(('Form responses 1'!$B$2:$B1000=$A109)*('Form responses 1'!$A$2:$A1000&lt;=EOMONTH(DATEVALUE("1 "&amp;AD$1),0)))+
  SUMPRODUCT(('Form responses 1'!$C$2:$C1000=$A109)*('Form responses 1'!$A$2:$A1000&lt;=EOMONTH(DATEVALUE("1 "&amp;AD$1),0)))+
  SUMPRODUCT(('Form responses 1'!$D$2:$D1000=$A109)*('Form responses 1'!$A$2:$A1000&lt;=EOMONTH(DATEVALUE("1 "&amp;AD$1),0)))+
  SUMPRODUCT(('Form responses 1'!$E$2:$E1000=$A109)*('Form responses 1'!$A$2:$A1000&lt;=EOMONTH(DATEVALUE("1 "&amp;AD$1),0)))+
  SUMPRODUCT(('Form responses 1'!$F$2:$F1000=$A109)*('Form responses 1'!$A$2:$A1000&lt;=EOMONTH(DATEVALUE("1 "&amp;AD$1),0)))+
  SUMPRODUCT(('Form responses 1'!$G$2:$G1000=$A109)*('Form responses 1'!$A$2:$A1000&lt;=EOMONTH(DATEVALUE("1 "&amp;AD$1),0)))
),2),"-")</f>
        <v>-</v>
      </c>
      <c r="AE109" s="2" t="str">
        <f>IFERROR(ROUND(Data!$B109/(
  SUMPRODUCT(('Form responses 1'!$B$2:$B1000=$A109)*('Form responses 1'!$A$2:$A1000&lt;=EOMONTH(DATEVALUE("1 "&amp;AE$1),0)))+
  SUMPRODUCT(('Form responses 1'!$C$2:$C1000=$A109)*('Form responses 1'!$A$2:$A1000&lt;=EOMONTH(DATEVALUE("1 "&amp;AE$1),0)))+
  SUMPRODUCT(('Form responses 1'!$D$2:$D1000=$A109)*('Form responses 1'!$A$2:$A1000&lt;=EOMONTH(DATEVALUE("1 "&amp;AE$1),0)))+
  SUMPRODUCT(('Form responses 1'!$E$2:$E1000=$A109)*('Form responses 1'!$A$2:$A1000&lt;=EOMONTH(DATEVALUE("1 "&amp;AE$1),0)))+
  SUMPRODUCT(('Form responses 1'!$F$2:$F1000=$A109)*('Form responses 1'!$A$2:$A1000&lt;=EOMONTH(DATEVALUE("1 "&amp;AE$1),0)))+
  SUMPRODUCT(('Form responses 1'!$G$2:$G1000=$A109)*('Form responses 1'!$A$2:$A1000&lt;=EOMONTH(DATEVALUE("1 "&amp;AE$1),0)))
),2),"-")</f>
        <v>-</v>
      </c>
      <c r="AF109" s="2" t="str">
        <f>IFERROR(ROUND(Data!$B109/(
  SUMPRODUCT(('Form responses 1'!$B$2:$B1000=$A109)*('Form responses 1'!$A$2:$A1000&lt;=EOMONTH(DATEVALUE("1 "&amp;AF$1),0)))+
  SUMPRODUCT(('Form responses 1'!$C$2:$C1000=$A109)*('Form responses 1'!$A$2:$A1000&lt;=EOMONTH(DATEVALUE("1 "&amp;AF$1),0)))+
  SUMPRODUCT(('Form responses 1'!$D$2:$D1000=$A109)*('Form responses 1'!$A$2:$A1000&lt;=EOMONTH(DATEVALUE("1 "&amp;AF$1),0)))+
  SUMPRODUCT(('Form responses 1'!$E$2:$E1000=$A109)*('Form responses 1'!$A$2:$A1000&lt;=EOMONTH(DATEVALUE("1 "&amp;AF$1),0)))+
  SUMPRODUCT(('Form responses 1'!$F$2:$F1000=$A109)*('Form responses 1'!$A$2:$A1000&lt;=EOMONTH(DATEVALUE("1 "&amp;AF$1),0)))+
  SUMPRODUCT(('Form responses 1'!$G$2:$G1000=$A109)*('Form responses 1'!$A$2:$A1000&lt;=EOMONTH(DATEVALUE("1 "&amp;AF$1),0)))
),2),"-")</f>
        <v>-</v>
      </c>
      <c r="AG109" s="2" t="str">
        <f>IFERROR(ROUND(Data!$B109/(
  SUMPRODUCT(('Form responses 1'!$B$2:$B1000=$A109)*('Form responses 1'!$A$2:$A1000&lt;=EOMONTH(DATEVALUE("1 "&amp;AG$1),0)))+
  SUMPRODUCT(('Form responses 1'!$C$2:$C1000=$A109)*('Form responses 1'!$A$2:$A1000&lt;=EOMONTH(DATEVALUE("1 "&amp;AG$1),0)))+
  SUMPRODUCT(('Form responses 1'!$D$2:$D1000=$A109)*('Form responses 1'!$A$2:$A1000&lt;=EOMONTH(DATEVALUE("1 "&amp;AG$1),0)))+
  SUMPRODUCT(('Form responses 1'!$E$2:$E1000=$A109)*('Form responses 1'!$A$2:$A1000&lt;=EOMONTH(DATEVALUE("1 "&amp;AG$1),0)))+
  SUMPRODUCT(('Form responses 1'!$F$2:$F1000=$A109)*('Form responses 1'!$A$2:$A1000&lt;=EOMONTH(DATEVALUE("1 "&amp;AG$1),0)))+
  SUMPRODUCT(('Form responses 1'!$G$2:$G1000=$A109)*('Form responses 1'!$A$2:$A1000&lt;=EOMONTH(DATEVALUE("1 "&amp;AG$1),0)))
),2),"-")</f>
        <v>-</v>
      </c>
      <c r="AH109" s="2" t="str">
        <f>IFERROR(ROUND(Data!$B109/(
  SUMPRODUCT(('Form responses 1'!$B$2:$B1000=$A109)*('Form responses 1'!$A$2:$A1000&lt;=EOMONTH(DATEVALUE("1 "&amp;AH$1),0)))+
  SUMPRODUCT(('Form responses 1'!$C$2:$C1000=$A109)*('Form responses 1'!$A$2:$A1000&lt;=EOMONTH(DATEVALUE("1 "&amp;AH$1),0)))+
  SUMPRODUCT(('Form responses 1'!$D$2:$D1000=$A109)*('Form responses 1'!$A$2:$A1000&lt;=EOMONTH(DATEVALUE("1 "&amp;AH$1),0)))+
  SUMPRODUCT(('Form responses 1'!$E$2:$E1000=$A109)*('Form responses 1'!$A$2:$A1000&lt;=EOMONTH(DATEVALUE("1 "&amp;AH$1),0)))+
  SUMPRODUCT(('Form responses 1'!$F$2:$F1000=$A109)*('Form responses 1'!$A$2:$A1000&lt;=EOMONTH(DATEVALUE("1 "&amp;AH$1),0)))+
  SUMPRODUCT(('Form responses 1'!$G$2:$G1000=$A109)*('Form responses 1'!$A$2:$A1000&lt;=EOMONTH(DATEVALUE("1 "&amp;AH$1),0)))
),2),"-")</f>
        <v>-</v>
      </c>
      <c r="AI109" s="2" t="str">
        <f>IFERROR(ROUND(Data!$B109/(
  SUMPRODUCT(('Form responses 1'!$B$2:$B1000=$A109)*('Form responses 1'!$A$2:$A1000&lt;=EOMONTH(DATEVALUE("1 "&amp;AI$1),0)))+
  SUMPRODUCT(('Form responses 1'!$C$2:$C1000=$A109)*('Form responses 1'!$A$2:$A1000&lt;=EOMONTH(DATEVALUE("1 "&amp;AI$1),0)))+
  SUMPRODUCT(('Form responses 1'!$D$2:$D1000=$A109)*('Form responses 1'!$A$2:$A1000&lt;=EOMONTH(DATEVALUE("1 "&amp;AI$1),0)))+
  SUMPRODUCT(('Form responses 1'!$E$2:$E1000=$A109)*('Form responses 1'!$A$2:$A1000&lt;=EOMONTH(DATEVALUE("1 "&amp;AI$1),0)))+
  SUMPRODUCT(('Form responses 1'!$F$2:$F1000=$A109)*('Form responses 1'!$A$2:$A1000&lt;=EOMONTH(DATEVALUE("1 "&amp;AI$1),0)))+
  SUMPRODUCT(('Form responses 1'!$G$2:$G1000=$A109)*('Form responses 1'!$A$2:$A1000&lt;=EOMONTH(DATEVALUE("1 "&amp;AI$1),0)))
),2),"-")</f>
        <v>-</v>
      </c>
      <c r="AJ109" s="2" t="str">
        <f>IFERROR(ROUND(Data!$B109/(
  SUMPRODUCT(('Form responses 1'!$B$2:$B1000=$A109)*('Form responses 1'!$A$2:$A1000&lt;=EOMONTH(DATEVALUE("1 "&amp;AJ$1),0)))+
  SUMPRODUCT(('Form responses 1'!$C$2:$C1000=$A109)*('Form responses 1'!$A$2:$A1000&lt;=EOMONTH(DATEVALUE("1 "&amp;AJ$1),0)))+
  SUMPRODUCT(('Form responses 1'!$D$2:$D1000=$A109)*('Form responses 1'!$A$2:$A1000&lt;=EOMONTH(DATEVALUE("1 "&amp;AJ$1),0)))+
  SUMPRODUCT(('Form responses 1'!$E$2:$E1000=$A109)*('Form responses 1'!$A$2:$A1000&lt;=EOMONTH(DATEVALUE("1 "&amp;AJ$1),0)))+
  SUMPRODUCT(('Form responses 1'!$F$2:$F1000=$A109)*('Form responses 1'!$A$2:$A1000&lt;=EOMONTH(DATEVALUE("1 "&amp;AJ$1),0)))+
  SUMPRODUCT(('Form responses 1'!$G$2:$G1000=$A109)*('Form responses 1'!$A$2:$A1000&lt;=EOMONTH(DATEVALUE("1 "&amp;AJ$1),0)))
),2),"-")</f>
        <v>-</v>
      </c>
      <c r="AK109" s="2" t="str">
        <f>IFERROR(ROUND(Data!$B109/(
  SUMPRODUCT(('Form responses 1'!$B$2:$B1000=$A109)*('Form responses 1'!$A$2:$A1000&lt;=EOMONTH(DATEVALUE("1 "&amp;AK$1),0)))+
  SUMPRODUCT(('Form responses 1'!$C$2:$C1000=$A109)*('Form responses 1'!$A$2:$A1000&lt;=EOMONTH(DATEVALUE("1 "&amp;AK$1),0)))+
  SUMPRODUCT(('Form responses 1'!$D$2:$D1000=$A109)*('Form responses 1'!$A$2:$A1000&lt;=EOMONTH(DATEVALUE("1 "&amp;AK$1),0)))+
  SUMPRODUCT(('Form responses 1'!$E$2:$E1000=$A109)*('Form responses 1'!$A$2:$A1000&lt;=EOMONTH(DATEVALUE("1 "&amp;AK$1),0)))+
  SUMPRODUCT(('Form responses 1'!$F$2:$F1000=$A109)*('Form responses 1'!$A$2:$A1000&lt;=EOMONTH(DATEVALUE("1 "&amp;AK$1),0)))+
  SUMPRODUCT(('Form responses 1'!$G$2:$G1000=$A109)*('Form responses 1'!$A$2:$A1000&lt;=EOMONTH(DATEVALUE("1 "&amp;AK$1),0)))
),2),"-")</f>
        <v>-</v>
      </c>
      <c r="AL109" s="2" t="str">
        <f>IFERROR(ROUND(Data!$B109/(
  SUMPRODUCT(('Form responses 1'!$B$2:$B1000=$A109)*('Form responses 1'!$A$2:$A1000&lt;=EOMONTH(DATEVALUE("1 "&amp;AL$1),0)))+
  SUMPRODUCT(('Form responses 1'!$C$2:$C1000=$A109)*('Form responses 1'!$A$2:$A1000&lt;=EOMONTH(DATEVALUE("1 "&amp;AL$1),0)))+
  SUMPRODUCT(('Form responses 1'!$D$2:$D1000=$A109)*('Form responses 1'!$A$2:$A1000&lt;=EOMONTH(DATEVALUE("1 "&amp;AL$1),0)))+
  SUMPRODUCT(('Form responses 1'!$E$2:$E1000=$A109)*('Form responses 1'!$A$2:$A1000&lt;=EOMONTH(DATEVALUE("1 "&amp;AL$1),0)))+
  SUMPRODUCT(('Form responses 1'!$F$2:$F1000=$A109)*('Form responses 1'!$A$2:$A1000&lt;=EOMONTH(DATEVALUE("1 "&amp;AL$1),0)))+
  SUMPRODUCT(('Form responses 1'!$G$2:$G1000=$A109)*('Form responses 1'!$A$2:$A1000&lt;=EOMONTH(DATEVALUE("1 "&amp;AL$1),0)))
),2),"-")</f>
        <v>-</v>
      </c>
    </row>
    <row r="110">
      <c r="A110" s="3" t="str">
        <f>IFERROR(__xludf.DUMMYFUNCTION("""COMPUTED_VALUE"""),"Zwarte nette schoenen")</f>
        <v>Zwarte nette schoenen</v>
      </c>
      <c r="C110" s="2" t="str">
        <f>IFERROR(ROUND(Data!B101/(SUMPRODUCT(('Form responses 1'!$B$2:$B1000 = A110) * ('Form responses 1'!$A$2:$A1000 &lt;= DATE(2024, 1, 31)))
+ SUMPRODUCT(('Form responses 1'!$C$2:$C1000 = A110) * ('Form responses 1'!$A$2:$A1000 &lt;= DATE(2024, 1, 31)))
+ SUMPRODUCT(('Form responses 1'!$D$2:$D1000 = A110) * ('Form responses 1'!$A$2:$A1000 &lt;= DATE(2024, 1, 31)))
+ SUMPRODUCT(('Form responses 1'!$E$2:$E1000 = A110) * ('Form responses 1'!$A$2:$A1000 &lt;= DATE(2024, 1, 31)))
+ SUMPRODUCT(('Form responses 1'!$F$2:$F1000 = A110) * ('Form responses 1'!$A$2:$A1000 &lt;= DATE(2024, 1, 31)))
+ SUMPRODUCT(('Form responses 1'!$G$2:$G1000 = A110) * ('Form responses 1'!$A$2:$A1000 &lt;= DATE(2024, 1, 31)))), 2), "-")
</f>
        <v>-</v>
      </c>
      <c r="D110" s="2" t="str">
        <f>IFERROR(ROUND(Data!B101/(SUMPRODUCT(('Form responses 1'!$B$2:$B1000 = A110) * ('Form responses 1'!$A$2:$A1000 &lt;= DATE(2024, 2, 29)))
+ SUMPRODUCT(('Form responses 1'!$C$2:$C1000 = A110) * ('Form responses 1'!$A$2:$A1000 &lt;= DATE(2024, 2, 29)))
+ SUMPRODUCT(('Form responses 1'!$D$2:$D1000 = A110) * ('Form responses 1'!$A$2:$A1000 &lt;= DATE(2024, 2, 29)))
+ SUMPRODUCT(('Form responses 1'!$E$2:$E1000 = A110) * ('Form responses 1'!$A$2:$A1000 &lt;= DATE(2024, 2, 29)))
+ SUMPRODUCT(('Form responses 1'!$F$2:$F1000 = A110) * ('Form responses 1'!$A$2:$A1000 &lt;= DATE(2024, 2, 29)))
+ SUMPRODUCT(('Form responses 1'!$G$2:$G1000 = A110) * ('Form responses 1'!$A$2:$A1000 &lt;= DATE(2024, 2, 29)))), 2), "-")
</f>
        <v>-</v>
      </c>
      <c r="E110" s="2" t="str">
        <f>IFERROR(ROUND(Data!B101/(SUMPRODUCT(('Form responses 1'!$B$2:$B1000 = A110) * ('Form responses 1'!$A$2:$A1000 &lt;= DATE(2024, 3, 31)))
+ SUMPRODUCT(('Form responses 1'!$C$2:$C1000 = A110) * ('Form responses 1'!$A$2:$A1000 &lt;= DATE(2024, 3, 31)))
+ SUMPRODUCT(('Form responses 1'!$D$2:$D1000 = A110) * ('Form responses 1'!$A$2:$A1000 &lt;= DATE(2024, 3, 31)))
+ SUMPRODUCT(('Form responses 1'!$E$2:$E1000 = A110) * ('Form responses 1'!$A$2:$A1000 &lt;= DATE(2024, 3, 31)))
+ SUMPRODUCT(('Form responses 1'!$F$2:$F1000 = A110) * ('Form responses 1'!$A$2:$A1000 &lt;= DATE(2024, 3, 31)))
+ SUMPRODUCT(('Form responses 1'!$G$2:$G1000 = A110) * ('Form responses 1'!$A$2:$A1000 &lt;= DATE(2024, 3, 31)))), 2), "-")
</f>
        <v>-</v>
      </c>
      <c r="F110" s="2" t="str">
        <f>IFERROR(ROUND(Data!B101/(SUMPRODUCT(('Form responses 1'!$B$2:$B1000 = A110) * ('Form responses 1'!$A$2:$A1000 &lt;= DATE(2024, 4, 30)))
+ SUMPRODUCT(('Form responses 1'!$C$2:$C1000 = A110) * ('Form responses 1'!$A$2:$A1000 &lt;= DATE(2024, 4, 30)))
+ SUMPRODUCT(('Form responses 1'!$D$2:$D1000 = A110) * ('Form responses 1'!$A$2:$A1000 &lt;= DATE(2024, 4, 30)))
+ SUMPRODUCT(('Form responses 1'!$E$2:$E1000 = A110) * ('Form responses 1'!$A$2:$A1000 &lt;= DATE(2024, 4, 30)))
+ SUMPRODUCT(('Form responses 1'!$F$2:$F1000 = A110) * ('Form responses 1'!$A$2:$A1000 &lt;= DATE(2024, 4, 30)))
+ SUMPRODUCT(('Form responses 1'!$G$2:$G1000 = A110) * ('Form responses 1'!$A$2:$A1000 &lt;= DATE(2024, 4, 30)))), 2), "-")
</f>
        <v>-</v>
      </c>
      <c r="G110" s="2" t="str">
        <f>IFERROR(ROUND(Data!B101/(SUMPRODUCT(('Form responses 1'!$B$2:$B1000 = A110) * ('Form responses 1'!$A$2:$A1000 &lt;= DATE(2024, 5, 31)))
+ SUMPRODUCT(('Form responses 1'!$C$2:$C1000 = A110) * ('Form responses 1'!$A$2:$A1000 &lt;= DATE(2024, 5, 31)))
+ SUMPRODUCT(('Form responses 1'!$D$2:$D1000 = A110) * ('Form responses 1'!$A$2:$A1000 &lt;= DATE(2024, 5, 31)))
+ SUMPRODUCT(('Form responses 1'!$E$2:$E1000 = A110) * ('Form responses 1'!$A$2:$A1000 &lt;= DATE(2024, 5, 31)))
+ SUMPRODUCT(('Form responses 1'!$F$2:$F1000 = A110) * ('Form responses 1'!$A$2:$A1000 &lt;= DATE(2024, 5, 31)))
+ SUMPRODUCT(('Form responses 1'!$G$2:$G1000 = A110) * ('Form responses 1'!$A$2:$A1000 &lt;= DATE(2024, 5, 31)))), 2), "-")
</f>
        <v>-</v>
      </c>
      <c r="H110" s="2" t="str">
        <f>IFERROR(ROUND(Data!B101/(SUMPRODUCT(('Form responses 1'!$B$2:$B1000 = A110) * ('Form responses 1'!$A$2:$A1000 &lt;= DATE(2024, 6, 30)))
+ SUMPRODUCT(('Form responses 1'!$C$2:$C1000 = A110) * ('Form responses 1'!$A$2:$A1000 &lt;= DATE(2024, 6, 30)))
+ SUMPRODUCT(('Form responses 1'!$D$2:$D1000 = A110) * ('Form responses 1'!$A$2:$A1000 &lt;= DATE(2024, 6, 30)))
+ SUMPRODUCT(('Form responses 1'!$E$2:$E1000 = A110) * ('Form responses 1'!$A$2:$A1000 &lt;= DATE(2024, 6, 30)))
+ SUMPRODUCT(('Form responses 1'!$F$2:$F1000 = A110) * ('Form responses 1'!$A$2:$A1000 &lt;= DATE(2024, 6, 30)))
+ SUMPRODUCT(('Form responses 1'!$G$2:$G1000 = A110) * ('Form responses 1'!$A$2:$A1000 &lt;= DATE(2024, 6, 30)))), 2), "-")
</f>
        <v>-</v>
      </c>
      <c r="I110" s="2" t="str">
        <f>IFERROR(ROUND(Data!B101/(SUMPRODUCT(('Form responses 1'!$B$2:$B1000 = A110) * ('Form responses 1'!$A$2:$A1000 &lt;= DATE(2024, 7, 31)))
+ SUMPRODUCT(('Form responses 1'!$C$2:$C1000 = A110) * ('Form responses 1'!$A$2:$A1000 &lt;= DATE(2024, 7, 31)))
+ SUMPRODUCT(('Form responses 1'!$D$2:$D1000 = A110) * ('Form responses 1'!$A$2:$A1000 &lt;= DATE(2024, 7, 31)))
+ SUMPRODUCT(('Form responses 1'!$E$2:$E1000 = A110) * ('Form responses 1'!$A$2:$A1000 &lt;= DATE(2024, 7, 31)))
+ SUMPRODUCT(('Form responses 1'!$F$2:$F1000 = A110) * ('Form responses 1'!$A$2:$A1000 &lt;= DATE(2024, 7, 31)))
+ SUMPRODUCT(('Form responses 1'!$G$2:$G1000 = A110) * ('Form responses 1'!$A$2:$A1000 &lt;= DATE(2024, 7, 31)))), 2), "-")
</f>
        <v>-</v>
      </c>
      <c r="J110" s="2" t="str">
        <f>IFERROR(ROUND(Data!B101/(SUMPRODUCT(('Form responses 1'!$B$2:$B1000 = A110) * ('Form responses 1'!$A$2:$A1000 &lt;= DATE(2024, 8, 31)))
+ SUMPRODUCT(('Form responses 1'!$C$2:$C1000 = A110) * ('Form responses 1'!$A$2:$A1000 &lt;= DATE(2024, 8, 31)))
+ SUMPRODUCT(('Form responses 1'!$D$2:$D1000 = A110) * ('Form responses 1'!$A$2:$A1000 &lt;= DATE(2024, 8, 31)))
+ SUMPRODUCT(('Form responses 1'!$E$2:$E1000 = A110) * ('Form responses 1'!$A$2:$A1000 &lt;= DATE(2024, 8, 31)))
+ SUMPRODUCT(('Form responses 1'!$F$2:$F1000 = A110) * ('Form responses 1'!$A$2:$A1000 &lt;= DATE(2024, 8, 31)))
+ SUMPRODUCT(('Form responses 1'!$G$2:$G1000 = A110) * ('Form responses 1'!$A$2:$A1000 &lt;= DATE(2024, 8, 31)))), 2), "-")
</f>
        <v>-</v>
      </c>
      <c r="K110" s="2" t="str">
        <f>IFERROR(ROUND(Data!B101/(SUMPRODUCT(('Form responses 1'!$B$2:$B1000 = A110) * ('Form responses 1'!$A$2:$A1000 &lt;= DATE(2024, 9, 30)))
+ SUMPRODUCT(('Form responses 1'!$C$2:$C1000 = A110) * ('Form responses 1'!$A$2:$A1000 &lt;= DATE(2024, 9, 30)))
+ SUMPRODUCT(('Form responses 1'!$D$2:$D1000 = A110) * ('Form responses 1'!$A$2:$A1000 &lt;= DATE(2024, 9, 30)))
+ SUMPRODUCT(('Form responses 1'!$E$2:$E1000 = A110) * ('Form responses 1'!$A$2:$A1000 &lt;= DATE(2024, 9, 30)))
+ SUMPRODUCT(('Form responses 1'!$F$2:$F1000 = A110) * ('Form responses 1'!$A$2:$A1000 &lt;= DATE(2024, 9, 30)))
+ SUMPRODUCT(('Form responses 1'!$G$2:$G1000 = A110) * ('Form responses 1'!$A$2:$A1000 &lt;= DATE(2024, 9, 30)))), 2), "-")
</f>
        <v>-</v>
      </c>
      <c r="L110" s="2" t="str">
        <f>IFERROR(ROUND(Data!B101/(SUMPRODUCT(('Form responses 1'!$B$2:$B1000 = A110) * ('Form responses 1'!$A$2:$A1000 &lt;= DATE(2024, 10, 31)))
+ SUMPRODUCT(('Form responses 1'!$C$2:$C1000 = A110) * ('Form responses 1'!$A$2:$A1000 &lt;= DATE(2024, 10, 31)))
+ SUMPRODUCT(('Form responses 1'!$D$2:$D1000 = A110) * ('Form responses 1'!$A$2:$A1000 &lt;= DATE(2024, 10, 31)))
+ SUMPRODUCT(('Form responses 1'!$E$2:$E1000 = A110) * ('Form responses 1'!$A$2:$A1000 &lt;= DATE(2024, 10, 31)))
+ SUMPRODUCT(('Form responses 1'!$F$2:$F1000 = A110) * ('Form responses 1'!$A$2:$A1000 &lt;= DATE(2024, 10, 31)))
+ SUMPRODUCT(('Form responses 1'!$G$2:$G1000 = A110) * ('Form responses 1'!$A$2:$A1000 &lt;= DATE(2024, 10, 31)))), 2), "-")
</f>
        <v>-</v>
      </c>
      <c r="M110" s="2" t="str">
        <f>IFERROR(ROUND(Data!B101/(SUMPRODUCT(('Form responses 1'!$B$2:$B1000 = A110) * ('Form responses 1'!$A$2:$A1000 &lt;= DATE(2024, 11, 30)))
+ SUMPRODUCT(('Form responses 1'!$C$2:$C1000 = A110) * ('Form responses 1'!$A$2:$A1000 &lt;= DATE(2024, 11, 30)))
+ SUMPRODUCT(('Form responses 1'!$D$2:$D1000 = A110) * ('Form responses 1'!$A$2:$A1000 &lt;= DATE(2024, 11, 30)))
+ SUMPRODUCT(('Form responses 1'!$E$2:$E1000 = A110) * ('Form responses 1'!$A$2:$A1000 &lt;= DATE(2024, 11, 30)))
+ SUMPRODUCT(('Form responses 1'!$F$2:$F1000 = A110) * ('Form responses 1'!$A$2:$A1000 &lt;= DATE(2024, 11, 30)))
+ SUMPRODUCT(('Form responses 1'!$G$2:$G1000 = A110) * ('Form responses 1'!$A$2:$A1000 &lt;= DATE(2024, 11, 30)))), 2), "-")
</f>
        <v>-</v>
      </c>
      <c r="N110" s="2" t="str">
        <f>IFERROR(ROUND(Data!B101/(SUMPRODUCT(('Form responses 1'!$B$2:$B1000 = A110) * ('Form responses 1'!$A$2:$A1000 &lt;= DATE(2024, 12, 31)))
+ SUMPRODUCT(('Form responses 1'!$C$2:$C1000 = A110) * ('Form responses 1'!$A$2:$A1000 &lt;= DATE(2024, 12, 31)))
+ SUMPRODUCT(('Form responses 1'!$D$2:$D1000 = A110) * ('Form responses 1'!$A$2:$A1000 &lt;= DATE(2024, 12, 31)))
+ SUMPRODUCT(('Form responses 1'!$E$2:$E1000 = A110) * ('Form responses 1'!$A$2:$A1000 &lt;= DATE(2024, 12, 31)))
+ SUMPRODUCT(('Form responses 1'!$F$2:$F1000 = A110) * ('Form responses 1'!$A$2:$A1000 &lt;= DATE(2024, 12, 31)))
+ SUMPRODUCT(('Form responses 1'!$G$2:$G1000 = A110) * ('Form responses 1'!$A$2:$A1000 &lt;= DATE(2024, 12, 31)))), 2), "-")
</f>
        <v>-</v>
      </c>
      <c r="O110" s="2" t="str">
        <f>IFERROR(ROUND(Data!B101/(SUMPRODUCT(('Form responses 1'!$B$2:$B1000 = A110) * ('Form responses 1'!$A$2:$A1000 &lt;= DATE(2025, 1, 31)))
+ SUMPRODUCT(('Form responses 1'!$C$2:$C1000 = A110) * ('Form responses 1'!$A$2:$A1000 &lt;= DATE(2025, 1, 31)))
+ SUMPRODUCT(('Form responses 1'!$D$2:$D1000 = A110) * ('Form responses 1'!$A$2:$A1000 &lt;= DATE(2025, 1, 31)))
+ SUMPRODUCT(('Form responses 1'!$E$2:$E1000 = A110) * ('Form responses 1'!$A$2:$A1000 &lt;= DATE(2025, 1, 31)))
+ SUMPRODUCT(('Form responses 1'!$F$2:$F1000 = A110) * ('Form responses 1'!$A$2:$A1000 &lt;= DATE(2025, 1, 31)))
+ SUMPRODUCT(('Form responses 1'!$G$2:$G1000 = A110) * ('Form responses 1'!$A$2:$A1000 &lt;= DATE(2025, 1, 31)))), 2), "-")
</f>
        <v>-</v>
      </c>
      <c r="P110" s="2" t="str">
        <f>IFERROR(ROUND(Data!B101/(SUMPRODUCT(('Form responses 1'!$B$2:$B1000 = A110) * ('Form responses 1'!$A$2:$A1000 &lt;= DATE(2025, 2, 28)))
+ SUMPRODUCT(('Form responses 1'!$C$2:$C1000 = A110) * ('Form responses 1'!$A$2:$A1000 &lt;= DATE(2025, 2, 28)))
+ SUMPRODUCT(('Form responses 1'!$D$2:$D1000 = A110) * ('Form responses 1'!$A$2:$A1000 &lt;= DATE(2025, 2, 28)))
+ SUMPRODUCT(('Form responses 1'!$E$2:$E1000 = A110) * ('Form responses 1'!$A$2:$A1000 &lt;= DATE(2025, 2, 28)))
+ SUMPRODUCT(('Form responses 1'!$F$2:$F1000 = A110) * ('Form responses 1'!$A$2:$A1000 &lt;= DATE(2025, 2, 28)))
+ SUMPRODUCT(('Form responses 1'!$G$2:$G1000 = A110) * ('Form responses 1'!$A$2:$A1000 &lt;= DATE(2025, 2, 28)))), 2), "-")
</f>
        <v>-</v>
      </c>
      <c r="Q110" s="2" t="str">
        <f>IFERROR(ROUND(Data!B101/(SUMPRODUCT(('Form responses 1'!$B$2:$B1000 = A110) * ('Form responses 1'!$A$2:$A1000 &lt;= DATE(2025, 3, 31)))
+ SUMPRODUCT(('Form responses 1'!$C$2:$C1000 = A110) * ('Form responses 1'!$A$2:$A1000 &lt;= DATE(2025, 3, 31)))
+ SUMPRODUCT(('Form responses 1'!$D$2:$D1000 = A110) * ('Form responses 1'!$A$2:$A1000 &lt;= DATE(2025, 3, 31)))
+ SUMPRODUCT(('Form responses 1'!$E$2:$E1000 = A110) * ('Form responses 1'!$A$2:$A1000 &lt;= DATE(2025, 3, 31)))
+ SUMPRODUCT(('Form responses 1'!$F$2:$F1000 = A110) * ('Form responses 1'!$A$2:$A1000 &lt;= DATE(2025, 3, 31)))
+ SUMPRODUCT(('Form responses 1'!$G$2:$G1000 = A110) * ('Form responses 1'!$A$2:$A1000 &lt;= DATE(2025, 3, 31)))),2),"-")</f>
        <v>-</v>
      </c>
      <c r="R110" s="2" t="str">
        <f>IFERROR(ROUND(Data!B101/(SUMPRODUCT(('Form responses 1'!$B$2:$B1000 = A110) * ('Form responses 1'!$A$2:$A1000 &lt;= DATE(2025, 4, 30)))
+ SUMPRODUCT(('Form responses 1'!$C$2:$C1000 = A110) * ('Form responses 1'!$A$2:$A1000 &lt;= DATE(2025, 4, 30)))
+ SUMPRODUCT(('Form responses 1'!$D$2:$D1000 = A110) * ('Form responses 1'!$A$2:$A1000 &lt;= DATE(2025, 4, 30)))
+ SUMPRODUCT(('Form responses 1'!$E$2:$E1000 = A110) * ('Form responses 1'!$A$2:$A1000 &lt;= DATE(2025, 4, 30)))
+ SUMPRODUCT(('Form responses 1'!$F$2:$F1000 = A110) * ('Form responses 1'!$A$2:$A1000 &lt;= DATE(2025, 4, 30)))
+ SUMPRODUCT(('Form responses 1'!$G$2:$G1000 = A110) * ('Form responses 1'!$A$2:$A1000 &lt;= DATE(2025, 4, 30)))), 2), "-")
</f>
        <v>-</v>
      </c>
      <c r="S110" s="2" t="str">
        <f>IFERROR(ROUND(Data!B101/(SUMPRODUCT(('Form responses 1'!$B$2:$B1000 = A110) * ('Form responses 1'!$A$2:$A1000 &lt;= DATE(2025, 5, 31)))
+ SUMPRODUCT(('Form responses 1'!$C$2:$C1000 = A110) * ('Form responses 1'!$A$2:$A1000 &lt;= DATE(2025, 5, 31)))
+ SUMPRODUCT(('Form responses 1'!$D$2:$D1000 = A110) * ('Form responses 1'!$A$2:$A1000 &lt;= DATE(2025, 5, 31)))
+ SUMPRODUCT(('Form responses 1'!$E$2:$E1000 = A110) * ('Form responses 1'!$A$2:$A1000 &lt;= DATE(2025, 5, 31)))
+ SUMPRODUCT(('Form responses 1'!$F$2:$F1000 = A110) * ('Form responses 1'!$A$2:$A1000 &lt;= DATE(2025, 5, 31)))
+ SUMPRODUCT(('Form responses 1'!$G$2:$G1000 = A110) * ('Form responses 1'!$A$2:$A1000 &lt;= DATE(2025, 5, 31)))), 2), "-")
</f>
        <v>-</v>
      </c>
      <c r="T110" s="2" t="str">
        <f>IFERROR(ROUND(Data!B101/(SUMPRODUCT(('Form responses 1'!$B$2:$B1000 = A110) * ('Form responses 1'!$A$2:$A1000 &lt;= DATE(2025, 6, 30)))
+ SUMPRODUCT(('Form responses 1'!$C$2:$C1000 = A110) * ('Form responses 1'!$A$2:$A1000 &lt;= DATE(2025, 6, 30)))
+ SUMPRODUCT(('Form responses 1'!$D$2:$D1000 = A110) * ('Form responses 1'!$A$2:$A1000 &lt;= DATE(2025, 6, 30)))
+ SUMPRODUCT(('Form responses 1'!$E$2:$E1000 = A110) * ('Form responses 1'!$A$2:$A1000 &lt;= DATE(2025, 6, 30)))
+ SUMPRODUCT(('Form responses 1'!$F$2:$F1000 = A110) * ('Form responses 1'!$A$2:$A1000 &lt;= DATE(2025, 6, 30)))
+ SUMPRODUCT(('Form responses 1'!$G$2:$G1000 = A110) * ('Form responses 1'!$A$2:$A1000 &lt;= DATE(2025, 6, 30)))), 2), "-")
</f>
        <v>-</v>
      </c>
      <c r="U110" s="2" t="str">
        <f>IFERROR(ROUND(Data!B101/(SUMPRODUCT(('Form responses 1'!$B$2:$B1000 = A110) * ('Form responses 1'!$A$2:$A1000 &lt;= DATE(2025, 7, 31)))
+ SUMPRODUCT(('Form responses 1'!$C$2:$C1000 = A110) * ('Form responses 1'!$A$2:$A1000 &lt;= DATE(2025, 7, 31)))
+ SUMPRODUCT(('Form responses 1'!$D$2:$D1000 = A110) * ('Form responses 1'!$A$2:$A1000 &lt;= DATE(2025, 7, 31)))
+ SUMPRODUCT(('Form responses 1'!$E$2:$E1000 = A110) * ('Form responses 1'!$A$2:$A1000 &lt;= DATE(2025, 7, 31)))
+ SUMPRODUCT(('Form responses 1'!$F$2:$F1000 = A110) * ('Form responses 1'!$A$2:$A1000 &lt;= DATE(2025, 7, 31)))
+ SUMPRODUCT(('Form responses 1'!$G$2:$G1000 = A110) * ('Form responses 1'!$A$2:$A1000 &lt;= DATE(2025, 7, 31)))), 2), "-")
</f>
        <v>-</v>
      </c>
      <c r="V110" s="2" t="str">
        <f>IFERROR(ROUND(Data!B101/(SUMPRODUCT(('Form responses 1'!$B$2:$B1000 = A110) * ('Form responses 1'!$A$2:$A1000 &lt;= DATE(2025, 8, 31)))
+ SUMPRODUCT(('Form responses 1'!$C$2:$C1000 = A110) * ('Form responses 1'!$A$2:$A1000 &lt;= DATE(2025, 8, 31)))
+ SUMPRODUCT(('Form responses 1'!$D$2:$D1000 = A110) * ('Form responses 1'!$A$2:$A1000 &lt;= DATE(2025, 8, 31)))
+ SUMPRODUCT(('Form responses 1'!$E$2:$E1000 = A110) * ('Form responses 1'!$A$2:$A1000 &lt;= DATE(2025, 8, 31)))
+ SUMPRODUCT(('Form responses 1'!$F$2:$F1000 = A110) * ('Form responses 1'!$A$2:$A1000 &lt;= DATE(2025, 8, 31)))
+ SUMPRODUCT(('Form responses 1'!$G$2:$G1000 = A110) * ('Form responses 1'!$A$2:$A1000 &lt;= DATE(2025, 8, 31)))), 2), "-")
</f>
        <v>-</v>
      </c>
      <c r="W110" s="2" t="str">
        <f>IFERROR(ROUND(Data!B101/(SUMPRODUCT(('Form responses 1'!$B$2:$B1000 = A110) * ('Form responses 1'!$A$2:$A1000 &lt;= DATE(2025, 9, 30)))
+ SUMPRODUCT(('Form responses 1'!$C$2:$C1000 = A110) * ('Form responses 1'!$A$2:$A1000 &lt;= DATE(2025, 9, 30)))
+ SUMPRODUCT(('Form responses 1'!$D$2:$D1000 = A110) * ('Form responses 1'!$A$2:$A1000 &lt;= DATE(2025, 9, 30)))
+ SUMPRODUCT(('Form responses 1'!$E$2:$E1000 = A110) * ('Form responses 1'!$A$2:$A1000 &lt;= DATE(2025, 9, 30)))
+ SUMPRODUCT(('Form responses 1'!$F$2:$F1000 = A110) * ('Form responses 1'!$A$2:$A1000 &lt;= DATE(2025, 9, 30)))
+ SUMPRODUCT(('Form responses 1'!$G$2:$G1000 = A110) * ('Form responses 1'!$A$2:$A1000 &lt;= DATE(2025, 9, 30)))), 2), "-")
</f>
        <v>-</v>
      </c>
      <c r="X110" s="2" t="str">
        <f>IFERROR(ROUND(Data!B101/(SUMPRODUCT(('Form responses 1'!$B$2:$B1000 = A110) * ('Form responses 1'!$A$2:$A1000 &lt;= DATE(2025, 10, 31)))
+ SUMPRODUCT(('Form responses 1'!$C$2:$C1000 = A110) * ('Form responses 1'!$A$2:$A1000 &lt;= DATE(2025, 10, 31)))
+ SUMPRODUCT(('Form responses 1'!$D$2:$D1000 = A110) * ('Form responses 1'!$A$2:$A1000 &lt;= DATE(2025, 10, 31)))
+ SUMPRODUCT(('Form responses 1'!$E$2:$E1000 = A110) * ('Form responses 1'!$A$2:$A1000 &lt;= DATE(2025, 10, 31)))
+ SUMPRODUCT(('Form responses 1'!$F$2:$F1000 = A110) * ('Form responses 1'!$A$2:$A1000 &lt;= DATE(2025, 10, 31)))
+ SUMPRODUCT(('Form responses 1'!$G$2:$G1000 = A110) * ('Form responses 1'!$A$2:$A1000 &lt;= DATE(2025, 10, 31)))), 2), "-")
</f>
        <v>-</v>
      </c>
      <c r="Y110" s="2">
        <f>IFERROR(ROUND(Data!B101/(SUMPRODUCT(('Form responses 1'!$B$2:$B1000 = A110) * ('Form responses 1'!$A$2:$A1000 &lt;= DATE(2025, 11, 30)))
+ SUMPRODUCT(('Form responses 1'!$C$2:$C1000 = A110) * ('Form responses 1'!$A$2:$A1000 &lt;= DATE(2025, 11, 30)))
+ SUMPRODUCT(('Form responses 1'!$D$2:$D1000 = A110) * ('Form responses 1'!$A$2:$A1000 &lt;= DATE(2025, 11, 30)))
+ SUMPRODUCT(('Form responses 1'!$E$2:$E1000 = A110) * ('Form responses 1'!$A$2:$A1000 &lt;= DATE(2025, 11, 30)))
+ SUMPRODUCT(('Form responses 1'!$F$2:$F1000 = A110) * ('Form responses 1'!$A$2:$A1000 &lt;= DATE(2025, 11, 30)))
+ SUMPRODUCT(('Form responses 1'!$G$2:$G1000 = A110) * ('Form responses 1'!$A$2:$A1000 &lt;= DATE(2025, 11, 30)))), 2), "-")
</f>
        <v>32.33</v>
      </c>
      <c r="Z110" s="2">
        <f>IFERROR(ROUND(Data!B101/(SUMPRODUCT(('Form responses 1'!$B$2:$B1000 = A110) * ('Form responses 1'!$A$2:$A1000 &lt;= DATE(2025, 12, 31)))
+ SUMPRODUCT(('Form responses 1'!$C$2:$C1000 = A110) * ('Form responses 1'!$A$2:$A1000 &lt;= DATE(2025, 12, 31)))
+ SUMPRODUCT(('Form responses 1'!$D$2:$D1000 = A110) * ('Form responses 1'!$A$2:$A1000 &lt;= DATE(2025, 12, 31)))
+ SUMPRODUCT(('Form responses 1'!$E$2:$E1000 = A110) * ('Form responses 1'!$A$2:$A1000 &lt;= DATE(2025, 12, 31)))
+ SUMPRODUCT(('Form responses 1'!$F$2:$F1000 = A110) * ('Form responses 1'!$A$2:$A1000 &lt;= DATE(2025, 12, 31)))
+ SUMPRODUCT(('Form responses 1'!$G$2:$G1000 = A110) * ('Form responses 1'!$A$2:$A1000 &lt;= DATE(2025, 12, 31)))), 2), "-")
</f>
        <v>10.78</v>
      </c>
      <c r="AA110" s="2">
        <f>IFERROR(ROUND(Data!$B110/(
  SUMPRODUCT(('Form responses 1'!$B$2:$B1000=$A110)*('Form responses 1'!$A$2:$A1000&lt;=EOMONTH(DATEVALUE("1 "&amp;AA$1),0)))+
  SUMPRODUCT(('Form responses 1'!$C$2:$C1000=$A110)*('Form responses 1'!$A$2:$A1000&lt;=EOMONTH(DATEVALUE("1 "&amp;AA$1),0)))+
  SUMPRODUCT(('Form responses 1'!$D$2:$D1000=$A110)*('Form responses 1'!$A$2:$A1000&lt;=EOMONTH(DATEVALUE("1 "&amp;AA$1),0)))+
  SUMPRODUCT(('Form responses 1'!$E$2:$E1000=$A110)*('Form responses 1'!$A$2:$A1000&lt;=EOMONTH(DATEVALUE("1 "&amp;AA$1),0)))+
  SUMPRODUCT(('Form responses 1'!$F$2:$F1000=$A110)*('Form responses 1'!$A$2:$A1000&lt;=EOMONTH(DATEVALUE("1 "&amp;AA$1),0)))+
  SUMPRODUCT(('Form responses 1'!$G$2:$G1000=$A110)*('Form responses 1'!$A$2:$A1000&lt;=EOMONTH(DATEVALUE("1 "&amp;AA$1),0)))
),2),"-")</f>
        <v>24.99</v>
      </c>
      <c r="AB110" s="2">
        <f>IFERROR(ROUND(Data!$B110/(
  SUMPRODUCT(('Form responses 1'!$B$2:$B1000=$A110)*('Form responses 1'!$A$2:$A1000&lt;=EOMONTH(DATEVALUE("1 "&amp;AB$1),0)))+
  SUMPRODUCT(('Form responses 1'!$C$2:$C1000=$A110)*('Form responses 1'!$A$2:$A1000&lt;=EOMONTH(DATEVALUE("1 "&amp;AB$1),0)))+
  SUMPRODUCT(('Form responses 1'!$D$2:$D1000=$A110)*('Form responses 1'!$A$2:$A1000&lt;=EOMONTH(DATEVALUE("1 "&amp;AB$1),0)))+
  SUMPRODUCT(('Form responses 1'!$E$2:$E1000=$A110)*('Form responses 1'!$A$2:$A1000&lt;=EOMONTH(DATEVALUE("1 "&amp;AB$1),0)))+
  SUMPRODUCT(('Form responses 1'!$F$2:$F1000=$A110)*('Form responses 1'!$A$2:$A1000&lt;=EOMONTH(DATEVALUE("1 "&amp;AB$1),0)))+
  SUMPRODUCT(('Form responses 1'!$G$2:$G1000=$A110)*('Form responses 1'!$A$2:$A1000&lt;=EOMONTH(DATEVALUE("1 "&amp;AB$1),0)))
),2),"-")</f>
        <v>24.99</v>
      </c>
      <c r="AC110" s="2">
        <f>IFERROR(ROUND(Data!$B110/(
  SUMPRODUCT(('Form responses 1'!$B$2:$B1000=$A110)*('Form responses 1'!$A$2:$A1000&lt;=EOMONTH(DATEVALUE("1 "&amp;AC$1),0)))+
  SUMPRODUCT(('Form responses 1'!$C$2:$C1000=$A110)*('Form responses 1'!$A$2:$A1000&lt;=EOMONTH(DATEVALUE("1 "&amp;AC$1),0)))+
  SUMPRODUCT(('Form responses 1'!$D$2:$D1000=$A110)*('Form responses 1'!$A$2:$A1000&lt;=EOMONTH(DATEVALUE("1 "&amp;AC$1),0)))+
  SUMPRODUCT(('Form responses 1'!$E$2:$E1000=$A110)*('Form responses 1'!$A$2:$A1000&lt;=EOMONTH(DATEVALUE("1 "&amp;AC$1),0)))+
  SUMPRODUCT(('Form responses 1'!$F$2:$F1000=$A110)*('Form responses 1'!$A$2:$A1000&lt;=EOMONTH(DATEVALUE("1 "&amp;AC$1),0)))+
  SUMPRODUCT(('Form responses 1'!$G$2:$G1000=$A110)*('Form responses 1'!$A$2:$A1000&lt;=EOMONTH(DATEVALUE("1 "&amp;AC$1),0)))
),2),"-")</f>
        <v>24.99</v>
      </c>
      <c r="AD110" s="2" t="str">
        <f>IFERROR(ROUND(Data!$B110/(
  SUMPRODUCT(('Form responses 1'!$B$2:$B1000=$A110)*('Form responses 1'!$A$2:$A1000&lt;=EOMONTH(DATEVALUE("1 "&amp;AD$1),0)))+
  SUMPRODUCT(('Form responses 1'!$C$2:$C1000=$A110)*('Form responses 1'!$A$2:$A1000&lt;=EOMONTH(DATEVALUE("1 "&amp;AD$1),0)))+
  SUMPRODUCT(('Form responses 1'!$D$2:$D1000=$A110)*('Form responses 1'!$A$2:$A1000&lt;=EOMONTH(DATEVALUE("1 "&amp;AD$1),0)))+
  SUMPRODUCT(('Form responses 1'!$E$2:$E1000=$A110)*('Form responses 1'!$A$2:$A1000&lt;=EOMONTH(DATEVALUE("1 "&amp;AD$1),0)))+
  SUMPRODUCT(('Form responses 1'!$F$2:$F1000=$A110)*('Form responses 1'!$A$2:$A1000&lt;=EOMONTH(DATEVALUE("1 "&amp;AD$1),0)))+
  SUMPRODUCT(('Form responses 1'!$G$2:$G1000=$A110)*('Form responses 1'!$A$2:$A1000&lt;=EOMONTH(DATEVALUE("1 "&amp;AD$1),0)))
),2),"-")</f>
        <v>-</v>
      </c>
      <c r="AE110" s="2" t="str">
        <f>IFERROR(ROUND(Data!$B110/(
  SUMPRODUCT(('Form responses 1'!$B$2:$B1000=$A110)*('Form responses 1'!$A$2:$A1000&lt;=EOMONTH(DATEVALUE("1 "&amp;AE$1),0)))+
  SUMPRODUCT(('Form responses 1'!$C$2:$C1000=$A110)*('Form responses 1'!$A$2:$A1000&lt;=EOMONTH(DATEVALUE("1 "&amp;AE$1),0)))+
  SUMPRODUCT(('Form responses 1'!$D$2:$D1000=$A110)*('Form responses 1'!$A$2:$A1000&lt;=EOMONTH(DATEVALUE("1 "&amp;AE$1),0)))+
  SUMPRODUCT(('Form responses 1'!$E$2:$E1000=$A110)*('Form responses 1'!$A$2:$A1000&lt;=EOMONTH(DATEVALUE("1 "&amp;AE$1),0)))+
  SUMPRODUCT(('Form responses 1'!$F$2:$F1000=$A110)*('Form responses 1'!$A$2:$A1000&lt;=EOMONTH(DATEVALUE("1 "&amp;AE$1),0)))+
  SUMPRODUCT(('Form responses 1'!$G$2:$G1000=$A110)*('Form responses 1'!$A$2:$A1000&lt;=EOMONTH(DATEVALUE("1 "&amp;AE$1),0)))
),2),"-")</f>
        <v>-</v>
      </c>
      <c r="AF110" s="2" t="str">
        <f>IFERROR(ROUND(Data!$B110/(
  SUMPRODUCT(('Form responses 1'!$B$2:$B1000=$A110)*('Form responses 1'!$A$2:$A1000&lt;=EOMONTH(DATEVALUE("1 "&amp;AF$1),0)))+
  SUMPRODUCT(('Form responses 1'!$C$2:$C1000=$A110)*('Form responses 1'!$A$2:$A1000&lt;=EOMONTH(DATEVALUE("1 "&amp;AF$1),0)))+
  SUMPRODUCT(('Form responses 1'!$D$2:$D1000=$A110)*('Form responses 1'!$A$2:$A1000&lt;=EOMONTH(DATEVALUE("1 "&amp;AF$1),0)))+
  SUMPRODUCT(('Form responses 1'!$E$2:$E1000=$A110)*('Form responses 1'!$A$2:$A1000&lt;=EOMONTH(DATEVALUE("1 "&amp;AF$1),0)))+
  SUMPRODUCT(('Form responses 1'!$F$2:$F1000=$A110)*('Form responses 1'!$A$2:$A1000&lt;=EOMONTH(DATEVALUE("1 "&amp;AF$1),0)))+
  SUMPRODUCT(('Form responses 1'!$G$2:$G1000=$A110)*('Form responses 1'!$A$2:$A1000&lt;=EOMONTH(DATEVALUE("1 "&amp;AF$1),0)))
),2),"-")</f>
        <v>-</v>
      </c>
      <c r="AG110" s="2" t="str">
        <f>IFERROR(ROUND(Data!$B110/(
  SUMPRODUCT(('Form responses 1'!$B$2:$B1000=$A110)*('Form responses 1'!$A$2:$A1000&lt;=EOMONTH(DATEVALUE("1 "&amp;AG$1),0)))+
  SUMPRODUCT(('Form responses 1'!$C$2:$C1000=$A110)*('Form responses 1'!$A$2:$A1000&lt;=EOMONTH(DATEVALUE("1 "&amp;AG$1),0)))+
  SUMPRODUCT(('Form responses 1'!$D$2:$D1000=$A110)*('Form responses 1'!$A$2:$A1000&lt;=EOMONTH(DATEVALUE("1 "&amp;AG$1),0)))+
  SUMPRODUCT(('Form responses 1'!$E$2:$E1000=$A110)*('Form responses 1'!$A$2:$A1000&lt;=EOMONTH(DATEVALUE("1 "&amp;AG$1),0)))+
  SUMPRODUCT(('Form responses 1'!$F$2:$F1000=$A110)*('Form responses 1'!$A$2:$A1000&lt;=EOMONTH(DATEVALUE("1 "&amp;AG$1),0)))+
  SUMPRODUCT(('Form responses 1'!$G$2:$G1000=$A110)*('Form responses 1'!$A$2:$A1000&lt;=EOMONTH(DATEVALUE("1 "&amp;AG$1),0)))
),2),"-")</f>
        <v>-</v>
      </c>
      <c r="AH110" s="2" t="str">
        <f>IFERROR(ROUND(Data!$B110/(
  SUMPRODUCT(('Form responses 1'!$B$2:$B1000=$A110)*('Form responses 1'!$A$2:$A1000&lt;=EOMONTH(DATEVALUE("1 "&amp;AH$1),0)))+
  SUMPRODUCT(('Form responses 1'!$C$2:$C1000=$A110)*('Form responses 1'!$A$2:$A1000&lt;=EOMONTH(DATEVALUE("1 "&amp;AH$1),0)))+
  SUMPRODUCT(('Form responses 1'!$D$2:$D1000=$A110)*('Form responses 1'!$A$2:$A1000&lt;=EOMONTH(DATEVALUE("1 "&amp;AH$1),0)))+
  SUMPRODUCT(('Form responses 1'!$E$2:$E1000=$A110)*('Form responses 1'!$A$2:$A1000&lt;=EOMONTH(DATEVALUE("1 "&amp;AH$1),0)))+
  SUMPRODUCT(('Form responses 1'!$F$2:$F1000=$A110)*('Form responses 1'!$A$2:$A1000&lt;=EOMONTH(DATEVALUE("1 "&amp;AH$1),0)))+
  SUMPRODUCT(('Form responses 1'!$G$2:$G1000=$A110)*('Form responses 1'!$A$2:$A1000&lt;=EOMONTH(DATEVALUE("1 "&amp;AH$1),0)))
),2),"-")</f>
        <v>-</v>
      </c>
      <c r="AI110" s="2" t="str">
        <f>IFERROR(ROUND(Data!$B110/(
  SUMPRODUCT(('Form responses 1'!$B$2:$B1000=$A110)*('Form responses 1'!$A$2:$A1000&lt;=EOMONTH(DATEVALUE("1 "&amp;AI$1),0)))+
  SUMPRODUCT(('Form responses 1'!$C$2:$C1000=$A110)*('Form responses 1'!$A$2:$A1000&lt;=EOMONTH(DATEVALUE("1 "&amp;AI$1),0)))+
  SUMPRODUCT(('Form responses 1'!$D$2:$D1000=$A110)*('Form responses 1'!$A$2:$A1000&lt;=EOMONTH(DATEVALUE("1 "&amp;AI$1),0)))+
  SUMPRODUCT(('Form responses 1'!$E$2:$E1000=$A110)*('Form responses 1'!$A$2:$A1000&lt;=EOMONTH(DATEVALUE("1 "&amp;AI$1),0)))+
  SUMPRODUCT(('Form responses 1'!$F$2:$F1000=$A110)*('Form responses 1'!$A$2:$A1000&lt;=EOMONTH(DATEVALUE("1 "&amp;AI$1),0)))+
  SUMPRODUCT(('Form responses 1'!$G$2:$G1000=$A110)*('Form responses 1'!$A$2:$A1000&lt;=EOMONTH(DATEVALUE("1 "&amp;AI$1),0)))
),2),"-")</f>
        <v>-</v>
      </c>
      <c r="AJ110" s="2" t="str">
        <f>IFERROR(ROUND(Data!$B110/(
  SUMPRODUCT(('Form responses 1'!$B$2:$B1000=$A110)*('Form responses 1'!$A$2:$A1000&lt;=EOMONTH(DATEVALUE("1 "&amp;AJ$1),0)))+
  SUMPRODUCT(('Form responses 1'!$C$2:$C1000=$A110)*('Form responses 1'!$A$2:$A1000&lt;=EOMONTH(DATEVALUE("1 "&amp;AJ$1),0)))+
  SUMPRODUCT(('Form responses 1'!$D$2:$D1000=$A110)*('Form responses 1'!$A$2:$A1000&lt;=EOMONTH(DATEVALUE("1 "&amp;AJ$1),0)))+
  SUMPRODUCT(('Form responses 1'!$E$2:$E1000=$A110)*('Form responses 1'!$A$2:$A1000&lt;=EOMONTH(DATEVALUE("1 "&amp;AJ$1),0)))+
  SUMPRODUCT(('Form responses 1'!$F$2:$F1000=$A110)*('Form responses 1'!$A$2:$A1000&lt;=EOMONTH(DATEVALUE("1 "&amp;AJ$1),0)))+
  SUMPRODUCT(('Form responses 1'!$G$2:$G1000=$A110)*('Form responses 1'!$A$2:$A1000&lt;=EOMONTH(DATEVALUE("1 "&amp;AJ$1),0)))
),2),"-")</f>
        <v>-</v>
      </c>
      <c r="AK110" s="2" t="str">
        <f>IFERROR(ROUND(Data!$B110/(
  SUMPRODUCT(('Form responses 1'!$B$2:$B1000=$A110)*('Form responses 1'!$A$2:$A1000&lt;=EOMONTH(DATEVALUE("1 "&amp;AK$1),0)))+
  SUMPRODUCT(('Form responses 1'!$C$2:$C1000=$A110)*('Form responses 1'!$A$2:$A1000&lt;=EOMONTH(DATEVALUE("1 "&amp;AK$1),0)))+
  SUMPRODUCT(('Form responses 1'!$D$2:$D1000=$A110)*('Form responses 1'!$A$2:$A1000&lt;=EOMONTH(DATEVALUE("1 "&amp;AK$1),0)))+
  SUMPRODUCT(('Form responses 1'!$E$2:$E1000=$A110)*('Form responses 1'!$A$2:$A1000&lt;=EOMONTH(DATEVALUE("1 "&amp;AK$1),0)))+
  SUMPRODUCT(('Form responses 1'!$F$2:$F1000=$A110)*('Form responses 1'!$A$2:$A1000&lt;=EOMONTH(DATEVALUE("1 "&amp;AK$1),0)))+
  SUMPRODUCT(('Form responses 1'!$G$2:$G1000=$A110)*('Form responses 1'!$A$2:$A1000&lt;=EOMONTH(DATEVALUE("1 "&amp;AK$1),0)))
),2),"-")</f>
        <v>-</v>
      </c>
      <c r="AL110" s="2" t="str">
        <f>IFERROR(ROUND(Data!$B110/(
  SUMPRODUCT(('Form responses 1'!$B$2:$B1000=$A110)*('Form responses 1'!$A$2:$A1000&lt;=EOMONTH(DATEVALUE("1 "&amp;AL$1),0)))+
  SUMPRODUCT(('Form responses 1'!$C$2:$C1000=$A110)*('Form responses 1'!$A$2:$A1000&lt;=EOMONTH(DATEVALUE("1 "&amp;AL$1),0)))+
  SUMPRODUCT(('Form responses 1'!$D$2:$D1000=$A110)*('Form responses 1'!$A$2:$A1000&lt;=EOMONTH(DATEVALUE("1 "&amp;AL$1),0)))+
  SUMPRODUCT(('Form responses 1'!$E$2:$E1000=$A110)*('Form responses 1'!$A$2:$A1000&lt;=EOMONTH(DATEVALUE("1 "&amp;AL$1),0)))+
  SUMPRODUCT(('Form responses 1'!$F$2:$F1000=$A110)*('Form responses 1'!$A$2:$A1000&lt;=EOMONTH(DATEVALUE("1 "&amp;AL$1),0)))+
  SUMPRODUCT(('Form responses 1'!$G$2:$G1000=$A110)*('Form responses 1'!$A$2:$A1000&lt;=EOMONTH(DATEVALUE("1 "&amp;AL$1),0)))
),2),"-")</f>
        <v>-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7.13"/>
    <col customWidth="1" min="3" max="3" width="8.5"/>
    <col customWidth="1" min="4" max="4" width="18.75"/>
    <col customWidth="1" min="5" max="5" width="10.0"/>
    <col customWidth="1" min="6" max="6" width="2.0"/>
    <col customWidth="1" min="7" max="7" width="20.13"/>
    <col customWidth="1" min="8" max="8" width="5.5"/>
    <col customWidth="1" min="9" max="9" width="9.38"/>
    <col customWidth="1" min="10" max="10" width="18.75"/>
    <col customWidth="1" min="11" max="11" width="9.88"/>
    <col customWidth="1" min="12" max="12" width="2.38"/>
    <col customWidth="1" min="13" max="13" width="22.63"/>
    <col customWidth="1" min="14" max="14" width="6.63"/>
    <col customWidth="1" min="15" max="15" width="7.88"/>
    <col customWidth="1" min="16" max="16" width="18.13"/>
    <col customWidth="1" min="17" max="17" width="9.75"/>
    <col customWidth="1" min="18" max="18" width="3.13"/>
    <col customWidth="1" min="19" max="19" width="22.25"/>
    <col customWidth="1" min="20" max="20" width="6.38"/>
    <col customWidth="1" min="21" max="21" width="7.25"/>
    <col customWidth="1" min="22" max="22" width="17.75"/>
    <col customWidth="1" min="23" max="23" width="9.88"/>
    <col customWidth="1" min="24" max="24" width="3.5"/>
    <col customWidth="1" min="25" max="25" width="21.0"/>
    <col customWidth="1" min="26" max="26" width="7.0"/>
    <col customWidth="1" min="27" max="27" width="7.25"/>
    <col customWidth="1" min="28" max="28" width="18.25"/>
    <col customWidth="1" min="29" max="29" width="9.5"/>
    <col customWidth="1" min="30" max="30" width="4.0"/>
    <col customWidth="1" min="31" max="31" width="16.5"/>
    <col customWidth="1" min="32" max="33" width="6.38"/>
    <col customWidth="1" min="34" max="34" width="18.5"/>
    <col customWidth="1" min="35" max="35" width="10.25"/>
  </cols>
  <sheetData>
    <row r="1">
      <c r="A1" s="7" t="s">
        <v>5</v>
      </c>
      <c r="B1" s="7" t="s">
        <v>43</v>
      </c>
      <c r="C1" s="7" t="s">
        <v>44</v>
      </c>
      <c r="D1" s="7" t="s">
        <v>45</v>
      </c>
      <c r="E1" s="7" t="s">
        <v>46</v>
      </c>
      <c r="F1" s="2"/>
      <c r="G1" s="7" t="s">
        <v>47</v>
      </c>
      <c r="H1" s="7" t="s">
        <v>43</v>
      </c>
      <c r="I1" s="7" t="s">
        <v>44</v>
      </c>
      <c r="J1" s="7" t="s">
        <v>45</v>
      </c>
      <c r="K1" s="7" t="s">
        <v>46</v>
      </c>
      <c r="L1" s="2"/>
      <c r="M1" s="7" t="s">
        <v>48</v>
      </c>
      <c r="N1" s="7" t="s">
        <v>43</v>
      </c>
      <c r="O1" s="7" t="s">
        <v>44</v>
      </c>
      <c r="P1" s="7" t="s">
        <v>45</v>
      </c>
      <c r="Q1" s="7" t="s">
        <v>46</v>
      </c>
      <c r="R1" s="2"/>
      <c r="S1" s="7" t="s">
        <v>49</v>
      </c>
      <c r="T1" s="7" t="s">
        <v>43</v>
      </c>
      <c r="U1" s="7" t="s">
        <v>44</v>
      </c>
      <c r="V1" s="7" t="s">
        <v>45</v>
      </c>
      <c r="W1" s="7" t="s">
        <v>46</v>
      </c>
      <c r="X1" s="2"/>
      <c r="Y1" s="7" t="s">
        <v>50</v>
      </c>
      <c r="Z1" s="7" t="s">
        <v>43</v>
      </c>
      <c r="AA1" s="7" t="s">
        <v>44</v>
      </c>
      <c r="AB1" s="7" t="s">
        <v>45</v>
      </c>
      <c r="AC1" s="7" t="s">
        <v>46</v>
      </c>
      <c r="AD1" s="2"/>
      <c r="AE1" s="7" t="s">
        <v>51</v>
      </c>
      <c r="AF1" s="7" t="s">
        <v>43</v>
      </c>
      <c r="AG1" s="7" t="s">
        <v>44</v>
      </c>
      <c r="AH1" s="7" t="s">
        <v>45</v>
      </c>
      <c r="AI1" s="7" t="s">
        <v>46</v>
      </c>
      <c r="AJ1" s="2"/>
      <c r="AK1" s="2"/>
      <c r="AL1" s="2"/>
    </row>
    <row r="2">
      <c r="A2" s="6" t="str">
        <f>IFERROR(__xludf.DUMMYFUNCTION("FILTER(Data!A2:A1000,Data!D2:D1000=""broek"")"),"Bruine Curduroy broek")</f>
        <v>Bruine Curduroy broek</v>
      </c>
      <c r="B2" s="1">
        <f t="array" ref="B2">IFERROR(_xlfn.XLOOKUP(A2,Data!$A$2:$A1000,Data!$B$2:$B1000),"")</f>
        <v>22.5</v>
      </c>
      <c r="C2" s="8">
        <f t="array" ref="C2">IFERROR(_xlfn.XLOOKUP(A2,Data!$A$2:$A1000,Data!$C$2:$C1000),"")</f>
        <v>44632</v>
      </c>
      <c r="D2" s="2">
        <f t="array" ref="D2">IFERROR(_xlfn.XLOOKUP(A2,Data!$A$2:$A1000,Data!$E$2:$E1000),"")</f>
        <v>225</v>
      </c>
      <c r="E2" s="2">
        <f t="array" ref="E2">IFERROR(_xlfn.XLOOKUP(A2,Data!$A$2:$A1000,Data!$F$2:$F1000),"")</f>
        <v>0.1</v>
      </c>
      <c r="F2" s="2"/>
      <c r="G2" s="6" t="str">
        <f>IFERROR(__xludf.DUMMYFUNCTION("FILTER(Data!$A$2:$A1000,Data!$D$2:$D1000=""t-shirt"")"),"Wit t-shirt")</f>
        <v>Wit t-shirt</v>
      </c>
      <c r="H2" s="2">
        <f t="array" ref="H2">IFERROR(_xlfn.XLOOKUP(G2,Data!$A$2:$A1000,Data!$B$2:$B1000),"")</f>
        <v>30</v>
      </c>
      <c r="I2" s="8">
        <f t="array" ref="I2">IFERROR(_xlfn.XLOOKUP(G2,Data!$A$2:$A1000,Data!$C$2:$C1000),"")</f>
        <v>44197</v>
      </c>
      <c r="J2" s="2">
        <f t="array" ref="J2">IFERROR(_xlfn.XLOOKUP(G2,Data!$A$2:$A1000,Data!$E$2:$E1000),"")</f>
        <v>741</v>
      </c>
      <c r="K2" s="2">
        <f t="array" ref="K2">IFERROR(_xlfn.XLOOKUP(G2,Data!$A$2:$A1000,Data!$F$2:$F1000),"")</f>
        <v>0.04</v>
      </c>
      <c r="L2" s="2"/>
      <c r="M2" s="6" t="str">
        <f>IFERROR(__xludf.DUMMYFUNCTION("FILTER(Data!$A$2:$A1000,Data!$D$2:$D1000=""trui"")"),"Groene trui knitted")</f>
        <v>Groene trui knitted</v>
      </c>
      <c r="N2" s="2">
        <f t="array" ref="N2">IFERROR(_xlfn.XLOOKUP(M2,Data!$A$2:$A1000,Data!$B$2:$B1000),"")</f>
        <v>38.5</v>
      </c>
      <c r="O2" s="8">
        <f t="array" ref="O2">IFERROR(_xlfn.XLOOKUP(M2,Data!$A$2:$A1000,Data!$C$2:$C1000),"")</f>
        <v>44507</v>
      </c>
      <c r="P2" s="2">
        <f t="array" ref="P2">IFERROR(_xlfn.XLOOKUP(M2,Data!$A$2:$A1000,Data!$E$2:$E1000),"")</f>
        <v>71</v>
      </c>
      <c r="Q2" s="2">
        <f t="array" ref="Q2">IFERROR(_xlfn.XLOOKUP(M2,Data!$A$2:$A1000,Data!$F$2:$F1000),"")</f>
        <v>0.54</v>
      </c>
      <c r="R2" s="2"/>
      <c r="S2" s="6" t="str">
        <f>IFERROR(__xludf.DUMMYFUNCTION("FILTER(Data!$A$2:$A1000,Data!$D$2:$D1000=""blousje"")"),"Oude blouse papa")</f>
        <v>Oude blouse papa</v>
      </c>
      <c r="T2" s="2">
        <f t="array" ref="T2">IFERROR(_xlfn.XLOOKUP(S2,Data!$A$2:$A1000,Data!$B$2:$B1000),"")</f>
        <v>0</v>
      </c>
      <c r="U2" s="8">
        <f t="array" ref="U2">IFERROR(_xlfn.XLOOKUP(S2,Data!$A$2:$A1000,Data!$C$2:$C1000),"")</f>
        <v>44197</v>
      </c>
      <c r="V2" s="2">
        <f t="array" ref="V2">IFERROR(_xlfn.XLOOKUP(S2,Data!$A$2:$A1000,Data!$E$2:$E1000),"")</f>
        <v>33</v>
      </c>
      <c r="W2" s="2">
        <f t="array" ref="W2">IFERROR(_xlfn.XLOOKUP(S2,Data!$A$2:$A1000,Data!$F$2:$F1000),"")</f>
        <v>0</v>
      </c>
      <c r="X2" s="2"/>
      <c r="Y2" s="6" t="str">
        <f>IFERROR(__xludf.DUMMYFUNCTION("FILTER(Data!$A$2:$A1000,Data!$D$2:$D1000=""jas"")"),"Nette lange grijze jas")</f>
        <v>Nette lange grijze jas</v>
      </c>
      <c r="Z2" s="2">
        <f t="array" ref="Z2">IFERROR(_xlfn.XLOOKUP(Y2,Data!$A$2:$A1000,Data!$B$2:$B1000),"")</f>
        <v>197.5</v>
      </c>
      <c r="AA2" s="8">
        <f t="array" ref="AA2">IFERROR(_xlfn.XLOOKUP(Y2,Data!$A$2:$A1000,Data!$C$2:$C1000),"")</f>
        <v>43831</v>
      </c>
      <c r="AB2" s="2">
        <f t="array" ref="AB2">IFERROR(_xlfn.XLOOKUP(Y2,Data!$A$2:$A1000,Data!$E$2:$E1000),"")</f>
        <v>247</v>
      </c>
      <c r="AC2" s="2">
        <f t="array" ref="AC2">IFERROR(_xlfn.XLOOKUP(Y2,Data!$A$2:$A1000,Data!$F$2:$F1000),"")</f>
        <v>0.8</v>
      </c>
      <c r="AD2" s="2"/>
      <c r="AE2" s="9" t="str">
        <f>IFERROR(__xludf.DUMMYFUNCTION("FILTER(Data!$A$2:$A1000,Data!$D$2:$D1000=""schoenen"")"),"Blauwe oud")</f>
        <v>Blauwe oud</v>
      </c>
      <c r="AF2" s="10">
        <f t="array" ref="AF2">IFERROR(_xlfn.XLOOKUP(AE2,Data!$A$2:$A1000,Data!$B$2:$B1000),"")</f>
        <v>61.25</v>
      </c>
      <c r="AG2" s="11">
        <f t="array" ref="AG2">IFERROR(_xlfn.XLOOKUP(AE2,Data!$A$2:$A1000,Data!$C$2:$C1000),"")</f>
        <v>43655</v>
      </c>
      <c r="AH2" s="10">
        <f t="array" ref="AH2">IFERROR(_xlfn.XLOOKUP(AE2,Data!$A$2:$A1000,Data!$E$2:$E1000),"")</f>
        <v>192</v>
      </c>
      <c r="AI2" s="10">
        <f t="array" ref="AI2">IFERROR(_xlfn.XLOOKUP(AE2,Data!$A$2:$A1000,Data!$F$2:$F1000),"")</f>
        <v>0.32</v>
      </c>
      <c r="AJ2" s="2"/>
      <c r="AK2" s="2"/>
      <c r="AL2" s="2"/>
    </row>
    <row r="3">
      <c r="A3" s="9" t="str">
        <f>IFERROR(__xludf.DUMMYFUNCTION("""COMPUTED_VALUE"""),"Nette broek zwart")</f>
        <v>Nette broek zwart</v>
      </c>
      <c r="B3" s="12">
        <f t="array" ref="B3">IFERROR(_xlfn.XLOOKUP(A3,Data!$A$2:$A1000,Data!$B$2:$B1000),"")</f>
        <v>0</v>
      </c>
      <c r="C3" s="11">
        <f t="array" ref="C3">IFERROR(_xlfn.XLOOKUP(A3,Data!$A$2:$A1000,Data!$C$2:$C1000),"")</f>
        <v>44197</v>
      </c>
      <c r="D3" s="10">
        <f t="array" ref="D3">IFERROR(_xlfn.XLOOKUP(A3,Data!$A$2:$A1000,Data!$E$2:$E1000),"")</f>
        <v>62</v>
      </c>
      <c r="E3" s="10">
        <f t="array" ref="E3">IFERROR(_xlfn.XLOOKUP(A3,Data!$A$2:$A1000,Data!$F$2:$F1000),"")</f>
        <v>0</v>
      </c>
      <c r="F3" s="2"/>
      <c r="G3" s="3" t="str">
        <f>IFERROR(__xludf.DUMMYFUNCTION("""COMPUTED_VALUE"""),"Wit t-shirt uniqlo")</f>
        <v>Wit t-shirt uniqlo</v>
      </c>
      <c r="H3" s="2">
        <f t="array" ref="H3">IFERROR(_xlfn.XLOOKUP(G3,Data!$A$2:$A1000,Data!$B$2:$B1000),"")</f>
        <v>139.5</v>
      </c>
      <c r="I3" s="8">
        <f t="array" ref="I3">IFERROR(_xlfn.XLOOKUP(G3,Data!$A$2:$A1000,Data!$C$2:$C1000),"")</f>
        <v>45115</v>
      </c>
      <c r="J3" s="2">
        <f t="array" ref="J3">IFERROR(_xlfn.XLOOKUP(G3,Data!$A$2:$A1000,Data!$E$2:$E1000),"")</f>
        <v>268</v>
      </c>
      <c r="K3" s="2">
        <f t="array" ref="K3">IFERROR(_xlfn.XLOOKUP(G3,Data!$A$2:$A1000,Data!$F$2:$F1000),"")</f>
        <v>0.52</v>
      </c>
      <c r="L3" s="2"/>
      <c r="M3" s="6" t="str">
        <f>IFERROR(__xludf.DUMMYFUNCTION("""COMPUTED_VALUE"""),"Witte trui knitted")</f>
        <v>Witte trui knitted</v>
      </c>
      <c r="N3" s="2">
        <f t="array" ref="N3">IFERROR(_xlfn.XLOOKUP(M3,Data!$A$2:$A1000,Data!$B$2:$B1000),"")</f>
        <v>40</v>
      </c>
      <c r="O3" s="8">
        <f t="array" ref="O3">IFERROR(_xlfn.XLOOKUP(M3,Data!$A$2:$A1000,Data!$C$2:$C1000),"")</f>
        <v>44197</v>
      </c>
      <c r="P3" s="2">
        <f t="array" ref="P3">IFERROR(_xlfn.XLOOKUP(M3,Data!$A$2:$A1000,Data!$E$2:$E1000),"")</f>
        <v>82</v>
      </c>
      <c r="Q3" s="2">
        <f t="array" ref="Q3">IFERROR(_xlfn.XLOOKUP(M3,Data!$A$2:$A1000,Data!$F$2:$F1000),"")</f>
        <v>0.49</v>
      </c>
      <c r="R3" s="2"/>
      <c r="S3" s="6" t="str">
        <f>IFERROR(__xludf.DUMMYFUNCTION("""COMPUTED_VALUE"""),"Groene blouse")</f>
        <v>Groene blouse</v>
      </c>
      <c r="T3" s="2">
        <f t="array" ref="T3">IFERROR(_xlfn.XLOOKUP(S3,Data!$A$2:$A1000,Data!$B$2:$B1000),"")</f>
        <v>15.5</v>
      </c>
      <c r="U3" s="8">
        <f t="array" ref="U3">IFERROR(_xlfn.XLOOKUP(S3,Data!$A$2:$A1000,Data!$C$2:$C1000),"")</f>
        <v>44683</v>
      </c>
      <c r="V3" s="2">
        <f t="array" ref="V3">IFERROR(_xlfn.XLOOKUP(S3,Data!$A$2:$A1000,Data!$E$2:$E1000),"")</f>
        <v>49</v>
      </c>
      <c r="W3" s="2">
        <f t="array" ref="W3">IFERROR(_xlfn.XLOOKUP(S3,Data!$A$2:$A1000,Data!$F$2:$F1000),"")</f>
        <v>0.32</v>
      </c>
      <c r="X3" s="2"/>
      <c r="Y3" s="6" t="str">
        <f>IFERROR(__xludf.DUMMYFUNCTION("""COMPUTED_VALUE"""),"Groene winterjas")</f>
        <v>Groene winterjas</v>
      </c>
      <c r="Z3" s="2">
        <f t="array" ref="Z3">IFERROR(_xlfn.XLOOKUP(Y3,Data!$A$2:$A1000,Data!$B$2:$B1000),"")</f>
        <v>180</v>
      </c>
      <c r="AA3" s="8">
        <f t="array" ref="AA3">IFERROR(_xlfn.XLOOKUP(Y3,Data!$A$2:$A1000,Data!$C$2:$C1000),"")</f>
        <v>44562</v>
      </c>
      <c r="AB3" s="2">
        <f t="array" ref="AB3">IFERROR(_xlfn.XLOOKUP(Y3,Data!$A$2:$A1000,Data!$E$2:$E1000),"")</f>
        <v>395</v>
      </c>
      <c r="AC3" s="2">
        <f t="array" ref="AC3">IFERROR(_xlfn.XLOOKUP(Y3,Data!$A$2:$A1000,Data!$F$2:$F1000),"")</f>
        <v>0.46</v>
      </c>
      <c r="AD3" s="2"/>
      <c r="AE3" s="6" t="str">
        <f>IFERROR(__xludf.DUMMYFUNCTION("""COMPUTED_VALUE"""),"Bruine nette")</f>
        <v>Bruine nette</v>
      </c>
      <c r="AF3" s="2">
        <f t="array" ref="AF3">IFERROR(_xlfn.XLOOKUP(AE3,Data!$A$2:$A1000,Data!$B$2:$B1000),"")</f>
        <v>114</v>
      </c>
      <c r="AG3" s="8">
        <f t="array" ref="AG3">IFERROR(_xlfn.XLOOKUP(AE3,Data!$A$2:$A1000,Data!$C$2:$C1000),"")</f>
        <v>44461</v>
      </c>
      <c r="AH3" s="2">
        <f t="array" ref="AH3">IFERROR(_xlfn.XLOOKUP(AE3,Data!$A$2:$A1000,Data!$E$2:$E1000),"")</f>
        <v>149</v>
      </c>
      <c r="AI3" s="2">
        <f t="array" ref="AI3">IFERROR(_xlfn.XLOOKUP(AE3,Data!$A$2:$A1000,Data!$F$2:$F1000),"")</f>
        <v>0.77</v>
      </c>
      <c r="AJ3" s="2"/>
      <c r="AK3" s="2"/>
      <c r="AL3" s="2"/>
    </row>
    <row r="4">
      <c r="A4" s="3" t="str">
        <f>IFERROR(__xludf.DUMMYFUNCTION("""COMPUTED_VALUE"""),"Dickies 874 zwart")</f>
        <v>Dickies 874 zwart</v>
      </c>
      <c r="B4" s="1">
        <f t="array" ref="B4">IFERROR(_xlfn.XLOOKUP(A4,Data!$A$2:$A1000,Data!$B$2:$B1000),"")</f>
        <v>69</v>
      </c>
      <c r="C4" s="8">
        <f t="array" ref="C4">IFERROR(_xlfn.XLOOKUP(A4,Data!$A$2:$A1000,Data!$C$2:$C1000),"")</f>
        <v>45087</v>
      </c>
      <c r="D4" s="2">
        <f t="array" ref="D4">IFERROR(_xlfn.XLOOKUP(A4,Data!$A$2:$A1000,Data!$E$2:$E1000),"")</f>
        <v>242</v>
      </c>
      <c r="E4" s="2">
        <f t="array" ref="E4">IFERROR(_xlfn.XLOOKUP(A4,Data!$A$2:$A1000,Data!$F$2:$F1000),"")</f>
        <v>0.29</v>
      </c>
      <c r="F4" s="2"/>
      <c r="G4" s="6" t="str">
        <f>IFERROR(__xludf.DUMMYFUNCTION("""COMPUTED_VALUE"""),"Wit Fila t-shirt")</f>
        <v>Wit Fila t-shirt</v>
      </c>
      <c r="H4" s="2">
        <f t="array" ref="H4">IFERROR(_xlfn.XLOOKUP(G4,Data!$A$2:$A1000,Data!$B$2:$B1000),"")</f>
        <v>20</v>
      </c>
      <c r="I4" s="8">
        <f t="array" ref="I4">IFERROR(_xlfn.XLOOKUP(G4,Data!$A$2:$A1000,Data!$C$2:$C1000),"")</f>
        <v>44197</v>
      </c>
      <c r="J4" s="2">
        <f t="array" ref="J4">IFERROR(_xlfn.XLOOKUP(G4,Data!$A$2:$A1000,Data!$E$2:$E1000),"")</f>
        <v>86</v>
      </c>
      <c r="K4" s="2">
        <f t="array" ref="K4">IFERROR(_xlfn.XLOOKUP(G4,Data!$A$2:$A1000,Data!$F$2:$F1000),"")</f>
        <v>0.23</v>
      </c>
      <c r="L4" s="2"/>
      <c r="M4" s="13" t="str">
        <f>IFERROR(__xludf.DUMMYFUNCTION("""COMPUTED_VALUE"""),"Coltrui wit")</f>
        <v>Coltrui wit</v>
      </c>
      <c r="N4" s="2">
        <f t="array" ref="N4">IFERROR(_xlfn.XLOOKUP(M4,Data!$A$2:$A1000,Data!$B$2:$B1000),"")</f>
        <v>35</v>
      </c>
      <c r="O4" s="8">
        <f t="array" ref="O4">IFERROR(_xlfn.XLOOKUP(M4,Data!$A$2:$A1000,Data!$C$2:$C1000),"")</f>
        <v>44197</v>
      </c>
      <c r="P4" s="2">
        <f t="array" ref="P4">IFERROR(_xlfn.XLOOKUP(M4,Data!$A$2:$A1000,Data!$E$2:$E1000),"")</f>
        <v>10</v>
      </c>
      <c r="Q4" s="2">
        <f t="array" ref="Q4">IFERROR(_xlfn.XLOOKUP(M4,Data!$A$2:$A1000,Data!$F$2:$F1000),"")</f>
        <v>3.5</v>
      </c>
      <c r="R4" s="2"/>
      <c r="S4" s="9" t="str">
        <f>IFERROR(__xludf.DUMMYFUNCTION("""COMPUTED_VALUE"""),"Blauwe blouse")</f>
        <v>Blauwe blouse</v>
      </c>
      <c r="T4" s="10">
        <f t="array" ref="T4">IFERROR(_xlfn.XLOOKUP(S4,Data!$A$2:$A1000,Data!$B$2:$B1000),"")</f>
        <v>30</v>
      </c>
      <c r="U4" s="11">
        <f t="array" ref="U4">IFERROR(_xlfn.XLOOKUP(S4,Data!$A$2:$A1000,Data!$C$2:$C1000),"")</f>
        <v>45087</v>
      </c>
      <c r="V4" s="10">
        <f t="array" ref="V4">IFERROR(_xlfn.XLOOKUP(S4,Data!$A$2:$A1000,Data!$E$2:$E1000),"")</f>
        <v>5</v>
      </c>
      <c r="W4" s="10">
        <f t="array" ref="W4">IFERROR(_xlfn.XLOOKUP(S4,Data!$A$2:$A1000,Data!$F$2:$F1000),"")</f>
        <v>6</v>
      </c>
      <c r="X4" s="2"/>
      <c r="Y4" s="6" t="str">
        <f>IFERROR(__xludf.DUMMYFUNCTION("""COMPUTED_VALUE"""),"Blauwe zomerjas")</f>
        <v>Blauwe zomerjas</v>
      </c>
      <c r="Z4" s="2">
        <f t="array" ref="Z4">IFERROR(_xlfn.XLOOKUP(Y4,Data!$A$2:$A1000,Data!$B$2:$B1000),"")</f>
        <v>50</v>
      </c>
      <c r="AA4" s="8">
        <f t="array" ref="AA4">IFERROR(_xlfn.XLOOKUP(Y4,Data!$A$2:$A1000,Data!$C$2:$C1000),"")</f>
        <v>43101</v>
      </c>
      <c r="AB4" s="2">
        <f t="array" ref="AB4">IFERROR(_xlfn.XLOOKUP(Y4,Data!$A$2:$A1000,Data!$E$2:$E1000),"")</f>
        <v>51</v>
      </c>
      <c r="AC4" s="2">
        <f t="array" ref="AC4">IFERROR(_xlfn.XLOOKUP(Y4,Data!$A$2:$A1000,Data!$F$2:$F1000),"")</f>
        <v>0.98</v>
      </c>
      <c r="AD4" s="2"/>
      <c r="AE4" s="3" t="str">
        <f>IFERROR(__xludf.DUMMYFUNCTION("""COMPUTED_VALUE"""),"Zwarte Clarks loafers")</f>
        <v>Zwarte Clarks loafers</v>
      </c>
      <c r="AF4" s="2">
        <f t="array" ref="AF4">IFERROR(_xlfn.XLOOKUP(AE4,Data!$A$2:$A1000,Data!$B$2:$B1000),"")</f>
        <v>102</v>
      </c>
      <c r="AG4" s="8">
        <f t="array" ref="AG4">IFERROR(_xlfn.XLOOKUP(AE4,Data!$A$2:$A1000,Data!$C$2:$C1000),"")</f>
        <v>45181</v>
      </c>
      <c r="AH4" s="2">
        <f t="array" ref="AH4">IFERROR(_xlfn.XLOOKUP(AE4,Data!$A$2:$A1000,Data!$E$2:$E1000),"")</f>
        <v>165</v>
      </c>
      <c r="AI4" s="2">
        <f t="array" ref="AI4">IFERROR(_xlfn.XLOOKUP(AE4,Data!$A$2:$A1000,Data!$F$2:$F1000),"")</f>
        <v>0.62</v>
      </c>
      <c r="AJ4" s="2"/>
      <c r="AK4" s="2"/>
      <c r="AL4" s="2"/>
    </row>
    <row r="5">
      <c r="A5" s="9" t="str">
        <f>IFERROR(__xludf.DUMMYFUNCTION("""COMPUTED_VALUE"""),"Nette broek groen")</f>
        <v>Nette broek groen</v>
      </c>
      <c r="B5" s="12">
        <f t="array" ref="B5">IFERROR(_xlfn.XLOOKUP(A5,Data!$A$2:$A1000,Data!$B$2:$B1000),"")</f>
        <v>16</v>
      </c>
      <c r="C5" s="11">
        <f t="array" ref="C5">IFERROR(_xlfn.XLOOKUP(A5,Data!$A$2:$A1000,Data!$C$2:$C1000),"")</f>
        <v>44580</v>
      </c>
      <c r="D5" s="10">
        <f t="array" ref="D5">IFERROR(_xlfn.XLOOKUP(A5,Data!$A$2:$A1000,Data!$E$2:$E1000),"")</f>
        <v>37</v>
      </c>
      <c r="E5" s="10">
        <f t="array" ref="E5">IFERROR(_xlfn.XLOOKUP(A5,Data!$A$2:$A1000,Data!$F$2:$F1000),"")</f>
        <v>0.43</v>
      </c>
      <c r="F5" s="2"/>
      <c r="G5" s="6" t="str">
        <f>IFERROR(__xludf.DUMMYFUNCTION("""COMPUTED_VALUE"""),"Wit Nike t-shirt")</f>
        <v>Wit Nike t-shirt</v>
      </c>
      <c r="H5" s="2">
        <f t="array" ref="H5">IFERROR(_xlfn.XLOOKUP(G5,Data!$A$2:$A1000,Data!$B$2:$B1000),"")</f>
        <v>30</v>
      </c>
      <c r="I5" s="8">
        <f t="array" ref="I5">IFERROR(_xlfn.XLOOKUP(G5,Data!$A$2:$A1000,Data!$C$2:$C1000),"")</f>
        <v>44611</v>
      </c>
      <c r="J5" s="2">
        <f t="array" ref="J5">IFERROR(_xlfn.XLOOKUP(G5,Data!$A$2:$A1000,Data!$E$2:$E1000),"")</f>
        <v>211</v>
      </c>
      <c r="K5" s="2">
        <f t="array" ref="K5">IFERROR(_xlfn.XLOOKUP(G5,Data!$A$2:$A1000,Data!$F$2:$F1000),"")</f>
        <v>0.14</v>
      </c>
      <c r="L5" s="2"/>
      <c r="M5" s="9" t="str">
        <f>IFERROR(__xludf.DUMMYFUNCTION("""COMPUTED_VALUE"""),"Grijze trui, witte strepen")</f>
        <v>Grijze trui, witte strepen</v>
      </c>
      <c r="N5" s="10">
        <f t="array" ref="N5">IFERROR(_xlfn.XLOOKUP(M5,Data!$A$2:$A1000,Data!$B$2:$B1000),"")</f>
        <v>40</v>
      </c>
      <c r="O5" s="11">
        <f t="array" ref="O5">IFERROR(_xlfn.XLOOKUP(M5,Data!$A$2:$A1000,Data!$C$2:$C1000),"")</f>
        <v>43831</v>
      </c>
      <c r="P5" s="10">
        <f t="array" ref="P5">IFERROR(_xlfn.XLOOKUP(M5,Data!$A$2:$A1000,Data!$E$2:$E1000),"")</f>
        <v>30</v>
      </c>
      <c r="Q5" s="10">
        <f t="array" ref="Q5">IFERROR(_xlfn.XLOOKUP(M5,Data!$A$2:$A1000,Data!$F$2:$F1000),"")</f>
        <v>1.33</v>
      </c>
      <c r="R5" s="2"/>
      <c r="S5" s="6" t="str">
        <f>IFERROR(__xludf.DUMMYFUNCTION("""COMPUTED_VALUE"""),"Blauwe Ralph Lauren blouse")</f>
        <v>Blauwe Ralph Lauren blouse</v>
      </c>
      <c r="T5" s="2">
        <f t="array" ref="T5">IFERROR(_xlfn.XLOOKUP(S5,Data!$A$2:$A1000,Data!$B$2:$B1000),"")</f>
        <v>85</v>
      </c>
      <c r="U5" s="8">
        <f t="array" ref="U5">IFERROR(_xlfn.XLOOKUP(S5,Data!$A$2:$A1000,Data!$C$2:$C1000),"")</f>
        <v>45493</v>
      </c>
      <c r="V5" s="2">
        <f t="array" ref="V5">IFERROR(_xlfn.XLOOKUP(S5,Data!$A$2:$A1000,Data!$E$2:$E1000),"")</f>
        <v>17</v>
      </c>
      <c r="W5" s="2">
        <f t="array" ref="W5">IFERROR(_xlfn.XLOOKUP(S5,Data!$A$2:$A1000,Data!$F$2:$F1000),"")</f>
        <v>5</v>
      </c>
      <c r="X5" s="2"/>
      <c r="Y5" s="3" t="str">
        <f>IFERROR(__xludf.DUMMYFUNCTION("""COMPUTED_VALUE"""),"Groene zomerjas corduroy")</f>
        <v>Groene zomerjas corduroy</v>
      </c>
      <c r="Z5" s="2">
        <f t="array" ref="Z5">IFERROR(_xlfn.XLOOKUP(Y5,Data!$A$2:$A1000,Data!$B$2:$B1000),"")</f>
        <v>74.9</v>
      </c>
      <c r="AA5" s="8">
        <f t="array" ref="AA5">IFERROR(_xlfn.XLOOKUP(Y5,Data!$A$2:$A1000,Data!$C$2:$C1000),"")</f>
        <v>45360</v>
      </c>
      <c r="AB5" s="2">
        <f t="array" ref="AB5">IFERROR(_xlfn.XLOOKUP(Y5,Data!$A$2:$A1000,Data!$E$2:$E1000),"")</f>
        <v>144</v>
      </c>
      <c r="AC5" s="2">
        <f t="array" ref="AC5">IFERROR(_xlfn.XLOOKUP(Y5,Data!$A$2:$A1000,Data!$F$2:$F1000),"")</f>
        <v>0.52</v>
      </c>
      <c r="AD5" s="2"/>
      <c r="AE5" s="9" t="str">
        <f>IFERROR(__xludf.DUMMYFUNCTION("""COMPUTED_VALUE"""),"Witte gympen")</f>
        <v>Witte gympen</v>
      </c>
      <c r="AF5" s="10">
        <f t="array" ref="AF5">IFERROR(_xlfn.XLOOKUP(AE5,Data!$A$2:$A1000,Data!$B$2:$B1000),"")</f>
        <v>15.35</v>
      </c>
      <c r="AG5" s="11">
        <f t="array" ref="AG5">IFERROR(_xlfn.XLOOKUP(AE5,Data!$A$2:$A1000,Data!$C$2:$C1000),"")</f>
        <v>44581</v>
      </c>
      <c r="AH5" s="10">
        <f t="array" ref="AH5">IFERROR(_xlfn.XLOOKUP(AE5,Data!$A$2:$A1000,Data!$E$2:$E1000),"")</f>
        <v>146</v>
      </c>
      <c r="AI5" s="10">
        <f t="array" ref="AI5">IFERROR(_xlfn.XLOOKUP(AE5,Data!$A$2:$A1000,Data!$F$2:$F1000),"")</f>
        <v>0.11</v>
      </c>
      <c r="AJ5" s="2"/>
      <c r="AK5" s="2"/>
      <c r="AL5" s="2"/>
    </row>
    <row r="6">
      <c r="A6" s="14" t="str">
        <f>IFERROR(__xludf.DUMMYFUNCTION("""COMPUTED_VALUE"""),"Double pleaded beige linnen")</f>
        <v>Double pleaded beige linnen</v>
      </c>
      <c r="B6" s="12">
        <f t="array" ref="B6">IFERROR(_xlfn.XLOOKUP(A6,Data!$A$2:$A1000,Data!$B$2:$B1000),"")</f>
        <v>50</v>
      </c>
      <c r="C6" s="11">
        <f t="array" ref="C6">IFERROR(_xlfn.XLOOKUP(A6,Data!$A$2:$A1000,Data!$C$2:$C1000),"")</f>
        <v>45087</v>
      </c>
      <c r="D6" s="10">
        <f t="array" ref="D6">IFERROR(_xlfn.XLOOKUP(A6,Data!$A$2:$A1000,Data!$E$2:$E1000),"")</f>
        <v>5</v>
      </c>
      <c r="E6" s="10">
        <f t="array" ref="E6">IFERROR(_xlfn.XLOOKUP(A6,Data!$A$2:$A1000,Data!$F$2:$F1000),"")</f>
        <v>10</v>
      </c>
      <c r="F6" s="2"/>
      <c r="G6" s="6" t="str">
        <f>IFERROR(__xludf.DUMMYFUNCTION("""COMPUTED_VALUE"""),"Wit Lost minds Athl. Track")</f>
        <v>Wit Lost minds Athl. Track</v>
      </c>
      <c r="H6" s="2">
        <f t="array" ref="H6">IFERROR(_xlfn.XLOOKUP(G6,Data!$A$2:$A1000,Data!$B$2:$B1000),"")</f>
        <v>20</v>
      </c>
      <c r="I6" s="8">
        <f t="array" ref="I6">IFERROR(_xlfn.XLOOKUP(G6,Data!$A$2:$A1000,Data!$C$2:$C1000),"")</f>
        <v>44632</v>
      </c>
      <c r="J6" s="2">
        <f t="array" ref="J6">IFERROR(_xlfn.XLOOKUP(G6,Data!$A$2:$A1000,Data!$E$2:$E1000),"")</f>
        <v>82</v>
      </c>
      <c r="K6" s="2">
        <f t="array" ref="K6">IFERROR(_xlfn.XLOOKUP(G6,Data!$A$2:$A1000,Data!$F$2:$F1000),"")</f>
        <v>0.24</v>
      </c>
      <c r="L6" s="2"/>
      <c r="M6" s="6" t="str">
        <f>IFERROR(__xludf.DUMMYFUNCTION("""COMPUTED_VALUE"""),"Groene trui strepen")</f>
        <v>Groene trui strepen</v>
      </c>
      <c r="N6" s="2">
        <f t="array" ref="N6">IFERROR(_xlfn.XLOOKUP(M6,Data!$A$2:$A1000,Data!$B$2:$B1000),"")</f>
        <v>40</v>
      </c>
      <c r="O6" s="8">
        <f t="array" ref="O6">IFERROR(_xlfn.XLOOKUP(M6,Data!$A$2:$A1000,Data!$C$2:$C1000),"")</f>
        <v>43466</v>
      </c>
      <c r="P6" s="2">
        <f t="array" ref="P6">IFERROR(_xlfn.XLOOKUP(M6,Data!$A$2:$A1000,Data!$E$2:$E1000),"")</f>
        <v>63</v>
      </c>
      <c r="Q6" s="2">
        <f t="array" ref="Q6">IFERROR(_xlfn.XLOOKUP(M6,Data!$A$2:$A1000,Data!$F$2:$F1000),"")</f>
        <v>0.63</v>
      </c>
      <c r="R6" s="2"/>
      <c r="S6" s="14" t="str">
        <f>IFERROR(__xludf.DUMMYFUNCTION("""COMPUTED_VALUE"""),"Bruine blouse")</f>
        <v>Bruine blouse</v>
      </c>
      <c r="T6" s="10">
        <f t="array" ref="T6">IFERROR(_xlfn.XLOOKUP(S6,Data!$A$2:$A1000,Data!$B$2:$B1000),"")</f>
        <v>36</v>
      </c>
      <c r="U6" s="11">
        <f t="array" ref="U6">IFERROR(_xlfn.XLOOKUP(S6,Data!$A$2:$A1000,Data!$C$2:$C1000),"")</f>
        <v>45087</v>
      </c>
      <c r="V6" s="10">
        <f t="array" ref="V6">IFERROR(_xlfn.XLOOKUP(S6,Data!$A$2:$A1000,Data!$E$2:$E1000),"")</f>
        <v>11</v>
      </c>
      <c r="W6" s="10">
        <f t="array" ref="W6">IFERROR(_xlfn.XLOOKUP(S6,Data!$A$2:$A1000,Data!$F$2:$F1000),"")</f>
        <v>3.27</v>
      </c>
      <c r="X6" s="2"/>
      <c r="Y6" s="9" t="str">
        <f>IFERROR(__xludf.DUMMYFUNCTION("""COMPUTED_VALUE"""),"Dikke spijkerjas")</f>
        <v>Dikke spijkerjas</v>
      </c>
      <c r="Z6" s="10">
        <f t="array" ref="Z6">IFERROR(_xlfn.XLOOKUP(Y6,Data!$A$2:$A1000,Data!$B$2:$B1000),"")</f>
        <v>45</v>
      </c>
      <c r="AA6" s="11">
        <f t="array" ref="AA6">IFERROR(_xlfn.XLOOKUP(Y6,Data!$A$2:$A1000,Data!$C$2:$C1000),"")</f>
        <v>43732</v>
      </c>
      <c r="AB6" s="10">
        <f t="array" ref="AB6">IFERROR(_xlfn.XLOOKUP(Y6,Data!$A$2:$A1000,Data!$E$2:$E1000),"")</f>
        <v>52</v>
      </c>
      <c r="AC6" s="10">
        <f t="array" ref="AC6">IFERROR(_xlfn.XLOOKUP(Y6,Data!$A$2:$A1000,Data!$F$2:$F1000),"")</f>
        <v>0.87</v>
      </c>
      <c r="AD6" s="2"/>
      <c r="AE6" s="14" t="str">
        <f>IFERROR(__xludf.DUMMYFUNCTION("""COMPUTED_VALUE"""),"Witte fila schoenen")</f>
        <v>Witte fila schoenen</v>
      </c>
      <c r="AF6" s="10">
        <f t="array" ref="AF6">IFERROR(_xlfn.XLOOKUP(AE6,Data!$A$2:$A1000,Data!$B$2:$B1000),"")</f>
        <v>40</v>
      </c>
      <c r="AG6" s="11">
        <f t="array" ref="AG6">IFERROR(_xlfn.XLOOKUP(AE6,Data!$A$2:$A1000,Data!$C$2:$C1000),"")</f>
        <v>45118</v>
      </c>
      <c r="AH6" s="10">
        <f t="array" ref="AH6">IFERROR(_xlfn.XLOOKUP(AE6,Data!$A$2:$A1000,Data!$E$2:$E1000),"")</f>
        <v>11</v>
      </c>
      <c r="AI6" s="10">
        <f t="array" ref="AI6">IFERROR(_xlfn.XLOOKUP(AE6,Data!$A$2:$A1000,Data!$F$2:$F1000),"")</f>
        <v>3.64</v>
      </c>
      <c r="AJ6" s="2"/>
      <c r="AK6" s="2"/>
      <c r="AL6" s="2"/>
    </row>
    <row r="7">
      <c r="A7" s="3" t="str">
        <f>IFERROR(__xludf.DUMMYFUNCTION("""COMPUTED_VALUE"""),"Blauwe linnen broek")</f>
        <v>Blauwe linnen broek</v>
      </c>
      <c r="B7" s="1">
        <f t="array" ref="B7">IFERROR(_xlfn.XLOOKUP(A7,Data!$A$2:$A1000,Data!$B$2:$B1000),"")</f>
        <v>49.9</v>
      </c>
      <c r="C7" s="8">
        <f t="array" ref="C7">IFERROR(_xlfn.XLOOKUP(A7,Data!$A$2:$A1000,Data!$C$2:$C1000),"")</f>
        <v>45147</v>
      </c>
      <c r="D7" s="2">
        <f t="array" ref="D7">IFERROR(_xlfn.XLOOKUP(A7,Data!$A$2:$A1000,Data!$E$2:$E1000),"")</f>
        <v>66</v>
      </c>
      <c r="E7" s="2">
        <f t="array" ref="E7">IFERROR(_xlfn.XLOOKUP(A7,Data!$A$2:$A1000,Data!$F$2:$F1000),"")</f>
        <v>0.76</v>
      </c>
      <c r="F7" s="2"/>
      <c r="G7" s="3" t="str">
        <f>IFERROR(__xludf.DUMMYFUNCTION("""COMPUTED_VALUE"""),"Daily Aesthetikz t-shirt")</f>
        <v>Daily Aesthetikz t-shirt</v>
      </c>
      <c r="H7" s="2">
        <f t="array" ref="H7">IFERROR(_xlfn.XLOOKUP(G7,Data!$A$2:$A1000,Data!$B$2:$B1000),"")</f>
        <v>29.95</v>
      </c>
      <c r="I7" s="8">
        <f t="array" ref="I7">IFERROR(_xlfn.XLOOKUP(G7,Data!$A$2:$A1000,Data!$C$2:$C1000),"")</f>
        <v>44740</v>
      </c>
      <c r="J7" s="2">
        <f t="array" ref="J7">IFERROR(_xlfn.XLOOKUP(G7,Data!$A$2:$A1000,Data!$E$2:$E1000),"")</f>
        <v>39</v>
      </c>
      <c r="K7" s="2">
        <f t="array" ref="K7">IFERROR(_xlfn.XLOOKUP(G7,Data!$A$2:$A1000,Data!$F$2:$F1000),"")</f>
        <v>0.77</v>
      </c>
      <c r="L7" s="2"/>
      <c r="M7" s="3" t="str">
        <f>IFERROR(__xludf.DUMMYFUNCTION("""COMPUTED_VALUE"""),"Groene superdry trui")</f>
        <v>Groene superdry trui</v>
      </c>
      <c r="N7" s="2">
        <f t="array" ref="N7">IFERROR(_xlfn.XLOOKUP(M7,Data!$A$2:$A1000,Data!$B$2:$B1000),"")</f>
        <v>22</v>
      </c>
      <c r="O7" s="8">
        <f t="array" ref="O7">IFERROR(_xlfn.XLOOKUP(M7,Data!$A$2:$A1000,Data!$C$2:$C1000),"")</f>
        <v>45150</v>
      </c>
      <c r="P7" s="2">
        <f t="array" ref="P7">IFERROR(_xlfn.XLOOKUP(M7,Data!$A$2:$A1000,Data!$E$2:$E1000),"")</f>
        <v>28</v>
      </c>
      <c r="Q7" s="2">
        <f t="array" ref="Q7">IFERROR(_xlfn.XLOOKUP(M7,Data!$A$2:$A1000,Data!$F$2:$F1000),"")</f>
        <v>0.79</v>
      </c>
      <c r="R7" s="2"/>
      <c r="S7" s="14" t="str">
        <f>IFERROR(__xludf.DUMMYFUNCTION("""COMPUTED_VALUE"""),"Zwarte blouse")</f>
        <v>Zwarte blouse</v>
      </c>
      <c r="T7" s="10">
        <f t="array" ref="T7">IFERROR(_xlfn.XLOOKUP(S7,Data!$A$2:$A1000,Data!$B$2:$B1000),"")</f>
        <v>39.95</v>
      </c>
      <c r="U7" s="11">
        <f t="array" ref="U7">IFERROR(_xlfn.XLOOKUP(S7,Data!$A$2:$A1000,Data!$C$2:$C1000),"")</f>
        <v>45242</v>
      </c>
      <c r="V7" s="10">
        <f t="array" ref="V7">IFERROR(_xlfn.XLOOKUP(S7,Data!$A$2:$A1000,Data!$E$2:$E1000),"")</f>
        <v>4</v>
      </c>
      <c r="W7" s="10">
        <f t="array" ref="W7">IFERROR(_xlfn.XLOOKUP(S7,Data!$A$2:$A1000,Data!$F$2:$F1000),"")</f>
        <v>9.99</v>
      </c>
      <c r="X7" s="2"/>
      <c r="Y7" s="6" t="str">
        <f>IFERROR(__xludf.DUMMYFUNCTION("""COMPUTED_VALUE"""),"Groene vintage leren jas")</f>
        <v>Groene vintage leren jas</v>
      </c>
      <c r="Z7" s="2">
        <f t="array" ref="Z7">IFERROR(_xlfn.XLOOKUP(Y7,Data!$A$2:$A1000,Data!$B$2:$B1000),"")</f>
        <v>65</v>
      </c>
      <c r="AA7" s="8">
        <f t="array" ref="AA7">IFERROR(_xlfn.XLOOKUP(Y7,Data!$A$2:$A1000,Data!$C$2:$C1000),"")</f>
        <v>45739</v>
      </c>
      <c r="AB7" s="2">
        <f t="array" ref="AB7">IFERROR(_xlfn.XLOOKUP(Y7,Data!$A$2:$A1000,Data!$E$2:$E1000),"")</f>
        <v>77</v>
      </c>
      <c r="AC7" s="2">
        <f t="array" ref="AC7">IFERROR(_xlfn.XLOOKUP(Y7,Data!$A$2:$A1000,Data!$F$2:$F1000),"")</f>
        <v>0.84</v>
      </c>
      <c r="AD7" s="2"/>
      <c r="AE7" s="3" t="str">
        <f>IFERROR(__xludf.DUMMYFUNCTION("""COMPUTED_VALUE"""),"Beige fila schoenen")</f>
        <v>Beige fila schoenen</v>
      </c>
      <c r="AF7" s="2">
        <f t="array" ref="AF7">IFERROR(_xlfn.XLOOKUP(AE7,Data!$A$2:$A1000,Data!$B$2:$B1000),"")</f>
        <v>30</v>
      </c>
      <c r="AG7" s="8">
        <f t="array" ref="AG7">IFERROR(_xlfn.XLOOKUP(AE7,Data!$A$2:$A1000,Data!$C$2:$C1000),"")</f>
        <v>45118</v>
      </c>
      <c r="AH7" s="2">
        <f t="array" ref="AH7">IFERROR(_xlfn.XLOOKUP(AE7,Data!$A$2:$A1000,Data!$E$2:$E1000),"")</f>
        <v>216</v>
      </c>
      <c r="AI7" s="2">
        <f t="array" ref="AI7">IFERROR(_xlfn.XLOOKUP(AE7,Data!$A$2:$A1000,Data!$F$2:$F1000),"")</f>
        <v>0.14</v>
      </c>
      <c r="AJ7" s="2"/>
      <c r="AK7" s="2"/>
      <c r="AL7" s="2"/>
    </row>
    <row r="8">
      <c r="A8" s="9" t="str">
        <f>IFERROR(__xludf.DUMMYFUNCTION("""COMPUTED_VALUE"""),"Spijkerbroek 20 euro")</f>
        <v>Spijkerbroek 20 euro</v>
      </c>
      <c r="B8" s="12">
        <f t="array" ref="B8">IFERROR(_xlfn.XLOOKUP(A8,Data!$A$2:$A1000,Data!$B$2:$B1000),"")</f>
        <v>20</v>
      </c>
      <c r="C8" s="11">
        <f t="array" ref="C8">IFERROR(_xlfn.XLOOKUP(A8,Data!$A$2:$A1000,Data!$C$2:$C1000),"")</f>
        <v>44506</v>
      </c>
      <c r="D8" s="10">
        <f t="array" ref="D8">IFERROR(_xlfn.XLOOKUP(A8,Data!$A$2:$A1000,Data!$E$2:$E1000),"")</f>
        <v>115</v>
      </c>
      <c r="E8" s="10">
        <f t="array" ref="E8">IFERROR(_xlfn.XLOOKUP(A8,Data!$A$2:$A1000,Data!$F$2:$F1000),"")</f>
        <v>0.17</v>
      </c>
      <c r="F8" s="2"/>
      <c r="G8" s="3" t="str">
        <f>IFERROR(__xludf.DUMMYFUNCTION("""COMPUTED_VALUE"""),"The Good Life t-shirt")</f>
        <v>The Good Life t-shirt</v>
      </c>
      <c r="H8" s="2">
        <f t="array" ref="H8">IFERROR(_xlfn.XLOOKUP(G8,Data!$A$2:$A1000,Data!$B$2:$B1000),"")</f>
        <v>19.95</v>
      </c>
      <c r="I8" s="8">
        <f t="array" ref="I8">IFERROR(_xlfn.XLOOKUP(G8,Data!$A$2:$A1000,Data!$C$2:$C1000),"")</f>
        <v>44740</v>
      </c>
      <c r="J8" s="2">
        <f t="array" ref="J8">IFERROR(_xlfn.XLOOKUP(G8,Data!$A$2:$A1000,Data!$E$2:$E1000),"")</f>
        <v>43</v>
      </c>
      <c r="K8" s="2">
        <f t="array" ref="K8">IFERROR(_xlfn.XLOOKUP(G8,Data!$A$2:$A1000,Data!$F$2:$F1000),"")</f>
        <v>0.46</v>
      </c>
      <c r="L8" s="2"/>
      <c r="M8" s="13" t="str">
        <f>IFERROR(__xludf.DUMMYFUNCTION("""COMPUTED_VALUE"""),"Grijze trui")</f>
        <v>Grijze trui</v>
      </c>
      <c r="N8" s="2">
        <f t="array" ref="N8">IFERROR(_xlfn.XLOOKUP(M8,Data!$A$2:$A1000,Data!$B$2:$B1000),"")</f>
        <v>35</v>
      </c>
      <c r="O8" s="8">
        <f t="array" ref="O8">IFERROR(_xlfn.XLOOKUP(M8,Data!$A$2:$A1000,Data!$C$2:$C1000),"")</f>
        <v>43831</v>
      </c>
      <c r="P8" s="2">
        <f t="array" ref="P8">IFERROR(_xlfn.XLOOKUP(M8,Data!$A$2:$A1000,Data!$E$2:$E1000),"")</f>
        <v>5</v>
      </c>
      <c r="Q8" s="2">
        <f t="array" ref="Q8">IFERROR(_xlfn.XLOOKUP(M8,Data!$A$2:$A1000,Data!$F$2:$F1000),"")</f>
        <v>7</v>
      </c>
      <c r="R8" s="2"/>
      <c r="S8" s="3" t="str">
        <f>IFERROR(__xludf.DUMMYFUNCTION("""COMPUTED_VALUE"""),"Beige, v-neck, strepen")</f>
        <v>Beige, v-neck, strepen</v>
      </c>
      <c r="T8" s="2">
        <f t="array" ref="T8">IFERROR(_xlfn.XLOOKUP(S8,Data!$A$2:$A1000,Data!$B$2:$B1000),"")</f>
        <v>40</v>
      </c>
      <c r="U8" s="8">
        <f t="array" ref="U8">IFERROR(_xlfn.XLOOKUP(S8,Data!$A$2:$A1000,Data!$C$2:$C1000),"")</f>
        <v>44197</v>
      </c>
      <c r="V8" s="2">
        <f t="array" ref="V8">IFERROR(_xlfn.XLOOKUP(S8,Data!$A$2:$A1000,Data!$E$2:$E1000),"")</f>
        <v>25</v>
      </c>
      <c r="W8" s="2">
        <f t="array" ref="W8">IFERROR(_xlfn.XLOOKUP(S8,Data!$A$2:$A1000,Data!$F$2:$F1000),"")</f>
        <v>1.6</v>
      </c>
      <c r="X8" s="2"/>
      <c r="Y8" s="2"/>
      <c r="Z8" s="2"/>
      <c r="AA8" s="2"/>
      <c r="AB8" s="2"/>
      <c r="AC8" s="2"/>
      <c r="AD8" s="2"/>
      <c r="AE8" s="3" t="str">
        <f>IFERROR(__xludf.DUMMYFUNCTION("""COMPUTED_VALUE"""),"New Balance 1906R")</f>
        <v>New Balance 1906R</v>
      </c>
      <c r="AF8" s="2">
        <f t="array" ref="AF8">IFERROR(_xlfn.XLOOKUP(AE8,Data!$A$2:$A1000,Data!$B$2:$B1000),"")</f>
        <v>83.3</v>
      </c>
      <c r="AG8" s="8">
        <f t="array" ref="AG8">IFERROR(_xlfn.XLOOKUP(AE8,Data!$A$2:$A1000,Data!$C$2:$C1000),"")</f>
        <v>45493</v>
      </c>
      <c r="AH8" s="2">
        <f t="array" ref="AH8">IFERROR(_xlfn.XLOOKUP(AE8,Data!$A$2:$A1000,Data!$E$2:$E1000),"")</f>
        <v>276</v>
      </c>
      <c r="AI8" s="2">
        <f t="array" ref="AI8">IFERROR(_xlfn.XLOOKUP(AE8,Data!$A$2:$A1000,Data!$F$2:$F1000),"")</f>
        <v>0.3</v>
      </c>
      <c r="AJ8" s="2"/>
      <c r="AK8" s="2"/>
      <c r="AL8" s="2"/>
    </row>
    <row r="9">
      <c r="A9" s="6" t="str">
        <f>IFERROR(__xludf.DUMMYFUNCTION("""COMPUTED_VALUE"""),"Spijkerbroek lichtblauw papa")</f>
        <v>Spijkerbroek lichtblauw papa</v>
      </c>
      <c r="B9" s="1">
        <f t="array" ref="B9">IFERROR(_xlfn.XLOOKUP(A9,Data!$A$2:$A1000,Data!$B$2:$B1000),"")</f>
        <v>0</v>
      </c>
      <c r="C9" s="8">
        <f t="array" ref="C9">IFERROR(_xlfn.XLOOKUP(A9,Data!$A$2:$A1000,Data!$C$2:$C1000),"")</f>
        <v>44197</v>
      </c>
      <c r="D9" s="2">
        <f t="array" ref="D9">IFERROR(_xlfn.XLOOKUP(A9,Data!$A$2:$A1000,Data!$E$2:$E1000),"")</f>
        <v>9</v>
      </c>
      <c r="E9" s="2">
        <f t="array" ref="E9">IFERROR(_xlfn.XLOOKUP(A9,Data!$A$2:$A1000,Data!$F$2:$F1000),"")</f>
        <v>0</v>
      </c>
      <c r="F9" s="2"/>
      <c r="G9" s="3" t="str">
        <f>IFERROR(__xludf.DUMMYFUNCTION("""COMPUTED_VALUE"""),"Mclaren t-shirt")</f>
        <v>Mclaren t-shirt</v>
      </c>
      <c r="H9" s="2">
        <f t="array" ref="H9">IFERROR(_xlfn.XLOOKUP(G9,Data!$A$2:$A1000,Data!$B$2:$B1000),"")</f>
        <v>22.44</v>
      </c>
      <c r="I9" s="8">
        <f t="array" ref="I9">IFERROR(_xlfn.XLOOKUP(G9,Data!$A$2:$A1000,Data!$C$2:$C1000),"")</f>
        <v>45360</v>
      </c>
      <c r="J9" s="2">
        <f t="array" ref="J9">IFERROR(_xlfn.XLOOKUP(G9,Data!$A$2:$A1000,Data!$E$2:$E1000),"")</f>
        <v>37</v>
      </c>
      <c r="K9" s="2">
        <f t="array" ref="K9">IFERROR(_xlfn.XLOOKUP(G9,Data!$A$2:$A1000,Data!$F$2:$F1000),"")</f>
        <v>0.61</v>
      </c>
      <c r="L9" s="2"/>
      <c r="M9" s="6" t="str">
        <f>IFERROR(__xludf.DUMMYFUNCTION("""COMPUTED_VALUE"""),"Gele trui")</f>
        <v>Gele trui</v>
      </c>
      <c r="N9" s="2">
        <f t="array" ref="N9">IFERROR(_xlfn.XLOOKUP(M9,Data!$A$2:$A1000,Data!$B$2:$B1000),"")</f>
        <v>40</v>
      </c>
      <c r="O9" s="8">
        <f t="array" ref="O9">IFERROR(_xlfn.XLOOKUP(M9,Data!$A$2:$A1000,Data!$C$2:$C1000),"")</f>
        <v>43466</v>
      </c>
      <c r="P9" s="2">
        <f t="array" ref="P9">IFERROR(_xlfn.XLOOKUP(M9,Data!$A$2:$A1000,Data!$E$2:$E1000),"")</f>
        <v>55</v>
      </c>
      <c r="Q9" s="2">
        <f t="array" ref="Q9">IFERROR(_xlfn.XLOOKUP(M9,Data!$A$2:$A1000,Data!$F$2:$F1000),"")</f>
        <v>0.73</v>
      </c>
      <c r="R9" s="2"/>
      <c r="S9" s="14" t="str">
        <f>IFERROR(__xludf.DUMMYFUNCTION("""COMPUTED_VALUE"""),"Witte blouse doorzichtig")</f>
        <v>Witte blouse doorzichtig</v>
      </c>
      <c r="T9" s="10">
        <f t="array" ref="T9">IFERROR(_xlfn.XLOOKUP(S9,Data!$A$2:$A1000,Data!$B$2:$B1000),"")</f>
        <v>30</v>
      </c>
      <c r="U9" s="11">
        <f t="array" ref="U9">IFERROR(_xlfn.XLOOKUP(S9,Data!$A$2:$A1000,Data!$C$2:$C1000),"")</f>
        <v>43466</v>
      </c>
      <c r="V9" s="10">
        <f t="array" ref="V9">IFERROR(_xlfn.XLOOKUP(S9,Data!$A$2:$A1000,Data!$E$2:$E1000),"")</f>
        <v>29</v>
      </c>
      <c r="W9" s="10">
        <f t="array" ref="W9">IFERROR(_xlfn.XLOOKUP(S9,Data!$A$2:$A1000,Data!$F$2:$F1000),"")</f>
        <v>1.03</v>
      </c>
      <c r="X9" s="2"/>
      <c r="Y9" s="2"/>
      <c r="Z9" s="2"/>
      <c r="AA9" s="2"/>
      <c r="AB9" s="2"/>
      <c r="AC9" s="2"/>
      <c r="AD9" s="2"/>
      <c r="AE9" s="13" t="str">
        <f>IFERROR(__xludf.DUMMYFUNCTION("""COMPUTED_VALUE"""),"Wandelschoenen")</f>
        <v>Wandelschoenen</v>
      </c>
      <c r="AF9" s="2">
        <f t="array" ref="AF9">IFERROR(_xlfn.XLOOKUP(AE9,Data!$A$2:$A1000,Data!$B$2:$B1000),"")</f>
        <v>50</v>
      </c>
      <c r="AG9" s="8">
        <f t="array" ref="AG9">IFERROR(_xlfn.XLOOKUP(AE9,Data!$A$2:$A1000,Data!$C$2:$C1000),"")</f>
        <v>44392</v>
      </c>
      <c r="AH9" s="2">
        <f t="array" ref="AH9">IFERROR(_xlfn.XLOOKUP(AE9,Data!$A$2:$A1000,Data!$E$2:$E1000),"")</f>
        <v>35</v>
      </c>
      <c r="AI9" s="2">
        <f t="array" ref="AI9">IFERROR(_xlfn.XLOOKUP(AE9,Data!$A$2:$A1000,Data!$F$2:$F1000),"")</f>
        <v>1.43</v>
      </c>
      <c r="AJ9" s="2"/>
      <c r="AK9" s="2"/>
      <c r="AL9" s="2"/>
    </row>
    <row r="10">
      <c r="A10" s="3" t="str">
        <f>IFERROR(__xludf.DUMMYFUNCTION("""COMPUTED_VALUE"""),"Spijkerbroek levi's")</f>
        <v>Spijkerbroek levi's</v>
      </c>
      <c r="B10" s="1">
        <f t="array" ref="B10">IFERROR(_xlfn.XLOOKUP(A10,Data!$A$2:$A1000,Data!$B$2:$B1000),"")</f>
        <v>37.44</v>
      </c>
      <c r="C10" s="8">
        <f t="array" ref="C10">IFERROR(_xlfn.XLOOKUP(A10,Data!$A$2:$A1000,Data!$C$2:$C1000),"")</f>
        <v>44978</v>
      </c>
      <c r="D10" s="2">
        <f t="array" ref="D10">IFERROR(_xlfn.XLOOKUP(A10,Data!$A$2:$A1000,Data!$E$2:$E1000),"")</f>
        <v>219</v>
      </c>
      <c r="E10" s="2">
        <f t="array" ref="E10">IFERROR(_xlfn.XLOOKUP(A10,Data!$A$2:$A1000,Data!$F$2:$F1000),"")</f>
        <v>0.17</v>
      </c>
      <c r="F10" s="2"/>
      <c r="G10" s="3" t="str">
        <f>IFERROR(__xludf.DUMMYFUNCTION("""COMPUTED_VALUE"""),"Utah t-shirt")</f>
        <v>Utah t-shirt</v>
      </c>
      <c r="H10" s="2">
        <f t="array" ref="H10">IFERROR(_xlfn.XLOOKUP(G10,Data!$A$2:$A1000,Data!$B$2:$B1000),"")</f>
        <v>11.76</v>
      </c>
      <c r="I10" s="8">
        <f t="array" ref="I10">IFERROR(_xlfn.XLOOKUP(G10,Data!$A$2:$A1000,Data!$C$2:$C1000),"")</f>
        <v>45360</v>
      </c>
      <c r="J10" s="2">
        <f t="array" ref="J10">IFERROR(_xlfn.XLOOKUP(G10,Data!$A$2:$A1000,Data!$E$2:$E1000),"")</f>
        <v>28</v>
      </c>
      <c r="K10" s="2">
        <f t="array" ref="K10">IFERROR(_xlfn.XLOOKUP(G10,Data!$A$2:$A1000,Data!$F$2:$F1000),"")</f>
        <v>0.42</v>
      </c>
      <c r="L10" s="2"/>
      <c r="M10" s="3" t="str">
        <f>IFERROR(__xludf.DUMMYFUNCTION("""COMPUTED_VALUE"""),"Beige trui")</f>
        <v>Beige trui</v>
      </c>
      <c r="N10" s="2">
        <f t="array" ref="N10">IFERROR(_xlfn.XLOOKUP(M10,Data!$A$2:$A1000,Data!$B$2:$B1000),"")</f>
        <v>19.95</v>
      </c>
      <c r="O10" s="8">
        <f t="array" ref="O10">IFERROR(_xlfn.XLOOKUP(M10,Data!$A$2:$A1000,Data!$C$2:$C1000),"")</f>
        <v>44683</v>
      </c>
      <c r="P10" s="2">
        <f t="array" ref="P10">IFERROR(_xlfn.XLOOKUP(M10,Data!$A$2:$A1000,Data!$E$2:$E1000),"")</f>
        <v>58</v>
      </c>
      <c r="Q10" s="2">
        <f t="array" ref="Q10">IFERROR(_xlfn.XLOOKUP(M10,Data!$A$2:$A1000,Data!$F$2:$F1000),"")</f>
        <v>0.34</v>
      </c>
      <c r="R10" s="2"/>
      <c r="S10" s="3" t="str">
        <f>IFERROR(__xludf.DUMMYFUNCTION("""COMPUTED_VALUE"""),"Witte blouse, zwarte strepen")</f>
        <v>Witte blouse, zwarte strepen</v>
      </c>
      <c r="T10" s="2">
        <f t="array" ref="T10">IFERROR(_xlfn.XLOOKUP(S10,Data!$A$2:$A1000,Data!$B$2:$B1000),"")</f>
        <v>40</v>
      </c>
      <c r="U10" s="8">
        <f t="array" ref="U10">IFERROR(_xlfn.XLOOKUP(S10,Data!$A$2:$A1000,Data!$C$2:$C1000),"")</f>
        <v>44197</v>
      </c>
      <c r="V10" s="2">
        <f t="array" ref="V10">IFERROR(_xlfn.XLOOKUP(S10,Data!$A$2:$A1000,Data!$E$2:$E1000),"")</f>
        <v>5</v>
      </c>
      <c r="W10" s="2">
        <f t="array" ref="W10">IFERROR(_xlfn.XLOOKUP(S10,Data!$A$2:$A1000,Data!$F$2:$F1000),"")</f>
        <v>8</v>
      </c>
      <c r="X10" s="2"/>
      <c r="Y10" s="2"/>
      <c r="Z10" s="2"/>
      <c r="AA10" s="2"/>
      <c r="AB10" s="2"/>
      <c r="AC10" s="2"/>
      <c r="AD10" s="2"/>
      <c r="AE10" s="6" t="str">
        <f>IFERROR(__xludf.DUMMYFUNCTION("""COMPUTED_VALUE"""),"Hardloopschoenen")</f>
        <v>Hardloopschoenen</v>
      </c>
      <c r="AF10" s="2">
        <f t="array" ref="AF10">IFERROR(_xlfn.XLOOKUP(AE10,Data!$A$2:$A1000,Data!$B$2:$B1000),"")</f>
        <v>140</v>
      </c>
      <c r="AG10" s="8">
        <f t="array" ref="AG10">IFERROR(_xlfn.XLOOKUP(AE10,Data!$A$2:$A1000,Data!$C$2:$C1000),"")</f>
        <v>43883</v>
      </c>
      <c r="AH10" s="2">
        <f t="array" ref="AH10">IFERROR(_xlfn.XLOOKUP(AE10,Data!$A$2:$A1000,Data!$E$2:$E1000),"")</f>
        <v>118</v>
      </c>
      <c r="AI10" s="2">
        <f t="array" ref="AI10">IFERROR(_xlfn.XLOOKUP(AE10,Data!$A$2:$A1000,Data!$F$2:$F1000),"")</f>
        <v>1.19</v>
      </c>
      <c r="AJ10" s="2"/>
      <c r="AK10" s="2"/>
      <c r="AL10" s="2"/>
    </row>
    <row r="11">
      <c r="A11" s="15" t="str">
        <f>IFERROR(__xludf.DUMMYFUNCTION("""COMPUTED_VALUE"""),"Donkerblauwe spijkerbroek levi's")</f>
        <v>Donkerblauwe spijkerbroek levi's</v>
      </c>
      <c r="B11" s="1">
        <f t="array" ref="B11">IFERROR(_xlfn.XLOOKUP(A11,Data!$A$2:$A1000,Data!$B$2:$B1000),"")</f>
        <v>34.04</v>
      </c>
      <c r="C11" s="8">
        <f t="array" ref="C11">IFERROR(_xlfn.XLOOKUP(A11,Data!$A$2:$A1000,Data!$C$2:$C1000),"")</f>
        <v>45290</v>
      </c>
      <c r="D11" s="2">
        <f t="array" ref="D11">IFERROR(_xlfn.XLOOKUP(A11,Data!$A$2:$A1000,Data!$E$2:$E1000),"")</f>
        <v>42</v>
      </c>
      <c r="E11" s="2">
        <f t="array" ref="E11">IFERROR(_xlfn.XLOOKUP(A11,Data!$A$2:$A1000,Data!$F$2:$F1000),"")</f>
        <v>0.81</v>
      </c>
      <c r="F11" s="2"/>
      <c r="G11" s="6" t="str">
        <f>IFERROR(__xludf.DUMMYFUNCTION("""COMPUTED_VALUE"""),"Bruin t-shirt")</f>
        <v>Bruin t-shirt</v>
      </c>
      <c r="H11" s="2">
        <f t="array" ref="H11">IFERROR(_xlfn.XLOOKUP(G11,Data!$A$2:$A1000,Data!$B$2:$B1000),"")</f>
        <v>15</v>
      </c>
      <c r="I11" s="8">
        <f t="array" ref="I11">IFERROR(_xlfn.XLOOKUP(G11,Data!$A$2:$A1000,Data!$C$2:$C1000),"")</f>
        <v>44506</v>
      </c>
      <c r="J11" s="2">
        <f t="array" ref="J11">IFERROR(_xlfn.XLOOKUP(G11,Data!$A$2:$A1000,Data!$E$2:$E1000),"")</f>
        <v>44</v>
      </c>
      <c r="K11" s="2">
        <f t="array" ref="K11">IFERROR(_xlfn.XLOOKUP(G11,Data!$A$2:$A1000,Data!$F$2:$F1000),"")</f>
        <v>0.34</v>
      </c>
      <c r="L11" s="2"/>
      <c r="M11" s="3" t="str">
        <f>IFERROR(__xludf.DUMMYFUNCTION("""COMPUTED_VALUE"""),"Bruine trui")</f>
        <v>Bruine trui</v>
      </c>
      <c r="N11" s="2">
        <f t="array" ref="N11">IFERROR(_xlfn.XLOOKUP(M11,Data!$A$2:$A1000,Data!$B$2:$B1000),"")</f>
        <v>9.9</v>
      </c>
      <c r="O11" s="8">
        <f t="array" ref="O11">IFERROR(_xlfn.XLOOKUP(M11,Data!$A$2:$A1000,Data!$C$2:$C1000),"")</f>
        <v>45470</v>
      </c>
      <c r="P11" s="2">
        <f t="array" ref="P11">IFERROR(_xlfn.XLOOKUP(M11,Data!$A$2:$A1000,Data!$E$2:$E1000),"")</f>
        <v>32</v>
      </c>
      <c r="Q11" s="2">
        <f t="array" ref="Q11">IFERROR(_xlfn.XLOOKUP(M11,Data!$A$2:$A1000,Data!$F$2:$F1000),"")</f>
        <v>0.31</v>
      </c>
      <c r="R11" s="2"/>
      <c r="S11" s="9" t="str">
        <f>IFERROR(__xludf.DUMMYFUNCTION("""COMPUTED_VALUE"""),"Witte blouse oud")</f>
        <v>Witte blouse oud</v>
      </c>
      <c r="T11" s="10">
        <f t="array" ref="T11">IFERROR(_xlfn.XLOOKUP(S11,Data!$A$2:$A1000,Data!$B$2:$B1000),"")</f>
        <v>0</v>
      </c>
      <c r="U11" s="11" t="str">
        <f t="array" ref="U11">IFERROR(_xlfn.XLOOKUP(S11,Data!$A$2:$A1000,Data!$C$2:$C1000),"")</f>
        <v/>
      </c>
      <c r="V11" s="10">
        <f t="array" ref="V11">IFERROR(_xlfn.XLOOKUP(S11,Data!$A$2:$A1000,Data!$E$2:$E1000),"")</f>
        <v>3</v>
      </c>
      <c r="W11" s="10">
        <f t="array" ref="W11">IFERROR(_xlfn.XLOOKUP(S11,Data!$A$2:$A1000,Data!$F$2:$F1000),"")</f>
        <v>0</v>
      </c>
      <c r="X11" s="2"/>
      <c r="Y11" s="2"/>
      <c r="Z11" s="2"/>
      <c r="AA11" s="2"/>
      <c r="AB11" s="2"/>
      <c r="AC11" s="2"/>
      <c r="AD11" s="2"/>
      <c r="AE11" s="3" t="str">
        <f>IFERROR(__xludf.DUMMYFUNCTION("""COMPUTED_VALUE"""),"Bruine Van Lier")</f>
        <v>Bruine Van Lier</v>
      </c>
      <c r="AF11" s="2">
        <f t="array" ref="AF11">IFERROR(_xlfn.XLOOKUP(AE11,Data!$A$2:$A1000,Data!$B$2:$B1000),"")</f>
        <v>177.98</v>
      </c>
      <c r="AG11" s="8">
        <f t="array" ref="AG11">IFERROR(_xlfn.XLOOKUP(AE11,Data!$A$2:$A1000,Data!$C$2:$C1000),"")</f>
        <v>45749</v>
      </c>
      <c r="AH11" s="2">
        <f t="array" ref="AH11">IFERROR(_xlfn.XLOOKUP(AE11,Data!$A$2:$A1000,Data!$E$2:$E1000),"")</f>
        <v>106</v>
      </c>
      <c r="AI11" s="2">
        <f t="array" ref="AI11">IFERROR(_xlfn.XLOOKUP(AE11,Data!$A$2:$A1000,Data!$F$2:$F1000),"")</f>
        <v>1.68</v>
      </c>
      <c r="AJ11" s="2"/>
      <c r="AK11" s="2"/>
      <c r="AL11" s="2"/>
    </row>
    <row r="12">
      <c r="A12" s="3" t="str">
        <f>IFERROR(__xludf.DUMMYFUNCTION("""COMPUTED_VALUE"""),"Beige levi's")</f>
        <v>Beige levi's</v>
      </c>
      <c r="B12" s="1">
        <f t="array" ref="B12">IFERROR(_xlfn.XLOOKUP(A12,Data!$A$2:$A1000,Data!$B$2:$B1000),"")</f>
        <v>28.12</v>
      </c>
      <c r="C12" s="8">
        <f t="array" ref="C12">IFERROR(_xlfn.XLOOKUP(A12,Data!$A$2:$A1000,Data!$C$2:$C1000),"")</f>
        <v>45284</v>
      </c>
      <c r="D12" s="2">
        <f t="array" ref="D12">IFERROR(_xlfn.XLOOKUP(A12,Data!$A$2:$A1000,Data!$E$2:$E1000),"")</f>
        <v>131</v>
      </c>
      <c r="E12" s="2">
        <f t="array" ref="E12">IFERROR(_xlfn.XLOOKUP(A12,Data!$A$2:$A1000,Data!$F$2:$F1000),"")</f>
        <v>0.21</v>
      </c>
      <c r="F12" s="2"/>
      <c r="G12" s="14" t="str">
        <f>IFERROR(__xludf.DUMMYFUNCTION("""COMPUTED_VALUE"""),"Bruin vis t-shirt")</f>
        <v>Bruin vis t-shirt</v>
      </c>
      <c r="H12" s="10">
        <f t="array" ref="H12">IFERROR(_xlfn.XLOOKUP(G12,Data!$A$2:$A1000,Data!$B$2:$B1000),"")</f>
        <v>24</v>
      </c>
      <c r="I12" s="11">
        <f t="array" ref="I12">IFERROR(_xlfn.XLOOKUP(G12,Data!$A$2:$A1000,Data!$C$2:$C1000),"")</f>
        <v>45150</v>
      </c>
      <c r="J12" s="10">
        <f t="array" ref="J12">IFERROR(_xlfn.XLOOKUP(G12,Data!$A$2:$A1000,Data!$E$2:$E1000),"")</f>
        <v>4</v>
      </c>
      <c r="K12" s="10">
        <f t="array" ref="K12">IFERROR(_xlfn.XLOOKUP(G12,Data!$A$2:$A1000,Data!$F$2:$F1000),"")</f>
        <v>2.5</v>
      </c>
      <c r="L12" s="2"/>
      <c r="M12" s="3" t="str">
        <f>IFERROR(__xludf.DUMMYFUNCTION("""COMPUTED_VALUE"""),"Lichtgroene trui")</f>
        <v>Lichtgroene trui</v>
      </c>
      <c r="N12" s="2">
        <f t="array" ref="N12">IFERROR(_xlfn.XLOOKUP(M12,Data!$A$2:$A1000,Data!$B$2:$B1000),"")</f>
        <v>19.95</v>
      </c>
      <c r="O12" s="8">
        <f t="array" ref="O12">IFERROR(_xlfn.XLOOKUP(M12,Data!$A$2:$A1000,Data!$C$2:$C1000),"")</f>
        <v>44683</v>
      </c>
      <c r="P12" s="2">
        <f t="array" ref="P12">IFERROR(_xlfn.XLOOKUP(M12,Data!$A$2:$A1000,Data!$E$2:$E1000),"")</f>
        <v>78</v>
      </c>
      <c r="Q12" s="2">
        <f t="array" ref="Q12">IFERROR(_xlfn.XLOOKUP(M12,Data!$A$2:$A1000,Data!$F$2:$F1000),"")</f>
        <v>0.26</v>
      </c>
      <c r="R12" s="2"/>
      <c r="S12" s="6" t="str">
        <f>IFERROR(__xludf.DUMMYFUNCTION("""COMPUTED_VALUE"""),"Witte blouse Society Shop")</f>
        <v>Witte blouse Society Shop</v>
      </c>
      <c r="T12" s="2">
        <f t="array" ref="T12">IFERROR(_xlfn.XLOOKUP(S12,Data!$A$2:$A1000,Data!$B$2:$B1000),"")</f>
        <v>73.45</v>
      </c>
      <c r="U12" s="8">
        <f t="array" ref="U12">IFERROR(_xlfn.XLOOKUP(S12,Data!$A$2:$A1000,Data!$C$2:$C1000),"")</f>
        <v>45493</v>
      </c>
      <c r="V12" s="2">
        <f t="array" ref="V12">IFERROR(_xlfn.XLOOKUP(S12,Data!$A$2:$A1000,Data!$E$2:$E1000),"")</f>
        <v>36</v>
      </c>
      <c r="W12" s="2">
        <f t="array" ref="W12">IFERROR(_xlfn.XLOOKUP(S12,Data!$A$2:$A1000,Data!$F$2:$F1000),"")</f>
        <v>2.04</v>
      </c>
      <c r="X12" s="2"/>
      <c r="Y12" s="2"/>
      <c r="Z12" s="2"/>
      <c r="AA12" s="2"/>
      <c r="AB12" s="2"/>
      <c r="AC12" s="2"/>
      <c r="AD12" s="2"/>
      <c r="AE12" s="3" t="str">
        <f>IFERROR(__xludf.DUMMYFUNCTION("""COMPUTED_VALUE"""),"Bever bergschoenen")</f>
        <v>Bever bergschoenen</v>
      </c>
      <c r="AF12" s="2">
        <f t="array" ref="AF12">IFERROR(_xlfn.XLOOKUP(AE12,Data!$A$2:$A1000,Data!$B$2:$B1000),"")</f>
        <v>349.9</v>
      </c>
      <c r="AG12" s="8">
        <f t="array" ref="AG12">IFERROR(_xlfn.XLOOKUP(AE12,Data!$A$2:$A1000,Data!$C$2:$C1000),"")</f>
        <v>45524</v>
      </c>
      <c r="AH12" s="2">
        <f t="array" ref="AH12">IFERROR(_xlfn.XLOOKUP(AE12,Data!$A$2:$A1000,Data!$E$2:$E1000),"")</f>
        <v>27</v>
      </c>
      <c r="AI12" s="2">
        <f t="array" ref="AI12">IFERROR(_xlfn.XLOOKUP(AE12,Data!$A$2:$A1000,Data!$F$2:$F1000),"")</f>
        <v>12.96</v>
      </c>
      <c r="AJ12" s="2"/>
      <c r="AK12" s="2"/>
      <c r="AL12" s="2"/>
    </row>
    <row r="13">
      <c r="A13" s="3" t="str">
        <f>IFERROR(__xludf.DUMMYFUNCTION("""COMPUTED_VALUE"""),"Groene vintage levi's")</f>
        <v>Groene vintage levi's</v>
      </c>
      <c r="B13" s="1">
        <f t="array" ref="B13">IFERROR(_xlfn.XLOOKUP(A13,Data!$A$2:$A1000,Data!$B$2:$B1000),"")</f>
        <v>60</v>
      </c>
      <c r="C13" s="8">
        <f t="array" ref="C13">IFERROR(_xlfn.XLOOKUP(A13,Data!$A$2:$A1000,Data!$C$2:$C1000),"")</f>
        <v>45739</v>
      </c>
      <c r="D13" s="2">
        <f t="array" ref="D13">IFERROR(_xlfn.XLOOKUP(A13,Data!$A$2:$A1000,Data!$E$2:$E1000),"")</f>
        <v>8</v>
      </c>
      <c r="E13" s="2">
        <f t="array" ref="E13">IFERROR(_xlfn.XLOOKUP(A13,Data!$A$2:$A1000,Data!$F$2:$F1000),"")</f>
        <v>7.5</v>
      </c>
      <c r="F13" s="2"/>
      <c r="G13" s="6" t="str">
        <f>IFERROR(__xludf.DUMMYFUNCTION("""COMPUTED_VALUE"""),"Groen t-shirt")</f>
        <v>Groen t-shirt</v>
      </c>
      <c r="H13" s="2">
        <f t="array" ref="H13">IFERROR(_xlfn.XLOOKUP(G13,Data!$A$2:$A1000,Data!$B$2:$B1000),"")</f>
        <v>20</v>
      </c>
      <c r="I13" s="8">
        <f t="array" ref="I13">IFERROR(_xlfn.XLOOKUP(G13,Data!$A$2:$A1000,Data!$C$2:$C1000),"")</f>
        <v>43466</v>
      </c>
      <c r="J13" s="2">
        <f t="array" ref="J13">IFERROR(_xlfn.XLOOKUP(G13,Data!$A$2:$A1000,Data!$E$2:$E1000),"")</f>
        <v>28</v>
      </c>
      <c r="K13" s="2">
        <f t="array" ref="K13">IFERROR(_xlfn.XLOOKUP(G13,Data!$A$2:$A1000,Data!$F$2:$F1000),"")</f>
        <v>0.71</v>
      </c>
      <c r="L13" s="2"/>
      <c r="M13" s="3" t="str">
        <f>IFERROR(__xludf.DUMMYFUNCTION("""COMPUTED_VALUE"""),"Bruine fleece trui")</f>
        <v>Bruine fleece trui</v>
      </c>
      <c r="N13" s="2">
        <f t="array" ref="N13">IFERROR(_xlfn.XLOOKUP(M13,Data!$A$2:$A1000,Data!$B$2:$B1000),"")</f>
        <v>35.1</v>
      </c>
      <c r="O13" s="8">
        <f t="array" ref="O13">IFERROR(_xlfn.XLOOKUP(M13,Data!$A$2:$A1000,Data!$C$2:$C1000),"")</f>
        <v>44925</v>
      </c>
      <c r="P13" s="2">
        <f t="array" ref="P13">IFERROR(_xlfn.XLOOKUP(M13,Data!$A$2:$A1000,Data!$E$2:$E1000),"")</f>
        <v>66</v>
      </c>
      <c r="Q13" s="2">
        <f t="array" ref="Q13">IFERROR(_xlfn.XLOOKUP(M13,Data!$A$2:$A1000,Data!$F$2:$F1000),"")</f>
        <v>0.53</v>
      </c>
      <c r="R13" s="2"/>
      <c r="S13" s="9" t="str">
        <f>IFERROR(__xludf.DUMMYFUNCTION("""COMPUTED_VALUE"""),"Rood geblokte blouse")</f>
        <v>Rood geblokte blouse</v>
      </c>
      <c r="T13" s="10">
        <f t="array" ref="T13">IFERROR(_xlfn.XLOOKUP(S13,Data!$A$2:$A1000,Data!$B$2:$B1000),"")</f>
        <v>18</v>
      </c>
      <c r="U13" s="11">
        <f t="array" ref="U13">IFERROR(_xlfn.XLOOKUP(S13,Data!$A$2:$A1000,Data!$C$2:$C1000),"")</f>
        <v>44740</v>
      </c>
      <c r="V13" s="10">
        <f t="array" ref="V13">IFERROR(_xlfn.XLOOKUP(S13,Data!$A$2:$A1000,Data!$E$2:$E1000),"")</f>
        <v>5</v>
      </c>
      <c r="W13" s="10">
        <f t="array" ref="W13">IFERROR(_xlfn.XLOOKUP(S13,Data!$A$2:$A1000,Data!$F$2:$F1000),"")</f>
        <v>3.6</v>
      </c>
      <c r="X13" s="2"/>
      <c r="Y13" s="2"/>
      <c r="Z13" s="2"/>
      <c r="AA13" s="2"/>
      <c r="AB13" s="2"/>
      <c r="AC13" s="2"/>
      <c r="AD13" s="2"/>
      <c r="AE13" s="3" t="str">
        <f>IFERROR(__xludf.DUMMYFUNCTION("""COMPUTED_VALUE"""),"Vans Mte Crosspath Xc")</f>
        <v>Vans Mte Crosspath Xc</v>
      </c>
      <c r="AF13" s="2">
        <f t="array" ref="AF13">IFERROR(_xlfn.XLOOKUP(AE13,Data!$A$2:$A1000,Data!$B$2:$B1000),"")</f>
        <v>154.95</v>
      </c>
      <c r="AG13" s="8">
        <f t="array" ref="AG13">IFERROR(_xlfn.XLOOKUP(AE13,Data!$A$2:$A1000,Data!$C$2:$C1000),"")</f>
        <v>45880</v>
      </c>
      <c r="AH13" s="2">
        <f t="array" ref="AH13">IFERROR(_xlfn.XLOOKUP(AE13,Data!$A$2:$A1000,Data!$E$2:$E1000),"")</f>
        <v>123</v>
      </c>
      <c r="AI13" s="2">
        <f t="array" ref="AI13">IFERROR(_xlfn.XLOOKUP(AE13,Data!$A$2:$A1000,Data!$F$2:$F1000),"")</f>
        <v>1.26</v>
      </c>
      <c r="AJ13" s="2"/>
      <c r="AK13" s="2"/>
      <c r="AL13" s="2"/>
    </row>
    <row r="14">
      <c r="A14" s="13" t="str">
        <f>IFERROR(__xludf.DUMMYFUNCTION("""COMPUTED_VALUE"""),"Joggingbroek zwart/groene strepen")</f>
        <v>Joggingbroek zwart/groene strepen</v>
      </c>
      <c r="B14" s="1">
        <f t="array" ref="B14">IFERROR(_xlfn.XLOOKUP(A14,Data!$A$2:$A1000,Data!$B$2:$B1000),"")</f>
        <v>50</v>
      </c>
      <c r="C14" s="8">
        <f t="array" ref="C14">IFERROR(_xlfn.XLOOKUP(A14,Data!$A$2:$A1000,Data!$C$2:$C1000),"")</f>
        <v>43466</v>
      </c>
      <c r="D14" s="2">
        <f t="array" ref="D14">IFERROR(_xlfn.XLOOKUP(A14,Data!$A$2:$A1000,Data!$E$2:$E1000),"")</f>
        <v>42</v>
      </c>
      <c r="E14" s="2">
        <f t="array" ref="E14">IFERROR(_xlfn.XLOOKUP(A14,Data!$A$2:$A1000,Data!$F$2:$F1000),"")</f>
        <v>1.19</v>
      </c>
      <c r="F14" s="2"/>
      <c r="G14" s="6" t="str">
        <f>IFERROR(__xludf.DUMMYFUNCTION("""COMPUTED_VALUE"""),"Rood t-shirt")</f>
        <v>Rood t-shirt</v>
      </c>
      <c r="H14" s="2">
        <f t="array" ref="H14">IFERROR(_xlfn.XLOOKUP(G14,Data!$A$2:$A1000,Data!$B$2:$B1000),"")</f>
        <v>20</v>
      </c>
      <c r="I14" s="8">
        <f t="array" ref="I14">IFERROR(_xlfn.XLOOKUP(G14,Data!$A$2:$A1000,Data!$C$2:$C1000),"")</f>
        <v>43466</v>
      </c>
      <c r="J14" s="2">
        <f t="array" ref="J14">IFERROR(_xlfn.XLOOKUP(G14,Data!$A$2:$A1000,Data!$E$2:$E1000),"")</f>
        <v>6</v>
      </c>
      <c r="K14" s="2">
        <f t="array" ref="K14">IFERROR(_xlfn.XLOOKUP(G14,Data!$A$2:$A1000,Data!$F$2:$F1000),"")</f>
        <v>3.33</v>
      </c>
      <c r="L14" s="2"/>
      <c r="M14" s="3" t="str">
        <f>IFERROR(__xludf.DUMMYFUNCTION("""COMPUTED_VALUE"""),"Rode fleece trui")</f>
        <v>Rode fleece trui</v>
      </c>
      <c r="N14" s="2">
        <f t="array" ref="N14">IFERROR(_xlfn.XLOOKUP(M14,Data!$A$2:$A1000,Data!$B$2:$B1000),"")</f>
        <v>19.3</v>
      </c>
      <c r="O14" s="8">
        <f t="array" ref="O14">IFERROR(_xlfn.XLOOKUP(M14,Data!$A$2:$A1000,Data!$C$2:$C1000),"")</f>
        <v>45295</v>
      </c>
      <c r="P14" s="2">
        <f t="array" ref="P14">IFERROR(_xlfn.XLOOKUP(M14,Data!$A$2:$A1000,Data!$E$2:$E1000),"")</f>
        <v>29</v>
      </c>
      <c r="Q14" s="2">
        <f t="array" ref="Q14">IFERROR(_xlfn.XLOOKUP(M14,Data!$A$2:$A1000,Data!$F$2:$F1000),"")</f>
        <v>0.67</v>
      </c>
      <c r="R14" s="2"/>
      <c r="S14" s="6" t="str">
        <f>IFERROR(__xludf.DUMMYFUNCTION("""COMPUTED_VALUE"""),"Beige linnen overhemd Vanda Tailors")</f>
        <v>Beige linnen overhemd Vanda Tailors</v>
      </c>
      <c r="T14" s="2">
        <f t="array" ref="T14">IFERROR(_xlfn.XLOOKUP(S14,Data!$A$2:$A1000,Data!$B$2:$B1000),"")</f>
        <v>32.33</v>
      </c>
      <c r="U14" s="8">
        <f t="array" ref="U14">IFERROR(_xlfn.XLOOKUP(S14,Data!$A$2:$A1000,Data!$C$2:$C1000),"")</f>
        <v>45904</v>
      </c>
      <c r="V14" s="2">
        <f t="array" ref="V14">IFERROR(_xlfn.XLOOKUP(S14,Data!$A$2:$A1000,Data!$E$2:$E1000),"")</f>
        <v>1</v>
      </c>
      <c r="W14" s="2">
        <f t="array" ref="W14">IFERROR(_xlfn.XLOOKUP(S14,Data!$A$2:$A1000,Data!$F$2:$F1000),"")</f>
        <v>32.33</v>
      </c>
      <c r="X14" s="2"/>
      <c r="Y14" s="2"/>
      <c r="Z14" s="2"/>
      <c r="AA14" s="2"/>
      <c r="AB14" s="2"/>
      <c r="AC14" s="2"/>
      <c r="AD14" s="2"/>
      <c r="AE14" s="3" t="str">
        <f>IFERROR(__xludf.DUMMYFUNCTION("""COMPUTED_VALUE"""),"Zwarte nette schoenen")</f>
        <v>Zwarte nette schoenen</v>
      </c>
      <c r="AF14" s="2">
        <f t="array" ref="AF14">IFERROR(_xlfn.XLOOKUP(AE14,Data!$A$2:$A1000,Data!$B$2:$B1000),"")</f>
        <v>99.95</v>
      </c>
      <c r="AG14" s="8">
        <f t="array" ref="AG14">IFERROR(_xlfn.XLOOKUP(AE14,Data!$A$2:$A1000,Data!$C$2:$C1000),"")</f>
        <v>45962</v>
      </c>
      <c r="AH14" s="2">
        <f t="array" ref="AH14">IFERROR(_xlfn.XLOOKUP(AE14,Data!$A$2:$A1000,Data!$E$2:$E1000),"")</f>
        <v>5</v>
      </c>
      <c r="AI14" s="2">
        <f t="array" ref="AI14">IFERROR(_xlfn.XLOOKUP(AE14,Data!$A$2:$A1000,Data!$F$2:$F1000),"")</f>
        <v>19.99</v>
      </c>
      <c r="AJ14" s="2"/>
      <c r="AK14" s="2"/>
      <c r="AL14" s="2"/>
    </row>
    <row r="15">
      <c r="A15" s="6" t="str">
        <f>IFERROR(__xludf.DUMMYFUNCTION("""COMPUTED_VALUE"""),"Pyjama' broek")</f>
        <v>Pyjama' broek</v>
      </c>
      <c r="B15" s="1">
        <f t="array" ref="B15">IFERROR(_xlfn.XLOOKUP(A15,Data!$A$2:$A1000,Data!$B$2:$B1000),"")</f>
        <v>30</v>
      </c>
      <c r="C15" s="8">
        <f t="array" ref="C15">IFERROR(_xlfn.XLOOKUP(A15,Data!$A$2:$A1000,Data!$C$2:$C1000),"")</f>
        <v>44060</v>
      </c>
      <c r="D15" s="2">
        <f t="array" ref="D15">IFERROR(_xlfn.XLOOKUP(A15,Data!$A$2:$A1000,Data!$E$2:$E1000),"")</f>
        <v>122</v>
      </c>
      <c r="E15" s="2">
        <f t="array" ref="E15">IFERROR(_xlfn.XLOOKUP(A15,Data!$A$2:$A1000,Data!$F$2:$F1000),"")</f>
        <v>0.25</v>
      </c>
      <c r="F15" s="2"/>
      <c r="G15" s="6" t="str">
        <f>IFERROR(__xludf.DUMMYFUNCTION("""COMPUTED_VALUE"""),"Grijs t-shirt")</f>
        <v>Grijs t-shirt</v>
      </c>
      <c r="H15" s="2">
        <f t="array" ref="H15">IFERROR(_xlfn.XLOOKUP(G15,Data!$A$2:$A1000,Data!$B$2:$B1000),"")</f>
        <v>20</v>
      </c>
      <c r="I15" s="8">
        <f t="array" ref="I15">IFERROR(_xlfn.XLOOKUP(G15,Data!$A$2:$A1000,Data!$C$2:$C1000),"")</f>
        <v>42736</v>
      </c>
      <c r="J15" s="2">
        <f t="array" ref="J15">IFERROR(_xlfn.XLOOKUP(G15,Data!$A$2:$A1000,Data!$E$2:$E1000),"")</f>
        <v>23</v>
      </c>
      <c r="K15" s="2">
        <f t="array" ref="K15">IFERROR(_xlfn.XLOOKUP(G15,Data!$A$2:$A1000,Data!$F$2:$F1000),"")</f>
        <v>0.87</v>
      </c>
      <c r="L15" s="2"/>
      <c r="M15" s="3" t="str">
        <f>IFERROR(__xludf.DUMMYFUNCTION("""COMPUTED_VALUE"""),"Beige ralph lauren fleece")</f>
        <v>Beige ralph lauren fleece</v>
      </c>
      <c r="N15" s="2">
        <f t="array" ref="N15">IFERROR(_xlfn.XLOOKUP(M15,Data!$A$2:$A1000,Data!$B$2:$B1000),"")</f>
        <v>35.39</v>
      </c>
      <c r="O15" s="8">
        <f t="array" ref="O15">IFERROR(_xlfn.XLOOKUP(M15,Data!$A$2:$A1000,Data!$C$2:$C1000),"")</f>
        <v>45289</v>
      </c>
      <c r="P15" s="2">
        <f t="array" ref="P15">IFERROR(_xlfn.XLOOKUP(M15,Data!$A$2:$A1000,Data!$E$2:$E1000),"")</f>
        <v>53</v>
      </c>
      <c r="Q15" s="2">
        <f t="array" ref="Q15">IFERROR(_xlfn.XLOOKUP(M15,Data!$A$2:$A1000,Data!$F$2:$F1000),"")</f>
        <v>0.67</v>
      </c>
      <c r="R15" s="2"/>
      <c r="S15" s="6" t="str">
        <f>IFERROR(__xludf.DUMMYFUNCTION("""COMPUTED_VALUE"""),"Wit overhemd Vanda Tailors")</f>
        <v>Wit overhemd Vanda Tailors</v>
      </c>
      <c r="T15" s="2">
        <f t="array" ref="T15">IFERROR(_xlfn.XLOOKUP(S15,Data!$A$2:$A1000,Data!$B$2:$B1000),"")</f>
        <v>64.66</v>
      </c>
      <c r="U15" s="8">
        <f t="array" ref="U15">IFERROR(_xlfn.XLOOKUP(S15,Data!$A$2:$A1000,Data!$C$2:$C1000),"")</f>
        <v>45904</v>
      </c>
      <c r="V15" s="2">
        <f t="array" ref="V15">IFERROR(_xlfn.XLOOKUP(S15,Data!$A$2:$A1000,Data!$E$2:$E1000),"")</f>
        <v>54</v>
      </c>
      <c r="W15" s="2">
        <f t="array" ref="W15">IFERROR(_xlfn.XLOOKUP(S15,Data!$A$2:$A1000,Data!$F$2:$F1000),"")</f>
        <v>1.2</v>
      </c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>
      <c r="A16" s="6" t="str">
        <f>IFERROR(__xludf.DUMMYFUNCTION("""COMPUTED_VALUE"""),"Bruine korte broek")</f>
        <v>Bruine korte broek</v>
      </c>
      <c r="B16" s="1">
        <f t="array" ref="B16">IFERROR(_xlfn.XLOOKUP(A16,Data!$A$2:$A1000,Data!$B$2:$B1000),"")</f>
        <v>20</v>
      </c>
      <c r="C16" s="8">
        <f t="array" ref="C16">IFERROR(_xlfn.XLOOKUP(A16,Data!$A$2:$A1000,Data!$C$2:$C1000),"")</f>
        <v>44197</v>
      </c>
      <c r="D16" s="2">
        <f t="array" ref="D16">IFERROR(_xlfn.XLOOKUP(A16,Data!$A$2:$A1000,Data!$E$2:$E1000),"")</f>
        <v>71</v>
      </c>
      <c r="E16" s="2">
        <f t="array" ref="E16">IFERROR(_xlfn.XLOOKUP(A16,Data!$A$2:$A1000,Data!$F$2:$F1000),"")</f>
        <v>0.28</v>
      </c>
      <c r="F16" s="2"/>
      <c r="G16" s="3" t="str">
        <f>IFERROR(__xludf.DUMMYFUNCTION("""COMPUTED_VALUE"""),"Jack en Jones t-shirt")</f>
        <v>Jack en Jones t-shirt</v>
      </c>
      <c r="H16" s="2">
        <f t="array" ref="H16">IFERROR(_xlfn.XLOOKUP(G16,Data!$A$2:$A1000,Data!$B$2:$B1000),"")</f>
        <v>7.99</v>
      </c>
      <c r="I16" s="8">
        <f t="array" ref="I16">IFERROR(_xlfn.XLOOKUP(G16,Data!$A$2:$A1000,Data!$C$2:$C1000),"")</f>
        <v>45838</v>
      </c>
      <c r="J16" s="2">
        <f t="array" ref="J16">IFERROR(_xlfn.XLOOKUP(G16,Data!$A$2:$A1000,Data!$E$2:$E1000),"")</f>
        <v>15</v>
      </c>
      <c r="K16" s="2">
        <f t="array" ref="K16">IFERROR(_xlfn.XLOOKUP(G16,Data!$A$2:$A1000,Data!$F$2:$F1000),"")</f>
        <v>0.53</v>
      </c>
      <c r="L16" s="2"/>
      <c r="M16" s="3" t="str">
        <f>IFERROR(__xludf.DUMMYFUNCTION("""COMPUTED_VALUE"""),"Rode Sweater")</f>
        <v>Rode Sweater</v>
      </c>
      <c r="N16" s="2">
        <f t="array" ref="N16">IFERROR(_xlfn.XLOOKUP(M16,Data!$A$2:$A1000,Data!$B$2:$B1000),"")</f>
        <v>15</v>
      </c>
      <c r="O16" s="8">
        <f t="array" ref="O16">IFERROR(_xlfn.XLOOKUP(M16,Data!$A$2:$A1000,Data!$C$2:$C1000),"")</f>
        <v>45242</v>
      </c>
      <c r="P16" s="2">
        <f t="array" ref="P16">IFERROR(_xlfn.XLOOKUP(M16,Data!$A$2:$A1000,Data!$E$2:$E1000),"")</f>
        <v>97</v>
      </c>
      <c r="Q16" s="2">
        <f t="array" ref="Q16">IFERROR(_xlfn.XLOOKUP(M16,Data!$A$2:$A1000,Data!$F$2:$F1000),"")</f>
        <v>0.15</v>
      </c>
      <c r="R16" s="2"/>
      <c r="S16" s="6" t="str">
        <f>IFERROR(__xludf.DUMMYFUNCTION("""COMPUTED_VALUE"""),"Blauw overhemd Vanda Tailors")</f>
        <v>Blauw overhemd Vanda Tailors</v>
      </c>
      <c r="T16" s="2">
        <f t="array" ref="T16">IFERROR(_xlfn.XLOOKUP(S16,Data!$A$2:$A1000,Data!$B$2:$B1000),"")</f>
        <v>32.33</v>
      </c>
      <c r="U16" s="8">
        <f t="array" ref="U16">IFERROR(_xlfn.XLOOKUP(S16,Data!$A$2:$A1000,Data!$C$2:$C1000),"")</f>
        <v>45904</v>
      </c>
      <c r="V16" s="2">
        <f t="array" ref="V16">IFERROR(_xlfn.XLOOKUP(S16,Data!$A$2:$A1000,Data!$E$2:$E1000),"")</f>
        <v>18</v>
      </c>
      <c r="W16" s="2">
        <f t="array" ref="W16">IFERROR(_xlfn.XLOOKUP(S16,Data!$A$2:$A1000,Data!$F$2:$F1000),"")</f>
        <v>1.8</v>
      </c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>
      <c r="A17" s="6" t="str">
        <f>IFERROR(__xludf.DUMMYFUNCTION("""COMPUTED_VALUE"""),"Beige korte broek")</f>
        <v>Beige korte broek</v>
      </c>
      <c r="B17" s="1">
        <f t="array" ref="B17">IFERROR(_xlfn.XLOOKUP(A17,Data!$A$2:$A1000,Data!$B$2:$B1000),"")</f>
        <v>20</v>
      </c>
      <c r="C17" s="8">
        <f t="array" ref="C17">IFERROR(_xlfn.XLOOKUP(A17,Data!$A$2:$A1000,Data!$C$2:$C1000),"")</f>
        <v>44197</v>
      </c>
      <c r="D17" s="2">
        <f t="array" ref="D17">IFERROR(_xlfn.XLOOKUP(A17,Data!$A$2:$A1000,Data!$E$2:$E1000),"")</f>
        <v>79</v>
      </c>
      <c r="E17" s="2">
        <f t="array" ref="E17">IFERROR(_xlfn.XLOOKUP(A17,Data!$A$2:$A1000,Data!$F$2:$F1000),"")</f>
        <v>0.25</v>
      </c>
      <c r="F17" s="2"/>
      <c r="G17" s="3" t="str">
        <f>IFERROR(__xludf.DUMMYFUNCTION("""COMPUTED_VALUE"""),"Daily Paper t-shirt")</f>
        <v>Daily Paper t-shirt</v>
      </c>
      <c r="H17" s="2">
        <f t="array" ref="H17">IFERROR(_xlfn.XLOOKUP(G17,Data!$A$2:$A1000,Data!$B$2:$B1000),"")</f>
        <v>11.79</v>
      </c>
      <c r="I17" s="8">
        <f t="array" ref="I17">IFERROR(_xlfn.XLOOKUP(G17,Data!$A$2:$A1000,Data!$C$2:$C1000),"")</f>
        <v>45840</v>
      </c>
      <c r="J17" s="2">
        <f t="array" ref="J17">IFERROR(_xlfn.XLOOKUP(G17,Data!$A$2:$A1000,Data!$E$2:$E1000),"")</f>
        <v>9</v>
      </c>
      <c r="K17" s="2">
        <f t="array" ref="K17">IFERROR(_xlfn.XLOOKUP(G17,Data!$A$2:$A1000,Data!$F$2:$F1000),"")</f>
        <v>1.31</v>
      </c>
      <c r="L17" s="2"/>
      <c r="M17" s="3" t="str">
        <f>IFERROR(__xludf.DUMMYFUNCTION("""COMPUTED_VALUE"""),"Grijze Uniqlo sweater")</f>
        <v>Grijze Uniqlo sweater</v>
      </c>
      <c r="N17" s="2">
        <f t="array" ref="N17">IFERROR(_xlfn.XLOOKUP(M17,Data!$A$2:$A1000,Data!$B$2:$B1000),"")</f>
        <v>39.9</v>
      </c>
      <c r="O17" s="8">
        <f t="array" ref="O17">IFERROR(_xlfn.XLOOKUP(M17,Data!$A$2:$A1000,Data!$C$2:$C1000),"")</f>
        <v>45697</v>
      </c>
      <c r="P17" s="2">
        <f t="array" ref="P17">IFERROR(_xlfn.XLOOKUP(M17,Data!$A$2:$A1000,Data!$E$2:$E1000),"")</f>
        <v>45</v>
      </c>
      <c r="Q17" s="2">
        <f t="array" ref="Q17">IFERROR(_xlfn.XLOOKUP(M17,Data!$A$2:$A1000,Data!$F$2:$F1000),"")</f>
        <v>0.89</v>
      </c>
      <c r="R17" s="2"/>
      <c r="S17" s="6" t="str">
        <f>IFERROR(__xludf.DUMMYFUNCTION("""COMPUTED_VALUE"""),"Wit smoking overhemd")</f>
        <v>Wit smoking overhemd</v>
      </c>
      <c r="T17" s="2">
        <f t="array" ref="T17">IFERROR(_xlfn.XLOOKUP(S17,Data!$A$2:$A1000,Data!$B$2:$B1000),"")</f>
        <v>29.95</v>
      </c>
      <c r="U17" s="8">
        <f t="array" ref="U17">IFERROR(_xlfn.XLOOKUP(S17,Data!$A$2:$A1000,Data!$C$2:$C1000),"")</f>
        <v>45962</v>
      </c>
      <c r="V17" s="2">
        <f t="array" ref="V17">IFERROR(_xlfn.XLOOKUP(S17,Data!$A$2:$A1000,Data!$E$2:$E1000),"")</f>
        <v>2</v>
      </c>
      <c r="W17" s="2">
        <f t="array" ref="W17">IFERROR(_xlfn.XLOOKUP(S17,Data!$A$2:$A1000,Data!$F$2:$F1000),"")</f>
        <v>14.97</v>
      </c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>
      <c r="A18" s="6" t="str">
        <f>IFERROR(__xludf.DUMMYFUNCTION("""COMPUTED_VALUE"""),"Blauwe pantalon pak")</f>
        <v>Blauwe pantalon pak</v>
      </c>
      <c r="B18" s="1">
        <f t="array" ref="B18">IFERROR(_xlfn.XLOOKUP(A18,Data!$A$2:$A1000,Data!$B$2:$B1000),"")</f>
        <v>161.25</v>
      </c>
      <c r="C18" s="8">
        <f t="array" ref="C18">IFERROR(_xlfn.XLOOKUP(A18,Data!$A$2:$A1000,Data!$C$2:$C1000),"")</f>
        <v>45479</v>
      </c>
      <c r="D18" s="2">
        <f t="array" ref="D18">IFERROR(_xlfn.XLOOKUP(A18,Data!$A$2:$A1000,Data!$E$2:$E1000),"")</f>
        <v>60</v>
      </c>
      <c r="E18" s="2">
        <f t="array" ref="E18">IFERROR(_xlfn.XLOOKUP(A18,Data!$A$2:$A1000,Data!$F$2:$F1000),"")</f>
        <v>2.69</v>
      </c>
      <c r="F18" s="2"/>
      <c r="G18" s="3" t="str">
        <f>IFERROR(__xludf.DUMMYFUNCTION("""COMPUTED_VALUE"""),"Flowfrog t-shirt")</f>
        <v>Flowfrog t-shirt</v>
      </c>
      <c r="H18" s="2">
        <f t="array" ref="H18">IFERROR(_xlfn.XLOOKUP(G18,Data!$A$2:$A1000,Data!$B$2:$B1000),"")</f>
        <v>7.64</v>
      </c>
      <c r="I18" s="8">
        <f t="array" ref="I18">IFERROR(_xlfn.XLOOKUP(G18,Data!$A$2:$A1000,Data!$C$2:$C1000),"")</f>
        <v>45840</v>
      </c>
      <c r="J18" s="2">
        <f t="array" ref="J18">IFERROR(_xlfn.XLOOKUP(G18,Data!$A$2:$A1000,Data!$E$2:$E1000),"")</f>
        <v>17</v>
      </c>
      <c r="K18" s="2">
        <f t="array" ref="K18">IFERROR(_xlfn.XLOOKUP(G18,Data!$A$2:$A1000,Data!$F$2:$F1000),"")</f>
        <v>0.45</v>
      </c>
      <c r="L18" s="2"/>
      <c r="M18" s="3" t="str">
        <f>IFERROR(__xludf.DUMMYFUNCTION("""COMPUTED_VALUE"""),"Ralph Lauren Sweater")</f>
        <v>Ralph Lauren Sweater</v>
      </c>
      <c r="N18" s="2">
        <f t="array" ref="N18">IFERROR(_xlfn.XLOOKUP(M18,Data!$A$2:$A1000,Data!$B$2:$B1000),"")</f>
        <v>41.14</v>
      </c>
      <c r="O18" s="8">
        <f t="array" ref="O18">IFERROR(_xlfn.XLOOKUP(M18,Data!$A$2:$A1000,Data!$C$2:$C1000),"")</f>
        <v>44928</v>
      </c>
      <c r="P18" s="2">
        <f t="array" ref="P18">IFERROR(_xlfn.XLOOKUP(M18,Data!$A$2:$A1000,Data!$E$2:$E1000),"")</f>
        <v>96</v>
      </c>
      <c r="Q18" s="2">
        <f t="array" ref="Q18">IFERROR(_xlfn.XLOOKUP(M18,Data!$A$2:$A1000,Data!$F$2:$F1000),"")</f>
        <v>0.43</v>
      </c>
      <c r="R18" s="2"/>
      <c r="T18" s="2" t="str">
        <f t="array" ref="T18">IFERROR(_xlfn.XLOOKUP(S18,Data!$A$2:$A1000,Data!$B$2:$B1000),"")</f>
        <v/>
      </c>
      <c r="U18" s="8" t="str">
        <f t="array" ref="U18">IFERROR(_xlfn.XLOOKUP(S18,Data!$A$2:$A1000,Data!$C$2:$C1000),"")</f>
        <v/>
      </c>
      <c r="V18" s="2" t="str">
        <f t="array" ref="V18">IFERROR(_xlfn.XLOOKUP(S18,Data!$A$2:$A1000,Data!$E$2:$E1000),"")</f>
        <v/>
      </c>
      <c r="W18" s="2" t="str">
        <f t="array" ref="W18">IFERROR(_xlfn.XLOOKUP(S18,Data!$A$2:$A1000,Data!$F$2:$F1000),"")</f>
        <v/>
      </c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>
      <c r="A19" s="6" t="str">
        <f>IFERROR(__xludf.DUMMYFUNCTION("""COMPUTED_VALUE"""),"Blauwe korte broek")</f>
        <v>Blauwe korte broek</v>
      </c>
      <c r="B19" s="1">
        <f t="array" ref="B19">IFERROR(_xlfn.XLOOKUP(A19,Data!$A$2:$A1000,Data!$B$2:$B1000),"")</f>
        <v>5.95</v>
      </c>
      <c r="C19" s="8">
        <f t="array" ref="C19">IFERROR(_xlfn.XLOOKUP(A19,Data!$A$2:$A1000,Data!$C$2:$C1000),"")</f>
        <v>45840</v>
      </c>
      <c r="D19" s="2">
        <f t="array" ref="D19">IFERROR(_xlfn.XLOOKUP(A19,Data!$A$2:$A1000,Data!$E$2:$E1000),"")</f>
        <v>23</v>
      </c>
      <c r="E19" s="2">
        <f t="array" ref="E19">IFERROR(_xlfn.XLOOKUP(A19,Data!$A$2:$A1000,Data!$F$2:$F1000),"")</f>
        <v>0.26</v>
      </c>
      <c r="F19" s="2"/>
      <c r="G19" s="6" t="str">
        <f>IFERROR(__xludf.DUMMYFUNCTION("""COMPUTED_VALUE"""),"Decathlon sportshirt wit")</f>
        <v>Decathlon sportshirt wit</v>
      </c>
      <c r="H19" s="2">
        <f t="array" ref="H19">IFERROR(_xlfn.XLOOKUP(G19,Data!$A$2:$A1000,Data!$B$2:$B1000),"")</f>
        <v>20.97</v>
      </c>
      <c r="I19" s="8">
        <f t="array" ref="I19">IFERROR(_xlfn.XLOOKUP(G19,Data!$A$2:$A1000,Data!$C$2:$C1000),"")</f>
        <v>45880</v>
      </c>
      <c r="J19" s="2">
        <f t="array" ref="J19">IFERROR(_xlfn.XLOOKUP(G19,Data!$A$2:$A1000,Data!$E$2:$E1000),"")</f>
        <v>29</v>
      </c>
      <c r="K19" s="2">
        <f t="array" ref="K19">IFERROR(_xlfn.XLOOKUP(G19,Data!$A$2:$A1000,Data!$F$2:$F1000),"")</f>
        <v>0.72</v>
      </c>
      <c r="L19" s="2"/>
      <c r="M19" s="3" t="str">
        <f>IFERROR(__xludf.DUMMYFUNCTION("""COMPUTED_VALUE"""),"Grijze Ralph Lauren Sweater")</f>
        <v>Grijze Ralph Lauren Sweater</v>
      </c>
      <c r="N19" s="2">
        <f t="array" ref="N19">IFERROR(_xlfn.XLOOKUP(M19,Data!$A$2:$A1000,Data!$B$2:$B1000),"")</f>
        <v>37.97</v>
      </c>
      <c r="O19" s="8">
        <f t="array" ref="O19">IFERROR(_xlfn.XLOOKUP(M19,Data!$A$2:$A1000,Data!$C$2:$C1000),"")</f>
        <v>45375</v>
      </c>
      <c r="P19" s="2">
        <f t="array" ref="P19">IFERROR(_xlfn.XLOOKUP(M19,Data!$A$2:$A1000,Data!$E$2:$E1000),"")</f>
        <v>54</v>
      </c>
      <c r="Q19" s="2">
        <f t="array" ref="Q19">IFERROR(_xlfn.XLOOKUP(M19,Data!$A$2:$A1000,Data!$F$2:$F1000),"")</f>
        <v>0.7</v>
      </c>
      <c r="R19" s="2"/>
      <c r="T19" s="2" t="str">
        <f t="array" ref="T19">IFERROR(_xlfn.XLOOKUP(S19,Data!$A$2:$A1000,Data!$B$2:$B1000),"")</f>
        <v/>
      </c>
      <c r="U19" s="8" t="str">
        <f t="array" ref="U19">IFERROR(_xlfn.XLOOKUP(S19,Data!$A$2:$A1000,Data!$C$2:$C1000),"")</f>
        <v/>
      </c>
      <c r="V19" s="2" t="str">
        <f t="array" ref="V19">IFERROR(_xlfn.XLOOKUP(S19,Data!$A$2:$A1000,Data!$E$2:$E1000),"")</f>
        <v/>
      </c>
      <c r="W19" s="2" t="str">
        <f t="array" ref="W19">IFERROR(_xlfn.XLOOKUP(S19,Data!$A$2:$A1000,Data!$F$2:$F1000),"")</f>
        <v/>
      </c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>
      <c r="A20" s="6" t="str">
        <f>IFERROR(__xludf.DUMMYFUNCTION("""COMPUTED_VALUE"""),"Decathlon Fitness short")</f>
        <v>Decathlon Fitness short</v>
      </c>
      <c r="B20" s="1">
        <f t="array" ref="B20">IFERROR(_xlfn.XLOOKUP(A20,Data!$A$2:$A1000,Data!$B$2:$B1000),"")</f>
        <v>22.98</v>
      </c>
      <c r="C20" s="8">
        <f t="array" ref="C20">IFERROR(_xlfn.XLOOKUP(A20,Data!$A$2:$A1000,Data!$C$2:$C1000),"")</f>
        <v>45878</v>
      </c>
      <c r="D20" s="2">
        <f t="array" ref="D20">IFERROR(_xlfn.XLOOKUP(A20,Data!$A$2:$A1000,Data!$E$2:$E1000),"")</f>
        <v>63</v>
      </c>
      <c r="E20" s="2">
        <f t="array" ref="E20">IFERROR(_xlfn.XLOOKUP(A20,Data!$A$2:$A1000,Data!$F$2:$F1000),"")</f>
        <v>0.36</v>
      </c>
      <c r="F20" s="2"/>
      <c r="G20" s="6" t="str">
        <f>IFERROR(__xludf.DUMMYFUNCTION("""COMPUTED_VALUE"""),"Decathlon sportshirt zwart")</f>
        <v>Decathlon sportshirt zwart</v>
      </c>
      <c r="H20" s="2">
        <f t="array" ref="H20">IFERROR(_xlfn.XLOOKUP(G20,Data!$A$2:$A1000,Data!$B$2:$B1000),"")</f>
        <v>6.99</v>
      </c>
      <c r="I20" s="8">
        <f t="array" ref="I20">IFERROR(_xlfn.XLOOKUP(G20,Data!$A$2:$A1000,Data!$C$2:$C1000),"")</f>
        <v>45880</v>
      </c>
      <c r="J20" s="2">
        <f t="array" ref="J20">IFERROR(_xlfn.XLOOKUP(G20,Data!$A$2:$A1000,Data!$E$2:$E1000),"")</f>
        <v>5</v>
      </c>
      <c r="K20" s="2">
        <f t="array" ref="K20">IFERROR(_xlfn.XLOOKUP(G20,Data!$A$2:$A1000,Data!$F$2:$F1000),"")</f>
        <v>1.4</v>
      </c>
      <c r="L20" s="2"/>
      <c r="M20" s="3" t="str">
        <f>IFERROR(__xludf.DUMMYFUNCTION("""COMPUTED_VALUE"""),"Grijze ralph lauren polo")</f>
        <v>Grijze ralph lauren polo</v>
      </c>
      <c r="N20" s="2">
        <f t="array" ref="N20">IFERROR(_xlfn.XLOOKUP(M20,Data!$A$2:$A1000,Data!$B$2:$B1000),"")</f>
        <v>19.25</v>
      </c>
      <c r="O20" s="8">
        <f t="array" ref="O20">IFERROR(_xlfn.XLOOKUP(M20,Data!$A$2:$A1000,Data!$C$2:$C1000),"")</f>
        <v>45288</v>
      </c>
      <c r="P20" s="2">
        <f t="array" ref="P20">IFERROR(_xlfn.XLOOKUP(M20,Data!$A$2:$A1000,Data!$E$2:$E1000),"")</f>
        <v>24</v>
      </c>
      <c r="Q20" s="2">
        <f t="array" ref="Q20">IFERROR(_xlfn.XLOOKUP(M20,Data!$A$2:$A1000,Data!$F$2:$F1000),"")</f>
        <v>0.8</v>
      </c>
      <c r="R20" s="2"/>
      <c r="S20" s="2"/>
      <c r="T20" s="2" t="str">
        <f t="array" ref="T20">IFERROR(_xlfn.XLOOKUP(S20,Data!$A$2:$A1000,Data!$B$2:$B1000),"")</f>
        <v/>
      </c>
      <c r="U20" s="8" t="str">
        <f t="array" ref="U20">IFERROR(_xlfn.XLOOKUP(S20,Data!$A$2:$A1000,Data!$C$2:$C1000),"")</f>
        <v/>
      </c>
      <c r="V20" s="2" t="str">
        <f t="array" ref="V20">IFERROR(_xlfn.XLOOKUP(S20,Data!$A$2:$A1000,Data!$E$2:$E1000),"")</f>
        <v/>
      </c>
      <c r="W20" s="2" t="str">
        <f t="array" ref="W20">IFERROR(_xlfn.XLOOKUP(S20,Data!$A$2:$A1000,Data!$F$2:$F1000),"")</f>
        <v/>
      </c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>
      <c r="A21" s="3" t="str">
        <f>IFERROR(__xludf.DUMMYFUNCTION("""COMPUTED_VALUE"""),"Decathlon wandelbroek dun")</f>
        <v>Decathlon wandelbroek dun</v>
      </c>
      <c r="B21" s="1">
        <f t="array" ref="B21">IFERROR(_xlfn.XLOOKUP(A21,Data!$A$2:$A1000,Data!$B$2:$B1000),"")</f>
        <v>34.99</v>
      </c>
      <c r="C21" s="8">
        <f t="array" ref="C21">IFERROR(_xlfn.XLOOKUP(A21,Data!$A$2:$A1000,Data!$C$2:$C1000),"")</f>
        <v>45878</v>
      </c>
      <c r="D21" s="2">
        <f t="array" ref="D21">IFERROR(_xlfn.XLOOKUP(A21,Data!$A$2:$A1000,Data!$E$2:$E1000),"")</f>
        <v>9</v>
      </c>
      <c r="E21" s="2">
        <f t="shared" ref="E21:E25" si="1">IFERROR(ROUND(B21/D21,2),B21)</f>
        <v>3.89</v>
      </c>
      <c r="F21" s="2"/>
      <c r="G21" s="6" t="str">
        <f>IFERROR(__xludf.DUMMYFUNCTION("""COMPUTED_VALUE"""),"Decathlon hardloopshirt blauw")</f>
        <v>Decathlon hardloopshirt blauw</v>
      </c>
      <c r="H21" s="2">
        <f t="array" ref="H21">IFERROR(_xlfn.XLOOKUP(G21,Data!$A$2:$A1000,Data!$B$2:$B1000),"")</f>
        <v>24.99</v>
      </c>
      <c r="I21" s="8">
        <f t="array" ref="I21">IFERROR(_xlfn.XLOOKUP(G21,Data!$A$2:$A1000,Data!$C$2:$C1000),"")</f>
        <v>45878</v>
      </c>
      <c r="J21" s="2">
        <f t="array" ref="J21">IFERROR(_xlfn.XLOOKUP(G21,Data!$A$2:$A1000,Data!$E$2:$E1000),"")</f>
        <v>8</v>
      </c>
      <c r="K21" s="2">
        <f t="array" ref="K21">IFERROR(_xlfn.XLOOKUP(G21,Data!$A$2:$A1000,Data!$F$2:$F1000),"")</f>
        <v>3.12</v>
      </c>
      <c r="L21" s="2"/>
      <c r="M21" s="3" t="str">
        <f>IFERROR(__xludf.DUMMYFUNCTION("""COMPUTED_VALUE"""),"Blauwe lange mouwen polo")</f>
        <v>Blauwe lange mouwen polo</v>
      </c>
      <c r="N21" s="2">
        <f t="array" ref="N21">IFERROR(_xlfn.XLOOKUP(M21,Data!$A$2:$A1000,Data!$B$2:$B1000),"")</f>
        <v>20.69</v>
      </c>
      <c r="O21" s="8">
        <f t="array" ref="O21">IFERROR(_xlfn.XLOOKUP(M21,Data!$A$2:$A1000,Data!$C$2:$C1000),"")</f>
        <v>45282</v>
      </c>
      <c r="P21" s="2">
        <f t="array" ref="P21">IFERROR(_xlfn.XLOOKUP(M21,Data!$A$2:$A1000,Data!$E$2:$E1000),"")</f>
        <v>59</v>
      </c>
      <c r="Q21" s="2">
        <f t="array" ref="Q21">IFERROR(_xlfn.XLOOKUP(M21,Data!$A$2:$A1000,Data!$F$2:$F1000),"")</f>
        <v>0.35</v>
      </c>
      <c r="R21" s="2"/>
      <c r="S21" s="2"/>
      <c r="T21" s="2" t="str">
        <f t="array" ref="T21">IFERROR(_xlfn.XLOOKUP(S21,Data!$A$2:$A1000,Data!$B$2:$B1000),"")</f>
        <v/>
      </c>
      <c r="U21" s="8" t="str">
        <f t="array" ref="U21">IFERROR(_xlfn.XLOOKUP(S21,Data!$A$2:$A1000,Data!$C$2:$C1000),"")</f>
        <v/>
      </c>
      <c r="V21" s="2" t="str">
        <f t="array" ref="V21">IFERROR(_xlfn.XLOOKUP(S21,Data!$A$2:$A1000,Data!$E$2:$E1000),"")</f>
        <v/>
      </c>
      <c r="W21" s="2" t="str">
        <f t="array" ref="W21">IFERROR(_xlfn.XLOOKUP(S21,Data!$A$2:$A1000,Data!$F$2:$F1000),"")</f>
        <v/>
      </c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>
      <c r="A22" s="3" t="str">
        <f>IFERROR(__xludf.DUMMYFUNCTION("""COMPUTED_VALUE"""),"Decathlon wandelbroek dik")</f>
        <v>Decathlon wandelbroek dik</v>
      </c>
      <c r="B22" s="1">
        <f t="array" ref="B22">IFERROR(_xlfn.XLOOKUP(A22,Data!$A$2:$A1000,Data!$B$2:$B1000),"")</f>
        <v>49.99</v>
      </c>
      <c r="C22" s="8">
        <f t="array" ref="C22">IFERROR(_xlfn.XLOOKUP(A22,Data!$A$2:$A1000,Data!$C$2:$C1000),"")</f>
        <v>45577</v>
      </c>
      <c r="D22" s="2">
        <f t="array" ref="D22">IFERROR(_xlfn.XLOOKUP(A22,Data!$A$2:$A1000,Data!$E$2:$E1000),"")</f>
        <v>6</v>
      </c>
      <c r="E22" s="2">
        <f t="shared" si="1"/>
        <v>8.33</v>
      </c>
      <c r="F22" s="2"/>
      <c r="G22" s="6" t="str">
        <f>IFERROR(__xludf.DUMMYFUNCTION("""COMPUTED_VALUE"""),"Decathlon zwemshirt")</f>
        <v>Decathlon zwemshirt</v>
      </c>
      <c r="H22" s="2">
        <f t="array" ref="H22">IFERROR(_xlfn.XLOOKUP(G22,Data!$A$2:$A1000,Data!$B$2:$B1000),"")</f>
        <v>17.99</v>
      </c>
      <c r="I22" s="8">
        <f t="array" ref="I22">IFERROR(_xlfn.XLOOKUP(G22,Data!$A$2:$A1000,Data!$C$2:$C1000),"")</f>
        <v>45878</v>
      </c>
      <c r="J22" s="2">
        <f t="array" ref="J22">IFERROR(_xlfn.XLOOKUP(G22,Data!$A$2:$A1000,Data!$E$2:$E1000),"")</f>
        <v>2</v>
      </c>
      <c r="K22" s="2">
        <f t="array" ref="K22">IFERROR(_xlfn.XLOOKUP(G22,Data!$A$2:$A1000,Data!$F$2:$F1000),"")</f>
        <v>9</v>
      </c>
      <c r="L22" s="2"/>
      <c r="M22" s="9" t="str">
        <f>IFERROR(__xludf.DUMMYFUNCTION("""COMPUTED_VALUE"""),"Rood vest")</f>
        <v>Rood vest</v>
      </c>
      <c r="N22" s="10">
        <f t="array" ref="N22">IFERROR(_xlfn.XLOOKUP(M22,Data!$A$2:$A1000,Data!$B$2:$B1000),"")</f>
        <v>35</v>
      </c>
      <c r="O22" s="11">
        <f t="array" ref="O22">IFERROR(_xlfn.XLOOKUP(M22,Data!$A$2:$A1000,Data!$C$2:$C1000),"")</f>
        <v>43101</v>
      </c>
      <c r="P22" s="10">
        <f t="array" ref="P22">IFERROR(_xlfn.XLOOKUP(M22,Data!$A$2:$A1000,Data!$E$2:$E1000),"")</f>
        <v>58</v>
      </c>
      <c r="Q22" s="10">
        <f t="array" ref="Q22">IFERROR(_xlfn.XLOOKUP(M22,Data!$A$2:$A1000,Data!$F$2:$F1000),"")</f>
        <v>0.6</v>
      </c>
      <c r="R22" s="2"/>
      <c r="S22" s="2"/>
      <c r="T22" s="2" t="str">
        <f t="array" ref="T22">IFERROR(_xlfn.XLOOKUP(S22,Data!$A$2:$A1000,Data!$B$2:$B1000),"")</f>
        <v/>
      </c>
      <c r="U22" s="8" t="str">
        <f t="array" ref="U22">IFERROR(_xlfn.XLOOKUP(S22,Data!$A$2:$A1000,Data!$C$2:$C1000),"")</f>
        <v/>
      </c>
      <c r="V22" s="2" t="str">
        <f t="array" ref="V22">IFERROR(_xlfn.XLOOKUP(S22,Data!$A$2:$A1000,Data!$E$2:$E1000),"")</f>
        <v/>
      </c>
      <c r="W22" s="2" t="str">
        <f t="array" ref="W22">IFERROR(_xlfn.XLOOKUP(S22,Data!$A$2:$A1000,Data!$F$2:$F1000),"")</f>
        <v/>
      </c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3" t="str">
        <f>IFERROR(__xludf.DUMMYFUNCTION("""COMPUTED_VALUE"""),"Spijkerbroek Compound Garment")</f>
        <v>Spijkerbroek Compound Garment</v>
      </c>
      <c r="B23" s="1">
        <f t="array" ref="B23">IFERROR(_xlfn.XLOOKUP(A23,Data!$A$2:$A1000,Data!$B$2:$B1000),"")</f>
        <v>29.19</v>
      </c>
      <c r="C23" s="8">
        <f t="array" ref="C23">IFERROR(_xlfn.XLOOKUP(A23,Data!$A$2:$A1000,Data!$C$2:$C1000),"")</f>
        <v>45901</v>
      </c>
      <c r="D23" s="2">
        <f t="array" ref="D23">IFERROR(_xlfn.XLOOKUP(A23,Data!$A$2:$A1000,Data!$E$2:$E1000),"")</f>
        <v>13</v>
      </c>
      <c r="E23" s="2">
        <f t="shared" si="1"/>
        <v>2.25</v>
      </c>
      <c r="F23" s="2"/>
      <c r="G23" s="1"/>
      <c r="H23" s="2" t="str">
        <f t="array" ref="H23">IFERROR(_xlfn.XLOOKUP(G23,Data!$A$2:$A1000,Data!$B$2:$B1000),"")</f>
        <v/>
      </c>
      <c r="I23" s="8" t="str">
        <f t="array" ref="I23">IFERROR(_xlfn.XLOOKUP(G23,Data!$A$2:$A1000,Data!$C$2:$C1000),"")</f>
        <v/>
      </c>
      <c r="J23" s="2" t="str">
        <f t="array" ref="J23">IFERROR(_xlfn.XLOOKUP(G23,Data!$A$2:$A1000,Data!$E$2:$E1000),"")</f>
        <v/>
      </c>
      <c r="K23" s="2" t="str">
        <f t="array" ref="K23">IFERROR(_xlfn.XLOOKUP(G23,Data!$A$2:$A1000,Data!$F$2:$F1000),"")</f>
        <v/>
      </c>
      <c r="L23" s="2"/>
      <c r="M23" s="6" t="str">
        <f>IFERROR(__xludf.DUMMYFUNCTION("""COMPUTED_VALUE"""),"Zwart/rood vest")</f>
        <v>Zwart/rood vest</v>
      </c>
      <c r="N23" s="2">
        <f t="array" ref="N23">IFERROR(_xlfn.XLOOKUP(M23,Data!$A$2:$A1000,Data!$B$2:$B1000),"")</f>
        <v>35</v>
      </c>
      <c r="O23" s="8">
        <f t="array" ref="O23">IFERROR(_xlfn.XLOOKUP(M23,Data!$A$2:$A1000,Data!$C$2:$C1000),"")</f>
        <v>43101</v>
      </c>
      <c r="P23" s="2">
        <f t="array" ref="P23">IFERROR(_xlfn.XLOOKUP(M23,Data!$A$2:$A1000,Data!$E$2:$E1000),"")</f>
        <v>24</v>
      </c>
      <c r="Q23" s="2">
        <f t="array" ref="Q23">IFERROR(_xlfn.XLOOKUP(M23,Data!$A$2:$A1000,Data!$F$2:$F1000),"")</f>
        <v>1.46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3" t="str">
        <f>IFERROR(__xludf.DUMMYFUNCTION("""COMPUTED_VALUE"""),"Grijze pantalon pak Vanda Tailors")</f>
        <v>Grijze pantalon pak Vanda Tailors</v>
      </c>
      <c r="B24" s="1">
        <f t="array" ref="B24">IFERROR(_xlfn.XLOOKUP(A24,Data!$A$2:$A1000,Data!$B$2:$B1000),"")</f>
        <v>97</v>
      </c>
      <c r="C24" s="8">
        <f t="array" ref="C24">IFERROR(_xlfn.XLOOKUP(A24,Data!$A$2:$A1000,Data!$C$2:$C1000),"")</f>
        <v>45904</v>
      </c>
      <c r="D24" s="2">
        <f t="array" ref="D24">IFERROR(_xlfn.XLOOKUP(A24,Data!$A$2:$A1000,Data!$E$2:$E1000),"")</f>
        <v>44</v>
      </c>
      <c r="E24" s="2">
        <f t="shared" si="1"/>
        <v>2.2</v>
      </c>
      <c r="F24" s="2"/>
      <c r="G24" s="1"/>
      <c r="H24" s="2"/>
      <c r="I24" s="2"/>
      <c r="J24" s="2"/>
      <c r="K24" s="2"/>
      <c r="L24" s="2"/>
      <c r="M24" s="13" t="str">
        <f>IFERROR(__xludf.DUMMYFUNCTION("""COMPUTED_VALUE"""),"Rood jasje")</f>
        <v>Rood jasje</v>
      </c>
      <c r="N24" s="2">
        <f t="array" ref="N24">IFERROR(_xlfn.XLOOKUP(M24,Data!$A$2:$A1000,Data!$B$2:$B1000),"")</f>
        <v>40</v>
      </c>
      <c r="O24" s="8">
        <f t="array" ref="O24">IFERROR(_xlfn.XLOOKUP(M24,Data!$A$2:$A1000,Data!$C$2:$C1000),"")</f>
        <v>44197</v>
      </c>
      <c r="P24" s="2">
        <f t="array" ref="P24">IFERROR(_xlfn.XLOOKUP(M24,Data!$A$2:$A1000,Data!$E$2:$E1000),"")</f>
        <v>16</v>
      </c>
      <c r="Q24" s="2">
        <f t="array" ref="Q24">IFERROR(_xlfn.XLOOKUP(M24,Data!$A$2:$A1000,Data!$F$2:$F1000),"")</f>
        <v>2.5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6" t="str">
        <f>IFERROR(__xludf.DUMMYFUNCTION("""COMPUTED_VALUE"""),"Zwarte smoking broek")</f>
        <v>Zwarte smoking broek</v>
      </c>
      <c r="B25" s="1">
        <f t="array" ref="B25">IFERROR(_xlfn.XLOOKUP(A25,Data!$A$2:$A1000,Data!$B$2:$B1000),"")</f>
        <v>44.95</v>
      </c>
      <c r="C25" s="8">
        <f t="array" ref="C25">IFERROR(_xlfn.XLOOKUP(A25,Data!$A$2:$A1000,Data!$C$2:$C1000),"")</f>
        <v>45962</v>
      </c>
      <c r="D25" s="2">
        <f t="array" ref="D25">IFERROR(_xlfn.XLOOKUP(A25,Data!$A$2:$A1000,Data!$E$2:$E1000),"")</f>
        <v>2</v>
      </c>
      <c r="E25" s="2">
        <f t="shared" si="1"/>
        <v>22.48</v>
      </c>
      <c r="F25" s="2"/>
      <c r="G25" s="1"/>
      <c r="H25" s="2"/>
      <c r="I25" s="2"/>
      <c r="J25" s="2"/>
      <c r="K25" s="2"/>
      <c r="L25" s="2"/>
      <c r="M25" s="6" t="str">
        <f>IFERROR(__xludf.DUMMYFUNCTION("""COMPUTED_VALUE"""),"Blauw/zwart/wit geblokt jasje")</f>
        <v>Blauw/zwart/wit geblokt jasje</v>
      </c>
      <c r="N25" s="2">
        <f t="array" ref="N25">IFERROR(_xlfn.XLOOKUP(M25,Data!$A$2:$A1000,Data!$B$2:$B1000),"")</f>
        <v>25</v>
      </c>
      <c r="O25" s="8">
        <f t="array" ref="O25">IFERROR(_xlfn.XLOOKUP(M25,Data!$A$2:$A1000,Data!$C$2:$C1000),"")</f>
        <v>44461</v>
      </c>
      <c r="P25" s="2">
        <f t="array" ref="P25">IFERROR(_xlfn.XLOOKUP(M25,Data!$A$2:$A1000,Data!$E$2:$E1000),"")</f>
        <v>105</v>
      </c>
      <c r="Q25" s="2">
        <f t="array" ref="Q25">IFERROR(_xlfn.XLOOKUP(M25,Data!$A$2:$A1000,Data!$F$2:$F1000),"")</f>
        <v>0.24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1"/>
      <c r="B26" s="1"/>
      <c r="C26" s="2"/>
      <c r="D26" s="2"/>
      <c r="E26" s="2"/>
      <c r="F26" s="2"/>
      <c r="G26" s="1"/>
      <c r="H26" s="2"/>
      <c r="I26" s="1"/>
      <c r="J26" s="2"/>
      <c r="K26" s="2"/>
      <c r="L26" s="2"/>
      <c r="M26" s="6" t="str">
        <f>IFERROR(__xludf.DUMMYFUNCTION("""COMPUTED_VALUE"""),"Blauwe jas pak")</f>
        <v>Blauwe jas pak</v>
      </c>
      <c r="N26" s="2">
        <f t="array" ref="N26">IFERROR(_xlfn.XLOOKUP(M26,Data!$A$2:$A1000,Data!$B$2:$B1000),"")</f>
        <v>414.25</v>
      </c>
      <c r="O26" s="8">
        <f t="array" ref="O26">IFERROR(_xlfn.XLOOKUP(M26,Data!$A$2:$A1000,Data!$C$2:$C1000),"")</f>
        <v>45479</v>
      </c>
      <c r="P26" s="2">
        <f t="array" ref="P26">IFERROR(_xlfn.XLOOKUP(M26,Data!$A$2:$A1000,Data!$E$2:$E1000),"")</f>
        <v>58</v>
      </c>
      <c r="Q26" s="2">
        <f t="array" ref="Q26">IFERROR(_xlfn.XLOOKUP(M26,Data!$A$2:$A1000,Data!$F$2:$F1000),"")</f>
        <v>7.14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1"/>
      <c r="B27" s="1"/>
      <c r="C27" s="2"/>
      <c r="D27" s="1"/>
      <c r="E27" s="1"/>
      <c r="F27" s="2"/>
      <c r="G27" s="1"/>
      <c r="H27" s="2"/>
      <c r="I27" s="1"/>
      <c r="J27" s="2"/>
      <c r="K27" s="2"/>
      <c r="L27" s="2"/>
      <c r="M27" s="6" t="str">
        <f>IFERROR(__xludf.DUMMYFUNCTION("""COMPUTED_VALUE"""),"Blauwe Uniqlo sweater")</f>
        <v>Blauwe Uniqlo sweater</v>
      </c>
      <c r="N27" s="2">
        <f t="array" ref="N27">IFERROR(_xlfn.XLOOKUP(M27,Data!$A$2:$A1000,Data!$B$2:$B1000),"")</f>
        <v>29.9</v>
      </c>
      <c r="O27" s="8">
        <f t="array" ref="O27">IFERROR(_xlfn.XLOOKUP(M27,Data!$A$2:$A1000,Data!$C$2:$C1000),"")</f>
        <v>45748</v>
      </c>
      <c r="P27" s="2">
        <f t="array" ref="P27">IFERROR(_xlfn.XLOOKUP(M27,Data!$A$2:$A1000,Data!$E$2:$E1000),"")</f>
        <v>42</v>
      </c>
      <c r="Q27" s="2">
        <f t="array" ref="Q27">IFERROR(_xlfn.XLOOKUP(M27,Data!$A$2:$A1000,Data!$F$2:$F1000),"")</f>
        <v>0.71</v>
      </c>
      <c r="R27" s="1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7"/>
      <c r="B28" s="16"/>
      <c r="C28" s="16"/>
      <c r="D28" s="7"/>
      <c r="E28" s="7"/>
      <c r="F28" s="2"/>
      <c r="G28" s="1"/>
      <c r="H28" s="2"/>
      <c r="I28" s="1"/>
      <c r="J28" s="2"/>
      <c r="K28" s="2"/>
      <c r="L28" s="2"/>
      <c r="M28" s="3" t="str">
        <f>IFERROR(__xludf.DUMMYFUNCTION("""COMPUTED_VALUE"""),"Rode lange mouwen polo")</f>
        <v>Rode lange mouwen polo</v>
      </c>
      <c r="N28" s="2">
        <f t="array" ref="N28">IFERROR(_xlfn.XLOOKUP(M28,Data!$A$2:$A1000,Data!$B$2:$B1000),"")</f>
        <v>6.59</v>
      </c>
      <c r="O28" s="8">
        <v>45840.0</v>
      </c>
      <c r="P28" s="2">
        <f t="array" ref="P28">IFERROR(_xlfn.XLOOKUP(M28,Data!$A$2:$A1000,Data!$E$2:$E1000),"")</f>
        <v>2</v>
      </c>
      <c r="Q28" s="2">
        <f t="array" ref="Q28">IFERROR(_xlfn.XLOOKUP(M28,Data!$A$2:$A1000,Data!$F$2:$F1000),"")</f>
        <v>3.29</v>
      </c>
      <c r="R28" s="1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>
      <c r="A29" s="1"/>
      <c r="B29" s="2"/>
      <c r="C29" s="2"/>
      <c r="D29" s="1"/>
      <c r="E29" s="1"/>
      <c r="F29" s="2"/>
      <c r="G29" s="2"/>
      <c r="H29" s="2"/>
      <c r="I29" s="2"/>
      <c r="J29" s="2"/>
      <c r="K29" s="2"/>
      <c r="L29" s="2"/>
      <c r="M29" s="3" t="str">
        <f>IFERROR(__xludf.DUMMYFUNCTION("""COMPUTED_VALUE"""),"Grijs jas pak Vanda Tailors")</f>
        <v>Grijs jas pak Vanda Tailors</v>
      </c>
      <c r="N29" s="2">
        <f t="array" ref="N29">IFERROR(_xlfn.XLOOKUP(M29,Data!$A$2:$A1000,Data!$B$2:$B1000),"")</f>
        <v>97</v>
      </c>
      <c r="O29" s="8">
        <v>45841.0</v>
      </c>
      <c r="P29" s="2">
        <f t="array" ref="P29">IFERROR(_xlfn.XLOOKUP(M29,Data!$A$2:$A1000,Data!$E$2:$E1000),"")</f>
        <v>42</v>
      </c>
      <c r="Q29" s="2">
        <f t="array" ref="Q29">IFERROR(_xlfn.XLOOKUP(M29,Data!$A$2:$A1000,Data!$F$2:$F1000),"")</f>
        <v>2.31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3" t="str">
        <f>IFERROR(__xludf.DUMMYFUNCTION("""COMPUTED_VALUE"""),"Zwarte smoking jas")</f>
        <v>Zwarte smoking jas</v>
      </c>
      <c r="N30" s="2">
        <f t="array" ref="N30">IFERROR(_xlfn.XLOOKUP(M30,Data!$A$2:$A1000,Data!$B$2:$B1000),"")</f>
        <v>79.95</v>
      </c>
      <c r="O30" s="8">
        <v>45842.0</v>
      </c>
      <c r="P30" s="2">
        <f t="array" ref="P30">IFERROR(_xlfn.XLOOKUP(M30,Data!$A$2:$A1000,Data!$E$2:$E1000),"")</f>
        <v>2</v>
      </c>
      <c r="Q30" s="2">
        <f t="array" ref="Q30">IFERROR(_xlfn.XLOOKUP(M30,Data!$A$2:$A1000,Data!$F$2:$F1000),"")</f>
        <v>39.98</v>
      </c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1"/>
      <c r="B31" s="2"/>
      <c r="C31" s="2"/>
      <c r="D31" s="1"/>
      <c r="E31" s="1"/>
      <c r="F31" s="2"/>
      <c r="G31" s="17"/>
      <c r="H31" s="1"/>
      <c r="I31" s="1"/>
      <c r="J31" s="2"/>
      <c r="K31" s="2"/>
      <c r="L31" s="2"/>
      <c r="M31" s="8"/>
      <c r="N31" s="1"/>
      <c r="O31" s="1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1"/>
      <c r="B32" s="2"/>
      <c r="C32" s="1"/>
      <c r="D32" s="1"/>
      <c r="E32" s="1"/>
      <c r="F32" s="2"/>
      <c r="G32" s="17"/>
      <c r="H32" s="1"/>
      <c r="I32" s="1"/>
      <c r="J32" s="2"/>
      <c r="K32" s="2"/>
      <c r="L32" s="2"/>
      <c r="M32" s="8"/>
      <c r="N32" s="1"/>
      <c r="O32" s="1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1"/>
      <c r="B33" s="2"/>
      <c r="C33" s="1"/>
      <c r="D33" s="1"/>
      <c r="E33" s="1"/>
      <c r="F33" s="2"/>
      <c r="G33" s="17"/>
      <c r="H33" s="1"/>
      <c r="I33" s="1"/>
      <c r="J33" s="2"/>
      <c r="K33" s="2"/>
      <c r="L33" s="2"/>
      <c r="M33" s="8"/>
      <c r="N33" s="1"/>
      <c r="O33" s="1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2"/>
      <c r="B34" s="2"/>
      <c r="C34" s="2"/>
      <c r="D34" s="2"/>
      <c r="E34" s="2"/>
      <c r="F34" s="2"/>
      <c r="G34" s="17"/>
      <c r="H34" s="1"/>
      <c r="I34" s="1"/>
      <c r="J34" s="2"/>
      <c r="K34" s="2"/>
      <c r="L34" s="2"/>
      <c r="M34" s="8"/>
      <c r="N34" s="1"/>
      <c r="O34" s="1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8"/>
      <c r="N35" s="1"/>
      <c r="O35" s="1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conditionalFormatting sqref="E2:E25">
    <cfRule type="colorScale" priority="1">
      <colorScale>
        <cfvo type="min"/>
        <cfvo type="percentile" val="50"/>
        <cfvo type="max"/>
        <color rgb="FFB7E1CD"/>
        <color rgb="FFFFFFFF"/>
        <color rgb="FFEA9999"/>
      </colorScale>
    </cfRule>
  </conditionalFormatting>
  <conditionalFormatting sqref="K2:K22">
    <cfRule type="colorScale" priority="2">
      <colorScale>
        <cfvo type="min"/>
        <cfvo type="percentile" val="50"/>
        <cfvo type="max"/>
        <color rgb="FFB7E1CD"/>
        <color rgb="FFFFFFFF"/>
        <color rgb="FFEA9999"/>
      </colorScale>
    </cfRule>
  </conditionalFormatting>
  <conditionalFormatting sqref="Q2:Q30">
    <cfRule type="colorScale" priority="3">
      <colorScale>
        <cfvo type="min"/>
        <cfvo type="percentile" val="50"/>
        <cfvo type="max"/>
        <color rgb="FFB7E1CD"/>
        <color rgb="FFFFFFFF"/>
        <color rgb="FFEA9999"/>
      </colorScale>
    </cfRule>
  </conditionalFormatting>
  <conditionalFormatting sqref="W2:W22">
    <cfRule type="colorScale" priority="4">
      <colorScale>
        <cfvo type="min"/>
        <cfvo type="percentile" val="50"/>
        <cfvo type="max"/>
        <color rgb="FFB7E1CD"/>
        <color rgb="FFFFFFFF"/>
        <color rgb="FFEA9999"/>
      </colorScale>
    </cfRule>
  </conditionalFormatting>
  <conditionalFormatting sqref="AC2:AC7">
    <cfRule type="colorScale" priority="5">
      <colorScale>
        <cfvo type="min"/>
        <cfvo type="percentile" val="50"/>
        <cfvo type="max"/>
        <color rgb="FFB7E1CD"/>
        <color rgb="FFFFFFFF"/>
        <color rgb="FFEA9999"/>
      </colorScale>
    </cfRule>
  </conditionalFormatting>
  <conditionalFormatting sqref="AI2:AI14">
    <cfRule type="colorScale" priority="6">
      <colorScale>
        <cfvo type="min"/>
        <cfvo type="percentile" val="50"/>
        <cfvo type="max"/>
        <color rgb="FFB7E1CD"/>
        <color rgb="FFFFFFFF"/>
        <color rgb="FFEA9999"/>
      </colorScale>
    </cfRule>
  </conditionalFormatting>
  <conditionalFormatting sqref="P2:P30">
    <cfRule type="colorScale" priority="7">
      <colorScale>
        <cfvo type="min"/>
        <cfvo type="percentile" val="50"/>
        <cfvo type="max"/>
        <color rgb="FFEA9999"/>
        <color rgb="FFFFFFFF"/>
        <color rgb="FFB7E1CD"/>
      </colorScale>
    </cfRule>
  </conditionalFormatting>
  <conditionalFormatting sqref="J2:J22">
    <cfRule type="colorScale" priority="8">
      <colorScale>
        <cfvo type="min"/>
        <cfvo type="percentile" val="50"/>
        <cfvo type="max"/>
        <color rgb="FFEA9999"/>
        <color rgb="FFFFFFFF"/>
        <color rgb="FFB7E1CD"/>
      </colorScale>
    </cfRule>
  </conditionalFormatting>
  <conditionalFormatting sqref="D2:D25">
    <cfRule type="colorScale" priority="9">
      <colorScale>
        <cfvo type="min"/>
        <cfvo type="percentile" val="50"/>
        <cfvo type="max"/>
        <color rgb="FFEA9999"/>
        <color rgb="FFFFFFFF"/>
        <color rgb="FFB7E1CD"/>
      </colorScale>
    </cfRule>
  </conditionalFormatting>
  <conditionalFormatting sqref="V2:V16">
    <cfRule type="colorScale" priority="10">
      <colorScale>
        <cfvo type="min"/>
        <cfvo type="percentile" val="50"/>
        <cfvo type="max"/>
        <color rgb="FFEA9999"/>
        <color rgb="FFFFFFFF"/>
        <color rgb="FFB7E1CD"/>
      </colorScale>
    </cfRule>
  </conditionalFormatting>
  <conditionalFormatting sqref="AB2:AB7">
    <cfRule type="colorScale" priority="11">
      <colorScale>
        <cfvo type="min"/>
        <cfvo type="max"/>
        <color rgb="FFEA9999"/>
        <color rgb="FFB7E1CD"/>
      </colorScale>
    </cfRule>
  </conditionalFormatting>
  <conditionalFormatting sqref="AH2:AH14">
    <cfRule type="colorScale" priority="12">
      <colorScale>
        <cfvo type="min"/>
        <cfvo type="percentile" val="50"/>
        <cfvo type="max"/>
        <color rgb="FFEA9999"/>
        <color rgb="FFFFFFFF"/>
        <color rgb="FFB7E1CD"/>
      </colorScale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0.13"/>
    <col customWidth="1" min="19" max="19" width="16.88"/>
    <col customWidth="1" min="20" max="20" width="25.25"/>
    <col customWidth="1" min="21" max="21" width="13.75"/>
    <col customWidth="1" min="22" max="22" width="25.25"/>
    <col customWidth="1" min="23" max="23" width="17.63"/>
  </cols>
  <sheetData>
    <row r="1">
      <c r="R1" s="1" t="s">
        <v>52</v>
      </c>
      <c r="S1" s="1" t="s">
        <v>45</v>
      </c>
      <c r="T1" s="1" t="s">
        <v>53</v>
      </c>
      <c r="U1" s="1" t="s">
        <v>54</v>
      </c>
      <c r="V1" s="1" t="s">
        <v>55</v>
      </c>
      <c r="W1" s="1" t="s">
        <v>56</v>
      </c>
    </row>
    <row r="2">
      <c r="Q2" s="1">
        <v>2017.0</v>
      </c>
      <c r="R2" s="2">
        <f>SUMPRODUCT(--(YEAR(Data!$C$2:$C1000) = Q2))
</f>
        <v>1</v>
      </c>
      <c r="S2" s="2">
        <f>SUMPRODUCT(--(YEAR(Data!$C$2:$C1000) = Q2), Data!$E$2:$E1000)
</f>
        <v>23</v>
      </c>
      <c r="T2" s="2">
        <f t="shared" ref="T2:T10" si="1">ROUND(S2/R2,0)</f>
        <v>23</v>
      </c>
      <c r="U2" s="2">
        <f>SUMPRODUCT(--(YEAR(Data!$C$2:$C1000) = Q2),Data!$B$2:$B1000)
</f>
        <v>20</v>
      </c>
      <c r="V2" s="2">
        <f>ROUND(SUMPRODUCT(--(YEAR(Data!$C$2:$C1000) = Q2), Data!$F$2:$F1000) /R2,1)
</f>
        <v>0.9</v>
      </c>
      <c r="W2" s="2">
        <f t="shared" ref="W2:W10" si="2">ROUND(U2/R2,2)</f>
        <v>20</v>
      </c>
    </row>
    <row r="3">
      <c r="Q3" s="1">
        <v>2018.0</v>
      </c>
      <c r="R3" s="2">
        <f>SUMPRODUCT(--(YEAR(Data!$C$2:$C1000) = Q3))
</f>
        <v>3</v>
      </c>
      <c r="S3" s="2">
        <f>SUMPRODUCT(--(YEAR(Data!$C$2:$C1000) = Q3), Data!$E$2:$E1000)
</f>
        <v>133</v>
      </c>
      <c r="T3" s="2">
        <f t="shared" si="1"/>
        <v>44</v>
      </c>
      <c r="U3" s="2">
        <f>SUMPRODUCT(--(YEAR(Data!$C$2:$C1000) = Q3),Data!$B$2:$B1000)
</f>
        <v>120</v>
      </c>
      <c r="V3" s="2">
        <f>ROUND(SUMPRODUCT(--(YEAR(Data!$C$2:$C1000) = Q3), Data!$F$2:$F1000) /R3,1)
</f>
        <v>1</v>
      </c>
      <c r="W3" s="2">
        <f t="shared" si="2"/>
        <v>40</v>
      </c>
    </row>
    <row r="4">
      <c r="Q4" s="1">
        <v>2019.0</v>
      </c>
      <c r="R4" s="2">
        <f>SUMPRODUCT(--(YEAR(Data!$C$2:$C1000) = Q4))
</f>
        <v>8</v>
      </c>
      <c r="S4" s="2">
        <f>SUMPRODUCT(--(YEAR(Data!$C$2:$C1000) = Q4), Data!$E$2:$E1000)
</f>
        <v>467</v>
      </c>
      <c r="T4" s="2">
        <f t="shared" si="1"/>
        <v>58</v>
      </c>
      <c r="U4" s="2">
        <f>SUMPRODUCT(--(YEAR(Data!$C$2:$C1000) = Q4),Data!$B$2:$B1000)
</f>
        <v>306.25</v>
      </c>
      <c r="V4" s="2">
        <f>ROUND(SUMPRODUCT(--(YEAR(Data!$C$2:$C1000) = Q4), Data!$F$2:$F1000) /R4,1)
</f>
        <v>1.1</v>
      </c>
      <c r="W4" s="2">
        <f t="shared" si="2"/>
        <v>38.28</v>
      </c>
    </row>
    <row r="5">
      <c r="Q5" s="1">
        <v>2020.0</v>
      </c>
      <c r="R5" s="2">
        <f>SUMPRODUCT(--(YEAR(Data!$C$2:$C1000) = Q5))
</f>
        <v>5</v>
      </c>
      <c r="S5" s="2">
        <f>SUMPRODUCT(--(YEAR(Data!$C$2:$C1000) = Q5), Data!$E$2:$E1000)
</f>
        <v>522</v>
      </c>
      <c r="T5" s="2">
        <f t="shared" si="1"/>
        <v>104</v>
      </c>
      <c r="U5" s="2">
        <f>SUMPRODUCT(--(YEAR(Data!$C$2:$C1000) = Q5),Data!$B$2:$B1000)
</f>
        <v>442.5</v>
      </c>
      <c r="V5" s="2">
        <f>ROUND(SUMPRODUCT(--(YEAR(Data!$C$2:$C1000) = Q5), Data!$F$2:$F1000) /R5,1)
</f>
        <v>2.1</v>
      </c>
      <c r="W5" s="2">
        <f t="shared" si="2"/>
        <v>88.5</v>
      </c>
    </row>
    <row r="6">
      <c r="Q6" s="1">
        <v>2021.0</v>
      </c>
      <c r="R6" s="2">
        <f>SUMPRODUCT(--(YEAR(Data!$C$2:$C1000) = Q6))
</f>
        <v>18</v>
      </c>
      <c r="S6" s="2">
        <f>SUMPRODUCT(--(YEAR(Data!$C$2:$C1000) = Q6), Data!$E$2:$E1000)
</f>
        <v>1738</v>
      </c>
      <c r="T6" s="2">
        <f t="shared" si="1"/>
        <v>97</v>
      </c>
      <c r="U6" s="2">
        <f>SUMPRODUCT(--(YEAR(Data!$C$2:$C1000) = Q6),Data!$B$2:$B1000)
</f>
        <v>547.5</v>
      </c>
      <c r="V6" s="2">
        <f>ROUND(SUMPRODUCT(--(YEAR(Data!$C$2:$C1000) = Q6), Data!$F$2:$F1000) /R6,1)
</f>
        <v>1.1</v>
      </c>
      <c r="W6" s="2">
        <f t="shared" si="2"/>
        <v>30.42</v>
      </c>
    </row>
    <row r="7">
      <c r="Q7" s="1">
        <v>2022.0</v>
      </c>
      <c r="R7" s="2">
        <f>SUMPRODUCT(--(YEAR(Data!$C$2:$C1000) = Q7))
</f>
        <v>13</v>
      </c>
      <c r="S7" s="2">
        <f>SUMPRODUCT(--(YEAR(Data!$C$2:$C1000) = Q7), Data!$E$2:$E1000)
</f>
        <v>1434</v>
      </c>
      <c r="T7" s="2">
        <f t="shared" si="1"/>
        <v>110</v>
      </c>
      <c r="U7" s="2">
        <f>SUMPRODUCT(--(YEAR(Data!$C$2:$C1000) = Q7),Data!$B$2:$B1000)
</f>
        <v>442.25</v>
      </c>
      <c r="V7" s="2">
        <f>ROUND(SUMPRODUCT(--(YEAR(Data!$C$2:$C1000) = Q7), Data!$F$2:$F1000) /R7,1)
</f>
        <v>0.6</v>
      </c>
      <c r="W7" s="2">
        <f t="shared" si="2"/>
        <v>34.02</v>
      </c>
    </row>
    <row r="8">
      <c r="Q8" s="1">
        <v>2023.0</v>
      </c>
      <c r="R8" s="2">
        <f>SUMPRODUCT(--(YEAR(Data!$C$2:$C1000) = Q8))
</f>
        <v>20</v>
      </c>
      <c r="S8" s="2">
        <f>SUMPRODUCT(--(YEAR(Data!$C$2:$C1000) = Q8), Data!$E$2:$E1000)
</f>
        <v>1746</v>
      </c>
      <c r="T8" s="2">
        <f t="shared" si="1"/>
        <v>87</v>
      </c>
      <c r="U8" s="2">
        <f>SUMPRODUCT(--(YEAR(Data!$C$2:$C1000) = Q8),Data!$B$2:$B1000)
</f>
        <v>863.42</v>
      </c>
      <c r="V8" s="2">
        <f>ROUND(SUMPRODUCT(--(YEAR(Data!$C$2:$C1000) = Q8), Data!$F$2:$F1000) /R8,1)
</f>
        <v>2.1</v>
      </c>
      <c r="W8" s="2">
        <f t="shared" si="2"/>
        <v>43.17</v>
      </c>
    </row>
    <row r="9">
      <c r="Q9" s="1">
        <v>2024.0</v>
      </c>
      <c r="R9" s="2">
        <f>SUMPRODUCT(--(YEAR(Data!$C$2:$C1000) = Q9))
</f>
        <v>13</v>
      </c>
      <c r="S9" s="2">
        <f>SUMPRODUCT(--(YEAR(Data!$C$2:$C1000) = Q9), Data!$E$2:$E1000)
</f>
        <v>804</v>
      </c>
      <c r="T9" s="2">
        <f t="shared" si="1"/>
        <v>62</v>
      </c>
      <c r="U9" s="2">
        <f>SUMPRODUCT(--(YEAR(Data!$C$2:$C1000) = Q9),Data!$B$2:$B1000)
</f>
        <v>1393.41</v>
      </c>
      <c r="V9" s="2">
        <f>ROUND(SUMPRODUCT(--(YEAR(Data!$C$2:$C1000) = Q9), Data!$F$2:$F1000) /R9,1)
</f>
        <v>3.2</v>
      </c>
      <c r="W9" s="2">
        <f t="shared" si="2"/>
        <v>107.19</v>
      </c>
    </row>
    <row r="10">
      <c r="Q10" s="1">
        <v>2025.0</v>
      </c>
      <c r="R10" s="2">
        <f>SUMPRODUCT(--(YEAR(Data!$C$2:$C1000) = Q10))
</f>
        <v>27</v>
      </c>
      <c r="S10" s="2">
        <f>SUMPRODUCT(--(YEAR(Data!$C$2:$C1000) = Q10), Data!$E$2:$E1000)
</f>
        <v>766</v>
      </c>
      <c r="T10" s="2">
        <f t="shared" si="1"/>
        <v>28</v>
      </c>
      <c r="U10" s="2">
        <f>SUMPRODUCT(--(YEAR(Data!$C$2:$C1000) = Q10),Data!$B$2:$B1000)
</f>
        <v>1303.91</v>
      </c>
      <c r="V10" s="2">
        <f>ROUND(SUMPRODUCT(--(YEAR(Data!$C$2:$C1000) = Q10), Data!$F$2:$F1000) /R10,1)
</f>
        <v>6.5</v>
      </c>
      <c r="W10" s="2">
        <f t="shared" si="2"/>
        <v>48.29</v>
      </c>
    </row>
    <row r="11">
      <c r="R11" s="2">
        <f>SUM(R2:R10)</f>
        <v>108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</cols>
  <sheetData>
    <row r="1">
      <c r="A1" s="6" t="str">
        <f>IFERROR(__xludf.DUMMYFUNCTION("FILTER(Data!A2:A1000,Data!G2:G1000=0)"),"Bruine Curduroy broek")</f>
        <v>Bruine Curduroy broek</v>
      </c>
      <c r="B1" s="18">
        <f t="array" ref="B1">IFERROR(IF(_xlfn.XLOOKUP(A1, Data!A2:A1000, Data!D2:D1000) = "broek", IFERROR(INDEX('Form responses 1'!$A$2:$A1000,SUMPRODUCT(MAX(ROW('Form responses 1'!$B$2:$B1000)*(A1='Form responses 1'!$B$2:$B1000))-1)),"04/02/2022"),
IF(_xlfn.XLOOKUP(A1, Data!A2:A1000, Data!D2:D1000) = "T-shirt", INDEX('Form responses 1'!$A$2:$A1000,SUMPRODUCT(MAX(ROW('Form responses 1'!$C$2:$C1000)*(A1='Form responses 1'!$C$2:$C1000))-1)),
IF(_xlfn.XLOOKUP(A1, Data!A2:A1000, Data!D2:D1000) = "Trui", INDEX('Form responses 1'!$A$2:$A1000,SUMPRODUCT(MAX(ROW('Form responses 1'!$D$2:$D1000)*(A1='Form responses 1'!$D$2:$D1000))-1)),
IF(_xlfn.XLOOKUP(A1, Data!A2:A1000, Data!D2:D1000) = "blousje", INDEX('Form responses 1'!$A$2:$A1000,SUMPRODUCT(MAX(ROW('Form responses 1'!$E$2:$E1000)*(A1='Form responses 1'!$E$2:$E1000))-1)),
IF(_xlfn.XLOOKUP(A1, Data!A2:A1000, Data!D2:D1000) = "jas", INDEX('Form responses 1'!$A$2:$A1000,SUMPRODUCT(MAX(ROW('Form responses 1'!$G$2:$G1000)*(A1='Form responses 1'!$G$2:$G1000))-1)),
IF(_xlfn.XLOOKUP(A1, Data!A2:A1000, Data!D2:D1000) = "schoenen", INDEX('Form responses 1'!$A$2:$A1000,SUMPRODUCT(MAX(ROW('Form responses 1'!$F$2:$F1000)*(A1='Form responses 1'!$F$2:$F1000))-1)), "")))))),"-")
</f>
        <v>46005.60807</v>
      </c>
    </row>
    <row r="2">
      <c r="A2" s="6" t="str">
        <f>IFERROR(__xludf.DUMMYFUNCTION("""COMPUTED_VALUE"""),"Dickies 874 zwart")</f>
        <v>Dickies 874 zwart</v>
      </c>
      <c r="B2" s="18">
        <f t="array" ref="B2">IFERROR(IF(_xlfn.XLOOKUP(A2, Data!A3:A1000, Data!D3:D1000) = "broek", IFERROR(INDEX('Form responses 1'!$A$2:$A1000,SUMPRODUCT(MAX(ROW('Form responses 1'!$B$2:$B1000)*(A2='Form responses 1'!$B$2:$B1000))-1)),"04/02/2022"),
IF(_xlfn.XLOOKUP(A2, Data!A3:A1000, Data!D3:D1000) = "T-shirt", INDEX('Form responses 1'!$A$2:$A1000,SUMPRODUCT(MAX(ROW('Form responses 1'!$C$2:$C1000)*(A2='Form responses 1'!$C$2:$C1000))-1)),
IF(_xlfn.XLOOKUP(A2, Data!A3:A1000, Data!D3:D1000) = "Trui", INDEX('Form responses 1'!$A$2:$A1000,SUMPRODUCT(MAX(ROW('Form responses 1'!$D$2:$D1000)*(A2='Form responses 1'!$D$2:$D1000))-1)),
IF(_xlfn.XLOOKUP(A2, Data!A3:A1000, Data!D3:D1000) = "blousje", INDEX('Form responses 1'!$A$2:$A1000,SUMPRODUCT(MAX(ROW('Form responses 1'!$E$2:$E1000)*(A2='Form responses 1'!$E$2:$E1000))-1)),
IF(_xlfn.XLOOKUP(A2, Data!A3:A1000, Data!D3:D1000) = "jas", INDEX('Form responses 1'!$A$2:$A1000,SUMPRODUCT(MAX(ROW('Form responses 1'!$G$2:$G1000)*(A2='Form responses 1'!$G$2:$G1000))-1)),
IF(_xlfn.XLOOKUP(A2, Data!A3:A1000, Data!D3:D1000) = "schoenen", INDEX('Form responses 1'!$A$2:$A1000,SUMPRODUCT(MAX(ROW('Form responses 1'!$F$2:$F1000)*(A2='Form responses 1'!$F$2:$F1000))-1)), "")))))),"-")
</f>
        <v>46307.52676</v>
      </c>
    </row>
    <row r="3">
      <c r="A3" s="6" t="str">
        <f>IFERROR(__xludf.DUMMYFUNCTION("""COMPUTED_VALUE"""),"Blauwe linnen broek")</f>
        <v>Blauwe linnen broek</v>
      </c>
      <c r="B3" s="18">
        <f t="array" ref="B3">IFERROR(IF(_xlfn.XLOOKUP(A3, Data!A4:A1000, Data!D4:D1000) = "broek", IFERROR(INDEX('Form responses 1'!$A$2:$A1000,SUMPRODUCT(MAX(ROW('Form responses 1'!$B$2:$B1000)*(A3='Form responses 1'!$B$2:$B1000))-1)),"04/02/2022"),
IF(_xlfn.XLOOKUP(A3, Data!A4:A1000, Data!D4:D1000) = "T-shirt", INDEX('Form responses 1'!$A$2:$A1000,SUMPRODUCT(MAX(ROW('Form responses 1'!$C$2:$C1000)*(A3='Form responses 1'!$C$2:$C1000))-1)),
IF(_xlfn.XLOOKUP(A3, Data!A4:A1000, Data!D4:D1000) = "Trui", INDEX('Form responses 1'!$A$2:$A1000,SUMPRODUCT(MAX(ROW('Form responses 1'!$D$2:$D1000)*(A3='Form responses 1'!$D$2:$D1000))-1)),
IF(_xlfn.XLOOKUP(A3, Data!A4:A1000, Data!D4:D1000) = "blousje", INDEX('Form responses 1'!$A$2:$A1000,SUMPRODUCT(MAX(ROW('Form responses 1'!$E$2:$E1000)*(A3='Form responses 1'!$E$2:$E1000))-1)),
IF(_xlfn.XLOOKUP(A3, Data!A4:A1000, Data!D4:D1000) = "jas", INDEX('Form responses 1'!$A$2:$A1000,SUMPRODUCT(MAX(ROW('Form responses 1'!$G$2:$G1000)*(A3='Form responses 1'!$G$2:$G1000))-1)),
IF(_xlfn.XLOOKUP(A3, Data!A4:A1000, Data!D4:D1000) = "schoenen", INDEX('Form responses 1'!$A$2:$A1000,SUMPRODUCT(MAX(ROW('Form responses 1'!$F$2:$F1000)*(A3='Form responses 1'!$F$2:$F1000))-1)), "")))))),"-")
</f>
        <v>46274.64566</v>
      </c>
    </row>
    <row r="4">
      <c r="A4" s="6" t="str">
        <f>IFERROR(__xludf.DUMMYFUNCTION("""COMPUTED_VALUE"""),"Spijkerbroek lichtblauw papa")</f>
        <v>Spijkerbroek lichtblauw papa</v>
      </c>
      <c r="B4" s="18">
        <f t="array" ref="B4">IFERROR(IF(_xlfn.XLOOKUP(A4, Data!A5:A1000, Data!D5:D1000) = "broek", IFERROR(INDEX('Form responses 1'!$A$2:$A1000,SUMPRODUCT(MAX(ROW('Form responses 1'!$B$2:$B1000)*(A4='Form responses 1'!$B$2:$B1000))-1)),"04/02/2022"),
IF(_xlfn.XLOOKUP(A4, Data!A5:A1000, Data!D5:D1000) = "T-shirt", INDEX('Form responses 1'!$A$2:$A1000,SUMPRODUCT(MAX(ROW('Form responses 1'!$C$2:$C1000)*(A4='Form responses 1'!$C$2:$C1000))-1)),
IF(_xlfn.XLOOKUP(A4, Data!A5:A1000, Data!D5:D1000) = "Trui", INDEX('Form responses 1'!$A$2:$A1000,SUMPRODUCT(MAX(ROW('Form responses 1'!$D$2:$D1000)*(A4='Form responses 1'!$D$2:$D1000))-1)),
IF(_xlfn.XLOOKUP(A4, Data!A5:A1000, Data!D5:D1000) = "blousje", INDEX('Form responses 1'!$A$2:$A1000,SUMPRODUCT(MAX(ROW('Form responses 1'!$E$2:$E1000)*(A4='Form responses 1'!$E$2:$E1000))-1)),
IF(_xlfn.XLOOKUP(A4, Data!A5:A1000, Data!D5:D1000) = "jas", INDEX('Form responses 1'!$A$2:$A1000,SUMPRODUCT(MAX(ROW('Form responses 1'!$G$2:$G1000)*(A4='Form responses 1'!$G$2:$G1000))-1)),
IF(_xlfn.XLOOKUP(A4, Data!A5:A1000, Data!D5:D1000) = "schoenen", INDEX('Form responses 1'!$A$2:$A1000,SUMPRODUCT(MAX(ROW('Form responses 1'!$F$2:$F1000)*(A4='Form responses 1'!$F$2:$F1000))-1)), "")))))),"-")
</f>
        <v>44728.57512</v>
      </c>
    </row>
    <row r="5">
      <c r="A5" s="6" t="str">
        <f>IFERROR(__xludf.DUMMYFUNCTION("""COMPUTED_VALUE"""),"Spijkerbroek levi's")</f>
        <v>Spijkerbroek levi's</v>
      </c>
      <c r="B5" s="18">
        <f t="array" ref="B5">IFERROR(IF(_xlfn.XLOOKUP(A5, Data!A6:A1000, Data!D6:D1000) = "broek", IFERROR(INDEX('Form responses 1'!$A$2:$A1000,SUMPRODUCT(MAX(ROW('Form responses 1'!$B$2:$B1000)*(A5='Form responses 1'!$B$2:$B1000))-1)),"04/02/2022"),
IF(_xlfn.XLOOKUP(A5, Data!A6:A1000, Data!D6:D1000) = "T-shirt", INDEX('Form responses 1'!$A$2:$A1000,SUMPRODUCT(MAX(ROW('Form responses 1'!$C$2:$C1000)*(A5='Form responses 1'!$C$2:$C1000))-1)),
IF(_xlfn.XLOOKUP(A5, Data!A6:A1000, Data!D6:D1000) = "Trui", INDEX('Form responses 1'!$A$2:$A1000,SUMPRODUCT(MAX(ROW('Form responses 1'!$D$2:$D1000)*(A5='Form responses 1'!$D$2:$D1000))-1)),
IF(_xlfn.XLOOKUP(A5, Data!A6:A1000, Data!D6:D1000) = "blousje", INDEX('Form responses 1'!$A$2:$A1000,SUMPRODUCT(MAX(ROW('Form responses 1'!$E$2:$E1000)*(A5='Form responses 1'!$E$2:$E1000))-1)),
IF(_xlfn.XLOOKUP(A5, Data!A6:A1000, Data!D6:D1000) = "jas", INDEX('Form responses 1'!$A$2:$A1000,SUMPRODUCT(MAX(ROW('Form responses 1'!$G$2:$G1000)*(A5='Form responses 1'!$G$2:$G1000))-1)),
IF(_xlfn.XLOOKUP(A5, Data!A6:A1000, Data!D6:D1000) = "schoenen", INDEX('Form responses 1'!$A$2:$A1000,SUMPRODUCT(MAX(ROW('Form responses 1'!$F$2:$F1000)*(A5='Form responses 1'!$F$2:$F1000))-1)), "")))))),"-")
</f>
        <v>46280.81547</v>
      </c>
    </row>
    <row r="6">
      <c r="A6" s="6" t="str">
        <f>IFERROR(__xludf.DUMMYFUNCTION("""COMPUTED_VALUE"""),"Donkerblauwe spijkerbroek levi's")</f>
        <v>Donkerblauwe spijkerbroek levi's</v>
      </c>
      <c r="B6" s="18">
        <f t="array" ref="B6">IFERROR(IF(_xlfn.XLOOKUP(A6, Data!A7:A1000, Data!D7:D1000) = "broek", IFERROR(INDEX('Form responses 1'!$A$2:$A1000,SUMPRODUCT(MAX(ROW('Form responses 1'!$B$2:$B1000)*(A6='Form responses 1'!$B$2:$B1000))-1)),"04/02/2022"),
IF(_xlfn.XLOOKUP(A6, Data!A7:A1000, Data!D7:D1000) = "T-shirt", INDEX('Form responses 1'!$A$2:$A1000,SUMPRODUCT(MAX(ROW('Form responses 1'!$C$2:$C1000)*(A6='Form responses 1'!$C$2:$C1000))-1)),
IF(_xlfn.XLOOKUP(A6, Data!A7:A1000, Data!D7:D1000) = "Trui", INDEX('Form responses 1'!$A$2:$A1000,SUMPRODUCT(MAX(ROW('Form responses 1'!$D$2:$D1000)*(A6='Form responses 1'!$D$2:$D1000))-1)),
IF(_xlfn.XLOOKUP(A6, Data!A7:A1000, Data!D7:D1000) = "blousje", INDEX('Form responses 1'!$A$2:$A1000,SUMPRODUCT(MAX(ROW('Form responses 1'!$E$2:$E1000)*(A6='Form responses 1'!$E$2:$E1000))-1)),
IF(_xlfn.XLOOKUP(A6, Data!A7:A1000, Data!D7:D1000) = "jas", INDEX('Form responses 1'!$A$2:$A1000,SUMPRODUCT(MAX(ROW('Form responses 1'!$G$2:$G1000)*(A6='Form responses 1'!$G$2:$G1000))-1)),
IF(_xlfn.XLOOKUP(A6, Data!A7:A1000, Data!D7:D1000) = "schoenen", INDEX('Form responses 1'!$A$2:$A1000,SUMPRODUCT(MAX(ROW('Form responses 1'!$F$2:$F1000)*(A6='Form responses 1'!$F$2:$F1000))-1)), "")))))),"-")
</f>
        <v>45817.41701</v>
      </c>
    </row>
    <row r="7">
      <c r="A7" s="6" t="str">
        <f>IFERROR(__xludf.DUMMYFUNCTION("""COMPUTED_VALUE"""),"Beige levi's")</f>
        <v>Beige levi's</v>
      </c>
      <c r="B7" s="18">
        <f t="array" ref="B7">IFERROR(IF(_xlfn.XLOOKUP(A7, Data!A8:A1000, Data!D8:D1000) = "broek", IFERROR(INDEX('Form responses 1'!$A$2:$A1000,SUMPRODUCT(MAX(ROW('Form responses 1'!$B$2:$B1000)*(A7='Form responses 1'!$B$2:$B1000))-1)),"04/02/2022"),
IF(_xlfn.XLOOKUP(A7, Data!A8:A1000, Data!D8:D1000) = "T-shirt", INDEX('Form responses 1'!$A$2:$A1000,SUMPRODUCT(MAX(ROW('Form responses 1'!$C$2:$C1000)*(A7='Form responses 1'!$C$2:$C1000))-1)),
IF(_xlfn.XLOOKUP(A7, Data!A8:A1000, Data!D8:D1000) = "Trui", INDEX('Form responses 1'!$A$2:$A1000,SUMPRODUCT(MAX(ROW('Form responses 1'!$D$2:$D1000)*(A7='Form responses 1'!$D$2:$D1000))-1)),
IF(_xlfn.XLOOKUP(A7, Data!A8:A1000, Data!D8:D1000) = "blousje", INDEX('Form responses 1'!$A$2:$A1000,SUMPRODUCT(MAX(ROW('Form responses 1'!$E$2:$E1000)*(A7='Form responses 1'!$E$2:$E1000))-1)),
IF(_xlfn.XLOOKUP(A7, Data!A8:A1000, Data!D8:D1000) = "jas", INDEX('Form responses 1'!$A$2:$A1000,SUMPRODUCT(MAX(ROW('Form responses 1'!$G$2:$G1000)*(A7='Form responses 1'!$G$2:$G1000))-1)),
IF(_xlfn.XLOOKUP(A7, Data!A8:A1000, Data!D8:D1000) = "schoenen", INDEX('Form responses 1'!$A$2:$A1000,SUMPRODUCT(MAX(ROW('Form responses 1'!$F$2:$F1000)*(A7='Form responses 1'!$F$2:$F1000))-1)), "")))))),"-")
</f>
        <v>46274.64525</v>
      </c>
    </row>
    <row r="8">
      <c r="A8" s="3" t="str">
        <f>IFERROR(__xludf.DUMMYFUNCTION("""COMPUTED_VALUE"""),"Groene vintage levi's")</f>
        <v>Groene vintage levi's</v>
      </c>
      <c r="B8" s="18">
        <f t="array" ref="B8">IFERROR(IF(_xlfn.XLOOKUP(A8, Data!A9:A1000, Data!D9:D1000) = "broek", IFERROR(INDEX('Form responses 1'!$A$2:$A1000,SUMPRODUCT(MAX(ROW('Form responses 1'!$B$2:$B1000)*(A8='Form responses 1'!$B$2:$B1000))-1)),"04/02/2022"),
IF(_xlfn.XLOOKUP(A8, Data!A9:A1000, Data!D9:D1000) = "T-shirt", INDEX('Form responses 1'!$A$2:$A1000,SUMPRODUCT(MAX(ROW('Form responses 1'!$C$2:$C1000)*(A8='Form responses 1'!$C$2:$C1000))-1)),
IF(_xlfn.XLOOKUP(A8, Data!A9:A1000, Data!D9:D1000) = "Trui", INDEX('Form responses 1'!$A$2:$A1000,SUMPRODUCT(MAX(ROW('Form responses 1'!$D$2:$D1000)*(A8='Form responses 1'!$D$2:$D1000))-1)),
IF(_xlfn.XLOOKUP(A8, Data!A9:A1000, Data!D9:D1000) = "blousje", INDEX('Form responses 1'!$A$2:$A1000,SUMPRODUCT(MAX(ROW('Form responses 1'!$E$2:$E1000)*(A8='Form responses 1'!$E$2:$E1000))-1)),
IF(_xlfn.XLOOKUP(A8, Data!A9:A1000, Data!D9:D1000) = "jas", INDEX('Form responses 1'!$A$2:$A1000,SUMPRODUCT(MAX(ROW('Form responses 1'!$G$2:$G1000)*(A8='Form responses 1'!$G$2:$G1000))-1)),
IF(_xlfn.XLOOKUP(A8, Data!A9:A1000, Data!D9:D1000) = "schoenen", INDEX('Form responses 1'!$A$2:$A1000,SUMPRODUCT(MAX(ROW('Form responses 1'!$F$2:$F1000)*(A8='Form responses 1'!$F$2:$F1000))-1)), "")))))),"-")
</f>
        <v>45849.78728</v>
      </c>
    </row>
    <row r="9">
      <c r="A9" s="3" t="str">
        <f>IFERROR(__xludf.DUMMYFUNCTION("""COMPUTED_VALUE"""),"Joggingbroek zwart/groene strepen")</f>
        <v>Joggingbroek zwart/groene strepen</v>
      </c>
      <c r="B9" s="18">
        <f t="array" ref="B9">IFERROR(IF(_xlfn.XLOOKUP(A9, Data!A10:A1000, Data!D10:D1000) = "broek", IFERROR(INDEX('Form responses 1'!$A$2:$A1000,SUMPRODUCT(MAX(ROW('Form responses 1'!$B$2:$B1000)*(A9='Form responses 1'!$B$2:$B1000))-1)),"04/02/2022"),
IF(_xlfn.XLOOKUP(A9, Data!A10:A1000, Data!D10:D1000) = "T-shirt", INDEX('Form responses 1'!$A$2:$A1000,SUMPRODUCT(MAX(ROW('Form responses 1'!$C$2:$C1000)*(A9='Form responses 1'!$C$2:$C1000))-1)),
IF(_xlfn.XLOOKUP(A9, Data!A10:A1000, Data!D10:D1000) = "Trui", INDEX('Form responses 1'!$A$2:$A1000,SUMPRODUCT(MAX(ROW('Form responses 1'!$D$2:$D1000)*(A9='Form responses 1'!$D$2:$D1000))-1)),
IF(_xlfn.XLOOKUP(A9, Data!A10:A1000, Data!D10:D1000) = "blousje", INDEX('Form responses 1'!$A$2:$A1000,SUMPRODUCT(MAX(ROW('Form responses 1'!$E$2:$E1000)*(A9='Form responses 1'!$E$2:$E1000))-1)),
IF(_xlfn.XLOOKUP(A9, Data!A10:A1000, Data!D10:D1000) = "jas", INDEX('Form responses 1'!$A$2:$A1000,SUMPRODUCT(MAX(ROW('Form responses 1'!$G$2:$G1000)*(A9='Form responses 1'!$G$2:$G1000))-1)),
IF(_xlfn.XLOOKUP(A9, Data!A10:A1000, Data!D10:D1000) = "schoenen", INDEX('Form responses 1'!$A$2:$A1000,SUMPRODUCT(MAX(ROW('Form responses 1'!$F$2:$F1000)*(A9='Form responses 1'!$F$2:$F1000))-1)), "")))))),"-")
</f>
        <v>45221.43729</v>
      </c>
    </row>
    <row r="10">
      <c r="A10" s="3" t="str">
        <f>IFERROR(__xludf.DUMMYFUNCTION("""COMPUTED_VALUE"""),"Pyjama' broek")</f>
        <v>Pyjama' broek</v>
      </c>
      <c r="B10" s="18">
        <f t="array" ref="B10">IFERROR(IF(_xlfn.XLOOKUP(A10, Data!A11:A1000, Data!D11:D1000) = "broek", IFERROR(INDEX('Form responses 1'!$A$2:$A1000,SUMPRODUCT(MAX(ROW('Form responses 1'!$B$2:$B1000)*(A10='Form responses 1'!$B$2:$B1000))-1)),"04/02/2022"),
IF(_xlfn.XLOOKUP(A10, Data!A11:A1000, Data!D11:D1000) = "T-shirt", INDEX('Form responses 1'!$A$2:$A1000,SUMPRODUCT(MAX(ROW('Form responses 1'!$C$2:$C1000)*(A10='Form responses 1'!$C$2:$C1000))-1)),
IF(_xlfn.XLOOKUP(A10, Data!A11:A1000, Data!D11:D1000) = "Trui", INDEX('Form responses 1'!$A$2:$A1000,SUMPRODUCT(MAX(ROW('Form responses 1'!$D$2:$D1000)*(A10='Form responses 1'!$D$2:$D1000))-1)),
IF(_xlfn.XLOOKUP(A10, Data!A11:A1000, Data!D11:D1000) = "blousje", INDEX('Form responses 1'!$A$2:$A1000,SUMPRODUCT(MAX(ROW('Form responses 1'!$E$2:$E1000)*(A10='Form responses 1'!$E$2:$E1000))-1)),
IF(_xlfn.XLOOKUP(A10, Data!A11:A1000, Data!D11:D1000) = "jas", INDEX('Form responses 1'!$A$2:$A1000,SUMPRODUCT(MAX(ROW('Form responses 1'!$G$2:$G1000)*(A10='Form responses 1'!$G$2:$G1000))-1)),
IF(_xlfn.XLOOKUP(A10, Data!A11:A1000, Data!D11:D1000) = "schoenen", INDEX('Form responses 1'!$A$2:$A1000,SUMPRODUCT(MAX(ROW('Form responses 1'!$F$2:$F1000)*(A10='Form responses 1'!$F$2:$F1000))-1)), "")))))),"-")
</f>
        <v>46289.47231</v>
      </c>
    </row>
    <row r="11">
      <c r="A11" s="3" t="str">
        <f>IFERROR(__xludf.DUMMYFUNCTION("""COMPUTED_VALUE"""),"Bruine korte broek")</f>
        <v>Bruine korte broek</v>
      </c>
      <c r="B11" s="18">
        <f t="array" ref="B11">IFERROR(IF(_xlfn.XLOOKUP(A11, Data!A12:A1000, Data!D12:D1000) = "broek", IFERROR(INDEX('Form responses 1'!$A$2:$A1000,SUMPRODUCT(MAX(ROW('Form responses 1'!$B$2:$B1000)*(A11='Form responses 1'!$B$2:$B1000))-1)),"04/02/2022"),
IF(_xlfn.XLOOKUP(A11, Data!A12:A1000, Data!D12:D1000) = "T-shirt", INDEX('Form responses 1'!$A$2:$A1000,SUMPRODUCT(MAX(ROW('Form responses 1'!$C$2:$C1000)*(A11='Form responses 1'!$C$2:$C1000))-1)),
IF(_xlfn.XLOOKUP(A11, Data!A12:A1000, Data!D12:D1000) = "Trui", INDEX('Form responses 1'!$A$2:$A1000,SUMPRODUCT(MAX(ROW('Form responses 1'!$D$2:$D1000)*(A11='Form responses 1'!$D$2:$D1000))-1)),
IF(_xlfn.XLOOKUP(A11, Data!A12:A1000, Data!D12:D1000) = "blousje", INDEX('Form responses 1'!$A$2:$A1000,SUMPRODUCT(MAX(ROW('Form responses 1'!$E$2:$E1000)*(A11='Form responses 1'!$E$2:$E1000))-1)),
IF(_xlfn.XLOOKUP(A11, Data!A12:A1000, Data!D12:D1000) = "jas", INDEX('Form responses 1'!$A$2:$A1000,SUMPRODUCT(MAX(ROW('Form responses 1'!$G$2:$G1000)*(A11='Form responses 1'!$G$2:$G1000))-1)),
IF(_xlfn.XLOOKUP(A11, Data!A12:A1000, Data!D12:D1000) = "schoenen", INDEX('Form responses 1'!$A$2:$A1000,SUMPRODUCT(MAX(ROW('Form responses 1'!$F$2:$F1000)*(A11='Form responses 1'!$F$2:$F1000))-1)), "")))))),"-")
</f>
        <v>46218.36549</v>
      </c>
    </row>
    <row r="12">
      <c r="A12" s="6" t="str">
        <f>IFERROR(__xludf.DUMMYFUNCTION("""COMPUTED_VALUE"""),"Beige korte broek")</f>
        <v>Beige korte broek</v>
      </c>
      <c r="B12" s="18">
        <f t="array" ref="B12">IFERROR(IF(_xlfn.XLOOKUP(A12, Data!A13:A1000, Data!D13:D1000) = "broek", IFERROR(INDEX('Form responses 1'!$A$2:$A1000,SUMPRODUCT(MAX(ROW('Form responses 1'!$B$2:$B1000)*(A12='Form responses 1'!$B$2:$B1000))-1)),"04/02/2022"),
IF(_xlfn.XLOOKUP(A12, Data!A13:A1000, Data!D13:D1000) = "T-shirt", INDEX('Form responses 1'!$A$2:$A1000,SUMPRODUCT(MAX(ROW('Form responses 1'!$C$2:$C1000)*(A12='Form responses 1'!$C$2:$C1000))-1)),
IF(_xlfn.XLOOKUP(A12, Data!A13:A1000, Data!D13:D1000) = "Trui", INDEX('Form responses 1'!$A$2:$A1000,SUMPRODUCT(MAX(ROW('Form responses 1'!$D$2:$D1000)*(A12='Form responses 1'!$D$2:$D1000))-1)),
IF(_xlfn.XLOOKUP(A12, Data!A13:A1000, Data!D13:D1000) = "blousje", INDEX('Form responses 1'!$A$2:$A1000,SUMPRODUCT(MAX(ROW('Form responses 1'!$E$2:$E1000)*(A12='Form responses 1'!$E$2:$E1000))-1)),
IF(_xlfn.XLOOKUP(A12, Data!A13:A1000, Data!D13:D1000) = "jas", INDEX('Form responses 1'!$A$2:$A1000,SUMPRODUCT(MAX(ROW('Form responses 1'!$G$2:$G1000)*(A12='Form responses 1'!$G$2:$G1000))-1)),
IF(_xlfn.XLOOKUP(A12, Data!A13:A1000, Data!D13:D1000) = "schoenen", INDEX('Form responses 1'!$A$2:$A1000,SUMPRODUCT(MAX(ROW('Form responses 1'!$F$2:$F1000)*(A12='Form responses 1'!$F$2:$F1000))-1)), "")))))),"-")
</f>
        <v>46278.48238</v>
      </c>
    </row>
    <row r="13">
      <c r="A13" s="6" t="str">
        <f>IFERROR(__xludf.DUMMYFUNCTION("""COMPUTED_VALUE"""),"Blauwe pantalon pak")</f>
        <v>Blauwe pantalon pak</v>
      </c>
      <c r="B13" s="18">
        <f t="array" ref="B13">IFERROR(IF(_xlfn.XLOOKUP(A13, Data!A14:A1000, Data!D14:D1000) = "broek", IFERROR(INDEX('Form responses 1'!$A$2:$A1000,SUMPRODUCT(MAX(ROW('Form responses 1'!$B$2:$B1000)*(A13='Form responses 1'!$B$2:$B1000))-1)),"04/02/2022"),
IF(_xlfn.XLOOKUP(A13, Data!A14:A1000, Data!D14:D1000) = "T-shirt", INDEX('Form responses 1'!$A$2:$A1000,SUMPRODUCT(MAX(ROW('Form responses 1'!$C$2:$C1000)*(A13='Form responses 1'!$C$2:$C1000))-1)),
IF(_xlfn.XLOOKUP(A13, Data!A14:A1000, Data!D14:D1000) = "Trui", INDEX('Form responses 1'!$A$2:$A1000,SUMPRODUCT(MAX(ROW('Form responses 1'!$D$2:$D1000)*(A13='Form responses 1'!$D$2:$D1000))-1)),
IF(_xlfn.XLOOKUP(A13, Data!A14:A1000, Data!D14:D1000) = "blousje", INDEX('Form responses 1'!$A$2:$A1000,SUMPRODUCT(MAX(ROW('Form responses 1'!$E$2:$E1000)*(A13='Form responses 1'!$E$2:$E1000))-1)),
IF(_xlfn.XLOOKUP(A13, Data!A14:A1000, Data!D14:D1000) = "jas", INDEX('Form responses 1'!$A$2:$A1000,SUMPRODUCT(MAX(ROW('Form responses 1'!$G$2:$G1000)*(A13='Form responses 1'!$G$2:$G1000))-1)),
IF(_xlfn.XLOOKUP(A13, Data!A14:A1000, Data!D14:D1000) = "schoenen", INDEX('Form responses 1'!$A$2:$A1000,SUMPRODUCT(MAX(ROW('Form responses 1'!$F$2:$F1000)*(A13='Form responses 1'!$F$2:$F1000))-1)), "")))))),"-")
</f>
        <v>46302.59</v>
      </c>
    </row>
    <row r="14">
      <c r="A14" s="6" t="str">
        <f>IFERROR(__xludf.DUMMYFUNCTION("""COMPUTED_VALUE"""),"Wit t-shirt")</f>
        <v>Wit t-shirt</v>
      </c>
      <c r="B14" s="18">
        <f t="array" ref="B14">IFERROR(IF(_xlfn.XLOOKUP(A14, Data!A15:A1000, Data!D15:D1000) = "broek", IFERROR(INDEX('Form responses 1'!$A$2:$A1000,SUMPRODUCT(MAX(ROW('Form responses 1'!$B$2:$B1000)*(A14='Form responses 1'!$B$2:$B1000))-1)),"04/02/2022"),
IF(_xlfn.XLOOKUP(A14, Data!A15:A1000, Data!D15:D1000) = "T-shirt", INDEX('Form responses 1'!$A$2:$A1000,SUMPRODUCT(MAX(ROW('Form responses 1'!$C$2:$C1000)*(A14='Form responses 1'!$C$2:$C1000))-1)),
IF(_xlfn.XLOOKUP(A14, Data!A15:A1000, Data!D15:D1000) = "Trui", INDEX('Form responses 1'!$A$2:$A1000,SUMPRODUCT(MAX(ROW('Form responses 1'!$D$2:$D1000)*(A14='Form responses 1'!$D$2:$D1000))-1)),
IF(_xlfn.XLOOKUP(A14, Data!A15:A1000, Data!D15:D1000) = "blousje", INDEX('Form responses 1'!$A$2:$A1000,SUMPRODUCT(MAX(ROW('Form responses 1'!$E$2:$E1000)*(A14='Form responses 1'!$E$2:$E1000))-1)),
IF(_xlfn.XLOOKUP(A14, Data!A15:A1000, Data!D15:D1000) = "jas", INDEX('Form responses 1'!$A$2:$A1000,SUMPRODUCT(MAX(ROW('Form responses 1'!$G$2:$G1000)*(A14='Form responses 1'!$G$2:$G1000))-1)),
IF(_xlfn.XLOOKUP(A14, Data!A15:A1000, Data!D15:D1000) = "schoenen", INDEX('Form responses 1'!$A$2:$A1000,SUMPRODUCT(MAX(ROW('Form responses 1'!$F$2:$F1000)*(A14='Form responses 1'!$F$2:$F1000))-1)), "")))))),"-")
</f>
        <v>46307.52676</v>
      </c>
    </row>
    <row r="15">
      <c r="A15" s="6" t="str">
        <f>IFERROR(__xludf.DUMMYFUNCTION("""COMPUTED_VALUE"""),"Wit t-shirt uniqlo")</f>
        <v>Wit t-shirt uniqlo</v>
      </c>
      <c r="B15" s="18">
        <f t="array" ref="B15">IFERROR(IF(_xlfn.XLOOKUP(A15, Data!A16:A1000, Data!D16:D1000) = "broek", IFERROR(INDEX('Form responses 1'!$A$2:$A1000,SUMPRODUCT(MAX(ROW('Form responses 1'!$B$2:$B1000)*(A15='Form responses 1'!$B$2:$B1000))-1)),"04/02/2022"),
IF(_xlfn.XLOOKUP(A15, Data!A16:A1000, Data!D16:D1000) = "T-shirt", INDEX('Form responses 1'!$A$2:$A1000,SUMPRODUCT(MAX(ROW('Form responses 1'!$C$2:$C1000)*(A15='Form responses 1'!$C$2:$C1000))-1)),
IF(_xlfn.XLOOKUP(A15, Data!A16:A1000, Data!D16:D1000) = "Trui", INDEX('Form responses 1'!$A$2:$A1000,SUMPRODUCT(MAX(ROW('Form responses 1'!$D$2:$D1000)*(A15='Form responses 1'!$D$2:$D1000))-1)),
IF(_xlfn.XLOOKUP(A15, Data!A16:A1000, Data!D16:D1000) = "blousje", INDEX('Form responses 1'!$A$2:$A1000,SUMPRODUCT(MAX(ROW('Form responses 1'!$E$2:$E1000)*(A15='Form responses 1'!$E$2:$E1000))-1)),
IF(_xlfn.XLOOKUP(A15, Data!A16:A1000, Data!D16:D1000) = "jas", INDEX('Form responses 1'!$A$2:$A1000,SUMPRODUCT(MAX(ROW('Form responses 1'!$G$2:$G1000)*(A15='Form responses 1'!$G$2:$G1000))-1)),
IF(_xlfn.XLOOKUP(A15, Data!A16:A1000, Data!D16:D1000) = "schoenen", INDEX('Form responses 1'!$A$2:$A1000,SUMPRODUCT(MAX(ROW('Form responses 1'!$F$2:$F1000)*(A15='Form responses 1'!$F$2:$F1000))-1)), "")))))),"-")
</f>
        <v>46305.4246</v>
      </c>
    </row>
    <row r="16">
      <c r="A16" s="6" t="str">
        <f>IFERROR(__xludf.DUMMYFUNCTION("""COMPUTED_VALUE"""),"Wit Fila t-shirt")</f>
        <v>Wit Fila t-shirt</v>
      </c>
      <c r="B16" s="18">
        <f t="array" ref="B16">IFERROR(IF(_xlfn.XLOOKUP(A16, Data!A16:A1000, Data!D16:D1000) = "broek", IFERROR(INDEX('Form responses 1'!$A$2:$A1000,SUMPRODUCT(MAX(ROW('Form responses 1'!$B$2:$B1000)*(A16='Form responses 1'!$B$2:$B1000))-1)),"04/02/2022"),
IF(_xlfn.XLOOKUP(A16, Data!A16:A1000, Data!D16:D1000) = "T-shirt", INDEX('Form responses 1'!$A$2:$A1000,SUMPRODUCT(MAX(ROW('Form responses 1'!$C$2:$C1000)*(A16='Form responses 1'!$C$2:$C1000))-1)),
IF(_xlfn.XLOOKUP(A16, Data!A16:A1000, Data!D16:D1000) = "Trui", INDEX('Form responses 1'!$A$2:$A1000,SUMPRODUCT(MAX(ROW('Form responses 1'!$D$2:$D1000)*(A16='Form responses 1'!$D$2:$D1000))-1)),
IF(_xlfn.XLOOKUP(A16, Data!A16:A1000, Data!D16:D1000) = "blousje", INDEX('Form responses 1'!$A$2:$A1000,SUMPRODUCT(MAX(ROW('Form responses 1'!$E$2:$E1000)*(A16='Form responses 1'!$E$2:$E1000))-1)),
IF(_xlfn.XLOOKUP(A16, Data!A16:A1000, Data!D16:D1000) = "jas", INDEX('Form responses 1'!$A$2:$A1000,SUMPRODUCT(MAX(ROW('Form responses 1'!$G$2:$G1000)*(A16='Form responses 1'!$G$2:$G1000))-1)),
IF(_xlfn.XLOOKUP(A16, Data!A16:A1000, Data!D16:D1000) = "schoenen", INDEX('Form responses 1'!$A$2:$A1000,SUMPRODUCT(MAX(ROW('Form responses 1'!$F$2:$F1000)*(A16='Form responses 1'!$F$2:$F1000))-1)), "")))))),"-")
</f>
        <v>46054.75317</v>
      </c>
    </row>
    <row r="17">
      <c r="A17" s="6" t="str">
        <f>IFERROR(__xludf.DUMMYFUNCTION("""COMPUTED_VALUE"""),"Wit Nike t-shirt")</f>
        <v>Wit Nike t-shirt</v>
      </c>
      <c r="B17" s="18">
        <f t="array" ref="B17">IFERROR(IF(_xlfn.XLOOKUP(A17, Data!A17:A1000, Data!D17:D1000) = "broek", IFERROR(INDEX('Form responses 1'!$A$2:$A1000,SUMPRODUCT(MAX(ROW('Form responses 1'!$B$2:$B1000)*(A17='Form responses 1'!$B$2:$B1000))-1)),"04/02/2022"),
IF(_xlfn.XLOOKUP(A17, Data!A17:A1000, Data!D17:D1000) = "T-shirt", INDEX('Form responses 1'!$A$2:$A1000,SUMPRODUCT(MAX(ROW('Form responses 1'!$C$2:$C1000)*(A17='Form responses 1'!$C$2:$C1000))-1)),
IF(_xlfn.XLOOKUP(A17, Data!A17:A1000, Data!D17:D1000) = "Trui", INDEX('Form responses 1'!$A$2:$A1000,SUMPRODUCT(MAX(ROW('Form responses 1'!$D$2:$D1000)*(A17='Form responses 1'!$D$2:$D1000))-1)),
IF(_xlfn.XLOOKUP(A17, Data!A17:A1000, Data!D17:D1000) = "blousje", INDEX('Form responses 1'!$A$2:$A1000,SUMPRODUCT(MAX(ROW('Form responses 1'!$E$2:$E1000)*(A17='Form responses 1'!$E$2:$E1000))-1)),
IF(_xlfn.XLOOKUP(A17, Data!A17:A1000, Data!D17:D1000) = "jas", INDEX('Form responses 1'!$A$2:$A1000,SUMPRODUCT(MAX(ROW('Form responses 1'!$G$2:$G1000)*(A17='Form responses 1'!$G$2:$G1000))-1)),
IF(_xlfn.XLOOKUP(A17, Data!A17:A1000, Data!D17:D1000) = "schoenen", INDEX('Form responses 1'!$A$2:$A1000,SUMPRODUCT(MAX(ROW('Form responses 1'!$F$2:$F1000)*(A17='Form responses 1'!$F$2:$F1000))-1)), "")))))),"-")
</f>
        <v>46120.54058</v>
      </c>
    </row>
    <row r="18">
      <c r="A18" s="3" t="str">
        <f>IFERROR(__xludf.DUMMYFUNCTION("""COMPUTED_VALUE"""),"Wit Lost minds Athl. Track")</f>
        <v>Wit Lost minds Athl. Track</v>
      </c>
      <c r="B18" s="18">
        <f t="array" ref="B18">IFERROR(IF(_xlfn.XLOOKUP(A18, Data!A17:A1000, Data!D17:D1000) = "broek", IFERROR(INDEX('Form responses 1'!$A$2:$A1000,SUMPRODUCT(MAX(ROW('Form responses 1'!$B$2:$B1000)*(A18='Form responses 1'!$B$2:$B1000))-1)),"04/02/2022"),
IF(_xlfn.XLOOKUP(A18, Data!A17:A1000, Data!D17:D1000) = "T-shirt", INDEX('Form responses 1'!$A$2:$A1000,SUMPRODUCT(MAX(ROW('Form responses 1'!$C$2:$C1000)*(A18='Form responses 1'!$C$2:$C1000))-1)),
IF(_xlfn.XLOOKUP(A18, Data!A17:A1000, Data!D17:D1000) = "Trui", INDEX('Form responses 1'!$A$2:$A1000,SUMPRODUCT(MAX(ROW('Form responses 1'!$D$2:$D1000)*(A18='Form responses 1'!$D$2:$D1000))-1)),
IF(_xlfn.XLOOKUP(A18, Data!A17:A1000, Data!D17:D1000) = "blousje", INDEX('Form responses 1'!$A$2:$A1000,SUMPRODUCT(MAX(ROW('Form responses 1'!$E$2:$E1000)*(A18='Form responses 1'!$E$2:$E1000))-1)),
IF(_xlfn.XLOOKUP(A18, Data!A17:A1000, Data!D17:D1000) = "jas", INDEX('Form responses 1'!$A$2:$A1000,SUMPRODUCT(MAX(ROW('Form responses 1'!$G$2:$G1000)*(A18='Form responses 1'!$G$2:$G1000))-1)),
IF(_xlfn.XLOOKUP(A18, Data!A17:A1000, Data!D17:D1000) = "schoenen", INDEX('Form responses 1'!$A$2:$A1000,SUMPRODUCT(MAX(ROW('Form responses 1'!$F$2:$F1000)*(A18='Form responses 1'!$F$2:$F1000))-1)), "")))))),"-")
</f>
        <v>46227.62554</v>
      </c>
    </row>
    <row r="19">
      <c r="A19" s="6" t="str">
        <f>IFERROR(__xludf.DUMMYFUNCTION("""COMPUTED_VALUE"""),"Daily Aesthetikz t-shirt")</f>
        <v>Daily Aesthetikz t-shirt</v>
      </c>
      <c r="B19" s="18">
        <f t="array" ref="B19">IFERROR(IF(_xlfn.XLOOKUP(A19, Data!A18:A1000, Data!D18:D1000) = "broek", IFERROR(INDEX('Form responses 1'!$A$2:$A1000,SUMPRODUCT(MAX(ROW('Form responses 1'!$B$2:$B1000)*(A19='Form responses 1'!$B$2:$B1000))-1)),"04/02/2022"),
IF(_xlfn.XLOOKUP(A19, Data!A18:A1000, Data!D18:D1000) = "T-shirt", INDEX('Form responses 1'!$A$2:$A1000,SUMPRODUCT(MAX(ROW('Form responses 1'!$C$2:$C1000)*(A19='Form responses 1'!$C$2:$C1000))-1)),
IF(_xlfn.XLOOKUP(A19, Data!A18:A1000, Data!D18:D1000) = "Trui", INDEX('Form responses 1'!$A$2:$A1000,SUMPRODUCT(MAX(ROW('Form responses 1'!$D$2:$D1000)*(A19='Form responses 1'!$D$2:$D1000))-1)),
IF(_xlfn.XLOOKUP(A19, Data!A18:A1000, Data!D18:D1000) = "blousje", INDEX('Form responses 1'!$A$2:$A1000,SUMPRODUCT(MAX(ROW('Form responses 1'!$E$2:$E1000)*(A19='Form responses 1'!$E$2:$E1000))-1)),
IF(_xlfn.XLOOKUP(A19, Data!A18:A1000, Data!D18:D1000) = "jas", INDEX('Form responses 1'!$A$2:$A1000,SUMPRODUCT(MAX(ROW('Form responses 1'!$G$2:$G1000)*(A19='Form responses 1'!$G$2:$G1000))-1)),
IF(_xlfn.XLOOKUP(A19, Data!A18:A1000, Data!D18:D1000) = "schoenen", INDEX('Form responses 1'!$A$2:$A1000,SUMPRODUCT(MAX(ROW('Form responses 1'!$F$2:$F1000)*(A19='Form responses 1'!$F$2:$F1000))-1)), "")))))),"-")
</f>
        <v>46216.3744</v>
      </c>
    </row>
    <row r="20">
      <c r="A20" s="6" t="str">
        <f>IFERROR(__xludf.DUMMYFUNCTION("""COMPUTED_VALUE"""),"The Good Life t-shirt")</f>
        <v>The Good Life t-shirt</v>
      </c>
      <c r="B20" s="18">
        <f t="array" ref="B20">IFERROR(IF(_xlfn.XLOOKUP(A20, Data!A19:A1000, Data!D19:D1000) = "broek", IFERROR(INDEX('Form responses 1'!$A$2:$A1000,SUMPRODUCT(MAX(ROW('Form responses 1'!$B$2:$B1000)*(A20='Form responses 1'!$B$2:$B1000))-1)),"04/02/2022"),
IF(_xlfn.XLOOKUP(A20, Data!A19:A1000, Data!D19:D1000) = "T-shirt", INDEX('Form responses 1'!$A$2:$A1000,SUMPRODUCT(MAX(ROW('Form responses 1'!$C$2:$C1000)*(A20='Form responses 1'!$C$2:$C1000))-1)),
IF(_xlfn.XLOOKUP(A20, Data!A19:A1000, Data!D19:D1000) = "Trui", INDEX('Form responses 1'!$A$2:$A1000,SUMPRODUCT(MAX(ROW('Form responses 1'!$D$2:$D1000)*(A20='Form responses 1'!$D$2:$D1000))-1)),
IF(_xlfn.XLOOKUP(A20, Data!A19:A1000, Data!D19:D1000) = "blousje", INDEX('Form responses 1'!$A$2:$A1000,SUMPRODUCT(MAX(ROW('Form responses 1'!$E$2:$E1000)*(A20='Form responses 1'!$E$2:$E1000))-1)),
IF(_xlfn.XLOOKUP(A20, Data!A19:A1000, Data!D19:D1000) = "jas", INDEX('Form responses 1'!$A$2:$A1000,SUMPRODUCT(MAX(ROW('Form responses 1'!$G$2:$G1000)*(A20='Form responses 1'!$G$2:$G1000))-1)),
IF(_xlfn.XLOOKUP(A20, Data!A19:A1000, Data!D19:D1000) = "schoenen", INDEX('Form responses 1'!$A$2:$A1000,SUMPRODUCT(MAX(ROW('Form responses 1'!$F$2:$F1000)*(A20='Form responses 1'!$F$2:$F1000))-1)), "")))))),"-")
</f>
        <v>46232.43256</v>
      </c>
    </row>
    <row r="21">
      <c r="A21" s="6" t="str">
        <f>IFERROR(__xludf.DUMMYFUNCTION("""COMPUTED_VALUE"""),"Mclaren t-shirt")</f>
        <v>Mclaren t-shirt</v>
      </c>
      <c r="B21" s="18">
        <f t="array" ref="B21">IFERROR(IF(_xlfn.XLOOKUP(A21, Data!A20:A1000, Data!D20:D1000) = "broek", IFERROR(INDEX('Form responses 1'!$A$2:$A1000,SUMPRODUCT(MAX(ROW('Form responses 1'!$B$2:$B1000)*(A21='Form responses 1'!$B$2:$B1000))-1)),"04/02/2022"),
IF(_xlfn.XLOOKUP(A21, Data!A20:A1000, Data!D20:D1000) = "T-shirt", INDEX('Form responses 1'!$A$2:$A1000,SUMPRODUCT(MAX(ROW('Form responses 1'!$C$2:$C1000)*(A21='Form responses 1'!$C$2:$C1000))-1)),
IF(_xlfn.XLOOKUP(A21, Data!A20:A1000, Data!D20:D1000) = "Trui", INDEX('Form responses 1'!$A$2:$A1000,SUMPRODUCT(MAX(ROW('Form responses 1'!$D$2:$D1000)*(A21='Form responses 1'!$D$2:$D1000))-1)),
IF(_xlfn.XLOOKUP(A21, Data!A20:A1000, Data!D20:D1000) = "blousje", INDEX('Form responses 1'!$A$2:$A1000,SUMPRODUCT(MAX(ROW('Form responses 1'!$E$2:$E1000)*(A21='Form responses 1'!$E$2:$E1000))-1)),
IF(_xlfn.XLOOKUP(A21, Data!A20:A1000, Data!D20:D1000) = "jas", INDEX('Form responses 1'!$A$2:$A1000,SUMPRODUCT(MAX(ROW('Form responses 1'!$G$2:$G1000)*(A21='Form responses 1'!$G$2:$G1000))-1)),
IF(_xlfn.XLOOKUP(A21, Data!A20:A1000, Data!D20:D1000) = "schoenen", INDEX('Form responses 1'!$A$2:$A1000,SUMPRODUCT(MAX(ROW('Form responses 1'!$F$2:$F1000)*(A21='Form responses 1'!$F$2:$F1000))-1)), "")))))),"-")
</f>
        <v>46278.48101</v>
      </c>
    </row>
    <row r="22">
      <c r="A22" s="6" t="str">
        <f>IFERROR(__xludf.DUMMYFUNCTION("""COMPUTED_VALUE"""),"Utah t-shirt")</f>
        <v>Utah t-shirt</v>
      </c>
      <c r="B22" s="18">
        <f t="array" ref="B22">IFERROR(IF(_xlfn.XLOOKUP(A22, Data!A21:A1000, Data!D21:D1000) = "broek", IFERROR(INDEX('Form responses 1'!$A$2:$A1000,SUMPRODUCT(MAX(ROW('Form responses 1'!$B$2:$B1000)*(A22='Form responses 1'!$B$2:$B1000))-1)),"04/02/2022"),
IF(_xlfn.XLOOKUP(A22, Data!A21:A1000, Data!D21:D1000) = "T-shirt", INDEX('Form responses 1'!$A$2:$A1000,SUMPRODUCT(MAX(ROW('Form responses 1'!$C$2:$C1000)*(A22='Form responses 1'!$C$2:$C1000))-1)),
IF(_xlfn.XLOOKUP(A22, Data!A21:A1000, Data!D21:D1000) = "Trui", INDEX('Form responses 1'!$A$2:$A1000,SUMPRODUCT(MAX(ROW('Form responses 1'!$D$2:$D1000)*(A22='Form responses 1'!$D$2:$D1000))-1)),
IF(_xlfn.XLOOKUP(A22, Data!A21:A1000, Data!D21:D1000) = "blousje", INDEX('Form responses 1'!$A$2:$A1000,SUMPRODUCT(MAX(ROW('Form responses 1'!$E$2:$E1000)*(A22='Form responses 1'!$E$2:$E1000))-1)),
IF(_xlfn.XLOOKUP(A22, Data!A21:A1000, Data!D21:D1000) = "jas", INDEX('Form responses 1'!$A$2:$A1000,SUMPRODUCT(MAX(ROW('Form responses 1'!$G$2:$G1000)*(A22='Form responses 1'!$G$2:$G1000))-1)),
IF(_xlfn.XLOOKUP(A22, Data!A21:A1000, Data!D21:D1000) = "schoenen", INDEX('Form responses 1'!$A$2:$A1000,SUMPRODUCT(MAX(ROW('Form responses 1'!$F$2:$F1000)*(A22='Form responses 1'!$F$2:$F1000))-1)), "")))))),"-")
</f>
        <v>46269.41744</v>
      </c>
    </row>
    <row r="23">
      <c r="A23" s="6" t="str">
        <f>IFERROR(__xludf.DUMMYFUNCTION("""COMPUTED_VALUE"""),"Bruin t-shirt")</f>
        <v>Bruin t-shirt</v>
      </c>
      <c r="B23" s="18">
        <f t="array" ref="B23">IFERROR(IF(_xlfn.XLOOKUP(A23, Data!A22:A1000, Data!D22:D1000) = "broek", IFERROR(INDEX('Form responses 1'!$A$2:$A1000,SUMPRODUCT(MAX(ROW('Form responses 1'!$B$2:$B1000)*(A23='Form responses 1'!$B$2:$B1000))-1)),"04/02/2022"),
IF(_xlfn.XLOOKUP(A23, Data!A22:A1000, Data!D22:D1000) = "T-shirt", INDEX('Form responses 1'!$A$2:$A1000,SUMPRODUCT(MAX(ROW('Form responses 1'!$C$2:$C1000)*(A23='Form responses 1'!$C$2:$C1000))-1)),
IF(_xlfn.XLOOKUP(A23, Data!A22:A1000, Data!D22:D1000) = "Trui", INDEX('Form responses 1'!$A$2:$A1000,SUMPRODUCT(MAX(ROW('Form responses 1'!$D$2:$D1000)*(A23='Form responses 1'!$D$2:$D1000))-1)),
IF(_xlfn.XLOOKUP(A23, Data!A22:A1000, Data!D22:D1000) = "blousje", INDEX('Form responses 1'!$A$2:$A1000,SUMPRODUCT(MAX(ROW('Form responses 1'!$E$2:$E1000)*(A23='Form responses 1'!$E$2:$E1000))-1)),
IF(_xlfn.XLOOKUP(A23, Data!A22:A1000, Data!D22:D1000) = "jas", INDEX('Form responses 1'!$A$2:$A1000,SUMPRODUCT(MAX(ROW('Form responses 1'!$G$2:$G1000)*(A23='Form responses 1'!$G$2:$G1000))-1)),
IF(_xlfn.XLOOKUP(A23, Data!A22:A1000, Data!D22:D1000) = "schoenen", INDEX('Form responses 1'!$A$2:$A1000,SUMPRODUCT(MAX(ROW('Form responses 1'!$F$2:$F1000)*(A23='Form responses 1'!$F$2:$F1000))-1)), "")))))),"-")
</f>
        <v>45523.4729</v>
      </c>
    </row>
    <row r="24">
      <c r="A24" s="6" t="str">
        <f>IFERROR(__xludf.DUMMYFUNCTION("""COMPUTED_VALUE"""),"Groen t-shirt")</f>
        <v>Groen t-shirt</v>
      </c>
      <c r="B24" s="18">
        <f t="array" ref="B24">IFERROR(IF(_xlfn.XLOOKUP(A24, Data!A23:A1000, Data!D23:D1000) = "broek", IFERROR(INDEX('Form responses 1'!$A$2:$A1000,SUMPRODUCT(MAX(ROW('Form responses 1'!$B$2:$B1000)*(A24='Form responses 1'!$B$2:$B1000))-1)),"04/02/2022"),
IF(_xlfn.XLOOKUP(A24, Data!A23:A1000, Data!D23:D1000) = "T-shirt", INDEX('Form responses 1'!$A$2:$A1000,SUMPRODUCT(MAX(ROW('Form responses 1'!$C$2:$C1000)*(A24='Form responses 1'!$C$2:$C1000))-1)),
IF(_xlfn.XLOOKUP(A24, Data!A23:A1000, Data!D23:D1000) = "Trui", INDEX('Form responses 1'!$A$2:$A1000,SUMPRODUCT(MAX(ROW('Form responses 1'!$D$2:$D1000)*(A24='Form responses 1'!$D$2:$D1000))-1)),
IF(_xlfn.XLOOKUP(A24, Data!A23:A1000, Data!D23:D1000) = "blousje", INDEX('Form responses 1'!$A$2:$A1000,SUMPRODUCT(MAX(ROW('Form responses 1'!$E$2:$E1000)*(A24='Form responses 1'!$E$2:$E1000))-1)),
IF(_xlfn.XLOOKUP(A24, Data!A23:A1000, Data!D23:D1000) = "jas", INDEX('Form responses 1'!$A$2:$A1000,SUMPRODUCT(MAX(ROW('Form responses 1'!$G$2:$G1000)*(A24='Form responses 1'!$G$2:$G1000))-1)),
IF(_xlfn.XLOOKUP(A24, Data!A23:A1000, Data!D23:D1000) = "schoenen", INDEX('Form responses 1'!$A$2:$A1000,SUMPRODUCT(MAX(ROW('Form responses 1'!$F$2:$F1000)*(A24='Form responses 1'!$F$2:$F1000))-1)), "")))))),"-")
</f>
        <v>45206.90059</v>
      </c>
    </row>
    <row r="25">
      <c r="A25" s="6" t="str">
        <f>IFERROR(__xludf.DUMMYFUNCTION("""COMPUTED_VALUE"""),"Rood t-shirt")</f>
        <v>Rood t-shirt</v>
      </c>
      <c r="B25" s="18">
        <f t="array" ref="B25">IFERROR(IF(_xlfn.XLOOKUP(A25, Data!A24:A1000, Data!D24:D1000) = "broek", IFERROR(INDEX('Form responses 1'!$A$2:$A1000,SUMPRODUCT(MAX(ROW('Form responses 1'!$B$2:$B1000)*(A25='Form responses 1'!$B$2:$B1000))-1)),"04/02/2022"),
IF(_xlfn.XLOOKUP(A25, Data!A24:A1000, Data!D24:D1000) = "T-shirt", INDEX('Form responses 1'!$A$2:$A1000,SUMPRODUCT(MAX(ROW('Form responses 1'!$C$2:$C1000)*(A25='Form responses 1'!$C$2:$C1000))-1)),
IF(_xlfn.XLOOKUP(A25, Data!A24:A1000, Data!D24:D1000) = "Trui", INDEX('Form responses 1'!$A$2:$A1000,SUMPRODUCT(MAX(ROW('Form responses 1'!$D$2:$D1000)*(A25='Form responses 1'!$D$2:$D1000))-1)),
IF(_xlfn.XLOOKUP(A25, Data!A24:A1000, Data!D24:D1000) = "blousje", INDEX('Form responses 1'!$A$2:$A1000,SUMPRODUCT(MAX(ROW('Form responses 1'!$E$2:$E1000)*(A25='Form responses 1'!$E$2:$E1000))-1)),
IF(_xlfn.XLOOKUP(A25, Data!A24:A1000, Data!D24:D1000) = "jas", INDEX('Form responses 1'!$A$2:$A1000,SUMPRODUCT(MAX(ROW('Form responses 1'!$G$2:$G1000)*(A25='Form responses 1'!$G$2:$G1000))-1)),
IF(_xlfn.XLOOKUP(A25, Data!A24:A1000, Data!D24:D1000) = "schoenen", INDEX('Form responses 1'!$A$2:$A1000,SUMPRODUCT(MAX(ROW('Form responses 1'!$F$2:$F1000)*(A25='Form responses 1'!$F$2:$F1000))-1)), "")))))),"-")
</f>
        <v>44892.50841</v>
      </c>
    </row>
    <row r="26">
      <c r="A26" s="6" t="str">
        <f>IFERROR(__xludf.DUMMYFUNCTION("""COMPUTED_VALUE"""),"Groene trui knitted")</f>
        <v>Groene trui knitted</v>
      </c>
      <c r="B26" s="18">
        <f t="array" ref="B26">IFERROR(IF(_xlfn.XLOOKUP(A26, Data!A25:A1000, Data!D25:D1000) = "broek", IFERROR(INDEX('Form responses 1'!$A$2:$A1000,SUMPRODUCT(MAX(ROW('Form responses 1'!$B$2:$B1000)*(A26='Form responses 1'!$B$2:$B1000))-1)),"04/02/2022"),
IF(_xlfn.XLOOKUP(A26, Data!A25:A1000, Data!D25:D1000) = "T-shirt", INDEX('Form responses 1'!$A$2:$A1000,SUMPRODUCT(MAX(ROW('Form responses 1'!$C$2:$C1000)*(A26='Form responses 1'!$C$2:$C1000))-1)),
IF(_xlfn.XLOOKUP(A26, Data!A25:A1000, Data!D25:D1000) = "Trui", INDEX('Form responses 1'!$A$2:$A1000,SUMPRODUCT(MAX(ROW('Form responses 1'!$D$2:$D1000)*(A26='Form responses 1'!$D$2:$D1000))-1)),
IF(_xlfn.XLOOKUP(A26, Data!A25:A1000, Data!D25:D1000) = "blousje", INDEX('Form responses 1'!$A$2:$A1000,SUMPRODUCT(MAX(ROW('Form responses 1'!$E$2:$E1000)*(A26='Form responses 1'!$E$2:$E1000))-1)),
IF(_xlfn.XLOOKUP(A26, Data!A25:A1000, Data!D25:D1000) = "jas", INDEX('Form responses 1'!$A$2:$A1000,SUMPRODUCT(MAX(ROW('Form responses 1'!$G$2:$G1000)*(A26='Form responses 1'!$G$2:$G1000))-1)),
IF(_xlfn.XLOOKUP(A26, Data!A25:A1000, Data!D25:D1000) = "schoenen", INDEX('Form responses 1'!$A$2:$A1000,SUMPRODUCT(MAX(ROW('Form responses 1'!$F$2:$F1000)*(A26='Form responses 1'!$F$2:$F1000))-1)), "")))))),"-")
</f>
        <v>45402.64621</v>
      </c>
    </row>
    <row r="27">
      <c r="A27" s="6" t="str">
        <f>IFERROR(__xludf.DUMMYFUNCTION("""COMPUTED_VALUE"""),"Witte trui knitted")</f>
        <v>Witte trui knitted</v>
      </c>
      <c r="B27" s="18">
        <f t="array" ref="B27">IFERROR(IF(_xlfn.XLOOKUP(A27, Data!A26:A1000, Data!D26:D1000) = "broek", IFERROR(INDEX('Form responses 1'!$A$2:$A1000,SUMPRODUCT(MAX(ROW('Form responses 1'!$B$2:$B1000)*(A27='Form responses 1'!$B$2:$B1000))-1)),"04/02/2022"),
IF(_xlfn.XLOOKUP(A27, Data!A26:A1000, Data!D26:D1000) = "T-shirt", INDEX('Form responses 1'!$A$2:$A1000,SUMPRODUCT(MAX(ROW('Form responses 1'!$C$2:$C1000)*(A27='Form responses 1'!$C$2:$C1000))-1)),
IF(_xlfn.XLOOKUP(A27, Data!A26:A1000, Data!D26:D1000) = "Trui", INDEX('Form responses 1'!$A$2:$A1000,SUMPRODUCT(MAX(ROW('Form responses 1'!$D$2:$D1000)*(A27='Form responses 1'!$D$2:$D1000))-1)),
IF(_xlfn.XLOOKUP(A27, Data!A26:A1000, Data!D26:D1000) = "blousje", INDEX('Form responses 1'!$A$2:$A1000,SUMPRODUCT(MAX(ROW('Form responses 1'!$E$2:$E1000)*(A27='Form responses 1'!$E$2:$E1000))-1)),
IF(_xlfn.XLOOKUP(A27, Data!A26:A1000, Data!D26:D1000) = "jas", INDEX('Form responses 1'!$A$2:$A1000,SUMPRODUCT(MAX(ROW('Form responses 1'!$G$2:$G1000)*(A27='Form responses 1'!$G$2:$G1000))-1)),
IF(_xlfn.XLOOKUP(A27, Data!A26:A1000, Data!D26:D1000) = "schoenen", INDEX('Form responses 1'!$A$2:$A1000,SUMPRODUCT(MAX(ROW('Form responses 1'!$F$2:$F1000)*(A27='Form responses 1'!$F$2:$F1000))-1)), "")))))),"-")
</f>
        <v>46131.45105</v>
      </c>
    </row>
    <row r="28">
      <c r="A28" s="3" t="str">
        <f>IFERROR(__xludf.DUMMYFUNCTION("""COMPUTED_VALUE"""),"Coltrui wit")</f>
        <v>Coltrui wit</v>
      </c>
      <c r="B28" s="18">
        <f t="array" ref="B28">IFERROR(IF(_xlfn.XLOOKUP(A28, Data!A27:A1000, Data!D27:D1000) = "broek", IFERROR(INDEX('Form responses 1'!$A$2:$A1000,SUMPRODUCT(MAX(ROW('Form responses 1'!$B$2:$B1000)*(A28='Form responses 1'!$B$2:$B1000))-1)),"04/02/2022"),
IF(_xlfn.XLOOKUP(A28, Data!A27:A1000, Data!D27:D1000) = "T-shirt", INDEX('Form responses 1'!$A$2:$A1000,SUMPRODUCT(MAX(ROW('Form responses 1'!$C$2:$C1000)*(A28='Form responses 1'!$C$2:$C1000))-1)),
IF(_xlfn.XLOOKUP(A28, Data!A27:A1000, Data!D27:D1000) = "Trui", INDEX('Form responses 1'!$A$2:$A1000,SUMPRODUCT(MAX(ROW('Form responses 1'!$D$2:$D1000)*(A28='Form responses 1'!$D$2:$D1000))-1)),
IF(_xlfn.XLOOKUP(A28, Data!A27:A1000, Data!D27:D1000) = "blousje", INDEX('Form responses 1'!$A$2:$A1000,SUMPRODUCT(MAX(ROW('Form responses 1'!$E$2:$E1000)*(A28='Form responses 1'!$E$2:$E1000))-1)),
IF(_xlfn.XLOOKUP(A28, Data!A27:A1000, Data!D27:D1000) = "jas", INDEX('Form responses 1'!$A$2:$A1000,SUMPRODUCT(MAX(ROW('Form responses 1'!$G$2:$G1000)*(A28='Form responses 1'!$G$2:$G1000))-1)),
IF(_xlfn.XLOOKUP(A28, Data!A27:A1000, Data!D27:D1000) = "schoenen", INDEX('Form responses 1'!$A$2:$A1000,SUMPRODUCT(MAX(ROW('Form responses 1'!$F$2:$F1000)*(A28='Form responses 1'!$F$2:$F1000))-1)), "")))))),"-")
</f>
        <v>44919.44712</v>
      </c>
    </row>
    <row r="29">
      <c r="A29" s="6" t="str">
        <f>IFERROR(__xludf.DUMMYFUNCTION("""COMPUTED_VALUE"""),"Groene trui strepen")</f>
        <v>Groene trui strepen</v>
      </c>
      <c r="B29" s="18">
        <f t="array" ref="B29">IFERROR(IF(_xlfn.XLOOKUP(A29, Data!A28:A1000, Data!D28:D1000) = "broek", IFERROR(INDEX('Form responses 1'!$A$2:$A1000,SUMPRODUCT(MAX(ROW('Form responses 1'!$B$2:$B1000)*(A29='Form responses 1'!$B$2:$B1000))-1)),"04/02/2022"),
IF(_xlfn.XLOOKUP(A29, Data!A28:A1000, Data!D28:D1000) = "T-shirt", INDEX('Form responses 1'!$A$2:$A1000,SUMPRODUCT(MAX(ROW('Form responses 1'!$C$2:$C1000)*(A29='Form responses 1'!$C$2:$C1000))-1)),
IF(_xlfn.XLOOKUP(A29, Data!A28:A1000, Data!D28:D1000) = "Trui", INDEX('Form responses 1'!$A$2:$A1000,SUMPRODUCT(MAX(ROW('Form responses 1'!$D$2:$D1000)*(A29='Form responses 1'!$D$2:$D1000))-1)),
IF(_xlfn.XLOOKUP(A29, Data!A28:A1000, Data!D28:D1000) = "blousje", INDEX('Form responses 1'!$A$2:$A1000,SUMPRODUCT(MAX(ROW('Form responses 1'!$E$2:$E1000)*(A29='Form responses 1'!$E$2:$E1000))-1)),
IF(_xlfn.XLOOKUP(A29, Data!A28:A1000, Data!D28:D1000) = "jas", INDEX('Form responses 1'!$A$2:$A1000,SUMPRODUCT(MAX(ROW('Form responses 1'!$G$2:$G1000)*(A29='Form responses 1'!$G$2:$G1000))-1)),
IF(_xlfn.XLOOKUP(A29, Data!A28:A1000, Data!D28:D1000) = "schoenen", INDEX('Form responses 1'!$A$2:$A1000,SUMPRODUCT(MAX(ROW('Form responses 1'!$F$2:$F1000)*(A29='Form responses 1'!$F$2:$F1000))-1)), "")))))),"-")
</f>
        <v>45400.70667</v>
      </c>
    </row>
    <row r="30">
      <c r="A30" s="6" t="str">
        <f>IFERROR(__xludf.DUMMYFUNCTION("""COMPUTED_VALUE"""),"Groene superdry trui")</f>
        <v>Groene superdry trui</v>
      </c>
      <c r="B30" s="18">
        <f t="array" ref="B30">IFERROR(IF(_xlfn.XLOOKUP(A30, Data!A29:A1000, Data!D29:D1000) = "broek", IFERROR(INDEX('Form responses 1'!$A$2:$A1000,SUMPRODUCT(MAX(ROW('Form responses 1'!$B$2:$B1000)*(A30='Form responses 1'!$B$2:$B1000))-1)),"04/02/2022"),
IF(_xlfn.XLOOKUP(A30, Data!A29:A1000, Data!D29:D1000) = "T-shirt", INDEX('Form responses 1'!$A$2:$A1000,SUMPRODUCT(MAX(ROW('Form responses 1'!$C$2:$C1000)*(A30='Form responses 1'!$C$2:$C1000))-1)),
IF(_xlfn.XLOOKUP(A30, Data!A29:A1000, Data!D29:D1000) = "Trui", INDEX('Form responses 1'!$A$2:$A1000,SUMPRODUCT(MAX(ROW('Form responses 1'!$D$2:$D1000)*(A30='Form responses 1'!$D$2:$D1000))-1)),
IF(_xlfn.XLOOKUP(A30, Data!A29:A1000, Data!D29:D1000) = "blousje", INDEX('Form responses 1'!$A$2:$A1000,SUMPRODUCT(MAX(ROW('Form responses 1'!$E$2:$E1000)*(A30='Form responses 1'!$E$2:$E1000))-1)),
IF(_xlfn.XLOOKUP(A30, Data!A29:A1000, Data!D29:D1000) = "jas", INDEX('Form responses 1'!$A$2:$A1000,SUMPRODUCT(MAX(ROW('Form responses 1'!$G$2:$G1000)*(A30='Form responses 1'!$G$2:$G1000))-1)),
IF(_xlfn.XLOOKUP(A30, Data!A29:A1000, Data!D29:D1000) = "schoenen", INDEX('Form responses 1'!$A$2:$A1000,SUMPRODUCT(MAX(ROW('Form responses 1'!$F$2:$F1000)*(A30='Form responses 1'!$F$2:$F1000))-1)), "")))))),"-")
</f>
        <v>46275.43349</v>
      </c>
    </row>
    <row r="31">
      <c r="A31" s="6" t="str">
        <f>IFERROR(__xludf.DUMMYFUNCTION("""COMPUTED_VALUE"""),"Grijze trui")</f>
        <v>Grijze trui</v>
      </c>
      <c r="B31" s="18">
        <f t="array" ref="B31">IFERROR(IF(_xlfn.XLOOKUP(A31, Data!A30:A1000, Data!D30:D1000) = "broek", IFERROR(INDEX('Form responses 1'!$A$2:$A1000,SUMPRODUCT(MAX(ROW('Form responses 1'!$B$2:$B1000)*(A31='Form responses 1'!$B$2:$B1000))-1)),"04/02/2022"),
IF(_xlfn.XLOOKUP(A31, Data!A30:A1000, Data!D30:D1000) = "T-shirt", INDEX('Form responses 1'!$A$2:$A1000,SUMPRODUCT(MAX(ROW('Form responses 1'!$C$2:$C1000)*(A31='Form responses 1'!$C$2:$C1000))-1)),
IF(_xlfn.XLOOKUP(A31, Data!A30:A1000, Data!D30:D1000) = "Trui", INDEX('Form responses 1'!$A$2:$A1000,SUMPRODUCT(MAX(ROW('Form responses 1'!$D$2:$D1000)*(A31='Form responses 1'!$D$2:$D1000))-1)),
IF(_xlfn.XLOOKUP(A31, Data!A30:A1000, Data!D30:D1000) = "blousje", INDEX('Form responses 1'!$A$2:$A1000,SUMPRODUCT(MAX(ROW('Form responses 1'!$E$2:$E1000)*(A31='Form responses 1'!$E$2:$E1000))-1)),
IF(_xlfn.XLOOKUP(A31, Data!A30:A1000, Data!D30:D1000) = "jas", INDEX('Form responses 1'!$A$2:$A1000,SUMPRODUCT(MAX(ROW('Form responses 1'!$G$2:$G1000)*(A31='Form responses 1'!$G$2:$G1000))-1)),
IF(_xlfn.XLOOKUP(A31, Data!A30:A1000, Data!D30:D1000) = "schoenen", INDEX('Form responses 1'!$A$2:$A1000,SUMPRODUCT(MAX(ROW('Form responses 1'!$F$2:$F1000)*(A31='Form responses 1'!$F$2:$F1000))-1)), "")))))),"-")
</f>
        <v>44657.53922</v>
      </c>
    </row>
    <row r="32">
      <c r="A32" s="6" t="str">
        <f>IFERROR(__xludf.DUMMYFUNCTION("""COMPUTED_VALUE"""),"Gele trui")</f>
        <v>Gele trui</v>
      </c>
      <c r="B32" s="18">
        <f t="array" ref="B32">IFERROR(IF(_xlfn.XLOOKUP(A32, Data!A31:A1000, Data!D31:D1000) = "broek", IFERROR(INDEX('Form responses 1'!$A$2:$A1000,SUMPRODUCT(MAX(ROW('Form responses 1'!$B$2:$B1000)*(A32='Form responses 1'!$B$2:$B1000))-1)),"04/02/2022"),
IF(_xlfn.XLOOKUP(A32, Data!A31:A1000, Data!D31:D1000) = "T-shirt", INDEX('Form responses 1'!$A$2:$A1000,SUMPRODUCT(MAX(ROW('Form responses 1'!$C$2:$C1000)*(A32='Form responses 1'!$C$2:$C1000))-1)),
IF(_xlfn.XLOOKUP(A32, Data!A31:A1000, Data!D31:D1000) = "Trui", INDEX('Form responses 1'!$A$2:$A1000,SUMPRODUCT(MAX(ROW('Form responses 1'!$D$2:$D1000)*(A32='Form responses 1'!$D$2:$D1000))-1)),
IF(_xlfn.XLOOKUP(A32, Data!A31:A1000, Data!D31:D1000) = "blousje", INDEX('Form responses 1'!$A$2:$A1000,SUMPRODUCT(MAX(ROW('Form responses 1'!$E$2:$E1000)*(A32='Form responses 1'!$E$2:$E1000))-1)),
IF(_xlfn.XLOOKUP(A32, Data!A31:A1000, Data!D31:D1000) = "jas", INDEX('Form responses 1'!$A$2:$A1000,SUMPRODUCT(MAX(ROW('Form responses 1'!$G$2:$G1000)*(A32='Form responses 1'!$G$2:$G1000))-1)),
IF(_xlfn.XLOOKUP(A32, Data!A31:A1000, Data!D31:D1000) = "schoenen", INDEX('Form responses 1'!$A$2:$A1000,SUMPRODUCT(MAX(ROW('Form responses 1'!$F$2:$F1000)*(A32='Form responses 1'!$F$2:$F1000))-1)), "")))))),"-")
</f>
        <v>45641.7466</v>
      </c>
    </row>
    <row r="33">
      <c r="A33" s="6" t="str">
        <f>IFERROR(__xludf.DUMMYFUNCTION("""COMPUTED_VALUE"""),"Beige trui")</f>
        <v>Beige trui</v>
      </c>
      <c r="B33" s="18">
        <f t="array" ref="B33">IFERROR(IF(_xlfn.XLOOKUP(A33, Data!A32:A1000, Data!D32:D1000) = "broek", IFERROR(INDEX('Form responses 1'!$A$2:$A1000,SUMPRODUCT(MAX(ROW('Form responses 1'!$B$2:$B1000)*(A33='Form responses 1'!$B$2:$B1000))-1)),"04/02/2022"),
IF(_xlfn.XLOOKUP(A33, Data!A32:A1000, Data!D32:D1000) = "T-shirt", INDEX('Form responses 1'!$A$2:$A1000,SUMPRODUCT(MAX(ROW('Form responses 1'!$C$2:$C1000)*(A33='Form responses 1'!$C$2:$C1000))-1)),
IF(_xlfn.XLOOKUP(A33, Data!A32:A1000, Data!D32:D1000) = "Trui", INDEX('Form responses 1'!$A$2:$A1000,SUMPRODUCT(MAX(ROW('Form responses 1'!$D$2:$D1000)*(A33='Form responses 1'!$D$2:$D1000))-1)),
IF(_xlfn.XLOOKUP(A33, Data!A32:A1000, Data!D32:D1000) = "blousje", INDEX('Form responses 1'!$A$2:$A1000,SUMPRODUCT(MAX(ROW('Form responses 1'!$E$2:$E1000)*(A33='Form responses 1'!$E$2:$E1000))-1)),
IF(_xlfn.XLOOKUP(A33, Data!A32:A1000, Data!D32:D1000) = "jas", INDEX('Form responses 1'!$A$2:$A1000,SUMPRODUCT(MAX(ROW('Form responses 1'!$G$2:$G1000)*(A33='Form responses 1'!$G$2:$G1000))-1)),
IF(_xlfn.XLOOKUP(A33, Data!A32:A1000, Data!D32:D1000) = "schoenen", INDEX('Form responses 1'!$A$2:$A1000,SUMPRODUCT(MAX(ROW('Form responses 1'!$F$2:$F1000)*(A33='Form responses 1'!$F$2:$F1000))-1)), "")))))),"-")
</f>
        <v>45998.49962</v>
      </c>
    </row>
    <row r="34">
      <c r="A34" s="6" t="str">
        <f>IFERROR(__xludf.DUMMYFUNCTION("""COMPUTED_VALUE"""),"Bruine trui")</f>
        <v>Bruine trui</v>
      </c>
      <c r="B34" s="18">
        <f t="array" ref="B34">IFERROR(IF(_xlfn.XLOOKUP(A34, Data!A33:A1000, Data!D33:D1000) = "broek", IFERROR(INDEX('Form responses 1'!$A$2:$A1000,SUMPRODUCT(MAX(ROW('Form responses 1'!$B$2:$B1000)*(A34='Form responses 1'!$B$2:$B1000))-1)),"04/02/2022"),
IF(_xlfn.XLOOKUP(A34, Data!A33:A1000, Data!D33:D1000) = "T-shirt", INDEX('Form responses 1'!$A$2:$A1000,SUMPRODUCT(MAX(ROW('Form responses 1'!$C$2:$C1000)*(A34='Form responses 1'!$C$2:$C1000))-1)),
IF(_xlfn.XLOOKUP(A34, Data!A33:A1000, Data!D33:D1000) = "Trui", INDEX('Form responses 1'!$A$2:$A1000,SUMPRODUCT(MAX(ROW('Form responses 1'!$D$2:$D1000)*(A34='Form responses 1'!$D$2:$D1000))-1)),
IF(_xlfn.XLOOKUP(A34, Data!A33:A1000, Data!D33:D1000) = "blousje", INDEX('Form responses 1'!$A$2:$A1000,SUMPRODUCT(MAX(ROW('Form responses 1'!$E$2:$E1000)*(A34='Form responses 1'!$E$2:$E1000))-1)),
IF(_xlfn.XLOOKUP(A34, Data!A33:A1000, Data!D33:D1000) = "jas", INDEX('Form responses 1'!$A$2:$A1000,SUMPRODUCT(MAX(ROW('Form responses 1'!$G$2:$G1000)*(A34='Form responses 1'!$G$2:$G1000))-1)),
IF(_xlfn.XLOOKUP(A34, Data!A33:A1000, Data!D33:D1000) = "schoenen", INDEX('Form responses 1'!$A$2:$A1000,SUMPRODUCT(MAX(ROW('Form responses 1'!$F$2:$F1000)*(A34='Form responses 1'!$F$2:$F1000))-1)), "")))))),"-")
</f>
        <v>46116.55252</v>
      </c>
    </row>
    <row r="35">
      <c r="A35" s="6" t="str">
        <f>IFERROR(__xludf.DUMMYFUNCTION("""COMPUTED_VALUE"""),"Lichtgroene trui")</f>
        <v>Lichtgroene trui</v>
      </c>
      <c r="B35" s="18">
        <f t="array" ref="B35">IFERROR(IF(_xlfn.XLOOKUP(A35, Data!A34:A1000, Data!D34:D1000) = "broek", IFERROR(INDEX('Form responses 1'!$A$2:$A1000,SUMPRODUCT(MAX(ROW('Form responses 1'!$B$2:$B1000)*(A35='Form responses 1'!$B$2:$B1000))-1)),"04/02/2022"),
IF(_xlfn.XLOOKUP(A35, Data!A34:A1000, Data!D34:D1000) = "T-shirt", INDEX('Form responses 1'!$A$2:$A1000,SUMPRODUCT(MAX(ROW('Form responses 1'!$C$2:$C1000)*(A35='Form responses 1'!$C$2:$C1000))-1)),
IF(_xlfn.XLOOKUP(A35, Data!A34:A1000, Data!D34:D1000) = "Trui", INDEX('Form responses 1'!$A$2:$A1000,SUMPRODUCT(MAX(ROW('Form responses 1'!$D$2:$D1000)*(A35='Form responses 1'!$D$2:$D1000))-1)),
IF(_xlfn.XLOOKUP(A35, Data!A34:A1000, Data!D34:D1000) = "blousje", INDEX('Form responses 1'!$A$2:$A1000,SUMPRODUCT(MAX(ROW('Form responses 1'!$E$2:$E1000)*(A35='Form responses 1'!$E$2:$E1000))-1)),
IF(_xlfn.XLOOKUP(A35, Data!A34:A1000, Data!D34:D1000) = "jas", INDEX('Form responses 1'!$A$2:$A1000,SUMPRODUCT(MAX(ROW('Form responses 1'!$G$2:$G1000)*(A35='Form responses 1'!$G$2:$G1000))-1)),
IF(_xlfn.XLOOKUP(A35, Data!A34:A1000, Data!D34:D1000) = "schoenen", INDEX('Form responses 1'!$A$2:$A1000,SUMPRODUCT(MAX(ROW('Form responses 1'!$F$2:$F1000)*(A35='Form responses 1'!$F$2:$F1000))-1)), "")))))),"-")
</f>
        <v>45736.43449</v>
      </c>
    </row>
    <row r="36">
      <c r="A36" s="6" t="str">
        <f>IFERROR(__xludf.DUMMYFUNCTION("""COMPUTED_VALUE"""),"Bruine fleece trui")</f>
        <v>Bruine fleece trui</v>
      </c>
      <c r="B36" s="18">
        <f t="array" ref="B36">IFERROR(IF(_xlfn.XLOOKUP(A36, Data!A35:A1000, Data!D35:D1000) = "broek", IFERROR(INDEX('Form responses 1'!$A$2:$A1000,SUMPRODUCT(MAX(ROW('Form responses 1'!$B$2:$B1000)*(A36='Form responses 1'!$B$2:$B1000))-1)),"04/02/2022"),
IF(_xlfn.XLOOKUP(A36, Data!A35:A1000, Data!D35:D1000) = "T-shirt", INDEX('Form responses 1'!$A$2:$A1000,SUMPRODUCT(MAX(ROW('Form responses 1'!$C$2:$C1000)*(A36='Form responses 1'!$C$2:$C1000))-1)),
IF(_xlfn.XLOOKUP(A36, Data!A35:A1000, Data!D35:D1000) = "Trui", INDEX('Form responses 1'!$A$2:$A1000,SUMPRODUCT(MAX(ROW('Form responses 1'!$D$2:$D1000)*(A36='Form responses 1'!$D$2:$D1000))-1)),
IF(_xlfn.XLOOKUP(A36, Data!A35:A1000, Data!D35:D1000) = "blousje", INDEX('Form responses 1'!$A$2:$A1000,SUMPRODUCT(MAX(ROW('Form responses 1'!$E$2:$E1000)*(A36='Form responses 1'!$E$2:$E1000))-1)),
IF(_xlfn.XLOOKUP(A36, Data!A35:A1000, Data!D35:D1000) = "jas", INDEX('Form responses 1'!$A$2:$A1000,SUMPRODUCT(MAX(ROW('Form responses 1'!$G$2:$G1000)*(A36='Form responses 1'!$G$2:$G1000))-1)),
IF(_xlfn.XLOOKUP(A36, Data!A35:A1000, Data!D35:D1000) = "schoenen", INDEX('Form responses 1'!$A$2:$A1000,SUMPRODUCT(MAX(ROW('Form responses 1'!$F$2:$F1000)*(A36='Form responses 1'!$F$2:$F1000))-1)), "")))))),"-")
</f>
        <v>46049.49963</v>
      </c>
    </row>
    <row r="37">
      <c r="A37" s="6" t="str">
        <f>IFERROR(__xludf.DUMMYFUNCTION("""COMPUTED_VALUE"""),"Rode fleece trui")</f>
        <v>Rode fleece trui</v>
      </c>
      <c r="B37" s="18">
        <f t="array" ref="B37">IFERROR(IF(_xlfn.XLOOKUP(A37, Data!A36:A1000, Data!D36:D1000) = "broek", IFERROR(INDEX('Form responses 1'!$A$2:$A1000,SUMPRODUCT(MAX(ROW('Form responses 1'!$B$2:$B1000)*(A37='Form responses 1'!$B$2:$B1000))-1)),"04/02/2022"),
IF(_xlfn.XLOOKUP(A37, Data!A36:A1000, Data!D36:D1000) = "T-shirt", INDEX('Form responses 1'!$A$2:$A1000,SUMPRODUCT(MAX(ROW('Form responses 1'!$C$2:$C1000)*(A37='Form responses 1'!$C$2:$C1000))-1)),
IF(_xlfn.XLOOKUP(A37, Data!A36:A1000, Data!D36:D1000) = "Trui", INDEX('Form responses 1'!$A$2:$A1000,SUMPRODUCT(MAX(ROW('Form responses 1'!$D$2:$D1000)*(A37='Form responses 1'!$D$2:$D1000))-1)),
IF(_xlfn.XLOOKUP(A37, Data!A36:A1000, Data!D36:D1000) = "blousje", INDEX('Form responses 1'!$A$2:$A1000,SUMPRODUCT(MAX(ROW('Form responses 1'!$E$2:$E1000)*(A37='Form responses 1'!$E$2:$E1000))-1)),
IF(_xlfn.XLOOKUP(A37, Data!A36:A1000, Data!D36:D1000) = "jas", INDEX('Form responses 1'!$A$2:$A1000,SUMPRODUCT(MAX(ROW('Form responses 1'!$G$2:$G1000)*(A37='Form responses 1'!$G$2:$G1000))-1)),
IF(_xlfn.XLOOKUP(A37, Data!A36:A1000, Data!D36:D1000) = "schoenen", INDEX('Form responses 1'!$A$2:$A1000,SUMPRODUCT(MAX(ROW('Form responses 1'!$F$2:$F1000)*(A37='Form responses 1'!$F$2:$F1000))-1)), "")))))),"-")
</f>
        <v>46117.74043</v>
      </c>
    </row>
    <row r="38">
      <c r="A38" s="6" t="str">
        <f>IFERROR(__xludf.DUMMYFUNCTION("""COMPUTED_VALUE"""),"Beige ralph lauren fleece")</f>
        <v>Beige ralph lauren fleece</v>
      </c>
      <c r="B38" s="18">
        <f t="array" ref="B38">IFERROR(IF(_xlfn.XLOOKUP(A38, Data!A37:A1000, Data!D37:D1000) = "broek", IFERROR(INDEX('Form responses 1'!$A$2:$A1000,SUMPRODUCT(MAX(ROW('Form responses 1'!$B$2:$B1000)*(A38='Form responses 1'!$B$2:$B1000))-1)),"04/02/2022"),
IF(_xlfn.XLOOKUP(A38, Data!A37:A1000, Data!D37:D1000) = "T-shirt", INDEX('Form responses 1'!$A$2:$A1000,SUMPRODUCT(MAX(ROW('Form responses 1'!$C$2:$C1000)*(A38='Form responses 1'!$C$2:$C1000))-1)),
IF(_xlfn.XLOOKUP(A38, Data!A37:A1000, Data!D37:D1000) = "Trui", INDEX('Form responses 1'!$A$2:$A1000,SUMPRODUCT(MAX(ROW('Form responses 1'!$D$2:$D1000)*(A38='Form responses 1'!$D$2:$D1000))-1)),
IF(_xlfn.XLOOKUP(A38, Data!A37:A1000, Data!D37:D1000) = "blousje", INDEX('Form responses 1'!$A$2:$A1000,SUMPRODUCT(MAX(ROW('Form responses 1'!$E$2:$E1000)*(A38='Form responses 1'!$E$2:$E1000))-1)),
IF(_xlfn.XLOOKUP(A38, Data!A37:A1000, Data!D37:D1000) = "jas", INDEX('Form responses 1'!$A$2:$A1000,SUMPRODUCT(MAX(ROW('Form responses 1'!$G$2:$G1000)*(A38='Form responses 1'!$G$2:$G1000))-1)),
IF(_xlfn.XLOOKUP(A38, Data!A37:A1000, Data!D37:D1000) = "schoenen", INDEX('Form responses 1'!$A$2:$A1000,SUMPRODUCT(MAX(ROW('Form responses 1'!$F$2:$F1000)*(A38='Form responses 1'!$F$2:$F1000))-1)), "")))))),"-")
</f>
        <v>46113.35611</v>
      </c>
    </row>
    <row r="39">
      <c r="A39" s="6" t="str">
        <f>IFERROR(__xludf.DUMMYFUNCTION("""COMPUTED_VALUE"""),"Rode Sweater")</f>
        <v>Rode Sweater</v>
      </c>
      <c r="B39" s="18">
        <f t="array" ref="B39">IFERROR(IF(_xlfn.XLOOKUP(A39, Data!A38:A1000, Data!D38:D1000) = "broek", IFERROR(INDEX('Form responses 1'!$A$2:$A1000,SUMPRODUCT(MAX(ROW('Form responses 1'!$B$2:$B1000)*(A39='Form responses 1'!$B$2:$B1000))-1)),"04/02/2022"),
IF(_xlfn.XLOOKUP(A39, Data!A38:A1000, Data!D38:D1000) = "T-shirt", INDEX('Form responses 1'!$A$2:$A1000,SUMPRODUCT(MAX(ROW('Form responses 1'!$C$2:$C1000)*(A39='Form responses 1'!$C$2:$C1000))-1)),
IF(_xlfn.XLOOKUP(A39, Data!A38:A1000, Data!D38:D1000) = "Trui", INDEX('Form responses 1'!$A$2:$A1000,SUMPRODUCT(MAX(ROW('Form responses 1'!$D$2:$D1000)*(A39='Form responses 1'!$D$2:$D1000))-1)),
IF(_xlfn.XLOOKUP(A39, Data!A38:A1000, Data!D38:D1000) = "blousje", INDEX('Form responses 1'!$A$2:$A1000,SUMPRODUCT(MAX(ROW('Form responses 1'!$E$2:$E1000)*(A39='Form responses 1'!$E$2:$E1000))-1)),
IF(_xlfn.XLOOKUP(A39, Data!A38:A1000, Data!D38:D1000) = "jas", INDEX('Form responses 1'!$A$2:$A1000,SUMPRODUCT(MAX(ROW('Form responses 1'!$G$2:$G1000)*(A39='Form responses 1'!$G$2:$G1000))-1)),
IF(_xlfn.XLOOKUP(A39, Data!A38:A1000, Data!D38:D1000) = "schoenen", INDEX('Form responses 1'!$A$2:$A1000,SUMPRODUCT(MAX(ROW('Form responses 1'!$F$2:$F1000)*(A39='Form responses 1'!$F$2:$F1000))-1)), "")))))),"-")
</f>
        <v>46188.73352</v>
      </c>
    </row>
    <row r="40">
      <c r="A40" s="3" t="str">
        <f>IFERROR(__xludf.DUMMYFUNCTION("""COMPUTED_VALUE"""),"Grijze Uniqlo sweater")</f>
        <v>Grijze Uniqlo sweater</v>
      </c>
      <c r="B40" s="18">
        <f t="array" ref="B40">IFERROR(IF(_xlfn.XLOOKUP(A40, Data!A39:A1000, Data!D39:D1000) = "broek", IFERROR(INDEX('Form responses 1'!$A$2:$A1000,SUMPRODUCT(MAX(ROW('Form responses 1'!$B$2:$B1000)*(A40='Form responses 1'!$B$2:$B1000))-1)),"04/02/2022"),
IF(_xlfn.XLOOKUP(A40, Data!A39:A1000, Data!D39:D1000) = "T-shirt", INDEX('Form responses 1'!$A$2:$A1000,SUMPRODUCT(MAX(ROW('Form responses 1'!$C$2:$C1000)*(A40='Form responses 1'!$C$2:$C1000))-1)),
IF(_xlfn.XLOOKUP(A40, Data!A39:A1000, Data!D39:D1000) = "Trui", INDEX('Form responses 1'!$A$2:$A1000,SUMPRODUCT(MAX(ROW('Form responses 1'!$D$2:$D1000)*(A40='Form responses 1'!$D$2:$D1000))-1)),
IF(_xlfn.XLOOKUP(A40, Data!A39:A1000, Data!D39:D1000) = "blousje", INDEX('Form responses 1'!$A$2:$A1000,SUMPRODUCT(MAX(ROW('Form responses 1'!$E$2:$E1000)*(A40='Form responses 1'!$E$2:$E1000))-1)),
IF(_xlfn.XLOOKUP(A40, Data!A39:A1000, Data!D39:D1000) = "jas", INDEX('Form responses 1'!$A$2:$A1000,SUMPRODUCT(MAX(ROW('Form responses 1'!$G$2:$G1000)*(A40='Form responses 1'!$G$2:$G1000))-1)),
IF(_xlfn.XLOOKUP(A40, Data!A39:A1000, Data!D39:D1000) = "schoenen", INDEX('Form responses 1'!$A$2:$A1000,SUMPRODUCT(MAX(ROW('Form responses 1'!$F$2:$F1000)*(A40='Form responses 1'!$F$2:$F1000))-1)), "")))))),"-")
</f>
        <v>46307.52676</v>
      </c>
    </row>
    <row r="41">
      <c r="A41" s="3" t="str">
        <f>IFERROR(__xludf.DUMMYFUNCTION("""COMPUTED_VALUE"""),"Ralph Lauren Sweater")</f>
        <v>Ralph Lauren Sweater</v>
      </c>
      <c r="B41" s="18">
        <f t="array" ref="B41">IFERROR(IF(_xlfn.XLOOKUP(A41, Data!A40:A1000, Data!D40:D1000) = "broek", IFERROR(INDEX('Form responses 1'!$A$2:$A1000,SUMPRODUCT(MAX(ROW('Form responses 1'!$B$2:$B1000)*(A41='Form responses 1'!$B$2:$B1000))-1)),"04/02/2022"),
IF(_xlfn.XLOOKUP(A41, Data!A40:A1000, Data!D40:D1000) = "T-shirt", INDEX('Form responses 1'!$A$2:$A1000,SUMPRODUCT(MAX(ROW('Form responses 1'!$C$2:$C1000)*(A41='Form responses 1'!$C$2:$C1000))-1)),
IF(_xlfn.XLOOKUP(A41, Data!A40:A1000, Data!D40:D1000) = "Trui", INDEX('Form responses 1'!$A$2:$A1000,SUMPRODUCT(MAX(ROW('Form responses 1'!$D$2:$D1000)*(A41='Form responses 1'!$D$2:$D1000))-1)),
IF(_xlfn.XLOOKUP(A41, Data!A40:A1000, Data!D40:D1000) = "blousje", INDEX('Form responses 1'!$A$2:$A1000,SUMPRODUCT(MAX(ROW('Form responses 1'!$E$2:$E1000)*(A41='Form responses 1'!$E$2:$E1000))-1)),
IF(_xlfn.XLOOKUP(A41, Data!A40:A1000, Data!D40:D1000) = "jas", INDEX('Form responses 1'!$A$2:$A1000,SUMPRODUCT(MAX(ROW('Form responses 1'!$G$2:$G1000)*(A41='Form responses 1'!$G$2:$G1000))-1)),
IF(_xlfn.XLOOKUP(A41, Data!A40:A1000, Data!D40:D1000) = "schoenen", INDEX('Form responses 1'!$A$2:$A1000,SUMPRODUCT(MAX(ROW('Form responses 1'!$F$2:$F1000)*(A41='Form responses 1'!$F$2:$F1000))-1)), "")))))),"-")
</f>
        <v>46280.81547</v>
      </c>
    </row>
    <row r="42">
      <c r="A42" s="3" t="str">
        <f>IFERROR(__xludf.DUMMYFUNCTION("""COMPUTED_VALUE"""),"Grijze Ralph Lauren Sweater")</f>
        <v>Grijze Ralph Lauren Sweater</v>
      </c>
      <c r="B42" s="18">
        <f t="array" ref="B42">IFERROR(IF(_xlfn.XLOOKUP(A42, Data!A41:A1000, Data!D41:D1000) = "broek", IFERROR(INDEX('Form responses 1'!$A$2:$A1000,SUMPRODUCT(MAX(ROW('Form responses 1'!$B$2:$B1000)*(A42='Form responses 1'!$B$2:$B1000))-1)),"04/02/2022"),
IF(_xlfn.XLOOKUP(A42, Data!A41:A1000, Data!D41:D1000) = "T-shirt", INDEX('Form responses 1'!$A$2:$A1000,SUMPRODUCT(MAX(ROW('Form responses 1'!$C$2:$C1000)*(A42='Form responses 1'!$C$2:$C1000))-1)),
IF(_xlfn.XLOOKUP(A42, Data!A41:A1000, Data!D41:D1000) = "Trui", INDEX('Form responses 1'!$A$2:$A1000,SUMPRODUCT(MAX(ROW('Form responses 1'!$D$2:$D1000)*(A42='Form responses 1'!$D$2:$D1000))-1)),
IF(_xlfn.XLOOKUP(A42, Data!A41:A1000, Data!D41:D1000) = "blousje", INDEX('Form responses 1'!$A$2:$A1000,SUMPRODUCT(MAX(ROW('Form responses 1'!$E$2:$E1000)*(A42='Form responses 1'!$E$2:$E1000))-1)),
IF(_xlfn.XLOOKUP(A42, Data!A41:A1000, Data!D41:D1000) = "jas", INDEX('Form responses 1'!$A$2:$A1000,SUMPRODUCT(MAX(ROW('Form responses 1'!$G$2:$G1000)*(A42='Form responses 1'!$G$2:$G1000))-1)),
IF(_xlfn.XLOOKUP(A42, Data!A41:A1000, Data!D41:D1000) = "schoenen", INDEX('Form responses 1'!$A$2:$A1000,SUMPRODUCT(MAX(ROW('Form responses 1'!$F$2:$F1000)*(A42='Form responses 1'!$F$2:$F1000))-1)), "")))))),"-")
</f>
        <v>46297.86508</v>
      </c>
    </row>
    <row r="43">
      <c r="A43" s="3" t="str">
        <f>IFERROR(__xludf.DUMMYFUNCTION("""COMPUTED_VALUE"""),"Grijze ralph lauren polo")</f>
        <v>Grijze ralph lauren polo</v>
      </c>
      <c r="B43" s="18">
        <f t="array" ref="B43">IFERROR(IF(_xlfn.XLOOKUP(A43, Data!A42:A1000, Data!D42:D1000) = "broek", IFERROR(INDEX('Form responses 1'!$A$2:$A1000,SUMPRODUCT(MAX(ROW('Form responses 1'!$B$2:$B1000)*(A43='Form responses 1'!$B$2:$B1000))-1)),"04/02/2022"),
IF(_xlfn.XLOOKUP(A43, Data!A42:A1000, Data!D42:D1000) = "T-shirt", INDEX('Form responses 1'!$A$2:$A1000,SUMPRODUCT(MAX(ROW('Form responses 1'!$C$2:$C1000)*(A43='Form responses 1'!$C$2:$C1000))-1)),
IF(_xlfn.XLOOKUP(A43, Data!A42:A1000, Data!D42:D1000) = "Trui", INDEX('Form responses 1'!$A$2:$A1000,SUMPRODUCT(MAX(ROW('Form responses 1'!$D$2:$D1000)*(A43='Form responses 1'!$D$2:$D1000))-1)),
IF(_xlfn.XLOOKUP(A43, Data!A42:A1000, Data!D42:D1000) = "blousje", INDEX('Form responses 1'!$A$2:$A1000,SUMPRODUCT(MAX(ROW('Form responses 1'!$E$2:$E1000)*(A43='Form responses 1'!$E$2:$E1000))-1)),
IF(_xlfn.XLOOKUP(A43, Data!A42:A1000, Data!D42:D1000) = "jas", INDEX('Form responses 1'!$A$2:$A1000,SUMPRODUCT(MAX(ROW('Form responses 1'!$G$2:$G1000)*(A43='Form responses 1'!$G$2:$G1000))-1)),
IF(_xlfn.XLOOKUP(A43, Data!A42:A1000, Data!D42:D1000) = "schoenen", INDEX('Form responses 1'!$A$2:$A1000,SUMPRODUCT(MAX(ROW('Form responses 1'!$F$2:$F1000)*(A43='Form responses 1'!$F$2:$F1000))-1)), "")))))),"-")
</f>
        <v>46305.4246</v>
      </c>
    </row>
    <row r="44">
      <c r="A44" s="3" t="str">
        <f>IFERROR(__xludf.DUMMYFUNCTION("""COMPUTED_VALUE"""),"Blauwe lange mouwen polo")</f>
        <v>Blauwe lange mouwen polo</v>
      </c>
      <c r="B44" s="18">
        <f t="array" ref="B44">IFERROR(IF(_xlfn.XLOOKUP(A44, Data!A43:A1000, Data!D43:D1000) = "broek", IFERROR(INDEX('Form responses 1'!$A$2:$A1000,SUMPRODUCT(MAX(ROW('Form responses 1'!$B$2:$B1000)*(A44='Form responses 1'!$B$2:$B1000))-1)),"04/02/2022"),
IF(_xlfn.XLOOKUP(A44, Data!A43:A1000, Data!D43:D1000) = "T-shirt", INDEX('Form responses 1'!$A$2:$A1000,SUMPRODUCT(MAX(ROW('Form responses 1'!$C$2:$C1000)*(A44='Form responses 1'!$C$2:$C1000))-1)),
IF(_xlfn.XLOOKUP(A44, Data!A43:A1000, Data!D43:D1000) = "Trui", INDEX('Form responses 1'!$A$2:$A1000,SUMPRODUCT(MAX(ROW('Form responses 1'!$D$2:$D1000)*(A44='Form responses 1'!$D$2:$D1000))-1)),
IF(_xlfn.XLOOKUP(A44, Data!A43:A1000, Data!D43:D1000) = "blousje", INDEX('Form responses 1'!$A$2:$A1000,SUMPRODUCT(MAX(ROW('Form responses 1'!$E$2:$E1000)*(A44='Form responses 1'!$E$2:$E1000))-1)),
IF(_xlfn.XLOOKUP(A44, Data!A43:A1000, Data!D43:D1000) = "jas", INDEX('Form responses 1'!$A$2:$A1000,SUMPRODUCT(MAX(ROW('Form responses 1'!$G$2:$G1000)*(A44='Form responses 1'!$G$2:$G1000))-1)),
IF(_xlfn.XLOOKUP(A44, Data!A43:A1000, Data!D43:D1000) = "schoenen", INDEX('Form responses 1'!$A$2:$A1000,SUMPRODUCT(MAX(ROW('Form responses 1'!$F$2:$F1000)*(A44='Form responses 1'!$F$2:$F1000))-1)), "")))))),"-")
</f>
        <v>46225.71192</v>
      </c>
    </row>
    <row r="45">
      <c r="A45" s="3" t="str">
        <f>IFERROR(__xludf.DUMMYFUNCTION("""COMPUTED_VALUE"""),"Zwart/rood vest")</f>
        <v>Zwart/rood vest</v>
      </c>
      <c r="B45" s="18">
        <f t="array" ref="B45">IFERROR(IF(_xlfn.XLOOKUP(A45, Data!A44:A1000, Data!D44:D1000) = "broek", IFERROR(INDEX('Form responses 1'!$A$2:$A1000,SUMPRODUCT(MAX(ROW('Form responses 1'!$B$2:$B1000)*(A45='Form responses 1'!$B$2:$B1000))-1)),"04/02/2022"),
IF(_xlfn.XLOOKUP(A45, Data!A44:A1000, Data!D44:D1000) = "T-shirt", INDEX('Form responses 1'!$A$2:$A1000,SUMPRODUCT(MAX(ROW('Form responses 1'!$C$2:$C1000)*(A45='Form responses 1'!$C$2:$C1000))-1)),
IF(_xlfn.XLOOKUP(A45, Data!A44:A1000, Data!D44:D1000) = "Trui", INDEX('Form responses 1'!$A$2:$A1000,SUMPRODUCT(MAX(ROW('Form responses 1'!$D$2:$D1000)*(A45='Form responses 1'!$D$2:$D1000))-1)),
IF(_xlfn.XLOOKUP(A45, Data!A44:A1000, Data!D44:D1000) = "blousje", INDEX('Form responses 1'!$A$2:$A1000,SUMPRODUCT(MAX(ROW('Form responses 1'!$E$2:$E1000)*(A45='Form responses 1'!$E$2:$E1000))-1)),
IF(_xlfn.XLOOKUP(A45, Data!A44:A1000, Data!D44:D1000) = "jas", INDEX('Form responses 1'!$A$2:$A1000,SUMPRODUCT(MAX(ROW('Form responses 1'!$G$2:$G1000)*(A45='Form responses 1'!$G$2:$G1000))-1)),
IF(_xlfn.XLOOKUP(A45, Data!A44:A1000, Data!D44:D1000) = "schoenen", INDEX('Form responses 1'!$A$2:$A1000,SUMPRODUCT(MAX(ROW('Form responses 1'!$F$2:$F1000)*(A45='Form responses 1'!$F$2:$F1000))-1)), "")))))),"-")
</f>
        <v>46068.82764</v>
      </c>
    </row>
    <row r="46">
      <c r="A46" s="3" t="str">
        <f>IFERROR(__xludf.DUMMYFUNCTION("""COMPUTED_VALUE"""),"Rood jasje")</f>
        <v>Rood jasje</v>
      </c>
      <c r="B46" s="18">
        <f t="array" ref="B46">IFERROR(IF(_xlfn.XLOOKUP(A46, Data!A45:A1000, Data!D45:D1000) = "broek", IFERROR(INDEX('Form responses 1'!$A$2:$A1000,SUMPRODUCT(MAX(ROW('Form responses 1'!$B$2:$B1000)*(A46='Form responses 1'!$B$2:$B1000))-1)),"04/02/2022"),
IF(_xlfn.XLOOKUP(A46, Data!A45:A1000, Data!D45:D1000) = "T-shirt", INDEX('Form responses 1'!$A$2:$A1000,SUMPRODUCT(MAX(ROW('Form responses 1'!$C$2:$C1000)*(A46='Form responses 1'!$C$2:$C1000))-1)),
IF(_xlfn.XLOOKUP(A46, Data!A45:A1000, Data!D45:D1000) = "Trui", INDEX('Form responses 1'!$A$2:$A1000,SUMPRODUCT(MAX(ROW('Form responses 1'!$D$2:$D1000)*(A46='Form responses 1'!$D$2:$D1000))-1)),
IF(_xlfn.XLOOKUP(A46, Data!A45:A1000, Data!D45:D1000) = "blousje", INDEX('Form responses 1'!$A$2:$A1000,SUMPRODUCT(MAX(ROW('Form responses 1'!$E$2:$E1000)*(A46='Form responses 1'!$E$2:$E1000))-1)),
IF(_xlfn.XLOOKUP(A46, Data!A45:A1000, Data!D45:D1000) = "jas", INDEX('Form responses 1'!$A$2:$A1000,SUMPRODUCT(MAX(ROW('Form responses 1'!$G$2:$G1000)*(A46='Form responses 1'!$G$2:$G1000))-1)),
IF(_xlfn.XLOOKUP(A46, Data!A45:A1000, Data!D45:D1000) = "schoenen", INDEX('Form responses 1'!$A$2:$A1000,SUMPRODUCT(MAX(ROW('Form responses 1'!$F$2:$F1000)*(A46='Form responses 1'!$F$2:$F1000))-1)), "")))))),"-")
</f>
        <v>44919.44731</v>
      </c>
    </row>
    <row r="47">
      <c r="A47" s="3" t="str">
        <f>IFERROR(__xludf.DUMMYFUNCTION("""COMPUTED_VALUE"""),"Blauw/zwart/wit geblokt jasje")</f>
        <v>Blauw/zwart/wit geblokt jasje</v>
      </c>
      <c r="B47" s="18">
        <f t="array" ref="B47">IFERROR(IF(_xlfn.XLOOKUP(A47, Data!A46:A1000, Data!D46:D1000) = "broek", IFERROR(INDEX('Form responses 1'!$A$2:$A1000,SUMPRODUCT(MAX(ROW('Form responses 1'!$B$2:$B1000)*(A47='Form responses 1'!$B$2:$B1000))-1)),"04/02/2022"),
IF(_xlfn.XLOOKUP(A47, Data!A46:A1000, Data!D46:D1000) = "T-shirt", INDEX('Form responses 1'!$A$2:$A1000,SUMPRODUCT(MAX(ROW('Form responses 1'!$C$2:$C1000)*(A47='Form responses 1'!$C$2:$C1000))-1)),
IF(_xlfn.XLOOKUP(A47, Data!A46:A1000, Data!D46:D1000) = "Trui", INDEX('Form responses 1'!$A$2:$A1000,SUMPRODUCT(MAX(ROW('Form responses 1'!$D$2:$D1000)*(A47='Form responses 1'!$D$2:$D1000))-1)),
IF(_xlfn.XLOOKUP(A47, Data!A46:A1000, Data!D46:D1000) = "blousje", INDEX('Form responses 1'!$A$2:$A1000,SUMPRODUCT(MAX(ROW('Form responses 1'!$E$2:$E1000)*(A47='Form responses 1'!$E$2:$E1000))-1)),
IF(_xlfn.XLOOKUP(A47, Data!A46:A1000, Data!D46:D1000) = "jas", INDEX('Form responses 1'!$A$2:$A1000,SUMPRODUCT(MAX(ROW('Form responses 1'!$G$2:$G1000)*(A47='Form responses 1'!$G$2:$G1000))-1)),
IF(_xlfn.XLOOKUP(A47, Data!A46:A1000, Data!D46:D1000) = "schoenen", INDEX('Form responses 1'!$A$2:$A1000,SUMPRODUCT(MAX(ROW('Form responses 1'!$F$2:$F1000)*(A47='Form responses 1'!$F$2:$F1000))-1)), "")))))),"-")
</f>
        <v>46299.68977</v>
      </c>
    </row>
    <row r="48">
      <c r="A48" s="3" t="str">
        <f>IFERROR(__xludf.DUMMYFUNCTION("""COMPUTED_VALUE"""),"Blauwe jas pak")</f>
        <v>Blauwe jas pak</v>
      </c>
      <c r="B48" s="18">
        <f t="array" ref="B48">IFERROR(IF(_xlfn.XLOOKUP(A48, Data!A47:A1000, Data!D47:D1000) = "broek", IFERROR(INDEX('Form responses 1'!$A$2:$A1000,SUMPRODUCT(MAX(ROW('Form responses 1'!$B$2:$B1000)*(A48='Form responses 1'!$B$2:$B1000))-1)),"04/02/2022"),
IF(_xlfn.XLOOKUP(A48, Data!A47:A1000, Data!D47:D1000) = "T-shirt", INDEX('Form responses 1'!$A$2:$A1000,SUMPRODUCT(MAX(ROW('Form responses 1'!$C$2:$C1000)*(A48='Form responses 1'!$C$2:$C1000))-1)),
IF(_xlfn.XLOOKUP(A48, Data!A47:A1000, Data!D47:D1000) = "Trui", INDEX('Form responses 1'!$A$2:$A1000,SUMPRODUCT(MAX(ROW('Form responses 1'!$D$2:$D1000)*(A48='Form responses 1'!$D$2:$D1000))-1)),
IF(_xlfn.XLOOKUP(A48, Data!A47:A1000, Data!D47:D1000) = "blousje", INDEX('Form responses 1'!$A$2:$A1000,SUMPRODUCT(MAX(ROW('Form responses 1'!$E$2:$E1000)*(A48='Form responses 1'!$E$2:$E1000))-1)),
IF(_xlfn.XLOOKUP(A48, Data!A47:A1000, Data!D47:D1000) = "jas", INDEX('Form responses 1'!$A$2:$A1000,SUMPRODUCT(MAX(ROW('Form responses 1'!$G$2:$G1000)*(A48='Form responses 1'!$G$2:$G1000))-1)),
IF(_xlfn.XLOOKUP(A48, Data!A47:A1000, Data!D47:D1000) = "schoenen", INDEX('Form responses 1'!$A$2:$A1000,SUMPRODUCT(MAX(ROW('Form responses 1'!$F$2:$F1000)*(A48='Form responses 1'!$F$2:$F1000))-1)), "")))))),"-")
</f>
        <v>46302.59</v>
      </c>
    </row>
    <row r="49">
      <c r="A49" s="3" t="str">
        <f>IFERROR(__xludf.DUMMYFUNCTION("""COMPUTED_VALUE"""),"Oude blouse papa")</f>
        <v>Oude blouse papa</v>
      </c>
      <c r="B49" s="18">
        <f t="array" ref="B49">IFERROR(IF(_xlfn.XLOOKUP(A49, Data!A48:A1000, Data!D48:D1000) = "broek", IFERROR(INDEX('Form responses 1'!$A$2:$A1000,SUMPRODUCT(MAX(ROW('Form responses 1'!$B$2:$B1000)*(A49='Form responses 1'!$B$2:$B1000))-1)),"04/02/2022"),
IF(_xlfn.XLOOKUP(A49, Data!A48:A1000, Data!D48:D1000) = "T-shirt", INDEX('Form responses 1'!$A$2:$A1000,SUMPRODUCT(MAX(ROW('Form responses 1'!$C$2:$C1000)*(A49='Form responses 1'!$C$2:$C1000))-1)),
IF(_xlfn.XLOOKUP(A49, Data!A48:A1000, Data!D48:D1000) = "Trui", INDEX('Form responses 1'!$A$2:$A1000,SUMPRODUCT(MAX(ROW('Form responses 1'!$D$2:$D1000)*(A49='Form responses 1'!$D$2:$D1000))-1)),
IF(_xlfn.XLOOKUP(A49, Data!A48:A1000, Data!D48:D1000) = "blousje", INDEX('Form responses 1'!$A$2:$A1000,SUMPRODUCT(MAX(ROW('Form responses 1'!$E$2:$E1000)*(A49='Form responses 1'!$E$2:$E1000))-1)),
IF(_xlfn.XLOOKUP(A49, Data!A48:A1000, Data!D48:D1000) = "jas", INDEX('Form responses 1'!$A$2:$A1000,SUMPRODUCT(MAX(ROW('Form responses 1'!$G$2:$G1000)*(A49='Form responses 1'!$G$2:$G1000))-1)),
IF(_xlfn.XLOOKUP(A49, Data!A48:A1000, Data!D48:D1000) = "schoenen", INDEX('Form responses 1'!$A$2:$A1000,SUMPRODUCT(MAX(ROW('Form responses 1'!$F$2:$F1000)*(A49='Form responses 1'!$F$2:$F1000))-1)), "")))))),"-")
</f>
        <v>45524.42376</v>
      </c>
    </row>
    <row r="50">
      <c r="A50" s="3" t="str">
        <f>IFERROR(__xludf.DUMMYFUNCTION("""COMPUTED_VALUE"""),"Groene blouse")</f>
        <v>Groene blouse</v>
      </c>
      <c r="B50" s="18">
        <f t="array" ref="B50">IFERROR(IF(_xlfn.XLOOKUP(A50, Data!A49:A1000, Data!D49:D1000) = "broek", IFERROR(INDEX('Form responses 1'!$A$2:$A1000,SUMPRODUCT(MAX(ROW('Form responses 1'!$B$2:$B1000)*(A50='Form responses 1'!$B$2:$B1000))-1)),"04/02/2022"),
IF(_xlfn.XLOOKUP(A50, Data!A49:A1000, Data!D49:D1000) = "T-shirt", INDEX('Form responses 1'!$A$2:$A1000,SUMPRODUCT(MAX(ROW('Form responses 1'!$C$2:$C1000)*(A50='Form responses 1'!$C$2:$C1000))-1)),
IF(_xlfn.XLOOKUP(A50, Data!A49:A1000, Data!D49:D1000) = "Trui", INDEX('Form responses 1'!$A$2:$A1000,SUMPRODUCT(MAX(ROW('Form responses 1'!$D$2:$D1000)*(A50='Form responses 1'!$D$2:$D1000))-1)),
IF(_xlfn.XLOOKUP(A50, Data!A49:A1000, Data!D49:D1000) = "blousje", INDEX('Form responses 1'!$A$2:$A1000,SUMPRODUCT(MAX(ROW('Form responses 1'!$E$2:$E1000)*(A50='Form responses 1'!$E$2:$E1000))-1)),
IF(_xlfn.XLOOKUP(A50, Data!A49:A1000, Data!D49:D1000) = "jas", INDEX('Form responses 1'!$A$2:$A1000,SUMPRODUCT(MAX(ROW('Form responses 1'!$G$2:$G1000)*(A50='Form responses 1'!$G$2:$G1000))-1)),
IF(_xlfn.XLOOKUP(A50, Data!A49:A1000, Data!D49:D1000) = "schoenen", INDEX('Form responses 1'!$A$2:$A1000,SUMPRODUCT(MAX(ROW('Form responses 1'!$F$2:$F1000)*(A50='Form responses 1'!$F$2:$F1000))-1)), "")))))),"-")
</f>
        <v>46278.48238</v>
      </c>
    </row>
    <row r="51">
      <c r="A51" s="3" t="str">
        <f>IFERROR(__xludf.DUMMYFUNCTION("""COMPUTED_VALUE"""),"Blauwe Ralph Lauren blouse")</f>
        <v>Blauwe Ralph Lauren blouse</v>
      </c>
      <c r="B51" s="18">
        <f t="array" ref="B51">IFERROR(IF(_xlfn.XLOOKUP(A51, Data!A50:A1000, Data!D50:D1000) = "broek", IFERROR(INDEX('Form responses 1'!$A$2:$A1000,SUMPRODUCT(MAX(ROW('Form responses 1'!$B$2:$B1000)*(A51='Form responses 1'!$B$2:$B1000))-1)),"04/02/2022"),
IF(_xlfn.XLOOKUP(A51, Data!A50:A1000, Data!D50:D1000) = "T-shirt", INDEX('Form responses 1'!$A$2:$A1000,SUMPRODUCT(MAX(ROW('Form responses 1'!$C$2:$C1000)*(A51='Form responses 1'!$C$2:$C1000))-1)),
IF(_xlfn.XLOOKUP(A51, Data!A50:A1000, Data!D50:D1000) = "Trui", INDEX('Form responses 1'!$A$2:$A1000,SUMPRODUCT(MAX(ROW('Form responses 1'!$D$2:$D1000)*(A51='Form responses 1'!$D$2:$D1000))-1)),
IF(_xlfn.XLOOKUP(A51, Data!A50:A1000, Data!D50:D1000) = "blousje", INDEX('Form responses 1'!$A$2:$A1000,SUMPRODUCT(MAX(ROW('Form responses 1'!$E$2:$E1000)*(A51='Form responses 1'!$E$2:$E1000))-1)),
IF(_xlfn.XLOOKUP(A51, Data!A50:A1000, Data!D50:D1000) = "jas", INDEX('Form responses 1'!$A$2:$A1000,SUMPRODUCT(MAX(ROW('Form responses 1'!$G$2:$G1000)*(A51='Form responses 1'!$G$2:$G1000))-1)),
IF(_xlfn.XLOOKUP(A51, Data!A50:A1000, Data!D50:D1000) = "schoenen", INDEX('Form responses 1'!$A$2:$A1000,SUMPRODUCT(MAX(ROW('Form responses 1'!$F$2:$F1000)*(A51='Form responses 1'!$F$2:$F1000))-1)), "")))))),"-")
</f>
        <v>46205.56457</v>
      </c>
    </row>
    <row r="52">
      <c r="A52" s="6" t="str">
        <f>IFERROR(__xludf.DUMMYFUNCTION("""COMPUTED_VALUE"""),"Zwarte blouse")</f>
        <v>Zwarte blouse</v>
      </c>
      <c r="B52" s="18">
        <f t="array" ref="B52">IFERROR(IF(_xlfn.XLOOKUP(A52, Data!A51:A1000, Data!D51:D1000) = "broek", IFERROR(INDEX('Form responses 1'!$A$2:$A1000,SUMPRODUCT(MAX(ROW('Form responses 1'!$B$2:$B1000)*(A52='Form responses 1'!$B$2:$B1000))-1)),"04/02/2022"),
IF(_xlfn.XLOOKUP(A52, Data!A51:A1000, Data!D51:D1000) = "T-shirt", INDEX('Form responses 1'!$A$2:$A1000,SUMPRODUCT(MAX(ROW('Form responses 1'!$C$2:$C1000)*(A52='Form responses 1'!$C$2:$C1000))-1)),
IF(_xlfn.XLOOKUP(A52, Data!A51:A1000, Data!D51:D1000) = "Trui", INDEX('Form responses 1'!$A$2:$A1000,SUMPRODUCT(MAX(ROW('Form responses 1'!$D$2:$D1000)*(A52='Form responses 1'!$D$2:$D1000))-1)),
IF(_xlfn.XLOOKUP(A52, Data!A51:A1000, Data!D51:D1000) = "blousje", INDEX('Form responses 1'!$A$2:$A1000,SUMPRODUCT(MAX(ROW('Form responses 1'!$E$2:$E1000)*(A52='Form responses 1'!$E$2:$E1000))-1)),
IF(_xlfn.XLOOKUP(A52, Data!A51:A1000, Data!D51:D1000) = "jas", INDEX('Form responses 1'!$A$2:$A1000,SUMPRODUCT(MAX(ROW('Form responses 1'!$G$2:$G1000)*(A52='Form responses 1'!$G$2:$G1000))-1)),
IF(_xlfn.XLOOKUP(A52, Data!A51:A1000, Data!D51:D1000) = "schoenen", INDEX('Form responses 1'!$A$2:$A1000,SUMPRODUCT(MAX(ROW('Form responses 1'!$F$2:$F1000)*(A52='Form responses 1'!$F$2:$F1000))-1)), "")))))),"-")
</f>
        <v>45367.47313</v>
      </c>
    </row>
    <row r="53">
      <c r="A53" s="6" t="str">
        <f>IFERROR(__xludf.DUMMYFUNCTION("""COMPUTED_VALUE"""),"Beige, v-neck, strepen")</f>
        <v>Beige, v-neck, strepen</v>
      </c>
      <c r="B53" s="18">
        <f t="array" ref="B53">IFERROR(IF(_xlfn.XLOOKUP(A53, Data!A52:A1000, Data!D52:D1000) = "broek", IFERROR(INDEX('Form responses 1'!$A$2:$A1000,SUMPRODUCT(MAX(ROW('Form responses 1'!$B$2:$B1000)*(A53='Form responses 1'!$B$2:$B1000))-1)),"04/02/2022"),
IF(_xlfn.XLOOKUP(A53, Data!A52:A1000, Data!D52:D1000) = "T-shirt", INDEX('Form responses 1'!$A$2:$A1000,SUMPRODUCT(MAX(ROW('Form responses 1'!$C$2:$C1000)*(A53='Form responses 1'!$C$2:$C1000))-1)),
IF(_xlfn.XLOOKUP(A53, Data!A52:A1000, Data!D52:D1000) = "Trui", INDEX('Form responses 1'!$A$2:$A1000,SUMPRODUCT(MAX(ROW('Form responses 1'!$D$2:$D1000)*(A53='Form responses 1'!$D$2:$D1000))-1)),
IF(_xlfn.XLOOKUP(A53, Data!A52:A1000, Data!D52:D1000) = "blousje", INDEX('Form responses 1'!$A$2:$A1000,SUMPRODUCT(MAX(ROW('Form responses 1'!$E$2:$E1000)*(A53='Form responses 1'!$E$2:$E1000))-1)),
IF(_xlfn.XLOOKUP(A53, Data!A52:A1000, Data!D52:D1000) = "jas", INDEX('Form responses 1'!$A$2:$A1000,SUMPRODUCT(MAX(ROW('Form responses 1'!$G$2:$G1000)*(A53='Form responses 1'!$G$2:$G1000))-1)),
IF(_xlfn.XLOOKUP(A53, Data!A52:A1000, Data!D52:D1000) = "schoenen", INDEX('Form responses 1'!$A$2:$A1000,SUMPRODUCT(MAX(ROW('Form responses 1'!$F$2:$F1000)*(A53='Form responses 1'!$F$2:$F1000))-1)), "")))))),"-")
</f>
        <v>46249.66413</v>
      </c>
    </row>
    <row r="54">
      <c r="A54" s="6" t="str">
        <f>IFERROR(__xludf.DUMMYFUNCTION("""COMPUTED_VALUE"""),"Witte blouse doorzichtig")</f>
        <v>Witte blouse doorzichtig</v>
      </c>
      <c r="B54" s="18">
        <f t="array" ref="B54">IFERROR(IF(_xlfn.XLOOKUP(A54, Data!A53:A1000, Data!D53:D1000) = "broek", IFERROR(INDEX('Form responses 1'!$A$2:$A1000,SUMPRODUCT(MAX(ROW('Form responses 1'!$B$2:$B1000)*(A54='Form responses 1'!$B$2:$B1000))-1)),"04/02/2022"),
IF(_xlfn.XLOOKUP(A54, Data!A53:A1000, Data!D53:D1000) = "T-shirt", INDEX('Form responses 1'!$A$2:$A1000,SUMPRODUCT(MAX(ROW('Form responses 1'!$C$2:$C1000)*(A54='Form responses 1'!$C$2:$C1000))-1)),
IF(_xlfn.XLOOKUP(A54, Data!A53:A1000, Data!D53:D1000) = "Trui", INDEX('Form responses 1'!$A$2:$A1000,SUMPRODUCT(MAX(ROW('Form responses 1'!$D$2:$D1000)*(A54='Form responses 1'!$D$2:$D1000))-1)),
IF(_xlfn.XLOOKUP(A54, Data!A53:A1000, Data!D53:D1000) = "blousje", INDEX('Form responses 1'!$A$2:$A1000,SUMPRODUCT(MAX(ROW('Form responses 1'!$E$2:$E1000)*(A54='Form responses 1'!$E$2:$E1000))-1)),
IF(_xlfn.XLOOKUP(A54, Data!A53:A1000, Data!D53:D1000) = "jas", INDEX('Form responses 1'!$A$2:$A1000,SUMPRODUCT(MAX(ROW('Form responses 1'!$G$2:$G1000)*(A54='Form responses 1'!$G$2:$G1000))-1)),
IF(_xlfn.XLOOKUP(A54, Data!A53:A1000, Data!D53:D1000) = "schoenen", INDEX('Form responses 1'!$A$2:$A1000,SUMPRODUCT(MAX(ROW('Form responses 1'!$F$2:$F1000)*(A54='Form responses 1'!$F$2:$F1000))-1)), "")))))),"-")
</f>
        <v>46122.49902</v>
      </c>
    </row>
    <row r="55">
      <c r="A55" s="6" t="str">
        <f>IFERROR(__xludf.DUMMYFUNCTION("""COMPUTED_VALUE"""),"Witte blouse, zwarte strepen")</f>
        <v>Witte blouse, zwarte strepen</v>
      </c>
      <c r="B55" s="18">
        <f t="array" ref="B55">IFERROR(IF(_xlfn.XLOOKUP(A55, Data!A54:A1000, Data!D54:D1000) = "broek", IFERROR(INDEX('Form responses 1'!$A$2:$A1000,SUMPRODUCT(MAX(ROW('Form responses 1'!$B$2:$B1000)*(A55='Form responses 1'!$B$2:$B1000))-1)),"04/02/2022"),
IF(_xlfn.XLOOKUP(A55, Data!A54:A1000, Data!D54:D1000) = "T-shirt", INDEX('Form responses 1'!$A$2:$A1000,SUMPRODUCT(MAX(ROW('Form responses 1'!$C$2:$C1000)*(A55='Form responses 1'!$C$2:$C1000))-1)),
IF(_xlfn.XLOOKUP(A55, Data!A54:A1000, Data!D54:D1000) = "Trui", INDEX('Form responses 1'!$A$2:$A1000,SUMPRODUCT(MAX(ROW('Form responses 1'!$D$2:$D1000)*(A55='Form responses 1'!$D$2:$D1000))-1)),
IF(_xlfn.XLOOKUP(A55, Data!A54:A1000, Data!D54:D1000) = "blousje", INDEX('Form responses 1'!$A$2:$A1000,SUMPRODUCT(MAX(ROW('Form responses 1'!$E$2:$E1000)*(A55='Form responses 1'!$E$2:$E1000))-1)),
IF(_xlfn.XLOOKUP(A55, Data!A54:A1000, Data!D54:D1000) = "jas", INDEX('Form responses 1'!$A$2:$A1000,SUMPRODUCT(MAX(ROW('Form responses 1'!$G$2:$G1000)*(A55='Form responses 1'!$G$2:$G1000))-1)),
IF(_xlfn.XLOOKUP(A55, Data!A54:A1000, Data!D54:D1000) = "schoenen", INDEX('Form responses 1'!$A$2:$A1000,SUMPRODUCT(MAX(ROW('Form responses 1'!$F$2:$F1000)*(A55='Form responses 1'!$F$2:$F1000))-1)), "")))))),"-")
</f>
        <v>44596.7466</v>
      </c>
    </row>
    <row r="56">
      <c r="A56" s="3" t="str">
        <f>IFERROR(__xludf.DUMMYFUNCTION("""COMPUTED_VALUE"""),"Witte blouse oud")</f>
        <v>Witte blouse oud</v>
      </c>
      <c r="B56" s="18">
        <f t="array" ref="B56">IFERROR(IF(_xlfn.XLOOKUP(A56, Data!A55:A1000, Data!D55:D1000) = "broek", IFERROR(INDEX('Form responses 1'!$A$2:$A1000,SUMPRODUCT(MAX(ROW('Form responses 1'!$B$2:$B1000)*(A56='Form responses 1'!$B$2:$B1000))-1)),"04/02/2022"),
IF(_xlfn.XLOOKUP(A56, Data!A55:A1000, Data!D55:D1000) = "T-shirt", INDEX('Form responses 1'!$A$2:$A1000,SUMPRODUCT(MAX(ROW('Form responses 1'!$C$2:$C1000)*(A56='Form responses 1'!$C$2:$C1000))-1)),
IF(_xlfn.XLOOKUP(A56, Data!A55:A1000, Data!D55:D1000) = "Trui", INDEX('Form responses 1'!$A$2:$A1000,SUMPRODUCT(MAX(ROW('Form responses 1'!$D$2:$D1000)*(A56='Form responses 1'!$D$2:$D1000))-1)),
IF(_xlfn.XLOOKUP(A56, Data!A55:A1000, Data!D55:D1000) = "blousje", INDEX('Form responses 1'!$A$2:$A1000,SUMPRODUCT(MAX(ROW('Form responses 1'!$E$2:$E1000)*(A56='Form responses 1'!$E$2:$E1000))-1)),
IF(_xlfn.XLOOKUP(A56, Data!A55:A1000, Data!D55:D1000) = "jas", INDEX('Form responses 1'!$A$2:$A1000,SUMPRODUCT(MAX(ROW('Form responses 1'!$G$2:$G1000)*(A56='Form responses 1'!$G$2:$G1000))-1)),
IF(_xlfn.XLOOKUP(A56, Data!A55:A1000, Data!D55:D1000) = "schoenen", INDEX('Form responses 1'!$A$2:$A1000,SUMPRODUCT(MAX(ROW('Form responses 1'!$F$2:$F1000)*(A56='Form responses 1'!$F$2:$F1000))-1)), "")))))),"-")
</f>
        <v>45702.81551</v>
      </c>
    </row>
    <row r="57">
      <c r="A57" s="6" t="str">
        <f>IFERROR(__xludf.DUMMYFUNCTION("""COMPUTED_VALUE"""),"Witte blouse Society Shop")</f>
        <v>Witte blouse Society Shop</v>
      </c>
      <c r="B57" s="18">
        <f t="array" ref="B57">IFERROR(IF(_xlfn.XLOOKUP(A57, Data!A56:A1000, Data!D56:D1000) = "broek", IFERROR(INDEX('Form responses 1'!$A$2:$A1000,SUMPRODUCT(MAX(ROW('Form responses 1'!$B$2:$B1000)*(A57='Form responses 1'!$B$2:$B1000))-1)),"04/02/2022"),
IF(_xlfn.XLOOKUP(A57, Data!A56:A1000, Data!D56:D1000) = "T-shirt", INDEX('Form responses 1'!$A$2:$A1000,SUMPRODUCT(MAX(ROW('Form responses 1'!$C$2:$C1000)*(A57='Form responses 1'!$C$2:$C1000))-1)),
IF(_xlfn.XLOOKUP(A57, Data!A56:A1000, Data!D56:D1000) = "Trui", INDEX('Form responses 1'!$A$2:$A1000,SUMPRODUCT(MAX(ROW('Form responses 1'!$D$2:$D1000)*(A57='Form responses 1'!$D$2:$D1000))-1)),
IF(_xlfn.XLOOKUP(A57, Data!A56:A1000, Data!D56:D1000) = "blousje", INDEX('Form responses 1'!$A$2:$A1000,SUMPRODUCT(MAX(ROW('Form responses 1'!$E$2:$E1000)*(A57='Form responses 1'!$E$2:$E1000))-1)),
IF(_xlfn.XLOOKUP(A57, Data!A56:A1000, Data!D56:D1000) = "jas", INDEX('Form responses 1'!$A$2:$A1000,SUMPRODUCT(MAX(ROW('Form responses 1'!$G$2:$G1000)*(A57='Form responses 1'!$G$2:$G1000))-1)),
IF(_xlfn.XLOOKUP(A57, Data!A56:A1000, Data!D56:D1000) = "schoenen", INDEX('Form responses 1'!$A$2:$A1000,SUMPRODUCT(MAX(ROW('Form responses 1'!$F$2:$F1000)*(A57='Form responses 1'!$F$2:$F1000))-1)), "")))))),"-")
</f>
        <v>46190.41832</v>
      </c>
    </row>
    <row r="58">
      <c r="A58" s="3" t="str">
        <f>IFERROR(__xludf.DUMMYFUNCTION("""COMPUTED_VALUE"""),"Nette lange grijze jas")</f>
        <v>Nette lange grijze jas</v>
      </c>
      <c r="B58" s="18">
        <f t="array" ref="B58">IFERROR(IF(_xlfn.XLOOKUP(A58, Data!A57:A1000, Data!D57:D1000) = "broek", IFERROR(INDEX('Form responses 1'!$A$2:$A1000,SUMPRODUCT(MAX(ROW('Form responses 1'!$B$2:$B1000)*(A58='Form responses 1'!$B$2:$B1000))-1)),"04/02/2022"),
IF(_xlfn.XLOOKUP(A58, Data!A57:A1000, Data!D57:D1000) = "T-shirt", INDEX('Form responses 1'!$A$2:$A1000,SUMPRODUCT(MAX(ROW('Form responses 1'!$C$2:$C1000)*(A58='Form responses 1'!$C$2:$C1000))-1)),
IF(_xlfn.XLOOKUP(A58, Data!A57:A1000, Data!D57:D1000) = "Trui", INDEX('Form responses 1'!$A$2:$A1000,SUMPRODUCT(MAX(ROW('Form responses 1'!$D$2:$D1000)*(A58='Form responses 1'!$D$2:$D1000))-1)),
IF(_xlfn.XLOOKUP(A58, Data!A57:A1000, Data!D57:D1000) = "blousje", INDEX('Form responses 1'!$A$2:$A1000,SUMPRODUCT(MAX(ROW('Form responses 1'!$E$2:$E1000)*(A58='Form responses 1'!$E$2:$E1000))-1)),
IF(_xlfn.XLOOKUP(A58, Data!A57:A1000, Data!D57:D1000) = "jas", INDEX('Form responses 1'!$A$2:$A1000,SUMPRODUCT(MAX(ROW('Form responses 1'!$G$2:$G1000)*(A58='Form responses 1'!$G$2:$G1000))-1)),
IF(_xlfn.XLOOKUP(A58, Data!A57:A1000, Data!D57:D1000) = "schoenen", INDEX('Form responses 1'!$A$2:$A1000,SUMPRODUCT(MAX(ROW('Form responses 1'!$F$2:$F1000)*(A58='Form responses 1'!$F$2:$F1000))-1)), "")))))),"-")
</f>
        <v>46135.74191</v>
      </c>
    </row>
    <row r="59">
      <c r="A59" s="6" t="str">
        <f>IFERROR(__xludf.DUMMYFUNCTION("""COMPUTED_VALUE"""),"Groene winterjas")</f>
        <v>Groene winterjas</v>
      </c>
      <c r="B59" s="18">
        <f t="array" ref="B59">IFERROR(IF(_xlfn.XLOOKUP(A59, Data!A58:A1000, Data!D58:D1000) = "broek", IFERROR(INDEX('Form responses 1'!$A$2:$A1000,SUMPRODUCT(MAX(ROW('Form responses 1'!$B$2:$B1000)*(A59='Form responses 1'!$B$2:$B1000))-1)),"04/02/2022"),
IF(_xlfn.XLOOKUP(A59, Data!A58:A1000, Data!D58:D1000) = "T-shirt", INDEX('Form responses 1'!$A$2:$A1000,SUMPRODUCT(MAX(ROW('Form responses 1'!$C$2:$C1000)*(A59='Form responses 1'!$C$2:$C1000))-1)),
IF(_xlfn.XLOOKUP(A59, Data!A58:A1000, Data!D58:D1000) = "Trui", INDEX('Form responses 1'!$A$2:$A1000,SUMPRODUCT(MAX(ROW('Form responses 1'!$D$2:$D1000)*(A59='Form responses 1'!$D$2:$D1000))-1)),
IF(_xlfn.XLOOKUP(A59, Data!A58:A1000, Data!D58:D1000) = "blousje", INDEX('Form responses 1'!$A$2:$A1000,SUMPRODUCT(MAX(ROW('Form responses 1'!$E$2:$E1000)*(A59='Form responses 1'!$E$2:$E1000))-1)),
IF(_xlfn.XLOOKUP(A59, Data!A58:A1000, Data!D58:D1000) = "jas", INDEX('Form responses 1'!$A$2:$A1000,SUMPRODUCT(MAX(ROW('Form responses 1'!$G$2:$G1000)*(A59='Form responses 1'!$G$2:$G1000))-1)),
IF(_xlfn.XLOOKUP(A59, Data!A58:A1000, Data!D58:D1000) = "schoenen", INDEX('Form responses 1'!$A$2:$A1000,SUMPRODUCT(MAX(ROW('Form responses 1'!$F$2:$F1000)*(A59='Form responses 1'!$F$2:$F1000))-1)), "")))))),"-")
</f>
        <v>46142.46366</v>
      </c>
    </row>
    <row r="60">
      <c r="A60" s="6" t="str">
        <f>IFERROR(__xludf.DUMMYFUNCTION("""COMPUTED_VALUE"""),"Blauwe zomerjas")</f>
        <v>Blauwe zomerjas</v>
      </c>
      <c r="B60" s="18">
        <f t="array" ref="B60">IFERROR(IF(_xlfn.XLOOKUP(A60, Data!A58:A1000, Data!D58:D1000) = "broek", IFERROR(INDEX('Form responses 1'!$A$2:$A1000,SUMPRODUCT(MAX(ROW('Form responses 1'!$B$2:$B1000)*(A60='Form responses 1'!$B$2:$B1000))-1)),"04/02/2022"),
IF(_xlfn.XLOOKUP(A60, Data!A58:A1000, Data!D58:D1000) = "T-shirt", INDEX('Form responses 1'!$A$2:$A1000,SUMPRODUCT(MAX(ROW('Form responses 1'!$C$2:$C1000)*(A60='Form responses 1'!$C$2:$C1000))-1)),
IF(_xlfn.XLOOKUP(A60, Data!A58:A1000, Data!D58:D1000) = "Trui", INDEX('Form responses 1'!$A$2:$A1000,SUMPRODUCT(MAX(ROW('Form responses 1'!$D$2:$D1000)*(A60='Form responses 1'!$D$2:$D1000))-1)),
IF(_xlfn.XLOOKUP(A60, Data!A58:A1000, Data!D58:D1000) = "blousje", INDEX('Form responses 1'!$A$2:$A1000,SUMPRODUCT(MAX(ROW('Form responses 1'!$E$2:$E1000)*(A60='Form responses 1'!$E$2:$E1000))-1)),
IF(_xlfn.XLOOKUP(A60, Data!A58:A1000, Data!D58:D1000) = "jas", INDEX('Form responses 1'!$A$2:$A1000,SUMPRODUCT(MAX(ROW('Form responses 1'!$G$2:$G1000)*(A60='Form responses 1'!$G$2:$G1000))-1)),
IF(_xlfn.XLOOKUP(A60, Data!A58:A1000, Data!D58:D1000) = "schoenen", INDEX('Form responses 1'!$A$2:$A1000,SUMPRODUCT(MAX(ROW('Form responses 1'!$F$2:$F1000)*(A60='Form responses 1'!$F$2:$F1000))-1)), "")))))),"-")
</f>
        <v>45441.48595</v>
      </c>
    </row>
    <row r="61">
      <c r="A61" s="6" t="str">
        <f>IFERROR(__xludf.DUMMYFUNCTION("""COMPUTED_VALUE"""),"Groene zomerjas corduroy")</f>
        <v>Groene zomerjas corduroy</v>
      </c>
      <c r="B61" s="18">
        <f t="array" ref="B61">IFERROR(IF(_xlfn.XLOOKUP(A61, Data!A59:A1000, Data!D59:D1000) = "broek", IFERROR(INDEX('Form responses 1'!$A$2:$A1000,SUMPRODUCT(MAX(ROW('Form responses 1'!$B$2:$B1000)*(A61='Form responses 1'!$B$2:$B1000))-1)),"04/02/2022"),
IF(_xlfn.XLOOKUP(A61, Data!A59:A1000, Data!D59:D1000) = "T-shirt", INDEX('Form responses 1'!$A$2:$A1000,SUMPRODUCT(MAX(ROW('Form responses 1'!$C$2:$C1000)*(A61='Form responses 1'!$C$2:$C1000))-1)),
IF(_xlfn.XLOOKUP(A61, Data!A59:A1000, Data!D59:D1000) = "Trui", INDEX('Form responses 1'!$A$2:$A1000,SUMPRODUCT(MAX(ROW('Form responses 1'!$D$2:$D1000)*(A61='Form responses 1'!$D$2:$D1000))-1)),
IF(_xlfn.XLOOKUP(A61, Data!A59:A1000, Data!D59:D1000) = "blousje", INDEX('Form responses 1'!$A$2:$A1000,SUMPRODUCT(MAX(ROW('Form responses 1'!$E$2:$E1000)*(A61='Form responses 1'!$E$2:$E1000))-1)),
IF(_xlfn.XLOOKUP(A61, Data!A59:A1000, Data!D59:D1000) = "jas", INDEX('Form responses 1'!$A$2:$A1000,SUMPRODUCT(MAX(ROW('Form responses 1'!$G$2:$G1000)*(A61='Form responses 1'!$G$2:$G1000))-1)),
IF(_xlfn.XLOOKUP(A61, Data!A59:A1000, Data!D59:D1000) = "schoenen", INDEX('Form responses 1'!$A$2:$A1000,SUMPRODUCT(MAX(ROW('Form responses 1'!$F$2:$F1000)*(A61='Form responses 1'!$F$2:$F1000))-1)), "")))))),"-")
</f>
        <v>46307.52676</v>
      </c>
    </row>
    <row r="62">
      <c r="A62" s="3" t="str">
        <f>IFERROR(__xludf.DUMMYFUNCTION("""COMPUTED_VALUE"""),"Groene vintage leren jas")</f>
        <v>Groene vintage leren jas</v>
      </c>
      <c r="B62" s="18">
        <f t="array" ref="B62">IFERROR(IF(_xlfn.XLOOKUP(A62, Data!A59:A1000, Data!D59:D1000) = "broek", IFERROR(INDEX('Form responses 1'!$A$2:$A1000,SUMPRODUCT(MAX(ROW('Form responses 1'!$B$2:$B1000)*(A62='Form responses 1'!$B$2:$B1000))-1)),"04/02/2022"),
IF(_xlfn.XLOOKUP(A62, Data!A59:A1000, Data!D59:D1000) = "T-shirt", INDEX('Form responses 1'!$A$2:$A1000,SUMPRODUCT(MAX(ROW('Form responses 1'!$C$2:$C1000)*(A62='Form responses 1'!$C$2:$C1000))-1)),
IF(_xlfn.XLOOKUP(A62, Data!A59:A1000, Data!D59:D1000) = "Trui", INDEX('Form responses 1'!$A$2:$A1000,SUMPRODUCT(MAX(ROW('Form responses 1'!$D$2:$D1000)*(A62='Form responses 1'!$D$2:$D1000))-1)),
IF(_xlfn.XLOOKUP(A62, Data!A59:A1000, Data!D59:D1000) = "blousje", INDEX('Form responses 1'!$A$2:$A1000,SUMPRODUCT(MAX(ROW('Form responses 1'!$E$2:$E1000)*(A62='Form responses 1'!$E$2:$E1000))-1)),
IF(_xlfn.XLOOKUP(A62, Data!A59:A1000, Data!D59:D1000) = "jas", INDEX('Form responses 1'!$A$2:$A1000,SUMPRODUCT(MAX(ROW('Form responses 1'!$G$2:$G1000)*(A62='Form responses 1'!$G$2:$G1000))-1)),
IF(_xlfn.XLOOKUP(A62, Data!A59:A1000, Data!D59:D1000) = "schoenen", INDEX('Form responses 1'!$A$2:$A1000,SUMPRODUCT(MAX(ROW('Form responses 1'!$F$2:$F1000)*(A62='Form responses 1'!$F$2:$F1000))-1)), "")))))),"-")
</f>
        <v>46272.71507</v>
      </c>
    </row>
    <row r="63">
      <c r="A63" s="3" t="str">
        <f>IFERROR(__xludf.DUMMYFUNCTION("""COMPUTED_VALUE"""),"Bruine nette")</f>
        <v>Bruine nette</v>
      </c>
      <c r="B63" s="18">
        <f t="array" ref="B63">IFERROR(IF(_xlfn.XLOOKUP(A63, Data!A59:A1000, Data!D59:D1000) = "broek", IFERROR(INDEX('Form responses 1'!$A$2:$A1000,SUMPRODUCT(MAX(ROW('Form responses 1'!$B$2:$B1000)*(A63='Form responses 1'!$B$2:$B1000))-1)),"04/02/2022"),
IF(_xlfn.XLOOKUP(A63, Data!A59:A1000, Data!D59:D1000) = "T-shirt", INDEX('Form responses 1'!$A$2:$A1000,SUMPRODUCT(MAX(ROW('Form responses 1'!$C$2:$C1000)*(A63='Form responses 1'!$C$2:$C1000))-1)),
IF(_xlfn.XLOOKUP(A63, Data!A59:A1000, Data!D59:D1000) = "Trui", INDEX('Form responses 1'!$A$2:$A1000,SUMPRODUCT(MAX(ROW('Form responses 1'!$D$2:$D1000)*(A63='Form responses 1'!$D$2:$D1000))-1)),
IF(_xlfn.XLOOKUP(A63, Data!A59:A1000, Data!D59:D1000) = "blousje", INDEX('Form responses 1'!$A$2:$A1000,SUMPRODUCT(MAX(ROW('Form responses 1'!$E$2:$E1000)*(A63='Form responses 1'!$E$2:$E1000))-1)),
IF(_xlfn.XLOOKUP(A63, Data!A59:A1000, Data!D59:D1000) = "jas", INDEX('Form responses 1'!$A$2:$A1000,SUMPRODUCT(MAX(ROW('Form responses 1'!$G$2:$G1000)*(A63='Form responses 1'!$G$2:$G1000))-1)),
IF(_xlfn.XLOOKUP(A63, Data!A59:A1000, Data!D59:D1000) = "schoenen", INDEX('Form responses 1'!$A$2:$A1000,SUMPRODUCT(MAX(ROW('Form responses 1'!$F$2:$F1000)*(A63='Form responses 1'!$F$2:$F1000))-1)), "")))))),"-")
</f>
        <v>45701.56133</v>
      </c>
    </row>
    <row r="64">
      <c r="A64" s="3" t="str">
        <f>IFERROR(__xludf.DUMMYFUNCTION("""COMPUTED_VALUE"""),"Zwarte Clarks loafers")</f>
        <v>Zwarte Clarks loafers</v>
      </c>
      <c r="B64" s="18">
        <f t="array" ref="B64">IFERROR(IF(_xlfn.XLOOKUP(A64, Data!A60:A1000, Data!D60:D1000) = "broek", IFERROR(INDEX('Form responses 1'!$A$2:$A1000,SUMPRODUCT(MAX(ROW('Form responses 1'!$B$2:$B1000)*(A64='Form responses 1'!$B$2:$B1000))-1)),"04/02/2022"),
IF(_xlfn.XLOOKUP(A64, Data!A60:A1000, Data!D60:D1000) = "T-shirt", INDEX('Form responses 1'!$A$2:$A1000,SUMPRODUCT(MAX(ROW('Form responses 1'!$C$2:$C1000)*(A64='Form responses 1'!$C$2:$C1000))-1)),
IF(_xlfn.XLOOKUP(A64, Data!A60:A1000, Data!D60:D1000) = "Trui", INDEX('Form responses 1'!$A$2:$A1000,SUMPRODUCT(MAX(ROW('Form responses 1'!$D$2:$D1000)*(A64='Form responses 1'!$D$2:$D1000))-1)),
IF(_xlfn.XLOOKUP(A64, Data!A60:A1000, Data!D60:D1000) = "blousje", INDEX('Form responses 1'!$A$2:$A1000,SUMPRODUCT(MAX(ROW('Form responses 1'!$E$2:$E1000)*(A64='Form responses 1'!$E$2:$E1000))-1)),
IF(_xlfn.XLOOKUP(A64, Data!A60:A1000, Data!D60:D1000) = "jas", INDEX('Form responses 1'!$A$2:$A1000,SUMPRODUCT(MAX(ROW('Form responses 1'!$G$2:$G1000)*(A64='Form responses 1'!$G$2:$G1000))-1)),
IF(_xlfn.XLOOKUP(A64, Data!A60:A1000, Data!D60:D1000) = "schoenen", INDEX('Form responses 1'!$A$2:$A1000,SUMPRODUCT(MAX(ROW('Form responses 1'!$F$2:$F1000)*(A64='Form responses 1'!$F$2:$F1000))-1)), "")))))),"-")
</f>
        <v>46305.4246</v>
      </c>
    </row>
    <row r="65">
      <c r="A65" s="3" t="str">
        <f>IFERROR(__xludf.DUMMYFUNCTION("""COMPUTED_VALUE"""),"Beige fila schoenen")</f>
        <v>Beige fila schoenen</v>
      </c>
      <c r="B65" s="18">
        <f t="array" ref="B65">IFERROR(IF(_xlfn.XLOOKUP(A65, Data!A61:A1000, Data!D61:D1000) = "broek", IFERROR(INDEX('Form responses 1'!$A$2:$A1000,SUMPRODUCT(MAX(ROW('Form responses 1'!$B$2:$B1000)*(A65='Form responses 1'!$B$2:$B1000))-1)),"04/02/2022"),
IF(_xlfn.XLOOKUP(A65, Data!A61:A1000, Data!D61:D1000) = "T-shirt", INDEX('Form responses 1'!$A$2:$A1000,SUMPRODUCT(MAX(ROW('Form responses 1'!$C$2:$C1000)*(A65='Form responses 1'!$C$2:$C1000))-1)),
IF(_xlfn.XLOOKUP(A65, Data!A61:A1000, Data!D61:D1000) = "Trui", INDEX('Form responses 1'!$A$2:$A1000,SUMPRODUCT(MAX(ROW('Form responses 1'!$D$2:$D1000)*(A65='Form responses 1'!$D$2:$D1000))-1)),
IF(_xlfn.XLOOKUP(A65, Data!A61:A1000, Data!D61:D1000) = "blousje", INDEX('Form responses 1'!$A$2:$A1000,SUMPRODUCT(MAX(ROW('Form responses 1'!$E$2:$E1000)*(A65='Form responses 1'!$E$2:$E1000))-1)),
IF(_xlfn.XLOOKUP(A65, Data!A61:A1000, Data!D61:D1000) = "jas", INDEX('Form responses 1'!$A$2:$A1000,SUMPRODUCT(MAX(ROW('Form responses 1'!$G$2:$G1000)*(A65='Form responses 1'!$G$2:$G1000))-1)),
IF(_xlfn.XLOOKUP(A65, Data!A61:A1000, Data!D61:D1000) = "schoenen", INDEX('Form responses 1'!$A$2:$A1000,SUMPRODUCT(MAX(ROW('Form responses 1'!$F$2:$F1000)*(A65='Form responses 1'!$F$2:$F1000))-1)), "")))))),"-")
</f>
        <v>46046.35333</v>
      </c>
    </row>
    <row r="66">
      <c r="A66" s="6" t="str">
        <f>IFERROR(__xludf.DUMMYFUNCTION("""COMPUTED_VALUE"""),"New Balance 1906R")</f>
        <v>New Balance 1906R</v>
      </c>
      <c r="B66" s="18">
        <f t="array" ref="B66">IFERROR(IF(_xlfn.XLOOKUP(A66, Data!A62:A1000, Data!D62:D1000) = "broek", IFERROR(INDEX('Form responses 1'!$A$2:$A1000,SUMPRODUCT(MAX(ROW('Form responses 1'!$B$2:$B1000)*(A66='Form responses 1'!$B$2:$B1000))-1)),"04/02/2022"),
IF(_xlfn.XLOOKUP(A66, Data!A62:A1000, Data!D62:D1000) = "T-shirt", INDEX('Form responses 1'!$A$2:$A1000,SUMPRODUCT(MAX(ROW('Form responses 1'!$C$2:$C1000)*(A66='Form responses 1'!$C$2:$C1000))-1)),
IF(_xlfn.XLOOKUP(A66, Data!A62:A1000, Data!D62:D1000) = "Trui", INDEX('Form responses 1'!$A$2:$A1000,SUMPRODUCT(MAX(ROW('Form responses 1'!$D$2:$D1000)*(A66='Form responses 1'!$D$2:$D1000))-1)),
IF(_xlfn.XLOOKUP(A66, Data!A62:A1000, Data!D62:D1000) = "blousje", INDEX('Form responses 1'!$A$2:$A1000,SUMPRODUCT(MAX(ROW('Form responses 1'!$E$2:$E1000)*(A66='Form responses 1'!$E$2:$E1000))-1)),
IF(_xlfn.XLOOKUP(A66, Data!A62:A1000, Data!D62:D1000) = "jas", INDEX('Form responses 1'!$A$2:$A1000,SUMPRODUCT(MAX(ROW('Form responses 1'!$G$2:$G1000)*(A66='Form responses 1'!$G$2:$G1000))-1)),
IF(_xlfn.XLOOKUP(A66, Data!A62:A1000, Data!D62:D1000) = "schoenen", INDEX('Form responses 1'!$A$2:$A1000,SUMPRODUCT(MAX(ROW('Form responses 1'!$F$2:$F1000)*(A66='Form responses 1'!$F$2:$F1000))-1)), "")))))),"-")
</f>
        <v>46287.45103</v>
      </c>
    </row>
    <row r="67">
      <c r="A67" s="6" t="str">
        <f>IFERROR(__xludf.DUMMYFUNCTION("""COMPUTED_VALUE"""),"Wandelschoenen")</f>
        <v>Wandelschoenen</v>
      </c>
      <c r="B67" s="18">
        <f t="array" ref="B67">IFERROR(IF(_xlfn.XLOOKUP(A67, Data!A63:A1000, Data!D63:D1000) = "broek", IFERROR(INDEX('Form responses 1'!$A$2:$A1000,SUMPRODUCT(MAX(ROW('Form responses 1'!$B$2:$B1000)*(A67='Form responses 1'!$B$2:$B1000))-1)),"04/02/2022"),
IF(_xlfn.XLOOKUP(A67, Data!A63:A1000, Data!D63:D1000) = "T-shirt", INDEX('Form responses 1'!$A$2:$A1000,SUMPRODUCT(MAX(ROW('Form responses 1'!$C$2:$C1000)*(A67='Form responses 1'!$C$2:$C1000))-1)),
IF(_xlfn.XLOOKUP(A67, Data!A63:A1000, Data!D63:D1000) = "Trui", INDEX('Form responses 1'!$A$2:$A1000,SUMPRODUCT(MAX(ROW('Form responses 1'!$D$2:$D1000)*(A67='Form responses 1'!$D$2:$D1000))-1)),
IF(_xlfn.XLOOKUP(A67, Data!A63:A1000, Data!D63:D1000) = "blousje", INDEX('Form responses 1'!$A$2:$A1000,SUMPRODUCT(MAX(ROW('Form responses 1'!$E$2:$E1000)*(A67='Form responses 1'!$E$2:$E1000))-1)),
IF(_xlfn.XLOOKUP(A67, Data!A63:A1000, Data!D63:D1000) = "jas", INDEX('Form responses 1'!$A$2:$A1000,SUMPRODUCT(MAX(ROW('Form responses 1'!$G$2:$G1000)*(A67='Form responses 1'!$G$2:$G1000))-1)),
IF(_xlfn.XLOOKUP(A67, Data!A63:A1000, Data!D63:D1000) = "schoenen", INDEX('Form responses 1'!$A$2:$A1000,SUMPRODUCT(MAX(ROW('Form responses 1'!$F$2:$F1000)*(A67='Form responses 1'!$F$2:$F1000))-1)), "")))))),"-")
</f>
        <v>46019.70404</v>
      </c>
    </row>
    <row r="68">
      <c r="A68" s="6" t="str">
        <f>IFERROR(__xludf.DUMMYFUNCTION("""COMPUTED_VALUE"""),"Hardloopschoenen")</f>
        <v>Hardloopschoenen</v>
      </c>
      <c r="B68" s="18">
        <f t="array" ref="B68">IFERROR(IF(_xlfn.XLOOKUP(A68, Data!A64:A1000, Data!D64:D1000) = "broek", IFERROR(INDEX('Form responses 1'!$A$2:$A1000,SUMPRODUCT(MAX(ROW('Form responses 1'!$B$2:$B1000)*(A68='Form responses 1'!$B$2:$B1000))-1)),"04/02/2022"),
IF(_xlfn.XLOOKUP(A68, Data!A64:A1000, Data!D64:D1000) = "T-shirt", INDEX('Form responses 1'!$A$2:$A1000,SUMPRODUCT(MAX(ROW('Form responses 1'!$C$2:$C1000)*(A68='Form responses 1'!$C$2:$C1000))-1)),
IF(_xlfn.XLOOKUP(A68, Data!A64:A1000, Data!D64:D1000) = "Trui", INDEX('Form responses 1'!$A$2:$A1000,SUMPRODUCT(MAX(ROW('Form responses 1'!$D$2:$D1000)*(A68='Form responses 1'!$D$2:$D1000))-1)),
IF(_xlfn.XLOOKUP(A68, Data!A64:A1000, Data!D64:D1000) = "blousje", INDEX('Form responses 1'!$A$2:$A1000,SUMPRODUCT(MAX(ROW('Form responses 1'!$E$2:$E1000)*(A68='Form responses 1'!$E$2:$E1000))-1)),
IF(_xlfn.XLOOKUP(A68, Data!A64:A1000, Data!D64:D1000) = "jas", INDEX('Form responses 1'!$A$2:$A1000,SUMPRODUCT(MAX(ROW('Form responses 1'!$G$2:$G1000)*(A68='Form responses 1'!$G$2:$G1000))-1)),
IF(_xlfn.XLOOKUP(A68, Data!A64:A1000, Data!D64:D1000) = "schoenen", INDEX('Form responses 1'!$A$2:$A1000,SUMPRODUCT(MAX(ROW('Form responses 1'!$F$2:$F1000)*(A68='Form responses 1'!$F$2:$F1000))-1)), "")))))),"-")
</f>
        <v>46123.51938</v>
      </c>
    </row>
    <row r="69">
      <c r="A69" s="6" t="str">
        <f>IFERROR(__xludf.DUMMYFUNCTION("""COMPUTED_VALUE"""),"Blauwe Uniqlo sweater")</f>
        <v>Blauwe Uniqlo sweater</v>
      </c>
      <c r="B69" s="18">
        <f t="array" ref="B69">IFERROR(IF(_xlfn.XLOOKUP(A69, Data!A64:A1000, Data!D64:D1000) = "broek", IFERROR(INDEX('Form responses 1'!$A$2:$A1000,SUMPRODUCT(MAX(ROW('Form responses 1'!$B$2:$B1000)*(A69='Form responses 1'!$B$2:$B1000))-1)),"04/02/2022"),
IF(_xlfn.XLOOKUP(A69, Data!A64:A1000, Data!D64:D1000) = "T-shirt", INDEX('Form responses 1'!$A$2:$A1000,SUMPRODUCT(MAX(ROW('Form responses 1'!$C$2:$C1000)*(A69='Form responses 1'!$C$2:$C1000))-1)),
IF(_xlfn.XLOOKUP(A69, Data!A64:A1000, Data!D64:D1000) = "Trui", INDEX('Form responses 1'!$A$2:$A1000,SUMPRODUCT(MAX(ROW('Form responses 1'!$D$2:$D1000)*(A69='Form responses 1'!$D$2:$D1000))-1)),
IF(_xlfn.XLOOKUP(A69, Data!A64:A1000, Data!D64:D1000) = "blousje", INDEX('Form responses 1'!$A$2:$A1000,SUMPRODUCT(MAX(ROW('Form responses 1'!$E$2:$E1000)*(A69='Form responses 1'!$E$2:$E1000))-1)),
IF(_xlfn.XLOOKUP(A69, Data!A64:A1000, Data!D64:D1000) = "jas", INDEX('Form responses 1'!$A$2:$A1000,SUMPRODUCT(MAX(ROW('Form responses 1'!$G$2:$G1000)*(A69='Form responses 1'!$G$2:$G1000))-1)),
IF(_xlfn.XLOOKUP(A69, Data!A64:A1000, Data!D64:D1000) = "schoenen", INDEX('Form responses 1'!$A$2:$A1000,SUMPRODUCT(MAX(ROW('Form responses 1'!$F$2:$F1000)*(A69='Form responses 1'!$F$2:$F1000))-1)), "")))))),"-")
</f>
        <v>46181.42107</v>
      </c>
    </row>
    <row r="70">
      <c r="A70" s="6" t="str">
        <f>IFERROR(__xludf.DUMMYFUNCTION("""COMPUTED_VALUE"""),"Bruine Van Lier")</f>
        <v>Bruine Van Lier</v>
      </c>
      <c r="B70" s="18">
        <f t="array" ref="B70">IFERROR(IF(_xlfn.XLOOKUP(A70, Data!A64:A1000, Data!D64:D1000) = "broek", IFERROR(INDEX('Form responses 1'!$A$2:$A1000,SUMPRODUCT(MAX(ROW('Form responses 1'!$B$2:$B1000)*(A70='Form responses 1'!$B$2:$B1000))-1)),"04/02/2022"),
IF(_xlfn.XLOOKUP(A70, Data!A64:A1000, Data!D64:D1000) = "T-shirt", INDEX('Form responses 1'!$A$2:$A1000,SUMPRODUCT(MAX(ROW('Form responses 1'!$C$2:$C1000)*(A70='Form responses 1'!$C$2:$C1000))-1)),
IF(_xlfn.XLOOKUP(A70, Data!A64:A1000, Data!D64:D1000) = "Trui", INDEX('Form responses 1'!$A$2:$A1000,SUMPRODUCT(MAX(ROW('Form responses 1'!$D$2:$D1000)*(A70='Form responses 1'!$D$2:$D1000))-1)),
IF(_xlfn.XLOOKUP(A70, Data!A64:A1000, Data!D64:D1000) = "blousje", INDEX('Form responses 1'!$A$2:$A1000,SUMPRODUCT(MAX(ROW('Form responses 1'!$E$2:$E1000)*(A70='Form responses 1'!$E$2:$E1000))-1)),
IF(_xlfn.XLOOKUP(A70, Data!A64:A1000, Data!D64:D1000) = "jas", INDEX('Form responses 1'!$A$2:$A1000,SUMPRODUCT(MAX(ROW('Form responses 1'!$G$2:$G1000)*(A70='Form responses 1'!$G$2:$G1000))-1)),
IF(_xlfn.XLOOKUP(A70, Data!A64:A1000, Data!D64:D1000) = "schoenen", INDEX('Form responses 1'!$A$2:$A1000,SUMPRODUCT(MAX(ROW('Form responses 1'!$F$2:$F1000)*(A70='Form responses 1'!$F$2:$F1000))-1)), "")))))),"-")
</f>
        <v>46307.52676</v>
      </c>
    </row>
    <row r="71">
      <c r="A71" s="6" t="str">
        <f>IFERROR(__xludf.DUMMYFUNCTION("""COMPUTED_VALUE"""),"Bever bergschoenen")</f>
        <v>Bever bergschoenen</v>
      </c>
      <c r="B71" s="18">
        <f t="array" ref="B71">IFERROR(IF(_xlfn.XLOOKUP(A71, Data!A65:A1000, Data!D65:D1000) = "broek", IFERROR(INDEX('Form responses 1'!$A$2:$A1000,SUMPRODUCT(MAX(ROW('Form responses 1'!$B$2:$B1000)*(A71='Form responses 1'!$B$2:$B1000))-1)),"04/02/2022"),
IF(_xlfn.XLOOKUP(A71, Data!A65:A1000, Data!D65:D1000) = "T-shirt", INDEX('Form responses 1'!$A$2:$A1000,SUMPRODUCT(MAX(ROW('Form responses 1'!$C$2:$C1000)*(A71='Form responses 1'!$C$2:$C1000))-1)),
IF(_xlfn.XLOOKUP(A71, Data!A65:A1000, Data!D65:D1000) = "Trui", INDEX('Form responses 1'!$A$2:$A1000,SUMPRODUCT(MAX(ROW('Form responses 1'!$D$2:$D1000)*(A71='Form responses 1'!$D$2:$D1000))-1)),
IF(_xlfn.XLOOKUP(A71, Data!A65:A1000, Data!D65:D1000) = "blousje", INDEX('Form responses 1'!$A$2:$A1000,SUMPRODUCT(MAX(ROW('Form responses 1'!$E$2:$E1000)*(A71='Form responses 1'!$E$2:$E1000))-1)),
IF(_xlfn.XLOOKUP(A71, Data!A65:A1000, Data!D65:D1000) = "jas", INDEX('Form responses 1'!$A$2:$A1000,SUMPRODUCT(MAX(ROW('Form responses 1'!$G$2:$G1000)*(A71='Form responses 1'!$G$2:$G1000))-1)),
IF(_xlfn.XLOOKUP(A71, Data!A65:A1000, Data!D65:D1000) = "schoenen", INDEX('Form responses 1'!$A$2:$A1000,SUMPRODUCT(MAX(ROW('Form responses 1'!$F$2:$F1000)*(A71='Form responses 1'!$F$2:$F1000))-1)), "")))))),"-")
</f>
        <v>45865.71794</v>
      </c>
    </row>
    <row r="72">
      <c r="A72" s="6" t="str">
        <f>IFERROR(__xludf.DUMMYFUNCTION("""COMPUTED_VALUE"""),"Jack en Jones t-shirt")</f>
        <v>Jack en Jones t-shirt</v>
      </c>
      <c r="B72" s="18">
        <f t="array" ref="B72">IFERROR(IF(_xlfn.XLOOKUP(A72, Data!A65:A1000, Data!D65:D1000) = "broek", IFERROR(INDEX('Form responses 1'!$A$2:$A1000,SUMPRODUCT(MAX(ROW('Form responses 1'!$B$2:$B1000)*(A72='Form responses 1'!$B$2:$B1000))-1)),"04/02/2022"),
IF(_xlfn.XLOOKUP(A72, Data!A65:A1000, Data!D65:D1000) = "T-shirt", INDEX('Form responses 1'!$A$2:$A1000,SUMPRODUCT(MAX(ROW('Form responses 1'!$C$2:$C1000)*(A72='Form responses 1'!$C$2:$C1000))-1)),
IF(_xlfn.XLOOKUP(A72, Data!A65:A1000, Data!D65:D1000) = "Trui", INDEX('Form responses 1'!$A$2:$A1000,SUMPRODUCT(MAX(ROW('Form responses 1'!$D$2:$D1000)*(A72='Form responses 1'!$D$2:$D1000))-1)),
IF(_xlfn.XLOOKUP(A72, Data!A65:A1000, Data!D65:D1000) = "blousje", INDEX('Form responses 1'!$A$2:$A1000,SUMPRODUCT(MAX(ROW('Form responses 1'!$E$2:$E1000)*(A72='Form responses 1'!$E$2:$E1000))-1)),
IF(_xlfn.XLOOKUP(A72, Data!A65:A1000, Data!D65:D1000) = "jas", INDEX('Form responses 1'!$A$2:$A1000,SUMPRODUCT(MAX(ROW('Form responses 1'!$G$2:$G1000)*(A72='Form responses 1'!$G$2:$G1000))-1)),
IF(_xlfn.XLOOKUP(A72, Data!A65:A1000, Data!D65:D1000) = "schoenen", INDEX('Form responses 1'!$A$2:$A1000,SUMPRODUCT(MAX(ROW('Form responses 1'!$F$2:$F1000)*(A72='Form responses 1'!$F$2:$F1000))-1)), "")))))),"-")
</f>
        <v>46304.49038</v>
      </c>
    </row>
    <row r="73">
      <c r="A73" s="3" t="str">
        <f>IFERROR(__xludf.DUMMYFUNCTION("""COMPUTED_VALUE"""),"Rode lange mouwen polo")</f>
        <v>Rode lange mouwen polo</v>
      </c>
      <c r="B73" s="18">
        <f t="array" ref="B73">IFERROR(IF(_xlfn.XLOOKUP(A73, Data!A66:A1000, Data!D66:D1000) = "broek", IFERROR(INDEX('Form responses 1'!$A$2:$A1000,SUMPRODUCT(MAX(ROW('Form responses 1'!$B$2:$B1000)*(A73='Form responses 1'!$B$2:$B1000))-1)),"04/02/2022"),
IF(_xlfn.XLOOKUP(A73, Data!A66:A1000, Data!D66:D1000) = "T-shirt", INDEX('Form responses 1'!$A$2:$A1000,SUMPRODUCT(MAX(ROW('Form responses 1'!$C$2:$C1000)*(A73='Form responses 1'!$C$2:$C1000))-1)),
IF(_xlfn.XLOOKUP(A73, Data!A66:A1000, Data!D66:D1000) = "Trui", INDEX('Form responses 1'!$A$2:$A1000,SUMPRODUCT(MAX(ROW('Form responses 1'!$D$2:$D1000)*(A73='Form responses 1'!$D$2:$D1000))-1)),
IF(_xlfn.XLOOKUP(A73, Data!A66:A1000, Data!D66:D1000) = "blousje", INDEX('Form responses 1'!$A$2:$A1000,SUMPRODUCT(MAX(ROW('Form responses 1'!$E$2:$E1000)*(A73='Form responses 1'!$E$2:$E1000))-1)),
IF(_xlfn.XLOOKUP(A73, Data!A66:A1000, Data!D66:D1000) = "jas", INDEX('Form responses 1'!$A$2:$A1000,SUMPRODUCT(MAX(ROW('Form responses 1'!$G$2:$G1000)*(A73='Form responses 1'!$G$2:$G1000))-1)),
IF(_xlfn.XLOOKUP(A73, Data!A66:A1000, Data!D66:D1000) = "schoenen", INDEX('Form responses 1'!$A$2:$A1000,SUMPRODUCT(MAX(ROW('Form responses 1'!$F$2:$F1000)*(A73='Form responses 1'!$F$2:$F1000))-1)), "")))))),"-")
</f>
        <v>46269.41744</v>
      </c>
    </row>
    <row r="74">
      <c r="A74" s="6" t="str">
        <f>IFERROR(__xludf.DUMMYFUNCTION("""COMPUTED_VALUE"""),"Blauwe korte broek")</f>
        <v>Blauwe korte broek</v>
      </c>
      <c r="B74" s="18">
        <f t="array" ref="B74">IFERROR(IF(_xlfn.XLOOKUP(A74, Data!A67:A1000, Data!D67:D1000) = "broek", IFERROR(INDEX('Form responses 1'!$A$2:$A1000,SUMPRODUCT(MAX(ROW('Form responses 1'!$B$2:$B1000)*(A74='Form responses 1'!$B$2:$B1000))-1)),"04/02/2022"),
IF(_xlfn.XLOOKUP(A74, Data!A67:A1000, Data!D67:D1000) = "T-shirt", INDEX('Form responses 1'!$A$2:$A1000,SUMPRODUCT(MAX(ROW('Form responses 1'!$C$2:$C1000)*(A74='Form responses 1'!$C$2:$C1000))-1)),
IF(_xlfn.XLOOKUP(A74, Data!A67:A1000, Data!D67:D1000) = "Trui", INDEX('Form responses 1'!$A$2:$A1000,SUMPRODUCT(MAX(ROW('Form responses 1'!$D$2:$D1000)*(A74='Form responses 1'!$D$2:$D1000))-1)),
IF(_xlfn.XLOOKUP(A74, Data!A67:A1000, Data!D67:D1000) = "blousje", INDEX('Form responses 1'!$A$2:$A1000,SUMPRODUCT(MAX(ROW('Form responses 1'!$E$2:$E1000)*(A74='Form responses 1'!$E$2:$E1000))-1)),
IF(_xlfn.XLOOKUP(A74, Data!A67:A1000, Data!D67:D1000) = "jas", INDEX('Form responses 1'!$A$2:$A1000,SUMPRODUCT(MAX(ROW('Form responses 1'!$G$2:$G1000)*(A74='Form responses 1'!$G$2:$G1000))-1)),
IF(_xlfn.XLOOKUP(A74, Data!A67:A1000, Data!D67:D1000) = "schoenen", INDEX('Form responses 1'!$A$2:$A1000,SUMPRODUCT(MAX(ROW('Form responses 1'!$F$2:$F1000)*(A74='Form responses 1'!$F$2:$F1000))-1)), "")))))),"-")
</f>
        <v>46278.48101</v>
      </c>
    </row>
    <row r="75">
      <c r="A75" s="6" t="str">
        <f>IFERROR(__xludf.DUMMYFUNCTION("""COMPUTED_VALUE"""),"Daily Paper t-shirt")</f>
        <v>Daily Paper t-shirt</v>
      </c>
      <c r="B75" s="18">
        <f t="array" ref="B75">IFERROR(IF(_xlfn.XLOOKUP(A75, Data!A68:A1000, Data!D68:D1000) = "broek", IFERROR(INDEX('Form responses 1'!$A$2:$A1000,SUMPRODUCT(MAX(ROW('Form responses 1'!$B$2:$B1000)*(A75='Form responses 1'!$B$2:$B1000))-1)),"04/02/2022"),
IF(_xlfn.XLOOKUP(A75, Data!A68:A1000, Data!D68:D1000) = "T-shirt", INDEX('Form responses 1'!$A$2:$A1000,SUMPRODUCT(MAX(ROW('Form responses 1'!$C$2:$C1000)*(A75='Form responses 1'!$C$2:$C1000))-1)),
IF(_xlfn.XLOOKUP(A75, Data!A68:A1000, Data!D68:D1000) = "Trui", INDEX('Form responses 1'!$A$2:$A1000,SUMPRODUCT(MAX(ROW('Form responses 1'!$D$2:$D1000)*(A75='Form responses 1'!$D$2:$D1000))-1)),
IF(_xlfn.XLOOKUP(A75, Data!A68:A1000, Data!D68:D1000) = "blousje", INDEX('Form responses 1'!$A$2:$A1000,SUMPRODUCT(MAX(ROW('Form responses 1'!$E$2:$E1000)*(A75='Form responses 1'!$E$2:$E1000))-1)),
IF(_xlfn.XLOOKUP(A75, Data!A68:A1000, Data!D68:D1000) = "jas", INDEX('Form responses 1'!$A$2:$A1000,SUMPRODUCT(MAX(ROW('Form responses 1'!$G$2:$G1000)*(A75='Form responses 1'!$G$2:$G1000))-1)),
IF(_xlfn.XLOOKUP(A75, Data!A68:A1000, Data!D68:D1000) = "schoenen", INDEX('Form responses 1'!$A$2:$A1000,SUMPRODUCT(MAX(ROW('Form responses 1'!$F$2:$F1000)*(A75='Form responses 1'!$F$2:$F1000))-1)), "")))))),"-")
</f>
        <v>46225.71192</v>
      </c>
    </row>
    <row r="76">
      <c r="A76" s="6" t="str">
        <f>IFERROR(__xludf.DUMMYFUNCTION("""COMPUTED_VALUE"""),"Flowfrog t-shirt")</f>
        <v>Flowfrog t-shirt</v>
      </c>
      <c r="B76" s="18">
        <f t="array" ref="B76">IFERROR(IF(_xlfn.XLOOKUP(A76, Data!A69:A1000, Data!D69:D1000) = "broek", IFERROR(INDEX('Form responses 1'!$A$2:$A1000,SUMPRODUCT(MAX(ROW('Form responses 1'!$B$2:$B1000)*(A76='Form responses 1'!$B$2:$B1000))-1)),"04/02/2022"),
IF(_xlfn.XLOOKUP(A76, Data!A69:A1000, Data!D69:D1000) = "T-shirt", INDEX('Form responses 1'!$A$2:$A1000,SUMPRODUCT(MAX(ROW('Form responses 1'!$C$2:$C1000)*(A76='Form responses 1'!$C$2:$C1000))-1)),
IF(_xlfn.XLOOKUP(A76, Data!A69:A1000, Data!D69:D1000) = "Trui", INDEX('Form responses 1'!$A$2:$A1000,SUMPRODUCT(MAX(ROW('Form responses 1'!$D$2:$D1000)*(A76='Form responses 1'!$D$2:$D1000))-1)),
IF(_xlfn.XLOOKUP(A76, Data!A69:A1000, Data!D69:D1000) = "blousje", INDEX('Form responses 1'!$A$2:$A1000,SUMPRODUCT(MAX(ROW('Form responses 1'!$E$2:$E1000)*(A76='Form responses 1'!$E$2:$E1000))-1)),
IF(_xlfn.XLOOKUP(A76, Data!A69:A1000, Data!D69:D1000) = "jas", INDEX('Form responses 1'!$A$2:$A1000,SUMPRODUCT(MAX(ROW('Form responses 1'!$G$2:$G1000)*(A76='Form responses 1'!$G$2:$G1000))-1)),
IF(_xlfn.XLOOKUP(A76, Data!A69:A1000, Data!D69:D1000) = "schoenen", INDEX('Form responses 1'!$A$2:$A1000,SUMPRODUCT(MAX(ROW('Form responses 1'!$F$2:$F1000)*(A76='Form responses 1'!$F$2:$F1000))-1)), "")))))),"-")
</f>
        <v>46297.86508</v>
      </c>
    </row>
    <row r="77">
      <c r="A77" s="3" t="str">
        <f>IFERROR(__xludf.DUMMYFUNCTION("""COMPUTED_VALUE"""),"Vans Mte Crosspath Xc")</f>
        <v>Vans Mte Crosspath Xc</v>
      </c>
      <c r="B77" s="18">
        <f t="array" ref="B77">IFERROR(IF(_xlfn.XLOOKUP(A77, Data!A70:A1000, Data!D70:D1000) = "broek", IFERROR(INDEX('Form responses 1'!$A$2:$A1000,SUMPRODUCT(MAX(ROW('Form responses 1'!$B$2:$B1000)*(A77='Form responses 1'!$B$2:$B1000))-1)),"04/02/2022"),
IF(_xlfn.XLOOKUP(A77, Data!A70:A1000, Data!D70:D1000) = "T-shirt", INDEX('Form responses 1'!$A$2:$A1000,SUMPRODUCT(MAX(ROW('Form responses 1'!$C$2:$C1000)*(A77='Form responses 1'!$C$2:$C1000))-1)),
IF(_xlfn.XLOOKUP(A77, Data!A70:A1000, Data!D70:D1000) = "Trui", INDEX('Form responses 1'!$A$2:$A1000,SUMPRODUCT(MAX(ROW('Form responses 1'!$D$2:$D1000)*(A77='Form responses 1'!$D$2:$D1000))-1)),
IF(_xlfn.XLOOKUP(A77, Data!A70:A1000, Data!D70:D1000) = "blousje", INDEX('Form responses 1'!$A$2:$A1000,SUMPRODUCT(MAX(ROW('Form responses 1'!$E$2:$E1000)*(A77='Form responses 1'!$E$2:$E1000))-1)),
IF(_xlfn.XLOOKUP(A77, Data!A70:A1000, Data!D70:D1000) = "jas", INDEX('Form responses 1'!$A$2:$A1000,SUMPRODUCT(MAX(ROW('Form responses 1'!$G$2:$G1000)*(A77='Form responses 1'!$G$2:$G1000))-1)),
IF(_xlfn.XLOOKUP(A77, Data!A70:A1000, Data!D70:D1000) = "schoenen", INDEX('Form responses 1'!$A$2:$A1000,SUMPRODUCT(MAX(ROW('Form responses 1'!$F$2:$F1000)*(A77='Form responses 1'!$F$2:$F1000))-1)), "")))))),"-")
</f>
        <v>46278.48238</v>
      </c>
    </row>
    <row r="78">
      <c r="A78" s="3" t="str">
        <f>IFERROR(__xludf.DUMMYFUNCTION("""COMPUTED_VALUE"""),"Decathlon sportshirt wit")</f>
        <v>Decathlon sportshirt wit</v>
      </c>
      <c r="B78" s="18">
        <f t="array" ref="B78">IFERROR(IF(_xlfn.XLOOKUP(A78, Data!A71:A1000, Data!D71:D1000) = "broek", IFERROR(INDEX('Form responses 1'!$A$2:$A1000,SUMPRODUCT(MAX(ROW('Form responses 1'!$B$2:$B1000)*(A78='Form responses 1'!$B$2:$B1000))-1)),"04/02/2022"),
IF(_xlfn.XLOOKUP(A78, Data!A71:A1000, Data!D71:D1000) = "T-shirt", INDEX('Form responses 1'!$A$2:$A1000,SUMPRODUCT(MAX(ROW('Form responses 1'!$C$2:$C1000)*(A78='Form responses 1'!$C$2:$C1000))-1)),
IF(_xlfn.XLOOKUP(A78, Data!A71:A1000, Data!D71:D1000) = "Trui", INDEX('Form responses 1'!$A$2:$A1000,SUMPRODUCT(MAX(ROW('Form responses 1'!$D$2:$D1000)*(A78='Form responses 1'!$D$2:$D1000))-1)),
IF(_xlfn.XLOOKUP(A78, Data!A71:A1000, Data!D71:D1000) = "blousje", INDEX('Form responses 1'!$A$2:$A1000,SUMPRODUCT(MAX(ROW('Form responses 1'!$E$2:$E1000)*(A78='Form responses 1'!$E$2:$E1000))-1)),
IF(_xlfn.XLOOKUP(A78, Data!A71:A1000, Data!D71:D1000) = "jas", INDEX('Form responses 1'!$A$2:$A1000,SUMPRODUCT(MAX(ROW('Form responses 1'!$G$2:$G1000)*(A78='Form responses 1'!$G$2:$G1000))-1)),
IF(_xlfn.XLOOKUP(A78, Data!A71:A1000, Data!D71:D1000) = "schoenen", INDEX('Form responses 1'!$A$2:$A1000,SUMPRODUCT(MAX(ROW('Form responses 1'!$F$2:$F1000)*(A78='Form responses 1'!$F$2:$F1000))-1)), "")))))),"-")
</f>
        <v>46123.51938</v>
      </c>
    </row>
    <row r="79">
      <c r="A79" s="6" t="str">
        <f>IFERROR(__xludf.DUMMYFUNCTION("""COMPUTED_VALUE"""),"Decathlon sportshirt zwart")</f>
        <v>Decathlon sportshirt zwart</v>
      </c>
      <c r="B79" s="18">
        <f t="array" ref="B79">IFERROR(IF(_xlfn.XLOOKUP(A79, Data!A72:A1000, Data!D72:D1000) = "broek", IFERROR(INDEX('Form responses 1'!$A$2:$A1000,SUMPRODUCT(MAX(ROW('Form responses 1'!$B$2:$B1000)*(A79='Form responses 1'!$B$2:$B1000))-1)),"04/02/2022"),
IF(_xlfn.XLOOKUP(A79, Data!A72:A1000, Data!D72:D1000) = "T-shirt", INDEX('Form responses 1'!$A$2:$A1000,SUMPRODUCT(MAX(ROW('Form responses 1'!$C$2:$C1000)*(A79='Form responses 1'!$C$2:$C1000))-1)),
IF(_xlfn.XLOOKUP(A79, Data!A72:A1000, Data!D72:D1000) = "Trui", INDEX('Form responses 1'!$A$2:$A1000,SUMPRODUCT(MAX(ROW('Form responses 1'!$D$2:$D1000)*(A79='Form responses 1'!$D$2:$D1000))-1)),
IF(_xlfn.XLOOKUP(A79, Data!A72:A1000, Data!D72:D1000) = "blousje", INDEX('Form responses 1'!$A$2:$A1000,SUMPRODUCT(MAX(ROW('Form responses 1'!$E$2:$E1000)*(A79='Form responses 1'!$E$2:$E1000))-1)),
IF(_xlfn.XLOOKUP(A79, Data!A72:A1000, Data!D72:D1000) = "jas", INDEX('Form responses 1'!$A$2:$A1000,SUMPRODUCT(MAX(ROW('Form responses 1'!$G$2:$G1000)*(A79='Form responses 1'!$G$2:$G1000))-1)),
IF(_xlfn.XLOOKUP(A79, Data!A72:A1000, Data!D72:D1000) = "schoenen", INDEX('Form responses 1'!$A$2:$A1000,SUMPRODUCT(MAX(ROW('Form responses 1'!$F$2:$F1000)*(A79='Form responses 1'!$F$2:$F1000))-1)), "")))))),"-")
</f>
        <v>45986.45562</v>
      </c>
    </row>
    <row r="80">
      <c r="A80" s="6" t="str">
        <f>IFERROR(__xludf.DUMMYFUNCTION("""COMPUTED_VALUE"""),"Decathlon hardloopshirt blauw")</f>
        <v>Decathlon hardloopshirt blauw</v>
      </c>
      <c r="B80" s="18">
        <f t="array" ref="B80">IFERROR(IF(_xlfn.XLOOKUP(A80, Data!A73:A1000, Data!D73:D1000) = "broek", IFERROR(INDEX('Form responses 1'!$A$2:$A1000,SUMPRODUCT(MAX(ROW('Form responses 1'!$B$2:$B1000)*(A80='Form responses 1'!$B$2:$B1000))-1)),"04/02/2022"),
IF(_xlfn.XLOOKUP(A80, Data!A73:A1000, Data!D73:D1000) = "T-shirt", INDEX('Form responses 1'!$A$2:$A1000,SUMPRODUCT(MAX(ROW('Form responses 1'!$C$2:$C1000)*(A80='Form responses 1'!$C$2:$C1000))-1)),
IF(_xlfn.XLOOKUP(A80, Data!A73:A1000, Data!D73:D1000) = "Trui", INDEX('Form responses 1'!$A$2:$A1000,SUMPRODUCT(MAX(ROW('Form responses 1'!$D$2:$D1000)*(A80='Form responses 1'!$D$2:$D1000))-1)),
IF(_xlfn.XLOOKUP(A80, Data!A73:A1000, Data!D73:D1000) = "blousje", INDEX('Form responses 1'!$A$2:$A1000,SUMPRODUCT(MAX(ROW('Form responses 1'!$E$2:$E1000)*(A80='Form responses 1'!$E$2:$E1000))-1)),
IF(_xlfn.XLOOKUP(A80, Data!A73:A1000, Data!D73:D1000) = "jas", INDEX('Form responses 1'!$A$2:$A1000,SUMPRODUCT(MAX(ROW('Form responses 1'!$G$2:$G1000)*(A80='Form responses 1'!$G$2:$G1000))-1)),
IF(_xlfn.XLOOKUP(A80, Data!A73:A1000, Data!D73:D1000) = "schoenen", INDEX('Form responses 1'!$A$2:$A1000,SUMPRODUCT(MAX(ROW('Form responses 1'!$F$2:$F1000)*(A80='Form responses 1'!$F$2:$F1000))-1)), "")))))),"-")
</f>
        <v>45911.45302</v>
      </c>
    </row>
    <row r="81">
      <c r="A81" s="3" t="str">
        <f>IFERROR(__xludf.DUMMYFUNCTION("""COMPUTED_VALUE"""),"Decathlon zwemshirt")</f>
        <v>Decathlon zwemshirt</v>
      </c>
      <c r="B81" s="18">
        <f t="array" ref="B81">IFERROR(IF(_xlfn.XLOOKUP(A81, Data!A74:A1000, Data!D74:D1000) = "broek", IFERROR(INDEX('Form responses 1'!$A$2:$A1000,SUMPRODUCT(MAX(ROW('Form responses 1'!$B$2:$B1000)*(A81='Form responses 1'!$B$2:$B1000))-1)),"04/02/2022"),
IF(_xlfn.XLOOKUP(A81, Data!A74:A1000, Data!D74:D1000) = "T-shirt", INDEX('Form responses 1'!$A$2:$A1000,SUMPRODUCT(MAX(ROW('Form responses 1'!$C$2:$C1000)*(A81='Form responses 1'!$C$2:$C1000))-1)),
IF(_xlfn.XLOOKUP(A81, Data!A74:A1000, Data!D74:D1000) = "Trui", INDEX('Form responses 1'!$A$2:$A1000,SUMPRODUCT(MAX(ROW('Form responses 1'!$D$2:$D1000)*(A81='Form responses 1'!$D$2:$D1000))-1)),
IF(_xlfn.XLOOKUP(A81, Data!A74:A1000, Data!D74:D1000) = "blousje", INDEX('Form responses 1'!$A$2:$A1000,SUMPRODUCT(MAX(ROW('Form responses 1'!$E$2:$E1000)*(A81='Form responses 1'!$E$2:$E1000))-1)),
IF(_xlfn.XLOOKUP(A81, Data!A74:A1000, Data!D74:D1000) = "jas", INDEX('Form responses 1'!$A$2:$A1000,SUMPRODUCT(MAX(ROW('Form responses 1'!$G$2:$G1000)*(A81='Form responses 1'!$G$2:$G1000))-1)),
IF(_xlfn.XLOOKUP(A81, Data!A74:A1000, Data!D74:D1000) = "schoenen", INDEX('Form responses 1'!$A$2:$A1000,SUMPRODUCT(MAX(ROW('Form responses 1'!$F$2:$F1000)*(A81='Form responses 1'!$F$2:$F1000))-1)), "")))))),"-")
</f>
        <v>45894.14396</v>
      </c>
    </row>
    <row r="82">
      <c r="A82" s="6" t="str">
        <f>IFERROR(__xludf.DUMMYFUNCTION("""COMPUTED_VALUE"""),"Decathlon Fitness short")</f>
        <v>Decathlon Fitness short</v>
      </c>
      <c r="B82" s="18">
        <f t="array" ref="B82">IFERROR(IF(_xlfn.XLOOKUP(A82, Data!A75:A1000, Data!D75:D1000) = "broek", IFERROR(INDEX('Form responses 1'!$A$2:$A1000,SUMPRODUCT(MAX(ROW('Form responses 1'!$B$2:$B1000)*(A82='Form responses 1'!$B$2:$B1000))-1)),"04/02/2022"),
IF(_xlfn.XLOOKUP(A82, Data!A75:A1000, Data!D75:D1000) = "T-shirt", INDEX('Form responses 1'!$A$2:$A1000,SUMPRODUCT(MAX(ROW('Form responses 1'!$C$2:$C1000)*(A82='Form responses 1'!$C$2:$C1000))-1)),
IF(_xlfn.XLOOKUP(A82, Data!A75:A1000, Data!D75:D1000) = "Trui", INDEX('Form responses 1'!$A$2:$A1000,SUMPRODUCT(MAX(ROW('Form responses 1'!$D$2:$D1000)*(A82='Form responses 1'!$D$2:$D1000))-1)),
IF(_xlfn.XLOOKUP(A82, Data!A75:A1000, Data!D75:D1000) = "blousje", INDEX('Form responses 1'!$A$2:$A1000,SUMPRODUCT(MAX(ROW('Form responses 1'!$E$2:$E1000)*(A82='Form responses 1'!$E$2:$E1000))-1)),
IF(_xlfn.XLOOKUP(A82, Data!A75:A1000, Data!D75:D1000) = "jas", INDEX('Form responses 1'!$A$2:$A1000,SUMPRODUCT(MAX(ROW('Form responses 1'!$G$2:$G1000)*(A82='Form responses 1'!$G$2:$G1000))-1)),
IF(_xlfn.XLOOKUP(A82, Data!A75:A1000, Data!D75:D1000) = "schoenen", INDEX('Form responses 1'!$A$2:$A1000,SUMPRODUCT(MAX(ROW('Form responses 1'!$F$2:$F1000)*(A82='Form responses 1'!$F$2:$F1000))-1)), "")))))),"-")
</f>
        <v>46163.25978</v>
      </c>
    </row>
    <row r="83">
      <c r="A83" s="6" t="str">
        <f>IFERROR(__xludf.DUMMYFUNCTION("""COMPUTED_VALUE"""),"Decathlon wandelbroek dun")</f>
        <v>Decathlon wandelbroek dun</v>
      </c>
      <c r="B83" s="18">
        <f t="array" ref="B83">IFERROR(IF(_xlfn.XLOOKUP(A83, Data!A76:A1000, Data!D76:D1000) = "broek", IFERROR(INDEX('Form responses 1'!$A$2:$A1000,SUMPRODUCT(MAX(ROW('Form responses 1'!$B$2:$B1000)*(A83='Form responses 1'!$B$2:$B1000))-1)),"04/02/2022"),
IF(_xlfn.XLOOKUP(A83, Data!A76:A1000, Data!D76:D1000) = "T-shirt", INDEX('Form responses 1'!$A$2:$A1000,SUMPRODUCT(MAX(ROW('Form responses 1'!$C$2:$C1000)*(A83='Form responses 1'!$C$2:$C1000))-1)),
IF(_xlfn.XLOOKUP(A83, Data!A76:A1000, Data!D76:D1000) = "Trui", INDEX('Form responses 1'!$A$2:$A1000,SUMPRODUCT(MAX(ROW('Form responses 1'!$D$2:$D1000)*(A83='Form responses 1'!$D$2:$D1000))-1)),
IF(_xlfn.XLOOKUP(A83, Data!A76:A1000, Data!D76:D1000) = "blousje", INDEX('Form responses 1'!$A$2:$A1000,SUMPRODUCT(MAX(ROW('Form responses 1'!$E$2:$E1000)*(A83='Form responses 1'!$E$2:$E1000))-1)),
IF(_xlfn.XLOOKUP(A83, Data!A76:A1000, Data!D76:D1000) = "jas", INDEX('Form responses 1'!$A$2:$A1000,SUMPRODUCT(MAX(ROW('Form responses 1'!$G$2:$G1000)*(A83='Form responses 1'!$G$2:$G1000))-1)),
IF(_xlfn.XLOOKUP(A83, Data!A76:A1000, Data!D76:D1000) = "schoenen", INDEX('Form responses 1'!$A$2:$A1000,SUMPRODUCT(MAX(ROW('Form responses 1'!$F$2:$F1000)*(A83='Form responses 1'!$F$2:$F1000))-1)), "")))))),"-")
</f>
        <v>45911.45302</v>
      </c>
    </row>
    <row r="84">
      <c r="A84" s="3" t="str">
        <f>IFERROR(__xludf.DUMMYFUNCTION("""COMPUTED_VALUE"""),"Decathlon wandelbroek dik")</f>
        <v>Decathlon wandelbroek dik</v>
      </c>
      <c r="B84" s="18">
        <f t="array" ref="B84">IFERROR(IF(_xlfn.XLOOKUP(A84, Data!A77:A1000, Data!D77:D1000) = "broek", IFERROR(INDEX('Form responses 1'!$A$2:$A1000,SUMPRODUCT(MAX(ROW('Form responses 1'!$B$2:$B1000)*(A84='Form responses 1'!$B$2:$B1000))-1)),"04/02/2022"),
IF(_xlfn.XLOOKUP(A84, Data!A77:A1000, Data!D77:D1000) = "T-shirt", INDEX('Form responses 1'!$A$2:$A1000,SUMPRODUCT(MAX(ROW('Form responses 1'!$C$2:$C1000)*(A84='Form responses 1'!$C$2:$C1000))-1)),
IF(_xlfn.XLOOKUP(A84, Data!A77:A1000, Data!D77:D1000) = "Trui", INDEX('Form responses 1'!$A$2:$A1000,SUMPRODUCT(MAX(ROW('Form responses 1'!$D$2:$D1000)*(A84='Form responses 1'!$D$2:$D1000))-1)),
IF(_xlfn.XLOOKUP(A84, Data!A77:A1000, Data!D77:D1000) = "blousje", INDEX('Form responses 1'!$A$2:$A1000,SUMPRODUCT(MAX(ROW('Form responses 1'!$E$2:$E1000)*(A84='Form responses 1'!$E$2:$E1000))-1)),
IF(_xlfn.XLOOKUP(A84, Data!A77:A1000, Data!D77:D1000) = "jas", INDEX('Form responses 1'!$A$2:$A1000,SUMPRODUCT(MAX(ROW('Form responses 1'!$G$2:$G1000)*(A84='Form responses 1'!$G$2:$G1000))-1)),
IF(_xlfn.XLOOKUP(A84, Data!A77:A1000, Data!D77:D1000) = "schoenen", INDEX('Form responses 1'!$A$2:$A1000,SUMPRODUCT(MAX(ROW('Form responses 1'!$F$2:$F1000)*(A84='Form responses 1'!$F$2:$F1000))-1)), "")))))),"-")
</f>
        <v>45881.53747</v>
      </c>
    </row>
    <row r="85">
      <c r="A85" s="6" t="str">
        <f>IFERROR(__xludf.DUMMYFUNCTION("""COMPUTED_VALUE"""),"Beige linnen overhemd Vanda Tailors")</f>
        <v>Beige linnen overhemd Vanda Tailors</v>
      </c>
      <c r="B85" s="18">
        <f t="array" ref="B85">IFERROR(IF(_xlfn.XLOOKUP(A85, Data!A78:A1000, Data!D78:D1000) = "broek", IFERROR(INDEX('Form responses 1'!$A$2:$A1000,SUMPRODUCT(MAX(ROW('Form responses 1'!$B$2:$B1000)*(A85='Form responses 1'!$B$2:$B1000))-1)),"04/02/2022"),
IF(_xlfn.XLOOKUP(A85, Data!A78:A1000, Data!D78:D1000) = "T-shirt", INDEX('Form responses 1'!$A$2:$A1000,SUMPRODUCT(MAX(ROW('Form responses 1'!$C$2:$C1000)*(A85='Form responses 1'!$C$2:$C1000))-1)),
IF(_xlfn.XLOOKUP(A85, Data!A78:A1000, Data!D78:D1000) = "Trui", INDEX('Form responses 1'!$A$2:$A1000,SUMPRODUCT(MAX(ROW('Form responses 1'!$D$2:$D1000)*(A85='Form responses 1'!$D$2:$D1000))-1)),
IF(_xlfn.XLOOKUP(A85, Data!A78:A1000, Data!D78:D1000) = "blousje", INDEX('Form responses 1'!$A$2:$A1000,SUMPRODUCT(MAX(ROW('Form responses 1'!$E$2:$E1000)*(A85='Form responses 1'!$E$2:$E1000))-1)),
IF(_xlfn.XLOOKUP(A85, Data!A78:A1000, Data!D78:D1000) = "jas", INDEX('Form responses 1'!$A$2:$A1000,SUMPRODUCT(MAX(ROW('Form responses 1'!$G$2:$G1000)*(A85='Form responses 1'!$G$2:$G1000))-1)),
IF(_xlfn.XLOOKUP(A85, Data!A78:A1000, Data!D78:D1000) = "schoenen", INDEX('Form responses 1'!$A$2:$A1000,SUMPRODUCT(MAX(ROW('Form responses 1'!$F$2:$F1000)*(A85='Form responses 1'!$F$2:$F1000))-1)), "")))))),"-")
</f>
        <v>45912.3937</v>
      </c>
    </row>
    <row r="86">
      <c r="A86" s="6" t="str">
        <f>IFERROR(__xludf.DUMMYFUNCTION("""COMPUTED_VALUE"""),"Wit overhemd Vanda Tailors")</f>
        <v>Wit overhemd Vanda Tailors</v>
      </c>
      <c r="B86" s="18">
        <f t="array" ref="B86">IFERROR(IF(_xlfn.XLOOKUP(A86, Data!A79:A1000, Data!D79:D1000) = "broek", IFERROR(INDEX('Form responses 1'!$A$2:$A1000,SUMPRODUCT(MAX(ROW('Form responses 1'!$B$2:$B1000)*(A86='Form responses 1'!$B$2:$B1000))-1)),"04/02/2022"),
IF(_xlfn.XLOOKUP(A86, Data!A79:A1000, Data!D79:D1000) = "T-shirt", INDEX('Form responses 1'!$A$2:$A1000,SUMPRODUCT(MAX(ROW('Form responses 1'!$C$2:$C1000)*(A86='Form responses 1'!$C$2:$C1000))-1)),
IF(_xlfn.XLOOKUP(A86, Data!A79:A1000, Data!D79:D1000) = "Trui", INDEX('Form responses 1'!$A$2:$A1000,SUMPRODUCT(MAX(ROW('Form responses 1'!$D$2:$D1000)*(A86='Form responses 1'!$D$2:$D1000))-1)),
IF(_xlfn.XLOOKUP(A86, Data!A79:A1000, Data!D79:D1000) = "blousje", INDEX('Form responses 1'!$A$2:$A1000,SUMPRODUCT(MAX(ROW('Form responses 1'!$E$2:$E1000)*(A86='Form responses 1'!$E$2:$E1000))-1)),
IF(_xlfn.XLOOKUP(A86, Data!A79:A1000, Data!D79:D1000) = "jas", INDEX('Form responses 1'!$A$2:$A1000,SUMPRODUCT(MAX(ROW('Form responses 1'!$G$2:$G1000)*(A86='Form responses 1'!$G$2:$G1000))-1)),
IF(_xlfn.XLOOKUP(A86, Data!A79:A1000, Data!D79:D1000) = "schoenen", INDEX('Form responses 1'!$A$2:$A1000,SUMPRODUCT(MAX(ROW('Form responses 1'!$F$2:$F1000)*(A86='Form responses 1'!$F$2:$F1000))-1)), "")))))),"-")
</f>
        <v>46307.52636</v>
      </c>
    </row>
    <row r="87">
      <c r="A87" s="3" t="str">
        <f>IFERROR(__xludf.DUMMYFUNCTION("""COMPUTED_VALUE"""),"Blauw overhemd Vanda Tailors")</f>
        <v>Blauw overhemd Vanda Tailors</v>
      </c>
      <c r="B87" s="18">
        <f t="array" ref="B87">IFERROR(IF(_xlfn.XLOOKUP(A87, Data!A80:A1000, Data!D80:D1000) = "broek", IFERROR(INDEX('Form responses 1'!$A$2:$A1000,SUMPRODUCT(MAX(ROW('Form responses 1'!$B$2:$B1000)*(A87='Form responses 1'!$B$2:$B1000))-1)),"04/02/2022"),
IF(_xlfn.XLOOKUP(A87, Data!A80:A1000, Data!D80:D1000) = "T-shirt", INDEX('Form responses 1'!$A$2:$A1000,SUMPRODUCT(MAX(ROW('Form responses 1'!$C$2:$C1000)*(A87='Form responses 1'!$C$2:$C1000))-1)),
IF(_xlfn.XLOOKUP(A87, Data!A80:A1000, Data!D80:D1000) = "Trui", INDEX('Form responses 1'!$A$2:$A1000,SUMPRODUCT(MAX(ROW('Form responses 1'!$D$2:$D1000)*(A87='Form responses 1'!$D$2:$D1000))-1)),
IF(_xlfn.XLOOKUP(A87, Data!A80:A1000, Data!D80:D1000) = "blousje", INDEX('Form responses 1'!$A$2:$A1000,SUMPRODUCT(MAX(ROW('Form responses 1'!$E$2:$E1000)*(A87='Form responses 1'!$E$2:$E1000))-1)),
IF(_xlfn.XLOOKUP(A87, Data!A80:A1000, Data!D80:D1000) = "jas", INDEX('Form responses 1'!$A$2:$A1000,SUMPRODUCT(MAX(ROW('Form responses 1'!$G$2:$G1000)*(A87='Form responses 1'!$G$2:$G1000))-1)),
IF(_xlfn.XLOOKUP(A87, Data!A80:A1000, Data!D80:D1000) = "schoenen", INDEX('Form responses 1'!$A$2:$A1000,SUMPRODUCT(MAX(ROW('Form responses 1'!$F$2:$F1000)*(A87='Form responses 1'!$F$2:$F1000))-1)), "")))))),"-")
</f>
        <v>46302.59</v>
      </c>
    </row>
    <row r="88">
      <c r="A88" s="3" t="str">
        <f>IFERROR(__xludf.DUMMYFUNCTION("""COMPUTED_VALUE"""),"Spijkerbroek Compound Garment")</f>
        <v>Spijkerbroek Compound Garment</v>
      </c>
      <c r="B88" s="18">
        <f t="array" ref="B88">IFERROR(IF(_xlfn.XLOOKUP(A88, Data!A81:A1000, Data!D81:D1000) = "broek", IFERROR(INDEX('Form responses 1'!$A$2:$A1000,SUMPRODUCT(MAX(ROW('Form responses 1'!$B$2:$B1000)*(A88='Form responses 1'!$B$2:$B1000))-1)),"04/02/2022"),
IF(_xlfn.XLOOKUP(A88, Data!A81:A1000, Data!D81:D1000) = "T-shirt", INDEX('Form responses 1'!$A$2:$A1000,SUMPRODUCT(MAX(ROW('Form responses 1'!$C$2:$C1000)*(A88='Form responses 1'!$C$2:$C1000))-1)),
IF(_xlfn.XLOOKUP(A88, Data!A81:A1000, Data!D81:D1000) = "Trui", INDEX('Form responses 1'!$A$2:$A1000,SUMPRODUCT(MAX(ROW('Form responses 1'!$D$2:$D1000)*(A88='Form responses 1'!$D$2:$D1000))-1)),
IF(_xlfn.XLOOKUP(A88, Data!A81:A1000, Data!D81:D1000) = "blousje", INDEX('Form responses 1'!$A$2:$A1000,SUMPRODUCT(MAX(ROW('Form responses 1'!$E$2:$E1000)*(A88='Form responses 1'!$E$2:$E1000))-1)),
IF(_xlfn.XLOOKUP(A88, Data!A81:A1000, Data!D81:D1000) = "jas", INDEX('Form responses 1'!$A$2:$A1000,SUMPRODUCT(MAX(ROW('Form responses 1'!$G$2:$G1000)*(A88='Form responses 1'!$G$2:$G1000))-1)),
IF(_xlfn.XLOOKUP(A88, Data!A81:A1000, Data!D81:D1000) = "schoenen", INDEX('Form responses 1'!$A$2:$A1000,SUMPRODUCT(MAX(ROW('Form responses 1'!$F$2:$F1000)*(A88='Form responses 1'!$F$2:$F1000))-1)), "")))))),"-")
</f>
        <v>45970.63335</v>
      </c>
    </row>
    <row r="89">
      <c r="A89" s="3" t="str">
        <f>IFERROR(__xludf.DUMMYFUNCTION("""COMPUTED_VALUE"""),"Grijze pantalon pak Vanda Tailors")</f>
        <v>Grijze pantalon pak Vanda Tailors</v>
      </c>
      <c r="B89" s="18">
        <f t="array" ref="B89">IFERROR(IF(_xlfn.XLOOKUP(A89, Data!A82:A1000, Data!D82:D1000) = "broek", IFERROR(INDEX('Form responses 1'!$A$2:$A1000,SUMPRODUCT(MAX(ROW('Form responses 1'!$B$2:$B1000)*(A89='Form responses 1'!$B$2:$B1000))-1)),"04/02/2022"),
IF(_xlfn.XLOOKUP(A89, Data!A82:A1000, Data!D82:D1000) = "T-shirt", INDEX('Form responses 1'!$A$2:$A1000,SUMPRODUCT(MAX(ROW('Form responses 1'!$C$2:$C1000)*(A89='Form responses 1'!$C$2:$C1000))-1)),
IF(_xlfn.XLOOKUP(A89, Data!A82:A1000, Data!D82:D1000) = "Trui", INDEX('Form responses 1'!$A$2:$A1000,SUMPRODUCT(MAX(ROW('Form responses 1'!$D$2:$D1000)*(A89='Form responses 1'!$D$2:$D1000))-1)),
IF(_xlfn.XLOOKUP(A89, Data!A82:A1000, Data!D82:D1000) = "blousje", INDEX('Form responses 1'!$A$2:$A1000,SUMPRODUCT(MAX(ROW('Form responses 1'!$E$2:$E1000)*(A89='Form responses 1'!$E$2:$E1000))-1)),
IF(_xlfn.XLOOKUP(A89, Data!A82:A1000, Data!D82:D1000) = "jas", INDEX('Form responses 1'!$A$2:$A1000,SUMPRODUCT(MAX(ROW('Form responses 1'!$G$2:$G1000)*(A89='Form responses 1'!$G$2:$G1000))-1)),
IF(_xlfn.XLOOKUP(A89, Data!A82:A1000, Data!D82:D1000) = "schoenen", INDEX('Form responses 1'!$A$2:$A1000,SUMPRODUCT(MAX(ROW('Form responses 1'!$F$2:$F1000)*(A89='Form responses 1'!$F$2:$F1000))-1)), "")))))),"-")
</f>
        <v>46307.52636</v>
      </c>
    </row>
    <row r="90">
      <c r="A90" s="3" t="str">
        <f>IFERROR(__xludf.DUMMYFUNCTION("""COMPUTED_VALUE"""),"Grijs jas pak Vanda Tailors")</f>
        <v>Grijs jas pak Vanda Tailors</v>
      </c>
      <c r="B90" s="18">
        <f t="array" ref="B90">IFERROR(IF(_xlfn.XLOOKUP(A90, Data!A83:A1000, Data!D83:D1000) = "broek", IFERROR(INDEX('Form responses 1'!$A$2:$A1000,SUMPRODUCT(MAX(ROW('Form responses 1'!$B$2:$B1000)*(A90='Form responses 1'!$B$2:$B1000))-1)),"04/02/2022"),
IF(_xlfn.XLOOKUP(A90, Data!A83:A1000, Data!D83:D1000) = "T-shirt", INDEX('Form responses 1'!$A$2:$A1000,SUMPRODUCT(MAX(ROW('Form responses 1'!$C$2:$C1000)*(A90='Form responses 1'!$C$2:$C1000))-1)),
IF(_xlfn.XLOOKUP(A90, Data!A83:A1000, Data!D83:D1000) = "Trui", INDEX('Form responses 1'!$A$2:$A1000,SUMPRODUCT(MAX(ROW('Form responses 1'!$D$2:$D1000)*(A90='Form responses 1'!$D$2:$D1000))-1)),
IF(_xlfn.XLOOKUP(A90, Data!A83:A1000, Data!D83:D1000) = "blousje", INDEX('Form responses 1'!$A$2:$A1000,SUMPRODUCT(MAX(ROW('Form responses 1'!$E$2:$E1000)*(A90='Form responses 1'!$E$2:$E1000))-1)),
IF(_xlfn.XLOOKUP(A90, Data!A83:A1000, Data!D83:D1000) = "jas", INDEX('Form responses 1'!$A$2:$A1000,SUMPRODUCT(MAX(ROW('Form responses 1'!$G$2:$G1000)*(A90='Form responses 1'!$G$2:$G1000))-1)),
IF(_xlfn.XLOOKUP(A90, Data!A83:A1000, Data!D83:D1000) = "schoenen", INDEX('Form responses 1'!$A$2:$A1000,SUMPRODUCT(MAX(ROW('Form responses 1'!$F$2:$F1000)*(A90='Form responses 1'!$F$2:$F1000))-1)), "")))))),"-")
</f>
        <v>46307.52636</v>
      </c>
    </row>
    <row r="91">
      <c r="A91" s="3" t="str">
        <f>IFERROR(__xludf.DUMMYFUNCTION("""COMPUTED_VALUE"""),"Zwarte smoking broek")</f>
        <v>Zwarte smoking broek</v>
      </c>
      <c r="B91" s="18">
        <f t="array" ref="B91">IFERROR(IF(_xlfn.XLOOKUP(A91, Data!A84:A1000, Data!D84:D1000) = "broek", IFERROR(INDEX('Form responses 1'!$A$2:$A1000,SUMPRODUCT(MAX(ROW('Form responses 1'!$B$2:$B1000)*(A91='Form responses 1'!$B$2:$B1000))-1)),"04/02/2022"),
IF(_xlfn.XLOOKUP(A91, Data!A84:A1000, Data!D84:D1000) = "T-shirt", INDEX('Form responses 1'!$A$2:$A1000,SUMPRODUCT(MAX(ROW('Form responses 1'!$C$2:$C1000)*(A91='Form responses 1'!$C$2:$C1000))-1)),
IF(_xlfn.XLOOKUP(A91, Data!A84:A1000, Data!D84:D1000) = "Trui", INDEX('Form responses 1'!$A$2:$A1000,SUMPRODUCT(MAX(ROW('Form responses 1'!$D$2:$D1000)*(A91='Form responses 1'!$D$2:$D1000))-1)),
IF(_xlfn.XLOOKUP(A91, Data!A84:A1000, Data!D84:D1000) = "blousje", INDEX('Form responses 1'!$A$2:$A1000,SUMPRODUCT(MAX(ROW('Form responses 1'!$E$2:$E1000)*(A91='Form responses 1'!$E$2:$E1000))-1)),
IF(_xlfn.XLOOKUP(A91, Data!A84:A1000, Data!D84:D1000) = "jas", INDEX('Form responses 1'!$A$2:$A1000,SUMPRODUCT(MAX(ROW('Form responses 1'!$G$2:$G1000)*(A91='Form responses 1'!$G$2:$G1000))-1)),
IF(_xlfn.XLOOKUP(A91, Data!A84:A1000, Data!D84:D1000) = "schoenen", INDEX('Form responses 1'!$A$2:$A1000,SUMPRODUCT(MAX(ROW('Form responses 1'!$F$2:$F1000)*(A91='Form responses 1'!$F$2:$F1000))-1)), "")))))),"-")
</f>
        <v>45971.59415</v>
      </c>
    </row>
    <row r="92">
      <c r="A92" s="3" t="str">
        <f>IFERROR(__xludf.DUMMYFUNCTION("""COMPUTED_VALUE"""),"Zwarte smoking jas")</f>
        <v>Zwarte smoking jas</v>
      </c>
      <c r="B92" s="18">
        <f t="array" ref="B92">IFERROR(IF(_xlfn.XLOOKUP(A92, Data!A85:A1000, Data!D85:D1000) = "broek", IFERROR(INDEX('Form responses 1'!$A$2:$A1000,SUMPRODUCT(MAX(ROW('Form responses 1'!$B$2:$B1000)*(A92='Form responses 1'!$B$2:$B1000))-1)),"04/02/2022"),
IF(_xlfn.XLOOKUP(A92, Data!A85:A1000, Data!D85:D1000) = "T-shirt", INDEX('Form responses 1'!$A$2:$A1000,SUMPRODUCT(MAX(ROW('Form responses 1'!$C$2:$C1000)*(A92='Form responses 1'!$C$2:$C1000))-1)),
IF(_xlfn.XLOOKUP(A92, Data!A85:A1000, Data!D85:D1000) = "Trui", INDEX('Form responses 1'!$A$2:$A1000,SUMPRODUCT(MAX(ROW('Form responses 1'!$D$2:$D1000)*(A92='Form responses 1'!$D$2:$D1000))-1)),
IF(_xlfn.XLOOKUP(A92, Data!A85:A1000, Data!D85:D1000) = "blousje", INDEX('Form responses 1'!$A$2:$A1000,SUMPRODUCT(MAX(ROW('Form responses 1'!$E$2:$E1000)*(A92='Form responses 1'!$E$2:$E1000))-1)),
IF(_xlfn.XLOOKUP(A92, Data!A85:A1000, Data!D85:D1000) = "jas", INDEX('Form responses 1'!$A$2:$A1000,SUMPRODUCT(MAX(ROW('Form responses 1'!$G$2:$G1000)*(A92='Form responses 1'!$G$2:$G1000))-1)),
IF(_xlfn.XLOOKUP(A92, Data!A85:A1000, Data!D85:D1000) = "schoenen", INDEX('Form responses 1'!$A$2:$A1000,SUMPRODUCT(MAX(ROW('Form responses 1'!$F$2:$F1000)*(A92='Form responses 1'!$F$2:$F1000))-1)), "")))))),"-")
</f>
        <v>45971.59415</v>
      </c>
    </row>
    <row r="93">
      <c r="A93" s="3" t="str">
        <f>IFERROR(__xludf.DUMMYFUNCTION("""COMPUTED_VALUE"""),"Wit smoking overhemd")</f>
        <v>Wit smoking overhemd</v>
      </c>
      <c r="B93" s="18">
        <f t="array" ref="B93">IFERROR(IF(_xlfn.XLOOKUP(A93, Data!A86:A1000, Data!D86:D1000) = "broek", IFERROR(INDEX('Form responses 1'!$A$2:$A1000,SUMPRODUCT(MAX(ROW('Form responses 1'!$B$2:$B1000)*(A93='Form responses 1'!$B$2:$B1000))-1)),"04/02/2022"),
IF(_xlfn.XLOOKUP(A93, Data!A86:A1000, Data!D86:D1000) = "T-shirt", INDEX('Form responses 1'!$A$2:$A1000,SUMPRODUCT(MAX(ROW('Form responses 1'!$C$2:$C1000)*(A93='Form responses 1'!$C$2:$C1000))-1)),
IF(_xlfn.XLOOKUP(A93, Data!A86:A1000, Data!D86:D1000) = "Trui", INDEX('Form responses 1'!$A$2:$A1000,SUMPRODUCT(MAX(ROW('Form responses 1'!$D$2:$D1000)*(A93='Form responses 1'!$D$2:$D1000))-1)),
IF(_xlfn.XLOOKUP(A93, Data!A86:A1000, Data!D86:D1000) = "blousje", INDEX('Form responses 1'!$A$2:$A1000,SUMPRODUCT(MAX(ROW('Form responses 1'!$E$2:$E1000)*(A93='Form responses 1'!$E$2:$E1000))-1)),
IF(_xlfn.XLOOKUP(A93, Data!A86:A1000, Data!D86:D1000) = "jas", INDEX('Form responses 1'!$A$2:$A1000,SUMPRODUCT(MAX(ROW('Form responses 1'!$G$2:$G1000)*(A93='Form responses 1'!$G$2:$G1000))-1)),
IF(_xlfn.XLOOKUP(A93, Data!A86:A1000, Data!D86:D1000) = "schoenen", INDEX('Form responses 1'!$A$2:$A1000,SUMPRODUCT(MAX(ROW('Form responses 1'!$F$2:$F1000)*(A93='Form responses 1'!$F$2:$F1000))-1)), "")))))),"-")
</f>
        <v>45971.59415</v>
      </c>
    </row>
    <row r="94">
      <c r="A94" s="3" t="str">
        <f>IFERROR(__xludf.DUMMYFUNCTION("""COMPUTED_VALUE"""),"Zwarte nette schoenen")</f>
        <v>Zwarte nette schoenen</v>
      </c>
      <c r="B94" s="18">
        <f t="array" ref="B94">IFERROR(IF(_xlfn.XLOOKUP(A94, Data!A86:A1000, Data!D86:D1000) = "broek", IFERROR(INDEX('Form responses 1'!$A$2:$A1000,SUMPRODUCT(MAX(ROW('Form responses 1'!$B$2:$B1000)*(A94='Form responses 1'!$B$2:$B1000))-1)),"04/02/2022"),
IF(_xlfn.XLOOKUP(A94, Data!A86:A1000, Data!D86:D1000) = "T-shirt", INDEX('Form responses 1'!$A$2:$A1000,SUMPRODUCT(MAX(ROW('Form responses 1'!$C$2:$C1000)*(A94='Form responses 1'!$C$2:$C1000))-1)),
IF(_xlfn.XLOOKUP(A94, Data!A86:A1000, Data!D86:D1000) = "Trui", INDEX('Form responses 1'!$A$2:$A1000,SUMPRODUCT(MAX(ROW('Form responses 1'!$D$2:$D1000)*(A94='Form responses 1'!$D$2:$D1000))-1)),
IF(_xlfn.XLOOKUP(A94, Data!A86:A1000, Data!D86:D1000) = "blousje", INDEX('Form responses 1'!$A$2:$A1000,SUMPRODUCT(MAX(ROW('Form responses 1'!$E$2:$E1000)*(A94='Form responses 1'!$E$2:$E1000))-1)),
IF(_xlfn.XLOOKUP(A94, Data!A86:A1000, Data!D86:D1000) = "jas", INDEX('Form responses 1'!$A$2:$A1000,SUMPRODUCT(MAX(ROW('Form responses 1'!$G$2:$G1000)*(A94='Form responses 1'!$G$2:$G1000))-1)),
IF(_xlfn.XLOOKUP(A94, Data!A86:A1000, Data!D86:D1000) = "schoenen", INDEX('Form responses 1'!$A$2:$A1000,SUMPRODUCT(MAX(ROW('Form responses 1'!$F$2:$F1000)*(A94='Form responses 1'!$F$2:$F1000))-1)), "")))))),"-")
</f>
        <v>46038.34095</v>
      </c>
    </row>
    <row r="95">
      <c r="A95" s="3"/>
      <c r="B95" s="18" t="str">
        <f t="array" ref="B95">IFERROR(IF(_xlfn.XLOOKUP(A95, Data!A87:A1000, Data!D87:D1000) = "broek", IFERROR(INDEX('Form responses 1'!$A$2:$A1000,SUMPRODUCT(MAX(ROW('Form responses 1'!$B$2:$B1000)*(A95='Form responses 1'!$B$2:$B1000))-1)),"04/02/2022"),
IF(_xlfn.XLOOKUP(A95, Data!A87:A1000, Data!D87:D1000) = "T-shirt", INDEX('Form responses 1'!$A$2:$A1000,SUMPRODUCT(MAX(ROW('Form responses 1'!$C$2:$C1000)*(A95='Form responses 1'!$C$2:$C1000))-1)),
IF(_xlfn.XLOOKUP(A95, Data!A87:A1000, Data!D87:D1000) = "Trui", INDEX('Form responses 1'!$A$2:$A1000,SUMPRODUCT(MAX(ROW('Form responses 1'!$D$2:$D1000)*(A95='Form responses 1'!$D$2:$D1000))-1)),
IF(_xlfn.XLOOKUP(A95, Data!A87:A1000, Data!D87:D1000) = "blousje", INDEX('Form responses 1'!$A$2:$A1000,SUMPRODUCT(MAX(ROW('Form responses 1'!$E$2:$E1000)*(A95='Form responses 1'!$E$2:$E1000))-1)),
IF(_xlfn.XLOOKUP(A95, Data!A87:A1000, Data!D87:D1000) = "jas", INDEX('Form responses 1'!$A$2:$A1000,SUMPRODUCT(MAX(ROW('Form responses 1'!$G$2:$G1000)*(A95='Form responses 1'!$G$2:$G1000))-1)),
IF(_xlfn.XLOOKUP(A95, Data!A87:A1000, Data!D87:D1000) = "schoenen", INDEX('Form responses 1'!$A$2:$A1000,SUMPRODUCT(MAX(ROW('Form responses 1'!$F$2:$F1000)*(A95='Form responses 1'!$F$2:$F1000))-1)), "")))))),"-")
</f>
        <v>-</v>
      </c>
    </row>
    <row r="96">
      <c r="A96" s="3"/>
      <c r="B96" s="18" t="str">
        <f t="array" ref="B96">IFERROR(IF(_xlfn.XLOOKUP(A96, Data!A88:A1000, Data!D88:D1000) = "broek", IFERROR(INDEX('Form responses 1'!$A$2:$A1000,SUMPRODUCT(MAX(ROW('Form responses 1'!$B$2:$B1000)*(A96='Form responses 1'!$B$2:$B1000))-1)),"04/02/2022"),
IF(_xlfn.XLOOKUP(A96, Data!A88:A1000, Data!D88:D1000) = "T-shirt", INDEX('Form responses 1'!$A$2:$A1000,SUMPRODUCT(MAX(ROW('Form responses 1'!$C$2:$C1000)*(A96='Form responses 1'!$C$2:$C1000))-1)),
IF(_xlfn.XLOOKUP(A96, Data!A88:A1000, Data!D88:D1000) = "Trui", INDEX('Form responses 1'!$A$2:$A1000,SUMPRODUCT(MAX(ROW('Form responses 1'!$D$2:$D1000)*(A96='Form responses 1'!$D$2:$D1000))-1)),
IF(_xlfn.XLOOKUP(A96, Data!A88:A1000, Data!D88:D1000) = "blousje", INDEX('Form responses 1'!$A$2:$A1000,SUMPRODUCT(MAX(ROW('Form responses 1'!$E$2:$E1000)*(A96='Form responses 1'!$E$2:$E1000))-1)),
IF(_xlfn.XLOOKUP(A96, Data!A88:A1000, Data!D88:D1000) = "jas", INDEX('Form responses 1'!$A$2:$A1000,SUMPRODUCT(MAX(ROW('Form responses 1'!$G$2:$G1000)*(A96='Form responses 1'!$G$2:$G1000))-1)),
IF(_xlfn.XLOOKUP(A96, Data!A88:A1000, Data!D88:D1000) = "schoenen", INDEX('Form responses 1'!$A$2:$A1000,SUMPRODUCT(MAX(ROW('Form responses 1'!$F$2:$F1000)*(A96='Form responses 1'!$F$2:$F1000))-1)), "")))))),"-")
</f>
        <v>-</v>
      </c>
    </row>
    <row r="97">
      <c r="A97" s="3"/>
      <c r="B97" s="18" t="str">
        <f t="array" ref="B97">IFERROR(IF(_xlfn.XLOOKUP(A97, Data!A89:A1000, Data!D89:D1000) = "broek", IFERROR(INDEX('Form responses 1'!$A$2:$A1000,SUMPRODUCT(MAX(ROW('Form responses 1'!$B$2:$B1000)*(A97='Form responses 1'!$B$2:$B1000))-1)),"04/02/2022"),
IF(_xlfn.XLOOKUP(A97, Data!A89:A1000, Data!D89:D1000) = "T-shirt", INDEX('Form responses 1'!$A$2:$A1000,SUMPRODUCT(MAX(ROW('Form responses 1'!$C$2:$C1000)*(A97='Form responses 1'!$C$2:$C1000))-1)),
IF(_xlfn.XLOOKUP(A97, Data!A89:A1000, Data!D89:D1000) = "Trui", INDEX('Form responses 1'!$A$2:$A1000,SUMPRODUCT(MAX(ROW('Form responses 1'!$D$2:$D1000)*(A97='Form responses 1'!$D$2:$D1000))-1)),
IF(_xlfn.XLOOKUP(A97, Data!A89:A1000, Data!D89:D1000) = "blousje", INDEX('Form responses 1'!$A$2:$A1000,SUMPRODUCT(MAX(ROW('Form responses 1'!$E$2:$E1000)*(A97='Form responses 1'!$E$2:$E1000))-1)),
IF(_xlfn.XLOOKUP(A97, Data!A89:A1000, Data!D89:D1000) = "jas", INDEX('Form responses 1'!$A$2:$A1000,SUMPRODUCT(MAX(ROW('Form responses 1'!$G$2:$G1000)*(A97='Form responses 1'!$G$2:$G1000))-1)),
IF(_xlfn.XLOOKUP(A97, Data!A89:A1000, Data!D89:D1000) = "schoenen", INDEX('Form responses 1'!$A$2:$A1000,SUMPRODUCT(MAX(ROW('Form responses 1'!$F$2:$F1000)*(A97='Form responses 1'!$F$2:$F1000))-1)), "")))))),"-")
</f>
        <v>-</v>
      </c>
    </row>
    <row r="98">
      <c r="A98" s="3"/>
      <c r="B98" s="18" t="str">
        <f t="array" ref="B98">IFERROR(IF(_xlfn.XLOOKUP(A98, Data!A90:A1000, Data!D90:D1000) = "broek", IFERROR(INDEX('Form responses 1'!$A$2:$A1000,SUMPRODUCT(MAX(ROW('Form responses 1'!$B$2:$B1000)*(A98='Form responses 1'!$B$2:$B1000))-1)),"04/02/2022"),
IF(_xlfn.XLOOKUP(A98, Data!A90:A1000, Data!D90:D1000) = "T-shirt", INDEX('Form responses 1'!$A$2:$A1000,SUMPRODUCT(MAX(ROW('Form responses 1'!$C$2:$C1000)*(A98='Form responses 1'!$C$2:$C1000))-1)),
IF(_xlfn.XLOOKUP(A98, Data!A90:A1000, Data!D90:D1000) = "Trui", INDEX('Form responses 1'!$A$2:$A1000,SUMPRODUCT(MAX(ROW('Form responses 1'!$D$2:$D1000)*(A98='Form responses 1'!$D$2:$D1000))-1)),
IF(_xlfn.XLOOKUP(A98, Data!A90:A1000, Data!D90:D1000) = "blousje", INDEX('Form responses 1'!$A$2:$A1000,SUMPRODUCT(MAX(ROW('Form responses 1'!$E$2:$E1000)*(A98='Form responses 1'!$E$2:$E1000))-1)),
IF(_xlfn.XLOOKUP(A98, Data!A90:A1000, Data!D90:D1000) = "jas", INDEX('Form responses 1'!$A$2:$A1000,SUMPRODUCT(MAX(ROW('Form responses 1'!$G$2:$G1000)*(A98='Form responses 1'!$G$2:$G1000))-1)),
IF(_xlfn.XLOOKUP(A98, Data!A90:A1000, Data!D90:D1000) = "schoenen", INDEX('Form responses 1'!$A$2:$A1000,SUMPRODUCT(MAX(ROW('Form responses 1'!$F$2:$F1000)*(A98='Form responses 1'!$F$2:$F1000))-1)), "")))))),"-")
</f>
        <v>-</v>
      </c>
    </row>
    <row r="99">
      <c r="A99" s="3"/>
      <c r="B99" s="18" t="str">
        <f t="array" ref="B99">IFERROR(IF(_xlfn.XLOOKUP(A99, Data!A91:A1000, Data!D91:D1000) = "broek", IFERROR(INDEX('Form responses 1'!$A$2:$A1000,SUMPRODUCT(MAX(ROW('Form responses 1'!$B$2:$B1000)*(A99='Form responses 1'!$B$2:$B1000))-1)),"04/02/2022"),
IF(_xlfn.XLOOKUP(A99, Data!A91:A1000, Data!D91:D1000) = "T-shirt", INDEX('Form responses 1'!$A$2:$A1000,SUMPRODUCT(MAX(ROW('Form responses 1'!$C$2:$C1000)*(A99='Form responses 1'!$C$2:$C1000))-1)),
IF(_xlfn.XLOOKUP(A99, Data!A91:A1000, Data!D91:D1000) = "Trui", INDEX('Form responses 1'!$A$2:$A1000,SUMPRODUCT(MAX(ROW('Form responses 1'!$D$2:$D1000)*(A99='Form responses 1'!$D$2:$D1000))-1)),
IF(_xlfn.XLOOKUP(A99, Data!A91:A1000, Data!D91:D1000) = "blousje", INDEX('Form responses 1'!$A$2:$A1000,SUMPRODUCT(MAX(ROW('Form responses 1'!$E$2:$E1000)*(A99='Form responses 1'!$E$2:$E1000))-1)),
IF(_xlfn.XLOOKUP(A99, Data!A91:A1000, Data!D91:D1000) = "jas", INDEX('Form responses 1'!$A$2:$A1000,SUMPRODUCT(MAX(ROW('Form responses 1'!$G$2:$G1000)*(A99='Form responses 1'!$G$2:$G1000))-1)),
IF(_xlfn.XLOOKUP(A99, Data!A91:A1000, Data!D91:D1000) = "schoenen", INDEX('Form responses 1'!$A$2:$A1000,SUMPRODUCT(MAX(ROW('Form responses 1'!$F$2:$F1000)*(A99='Form responses 1'!$F$2:$F1000))-1)), "")))))),"-")
</f>
        <v>-</v>
      </c>
    </row>
    <row r="100">
      <c r="A100" s="3"/>
      <c r="B100" s="18" t="str">
        <f t="array" ref="B100">IFERROR(IF(_xlfn.XLOOKUP(A100, Data!A92:A1000, Data!D92:D1000) = "broek", IFERROR(INDEX('Form responses 1'!$A$2:$A1000,SUMPRODUCT(MAX(ROW('Form responses 1'!$B$2:$B1000)*(A100='Form responses 1'!$B$2:$B1000))-1)),"04/02/2022"),
IF(_xlfn.XLOOKUP(A100, Data!A92:A1000, Data!D92:D1000) = "T-shirt", INDEX('Form responses 1'!$A$2:$A1000,SUMPRODUCT(MAX(ROW('Form responses 1'!$C$2:$C1000)*(A100='Form responses 1'!$C$2:$C1000))-1)),
IF(_xlfn.XLOOKUP(A100, Data!A92:A1000, Data!D92:D1000) = "Trui", INDEX('Form responses 1'!$A$2:$A1000,SUMPRODUCT(MAX(ROW('Form responses 1'!$D$2:$D1000)*(A100='Form responses 1'!$D$2:$D1000))-1)),
IF(_xlfn.XLOOKUP(A100, Data!A92:A1000, Data!D92:D1000) = "blousje", INDEX('Form responses 1'!$A$2:$A1000,SUMPRODUCT(MAX(ROW('Form responses 1'!$E$2:$E1000)*(A100='Form responses 1'!$E$2:$E1000))-1)),
IF(_xlfn.XLOOKUP(A100, Data!A92:A1000, Data!D92:D1000) = "jas", INDEX('Form responses 1'!$A$2:$A1000,SUMPRODUCT(MAX(ROW('Form responses 1'!$G$2:$G1000)*(A100='Form responses 1'!$G$2:$G1000))-1)),
IF(_xlfn.XLOOKUP(A100, Data!A92:A1000, Data!D92:D1000) = "schoenen", INDEX('Form responses 1'!$A$2:$A1000,SUMPRODUCT(MAX(ROW('Form responses 1'!$F$2:$F1000)*(A100='Form responses 1'!$F$2:$F1000))-1)), "")))))),"-")
</f>
        <v>-</v>
      </c>
    </row>
    <row r="101">
      <c r="A101" s="3"/>
      <c r="B101" s="18" t="str">
        <f t="array" ref="B101">IFERROR(IF(_xlfn.XLOOKUP(A101, Data!A93:A1000, Data!D93:D1000) = "broek", IFERROR(INDEX('Form responses 1'!$A$2:$A1000,SUMPRODUCT(MAX(ROW('Form responses 1'!$B$2:$B1000)*(A101='Form responses 1'!$B$2:$B1000))-1)),"04/02/2022"),
IF(_xlfn.XLOOKUP(A101, Data!A93:A1000, Data!D93:D1000) = "T-shirt", INDEX('Form responses 1'!$A$2:$A1000,SUMPRODUCT(MAX(ROW('Form responses 1'!$C$2:$C1000)*(A101='Form responses 1'!$C$2:$C1000))-1)),
IF(_xlfn.XLOOKUP(A101, Data!A93:A1000, Data!D93:D1000) = "Trui", INDEX('Form responses 1'!$A$2:$A1000,SUMPRODUCT(MAX(ROW('Form responses 1'!$D$2:$D1000)*(A101='Form responses 1'!$D$2:$D1000))-1)),
IF(_xlfn.XLOOKUP(A101, Data!A93:A1000, Data!D93:D1000) = "blousje", INDEX('Form responses 1'!$A$2:$A1000,SUMPRODUCT(MAX(ROW('Form responses 1'!$E$2:$E1000)*(A101='Form responses 1'!$E$2:$E1000))-1)),
IF(_xlfn.XLOOKUP(A101, Data!A93:A1000, Data!D93:D1000) = "jas", INDEX('Form responses 1'!$A$2:$A1000,SUMPRODUCT(MAX(ROW('Form responses 1'!$G$2:$G1000)*(A101='Form responses 1'!$G$2:$G1000))-1)),
IF(_xlfn.XLOOKUP(A101, Data!A93:A1000, Data!D93:D1000) = "schoenen", INDEX('Form responses 1'!$A$2:$A1000,SUMPRODUCT(MAX(ROW('Form responses 1'!$F$2:$F1000)*(A101='Form responses 1'!$F$2:$F1000))-1)), "")))))),"-")
</f>
        <v>-</v>
      </c>
    </row>
    <row r="102">
      <c r="A102" s="3"/>
      <c r="B102" s="18" t="str">
        <f t="array" ref="B102">IFERROR(IF(_xlfn.XLOOKUP(A102, Data!A94:A1000, Data!D94:D1000) = "broek", IFERROR(INDEX('Form responses 1'!$A$2:$A1000,SUMPRODUCT(MAX(ROW('Form responses 1'!$B$2:$B1000)*(A102='Form responses 1'!$B$2:$B1000))-1)),"04/02/2022"),
IF(_xlfn.XLOOKUP(A102, Data!A94:A1000, Data!D94:D1000) = "T-shirt", INDEX('Form responses 1'!$A$2:$A1000,SUMPRODUCT(MAX(ROW('Form responses 1'!$C$2:$C1000)*(A102='Form responses 1'!$C$2:$C1000))-1)),
IF(_xlfn.XLOOKUP(A102, Data!A94:A1000, Data!D94:D1000) = "Trui", INDEX('Form responses 1'!$A$2:$A1000,SUMPRODUCT(MAX(ROW('Form responses 1'!$D$2:$D1000)*(A102='Form responses 1'!$D$2:$D1000))-1)),
IF(_xlfn.XLOOKUP(A102, Data!A94:A1000, Data!D94:D1000) = "blousje", INDEX('Form responses 1'!$A$2:$A1000,SUMPRODUCT(MAX(ROW('Form responses 1'!$E$2:$E1000)*(A102='Form responses 1'!$E$2:$E1000))-1)),
IF(_xlfn.XLOOKUP(A102, Data!A94:A1000, Data!D94:D1000) = "jas", INDEX('Form responses 1'!$A$2:$A1000,SUMPRODUCT(MAX(ROW('Form responses 1'!$G$2:$G1000)*(A102='Form responses 1'!$G$2:$G1000))-1)),
IF(_xlfn.XLOOKUP(A102, Data!A94:A1000, Data!D94:D1000) = "schoenen", INDEX('Form responses 1'!$A$2:$A1000,SUMPRODUCT(MAX(ROW('Form responses 1'!$F$2:$F1000)*(A102='Form responses 1'!$F$2:$F1000))-1)), "")))))),"-")
</f>
        <v>-</v>
      </c>
    </row>
    <row r="103">
      <c r="A103" s="3"/>
      <c r="B103" s="18" t="str">
        <f t="array" ref="B103">IFERROR(IF(_xlfn.XLOOKUP(A103, Data!A95:A1000, Data!D95:D1000) = "broek", IFERROR(INDEX('Form responses 1'!$A$2:$A1000,SUMPRODUCT(MAX(ROW('Form responses 1'!$B$2:$B1000)*(A103='Form responses 1'!$B$2:$B1000))-1)),"04/02/2022"),
IF(_xlfn.XLOOKUP(A103, Data!A95:A1000, Data!D95:D1000) = "T-shirt", INDEX('Form responses 1'!$A$2:$A1000,SUMPRODUCT(MAX(ROW('Form responses 1'!$C$2:$C1000)*(A103='Form responses 1'!$C$2:$C1000))-1)),
IF(_xlfn.XLOOKUP(A103, Data!A95:A1000, Data!D95:D1000) = "Trui", INDEX('Form responses 1'!$A$2:$A1000,SUMPRODUCT(MAX(ROW('Form responses 1'!$D$2:$D1000)*(A103='Form responses 1'!$D$2:$D1000))-1)),
IF(_xlfn.XLOOKUP(A103, Data!A95:A1000, Data!D95:D1000) = "blousje", INDEX('Form responses 1'!$A$2:$A1000,SUMPRODUCT(MAX(ROW('Form responses 1'!$E$2:$E1000)*(A103='Form responses 1'!$E$2:$E1000))-1)),
IF(_xlfn.XLOOKUP(A103, Data!A95:A1000, Data!D95:D1000) = "jas", INDEX('Form responses 1'!$A$2:$A1000,SUMPRODUCT(MAX(ROW('Form responses 1'!$G$2:$G1000)*(A103='Form responses 1'!$G$2:$G1000))-1)),
IF(_xlfn.XLOOKUP(A103, Data!A95:A1000, Data!D95:D1000) = "schoenen", INDEX('Form responses 1'!$A$2:$A1000,SUMPRODUCT(MAX(ROW('Form responses 1'!$F$2:$F1000)*(A103='Form responses 1'!$F$2:$F1000))-1)), "")))))),"-")
</f>
        <v>-</v>
      </c>
    </row>
    <row r="104">
      <c r="A104" s="3"/>
      <c r="B104" s="18" t="str">
        <f t="array" ref="B104">IFERROR(IF(_xlfn.XLOOKUP(A104, Data!A96:A1000, Data!D96:D1000) = "broek", IFERROR(INDEX('Form responses 1'!$A$2:$A1000,SUMPRODUCT(MAX(ROW('Form responses 1'!$B$2:$B1000)*(A104='Form responses 1'!$B$2:$B1000))-1)),"04/02/2022"),
IF(_xlfn.XLOOKUP(A104, Data!A96:A1000, Data!D96:D1000) = "T-shirt", INDEX('Form responses 1'!$A$2:$A1000,SUMPRODUCT(MAX(ROW('Form responses 1'!$C$2:$C1000)*(A104='Form responses 1'!$C$2:$C1000))-1)),
IF(_xlfn.XLOOKUP(A104, Data!A96:A1000, Data!D96:D1000) = "Trui", INDEX('Form responses 1'!$A$2:$A1000,SUMPRODUCT(MAX(ROW('Form responses 1'!$D$2:$D1000)*(A104='Form responses 1'!$D$2:$D1000))-1)),
IF(_xlfn.XLOOKUP(A104, Data!A96:A1000, Data!D96:D1000) = "blousje", INDEX('Form responses 1'!$A$2:$A1000,SUMPRODUCT(MAX(ROW('Form responses 1'!$E$2:$E1000)*(A104='Form responses 1'!$E$2:$E1000))-1)),
IF(_xlfn.XLOOKUP(A104, Data!A96:A1000, Data!D96:D1000) = "jas", INDEX('Form responses 1'!$A$2:$A1000,SUMPRODUCT(MAX(ROW('Form responses 1'!$G$2:$G1000)*(A104='Form responses 1'!$G$2:$G1000))-1)),
IF(_xlfn.XLOOKUP(A104, Data!A96:A1000, Data!D96:D1000) = "schoenen", INDEX('Form responses 1'!$A$2:$A1000,SUMPRODUCT(MAX(ROW('Form responses 1'!$F$2:$F1000)*(A104='Form responses 1'!$F$2:$F1000))-1)), "")))))),"-")
</f>
        <v>-</v>
      </c>
    </row>
    <row r="105">
      <c r="A105" s="3"/>
      <c r="B105" s="18" t="str">
        <f t="array" ref="B105">IFERROR(IF(_xlfn.XLOOKUP(A105, Data!A97:A1000, Data!D97:D1000) = "broek", IFERROR(INDEX('Form responses 1'!$A$2:$A1000,SUMPRODUCT(MAX(ROW('Form responses 1'!$B$2:$B1000)*(A105='Form responses 1'!$B$2:$B1000))-1)),"04/02/2022"),
IF(_xlfn.XLOOKUP(A105, Data!A97:A1000, Data!D97:D1000) = "T-shirt", INDEX('Form responses 1'!$A$2:$A1000,SUMPRODUCT(MAX(ROW('Form responses 1'!$C$2:$C1000)*(A105='Form responses 1'!$C$2:$C1000))-1)),
IF(_xlfn.XLOOKUP(A105, Data!A97:A1000, Data!D97:D1000) = "Trui", INDEX('Form responses 1'!$A$2:$A1000,SUMPRODUCT(MAX(ROW('Form responses 1'!$D$2:$D1000)*(A105='Form responses 1'!$D$2:$D1000))-1)),
IF(_xlfn.XLOOKUP(A105, Data!A97:A1000, Data!D97:D1000) = "blousje", INDEX('Form responses 1'!$A$2:$A1000,SUMPRODUCT(MAX(ROW('Form responses 1'!$E$2:$E1000)*(A105='Form responses 1'!$E$2:$E1000))-1)),
IF(_xlfn.XLOOKUP(A105, Data!A97:A1000, Data!D97:D1000) = "jas", INDEX('Form responses 1'!$A$2:$A1000,SUMPRODUCT(MAX(ROW('Form responses 1'!$G$2:$G1000)*(A105='Form responses 1'!$G$2:$G1000))-1)),
IF(_xlfn.XLOOKUP(A105, Data!A97:A1000, Data!D97:D1000) = "schoenen", INDEX('Form responses 1'!$A$2:$A1000,SUMPRODUCT(MAX(ROW('Form responses 1'!$F$2:$F1000)*(A105='Form responses 1'!$F$2:$F1000))-1)), "")))))),"-")
</f>
        <v>-</v>
      </c>
    </row>
    <row r="106">
      <c r="A106" s="3"/>
      <c r="B106" s="18" t="str">
        <f t="array" ref="B106">IFERROR(IF(_xlfn.XLOOKUP(A106, Data!A98:A1000, Data!D98:D1000) = "broek", IFERROR(INDEX('Form responses 1'!$A$2:$A1000,SUMPRODUCT(MAX(ROW('Form responses 1'!$B$2:$B1000)*(A106='Form responses 1'!$B$2:$B1000))-1)),"04/02/2022"),
IF(_xlfn.XLOOKUP(A106, Data!A98:A1000, Data!D98:D1000) = "T-shirt", INDEX('Form responses 1'!$A$2:$A1000,SUMPRODUCT(MAX(ROW('Form responses 1'!$C$2:$C1000)*(A106='Form responses 1'!$C$2:$C1000))-1)),
IF(_xlfn.XLOOKUP(A106, Data!A98:A1000, Data!D98:D1000) = "Trui", INDEX('Form responses 1'!$A$2:$A1000,SUMPRODUCT(MAX(ROW('Form responses 1'!$D$2:$D1000)*(A106='Form responses 1'!$D$2:$D1000))-1)),
IF(_xlfn.XLOOKUP(A106, Data!A98:A1000, Data!D98:D1000) = "blousje", INDEX('Form responses 1'!$A$2:$A1000,SUMPRODUCT(MAX(ROW('Form responses 1'!$E$2:$E1000)*(A106='Form responses 1'!$E$2:$E1000))-1)),
IF(_xlfn.XLOOKUP(A106, Data!A98:A1000, Data!D98:D1000) = "jas", INDEX('Form responses 1'!$A$2:$A1000,SUMPRODUCT(MAX(ROW('Form responses 1'!$G$2:$G1000)*(A106='Form responses 1'!$G$2:$G1000))-1)),
IF(_xlfn.XLOOKUP(A106, Data!A98:A1000, Data!D98:D1000) = "schoenen", INDEX('Form responses 1'!$A$2:$A1000,SUMPRODUCT(MAX(ROW('Form responses 1'!$F$2:$F1000)*(A106='Form responses 1'!$F$2:$F1000))-1)), "")))))),"-")
</f>
        <v>-</v>
      </c>
    </row>
    <row r="107">
      <c r="A107" s="3"/>
      <c r="B107" s="18" t="str">
        <f t="array" ref="B107">IFERROR(IF(_xlfn.XLOOKUP(A107, Data!A99:A1000, Data!D99:D1000) = "broek", IFERROR(INDEX('Form responses 1'!$A$2:$A1000,SUMPRODUCT(MAX(ROW('Form responses 1'!$B$2:$B1000)*(A107='Form responses 1'!$B$2:$B1000))-1)),"04/02/2022"),
IF(_xlfn.XLOOKUP(A107, Data!A99:A1000, Data!D99:D1000) = "T-shirt", INDEX('Form responses 1'!$A$2:$A1000,SUMPRODUCT(MAX(ROW('Form responses 1'!$C$2:$C1000)*(A107='Form responses 1'!$C$2:$C1000))-1)),
IF(_xlfn.XLOOKUP(A107, Data!A99:A1000, Data!D99:D1000) = "Trui", INDEX('Form responses 1'!$A$2:$A1000,SUMPRODUCT(MAX(ROW('Form responses 1'!$D$2:$D1000)*(A107='Form responses 1'!$D$2:$D1000))-1)),
IF(_xlfn.XLOOKUP(A107, Data!A99:A1000, Data!D99:D1000) = "blousje", INDEX('Form responses 1'!$A$2:$A1000,SUMPRODUCT(MAX(ROW('Form responses 1'!$E$2:$E1000)*(A107='Form responses 1'!$E$2:$E1000))-1)),
IF(_xlfn.XLOOKUP(A107, Data!A99:A1000, Data!D99:D1000) = "jas", INDEX('Form responses 1'!$A$2:$A1000,SUMPRODUCT(MAX(ROW('Form responses 1'!$G$2:$G1000)*(A107='Form responses 1'!$G$2:$G1000))-1)),
IF(_xlfn.XLOOKUP(A107, Data!A99:A1000, Data!D99:D1000) = "schoenen", INDEX('Form responses 1'!$A$2:$A1000,SUMPRODUCT(MAX(ROW('Form responses 1'!$F$2:$F1000)*(A107='Form responses 1'!$F$2:$F1000))-1)), "")))))),"-")
</f>
        <v>-</v>
      </c>
    </row>
    <row r="108">
      <c r="A108" s="3"/>
      <c r="B108" s="18" t="str">
        <f t="array" ref="B108">IFERROR(IF(_xlfn.XLOOKUP(A108, Data!A100:A1000, Data!D100:D1000) = "broek", IFERROR(INDEX('Form responses 1'!$A$2:$A1000,SUMPRODUCT(MAX(ROW('Form responses 1'!$B$2:$B1000)*(A108='Form responses 1'!$B$2:$B1000))-1)),"04/02/2022"),
IF(_xlfn.XLOOKUP(A108, Data!A100:A1000, Data!D100:D1000) = "T-shirt", INDEX('Form responses 1'!$A$2:$A1000,SUMPRODUCT(MAX(ROW('Form responses 1'!$C$2:$C1000)*(A108='Form responses 1'!$C$2:$C1000))-1)),
IF(_xlfn.XLOOKUP(A108, Data!A100:A1000, Data!D100:D1000) = "Trui", INDEX('Form responses 1'!$A$2:$A1000,SUMPRODUCT(MAX(ROW('Form responses 1'!$D$2:$D1000)*(A108='Form responses 1'!$D$2:$D1000))-1)),
IF(_xlfn.XLOOKUP(A108, Data!A100:A1000, Data!D100:D1000) = "blousje", INDEX('Form responses 1'!$A$2:$A1000,SUMPRODUCT(MAX(ROW('Form responses 1'!$E$2:$E1000)*(A108='Form responses 1'!$E$2:$E1000))-1)),
IF(_xlfn.XLOOKUP(A108, Data!A100:A1000, Data!D100:D1000) = "jas", INDEX('Form responses 1'!$A$2:$A1000,SUMPRODUCT(MAX(ROW('Form responses 1'!$G$2:$G1000)*(A108='Form responses 1'!$G$2:$G1000))-1)),
IF(_xlfn.XLOOKUP(A108, Data!A100:A1000, Data!D100:D1000) = "schoenen", INDEX('Form responses 1'!$A$2:$A1000,SUMPRODUCT(MAX(ROW('Form responses 1'!$F$2:$F1000)*(A108='Form responses 1'!$F$2:$F1000))-1)), "")))))),"-")
</f>
        <v>-</v>
      </c>
    </row>
    <row r="109">
      <c r="A109" s="3"/>
      <c r="B109" s="18" t="str">
        <f t="array" ref="B109">IFERROR(IF(_xlfn.XLOOKUP(A109, Data!A101:A1000, Data!D101:D1000) = "broek", IFERROR(INDEX('Form responses 1'!$A$2:$A1000,SUMPRODUCT(MAX(ROW('Form responses 1'!$B$2:$B1000)*(A109='Form responses 1'!$B$2:$B1000))-1)),"04/02/2022"),
IF(_xlfn.XLOOKUP(A109, Data!A101:A1000, Data!D101:D1000) = "T-shirt", INDEX('Form responses 1'!$A$2:$A1000,SUMPRODUCT(MAX(ROW('Form responses 1'!$C$2:$C1000)*(A109='Form responses 1'!$C$2:$C1000))-1)),
IF(_xlfn.XLOOKUP(A109, Data!A101:A1000, Data!D101:D1000) = "Trui", INDEX('Form responses 1'!$A$2:$A1000,SUMPRODUCT(MAX(ROW('Form responses 1'!$D$2:$D1000)*(A109='Form responses 1'!$D$2:$D1000))-1)),
IF(_xlfn.XLOOKUP(A109, Data!A101:A1000, Data!D101:D1000) = "blousje", INDEX('Form responses 1'!$A$2:$A1000,SUMPRODUCT(MAX(ROW('Form responses 1'!$E$2:$E1000)*(A109='Form responses 1'!$E$2:$E1000))-1)),
IF(_xlfn.XLOOKUP(A109, Data!A101:A1000, Data!D101:D1000) = "jas", INDEX('Form responses 1'!$A$2:$A1000,SUMPRODUCT(MAX(ROW('Form responses 1'!$G$2:$G1000)*(A109='Form responses 1'!$G$2:$G1000))-1)),
IF(_xlfn.XLOOKUP(A109, Data!A101:A1000, Data!D101:D1000) = "schoenen", INDEX('Form responses 1'!$A$2:$A1000,SUMPRODUCT(MAX(ROW('Form responses 1'!$F$2:$F1000)*(A109='Form responses 1'!$F$2:$F1000))-1)), "")))))),"-")
</f>
        <v>-</v>
      </c>
    </row>
    <row r="110">
      <c r="A110" s="3"/>
      <c r="B110" s="18" t="str">
        <f t="array" ref="B110">IFERROR(IF(_xlfn.XLOOKUP(A110, Data!A102:A1000, Data!D102:D1000) = "broek", IFERROR(INDEX('Form responses 1'!$A$2:$A1000,SUMPRODUCT(MAX(ROW('Form responses 1'!$B$2:$B1000)*(A110='Form responses 1'!$B$2:$B1000))-1)),"04/02/2022"),
IF(_xlfn.XLOOKUP(A110, Data!A102:A1000, Data!D102:D1000) = "T-shirt", INDEX('Form responses 1'!$A$2:$A1000,SUMPRODUCT(MAX(ROW('Form responses 1'!$C$2:$C1000)*(A110='Form responses 1'!$C$2:$C1000))-1)),
IF(_xlfn.XLOOKUP(A110, Data!A102:A1000, Data!D102:D1000) = "Trui", INDEX('Form responses 1'!$A$2:$A1000,SUMPRODUCT(MAX(ROW('Form responses 1'!$D$2:$D1000)*(A110='Form responses 1'!$D$2:$D1000))-1)),
IF(_xlfn.XLOOKUP(A110, Data!A102:A1000, Data!D102:D1000) = "blousje", INDEX('Form responses 1'!$A$2:$A1000,SUMPRODUCT(MAX(ROW('Form responses 1'!$E$2:$E1000)*(A110='Form responses 1'!$E$2:$E1000))-1)),
IF(_xlfn.XLOOKUP(A110, Data!A102:A1000, Data!D102:D1000) = "jas", INDEX('Form responses 1'!$A$2:$A1000,SUMPRODUCT(MAX(ROW('Form responses 1'!$G$2:$G1000)*(A110='Form responses 1'!$G$2:$G1000))-1)),
IF(_xlfn.XLOOKUP(A110, Data!A102:A1000, Data!D102:D1000) = "schoenen", INDEX('Form responses 1'!$A$2:$A1000,SUMPRODUCT(MAX(ROW('Form responses 1'!$F$2:$F1000)*(A110='Form responses 1'!$F$2:$F1000))-1)), "")))))),"-")
</f>
        <v>-</v>
      </c>
    </row>
    <row r="111">
      <c r="A111" s="3"/>
      <c r="B111" s="18" t="str">
        <f t="array" ref="B111">IFERROR(IF(_xlfn.XLOOKUP(A111, Data!A103:A1000, Data!D103:D1000) = "broek", IFERROR(INDEX('Form responses 1'!$A$2:$A1000,SUMPRODUCT(MAX(ROW('Form responses 1'!$B$2:$B1000)*(A111='Form responses 1'!$B$2:$B1000))-1)),"04/02/2022"),
IF(_xlfn.XLOOKUP(A111, Data!A103:A1000, Data!D103:D1000) = "T-shirt", INDEX('Form responses 1'!$A$2:$A1000,SUMPRODUCT(MAX(ROW('Form responses 1'!$C$2:$C1000)*(A111='Form responses 1'!$C$2:$C1000))-1)),
IF(_xlfn.XLOOKUP(A111, Data!A103:A1000, Data!D103:D1000) = "Trui", INDEX('Form responses 1'!$A$2:$A1000,SUMPRODUCT(MAX(ROW('Form responses 1'!$D$2:$D1000)*(A111='Form responses 1'!$D$2:$D1000))-1)),
IF(_xlfn.XLOOKUP(A111, Data!A103:A1000, Data!D103:D1000) = "blousje", INDEX('Form responses 1'!$A$2:$A1000,SUMPRODUCT(MAX(ROW('Form responses 1'!$E$2:$E1000)*(A111='Form responses 1'!$E$2:$E1000))-1)),
IF(_xlfn.XLOOKUP(A111, Data!A103:A1000, Data!D103:D1000) = "jas", INDEX('Form responses 1'!$A$2:$A1000,SUMPRODUCT(MAX(ROW('Form responses 1'!$G$2:$G1000)*(A111='Form responses 1'!$G$2:$G1000))-1)),
IF(_xlfn.XLOOKUP(A111, Data!A103:A1000, Data!D103:D1000) = "schoenen", INDEX('Form responses 1'!$A$2:$A1000,SUMPRODUCT(MAX(ROW('Form responses 1'!$F$2:$F1000)*(A111='Form responses 1'!$F$2:$F1000))-1)), "")))))),"-")
</f>
        <v>-</v>
      </c>
    </row>
    <row r="112">
      <c r="A112" s="3"/>
      <c r="B112" s="18" t="str">
        <f t="array" ref="B112">IFERROR(IF(_xlfn.XLOOKUP(A112, Data!A104:A1000, Data!D104:D1000) = "broek", IFERROR(INDEX('Form responses 1'!$A$2:$A1000,SUMPRODUCT(MAX(ROW('Form responses 1'!$B$2:$B1000)*(A112='Form responses 1'!$B$2:$B1000))-1)),"04/02/2022"),
IF(_xlfn.XLOOKUP(A112, Data!A104:A1000, Data!D104:D1000) = "T-shirt", INDEX('Form responses 1'!$A$2:$A1000,SUMPRODUCT(MAX(ROW('Form responses 1'!$C$2:$C1000)*(A112='Form responses 1'!$C$2:$C1000))-1)),
IF(_xlfn.XLOOKUP(A112, Data!A104:A1000, Data!D104:D1000) = "Trui", INDEX('Form responses 1'!$A$2:$A1000,SUMPRODUCT(MAX(ROW('Form responses 1'!$D$2:$D1000)*(A112='Form responses 1'!$D$2:$D1000))-1)),
IF(_xlfn.XLOOKUP(A112, Data!A104:A1000, Data!D104:D1000) = "blousje", INDEX('Form responses 1'!$A$2:$A1000,SUMPRODUCT(MAX(ROW('Form responses 1'!$E$2:$E1000)*(A112='Form responses 1'!$E$2:$E1000))-1)),
IF(_xlfn.XLOOKUP(A112, Data!A104:A1000, Data!D104:D1000) = "jas", INDEX('Form responses 1'!$A$2:$A1000,SUMPRODUCT(MAX(ROW('Form responses 1'!$G$2:$G1000)*(A112='Form responses 1'!$G$2:$G1000))-1)),
IF(_xlfn.XLOOKUP(A112, Data!A104:A1000, Data!D104:D1000) = "schoenen", INDEX('Form responses 1'!$A$2:$A1000,SUMPRODUCT(MAX(ROW('Form responses 1'!$F$2:$F1000)*(A112='Form responses 1'!$F$2:$F1000))-1)), "")))))),"-")
</f>
        <v>-</v>
      </c>
    </row>
    <row r="113">
      <c r="A113" s="3"/>
      <c r="B113" s="18" t="str">
        <f t="array" ref="B113">IFERROR(IF(_xlfn.XLOOKUP(A113, Data!A105:A1000, Data!D105:D1000) = "broek", IFERROR(INDEX('Form responses 1'!$A$2:$A1000,SUMPRODUCT(MAX(ROW('Form responses 1'!$B$2:$B1000)*(A113='Form responses 1'!$B$2:$B1000))-1)),"04/02/2022"),
IF(_xlfn.XLOOKUP(A113, Data!A105:A1000, Data!D105:D1000) = "T-shirt", INDEX('Form responses 1'!$A$2:$A1000,SUMPRODUCT(MAX(ROW('Form responses 1'!$C$2:$C1000)*(A113='Form responses 1'!$C$2:$C1000))-1)),
IF(_xlfn.XLOOKUP(A113, Data!A105:A1000, Data!D105:D1000) = "Trui", INDEX('Form responses 1'!$A$2:$A1000,SUMPRODUCT(MAX(ROW('Form responses 1'!$D$2:$D1000)*(A113='Form responses 1'!$D$2:$D1000))-1)),
IF(_xlfn.XLOOKUP(A113, Data!A105:A1000, Data!D105:D1000) = "blousje", INDEX('Form responses 1'!$A$2:$A1000,SUMPRODUCT(MAX(ROW('Form responses 1'!$E$2:$E1000)*(A113='Form responses 1'!$E$2:$E1000))-1)),
IF(_xlfn.XLOOKUP(A113, Data!A105:A1000, Data!D105:D1000) = "jas", INDEX('Form responses 1'!$A$2:$A1000,SUMPRODUCT(MAX(ROW('Form responses 1'!$G$2:$G1000)*(A113='Form responses 1'!$G$2:$G1000))-1)),
IF(_xlfn.XLOOKUP(A113, Data!A105:A1000, Data!D105:D1000) = "schoenen", INDEX('Form responses 1'!$A$2:$A1000,SUMPRODUCT(MAX(ROW('Form responses 1'!$F$2:$F1000)*(A113='Form responses 1'!$F$2:$F1000))-1)), "")))))),"-")
</f>
        <v>-</v>
      </c>
    </row>
    <row r="114">
      <c r="A114" s="3"/>
      <c r="B114" s="18" t="str">
        <f t="array" ref="B114">IFERROR(IF(_xlfn.XLOOKUP(A114, Data!A106:A1000, Data!D106:D1000) = "broek", IFERROR(INDEX('Form responses 1'!$A$2:$A1000,SUMPRODUCT(MAX(ROW('Form responses 1'!$B$2:$B1000)*(A114='Form responses 1'!$B$2:$B1000))-1)),"04/02/2022"),
IF(_xlfn.XLOOKUP(A114, Data!A106:A1000, Data!D106:D1000) = "T-shirt", INDEX('Form responses 1'!$A$2:$A1000,SUMPRODUCT(MAX(ROW('Form responses 1'!$C$2:$C1000)*(A114='Form responses 1'!$C$2:$C1000))-1)),
IF(_xlfn.XLOOKUP(A114, Data!A106:A1000, Data!D106:D1000) = "Trui", INDEX('Form responses 1'!$A$2:$A1000,SUMPRODUCT(MAX(ROW('Form responses 1'!$D$2:$D1000)*(A114='Form responses 1'!$D$2:$D1000))-1)),
IF(_xlfn.XLOOKUP(A114, Data!A106:A1000, Data!D106:D1000) = "blousje", INDEX('Form responses 1'!$A$2:$A1000,SUMPRODUCT(MAX(ROW('Form responses 1'!$E$2:$E1000)*(A114='Form responses 1'!$E$2:$E1000))-1)),
IF(_xlfn.XLOOKUP(A114, Data!A106:A1000, Data!D106:D1000) = "jas", INDEX('Form responses 1'!$A$2:$A1000,SUMPRODUCT(MAX(ROW('Form responses 1'!$G$2:$G1000)*(A114='Form responses 1'!$G$2:$G1000))-1)),
IF(_xlfn.XLOOKUP(A114, Data!A106:A1000, Data!D106:D1000) = "schoenen", INDEX('Form responses 1'!$A$2:$A1000,SUMPRODUCT(MAX(ROW('Form responses 1'!$F$2:$F1000)*(A114='Form responses 1'!$F$2:$F1000))-1)), "")))))),"-")
</f>
        <v>-</v>
      </c>
    </row>
    <row r="115">
      <c r="A115" s="3"/>
      <c r="B115" s="18" t="str">
        <f t="array" ref="B115">IFERROR(IF(_xlfn.XLOOKUP(A115, Data!A107:A1000, Data!D107:D1000) = "broek", IFERROR(INDEX('Form responses 1'!$A$2:$A1000,SUMPRODUCT(MAX(ROW('Form responses 1'!$B$2:$B1000)*(A115='Form responses 1'!$B$2:$B1000))-1)),"04/02/2022"),
IF(_xlfn.XLOOKUP(A115, Data!A107:A1000, Data!D107:D1000) = "T-shirt", INDEX('Form responses 1'!$A$2:$A1000,SUMPRODUCT(MAX(ROW('Form responses 1'!$C$2:$C1000)*(A115='Form responses 1'!$C$2:$C1000))-1)),
IF(_xlfn.XLOOKUP(A115, Data!A107:A1000, Data!D107:D1000) = "Trui", INDEX('Form responses 1'!$A$2:$A1000,SUMPRODUCT(MAX(ROW('Form responses 1'!$D$2:$D1000)*(A115='Form responses 1'!$D$2:$D1000))-1)),
IF(_xlfn.XLOOKUP(A115, Data!A107:A1000, Data!D107:D1000) = "blousje", INDEX('Form responses 1'!$A$2:$A1000,SUMPRODUCT(MAX(ROW('Form responses 1'!$E$2:$E1000)*(A115='Form responses 1'!$E$2:$E1000))-1)),
IF(_xlfn.XLOOKUP(A115, Data!A107:A1000, Data!D107:D1000) = "jas", INDEX('Form responses 1'!$A$2:$A1000,SUMPRODUCT(MAX(ROW('Form responses 1'!$G$2:$G1000)*(A115='Form responses 1'!$G$2:$G1000))-1)),
IF(_xlfn.XLOOKUP(A115, Data!A107:A1000, Data!D107:D1000) = "schoenen", INDEX('Form responses 1'!$A$2:$A1000,SUMPRODUCT(MAX(ROW('Form responses 1'!$F$2:$F1000)*(A115='Form responses 1'!$F$2:$F1000))-1)), "")))))),"-")
</f>
        <v>-</v>
      </c>
    </row>
    <row r="116">
      <c r="A116" s="3"/>
      <c r="B116" s="18" t="str">
        <f t="array" ref="B116">IFERROR(IF(_xlfn.XLOOKUP(A116, Data!A108:A1000, Data!D108:D1000) = "broek", IFERROR(INDEX('Form responses 1'!$A$2:$A1000,SUMPRODUCT(MAX(ROW('Form responses 1'!$B$2:$B1000)*(A116='Form responses 1'!$B$2:$B1000))-1)),"04/02/2022"),
IF(_xlfn.XLOOKUP(A116, Data!A108:A1000, Data!D108:D1000) = "T-shirt", INDEX('Form responses 1'!$A$2:$A1000,SUMPRODUCT(MAX(ROW('Form responses 1'!$C$2:$C1000)*(A116='Form responses 1'!$C$2:$C1000))-1)),
IF(_xlfn.XLOOKUP(A116, Data!A108:A1000, Data!D108:D1000) = "Trui", INDEX('Form responses 1'!$A$2:$A1000,SUMPRODUCT(MAX(ROW('Form responses 1'!$D$2:$D1000)*(A116='Form responses 1'!$D$2:$D1000))-1)),
IF(_xlfn.XLOOKUP(A116, Data!A108:A1000, Data!D108:D1000) = "blousje", INDEX('Form responses 1'!$A$2:$A1000,SUMPRODUCT(MAX(ROW('Form responses 1'!$E$2:$E1000)*(A116='Form responses 1'!$E$2:$E1000))-1)),
IF(_xlfn.XLOOKUP(A116, Data!A108:A1000, Data!D108:D1000) = "jas", INDEX('Form responses 1'!$A$2:$A1000,SUMPRODUCT(MAX(ROW('Form responses 1'!$G$2:$G1000)*(A116='Form responses 1'!$G$2:$G1000))-1)),
IF(_xlfn.XLOOKUP(A116, Data!A108:A1000, Data!D108:D1000) = "schoenen", INDEX('Form responses 1'!$A$2:$A1000,SUMPRODUCT(MAX(ROW('Form responses 1'!$F$2:$F1000)*(A116='Form responses 1'!$F$2:$F1000))-1)), "")))))),"-")
</f>
        <v>-</v>
      </c>
    </row>
    <row r="117">
      <c r="A117" s="3"/>
      <c r="B117" s="18" t="str">
        <f t="array" ref="B117">IFERROR(IF(_xlfn.XLOOKUP(A117, Data!A109:A1000, Data!D109:D1000) = "broek", IFERROR(INDEX('Form responses 1'!$A$2:$A1000,SUMPRODUCT(MAX(ROW('Form responses 1'!$B$2:$B1000)*(A117='Form responses 1'!$B$2:$B1000))-1)),"04/02/2022"),
IF(_xlfn.XLOOKUP(A117, Data!A109:A1000, Data!D109:D1000) = "T-shirt", INDEX('Form responses 1'!$A$2:$A1000,SUMPRODUCT(MAX(ROW('Form responses 1'!$C$2:$C1000)*(A117='Form responses 1'!$C$2:$C1000))-1)),
IF(_xlfn.XLOOKUP(A117, Data!A109:A1000, Data!D109:D1000) = "Trui", INDEX('Form responses 1'!$A$2:$A1000,SUMPRODUCT(MAX(ROW('Form responses 1'!$D$2:$D1000)*(A117='Form responses 1'!$D$2:$D1000))-1)),
IF(_xlfn.XLOOKUP(A117, Data!A109:A1000, Data!D109:D1000) = "blousje", INDEX('Form responses 1'!$A$2:$A1000,SUMPRODUCT(MAX(ROW('Form responses 1'!$E$2:$E1000)*(A117='Form responses 1'!$E$2:$E1000))-1)),
IF(_xlfn.XLOOKUP(A117, Data!A109:A1000, Data!D109:D1000) = "jas", INDEX('Form responses 1'!$A$2:$A1000,SUMPRODUCT(MAX(ROW('Form responses 1'!$G$2:$G1000)*(A117='Form responses 1'!$G$2:$G1000))-1)),
IF(_xlfn.XLOOKUP(A117, Data!A109:A1000, Data!D109:D1000) = "schoenen", INDEX('Form responses 1'!$A$2:$A1000,SUMPRODUCT(MAX(ROW('Form responses 1'!$F$2:$F1000)*(A117='Form responses 1'!$F$2:$F1000))-1)), "")))))),"-")
</f>
        <v>-</v>
      </c>
    </row>
    <row r="118">
      <c r="A118" s="3"/>
      <c r="B118" s="18" t="str">
        <f t="array" ref="B118">IFERROR(IF(_xlfn.XLOOKUP(A118, Data!A110:A1000, Data!D110:D1000) = "broek", IFERROR(INDEX('Form responses 1'!$A$2:$A1000,SUMPRODUCT(MAX(ROW('Form responses 1'!$B$2:$B1000)*(A118='Form responses 1'!$B$2:$B1000))-1)),"04/02/2022"),
IF(_xlfn.XLOOKUP(A118, Data!A110:A1000, Data!D110:D1000) = "T-shirt", INDEX('Form responses 1'!$A$2:$A1000,SUMPRODUCT(MAX(ROW('Form responses 1'!$C$2:$C1000)*(A118='Form responses 1'!$C$2:$C1000))-1)),
IF(_xlfn.XLOOKUP(A118, Data!A110:A1000, Data!D110:D1000) = "Trui", INDEX('Form responses 1'!$A$2:$A1000,SUMPRODUCT(MAX(ROW('Form responses 1'!$D$2:$D1000)*(A118='Form responses 1'!$D$2:$D1000))-1)),
IF(_xlfn.XLOOKUP(A118, Data!A110:A1000, Data!D110:D1000) = "blousje", INDEX('Form responses 1'!$A$2:$A1000,SUMPRODUCT(MAX(ROW('Form responses 1'!$E$2:$E1000)*(A118='Form responses 1'!$E$2:$E1000))-1)),
IF(_xlfn.XLOOKUP(A118, Data!A110:A1000, Data!D110:D1000) = "jas", INDEX('Form responses 1'!$A$2:$A1000,SUMPRODUCT(MAX(ROW('Form responses 1'!$G$2:$G1000)*(A118='Form responses 1'!$G$2:$G1000))-1)),
IF(_xlfn.XLOOKUP(A118, Data!A110:A1000, Data!D110:D1000) = "schoenen", INDEX('Form responses 1'!$A$2:$A1000,SUMPRODUCT(MAX(ROW('Form responses 1'!$F$2:$F1000)*(A118='Form responses 1'!$F$2:$F1000))-1)), "")))))),"-")
</f>
        <v>-</v>
      </c>
    </row>
    <row r="119">
      <c r="A119" s="3"/>
      <c r="B119" s="18" t="str">
        <f t="array" ref="B119">IFERROR(IF(_xlfn.XLOOKUP(A119, Data!A111:A1000, Data!D111:D1000) = "broek", IFERROR(INDEX('Form responses 1'!$A$2:$A1000,SUMPRODUCT(MAX(ROW('Form responses 1'!$B$2:$B1000)*(A119='Form responses 1'!$B$2:$B1000))-1)),"04/02/2022"),
IF(_xlfn.XLOOKUP(A119, Data!A111:A1000, Data!D111:D1000) = "T-shirt", INDEX('Form responses 1'!$A$2:$A1000,SUMPRODUCT(MAX(ROW('Form responses 1'!$C$2:$C1000)*(A119='Form responses 1'!$C$2:$C1000))-1)),
IF(_xlfn.XLOOKUP(A119, Data!A111:A1000, Data!D111:D1000) = "Trui", INDEX('Form responses 1'!$A$2:$A1000,SUMPRODUCT(MAX(ROW('Form responses 1'!$D$2:$D1000)*(A119='Form responses 1'!$D$2:$D1000))-1)),
IF(_xlfn.XLOOKUP(A119, Data!A111:A1000, Data!D111:D1000) = "blousje", INDEX('Form responses 1'!$A$2:$A1000,SUMPRODUCT(MAX(ROW('Form responses 1'!$E$2:$E1000)*(A119='Form responses 1'!$E$2:$E1000))-1)),
IF(_xlfn.XLOOKUP(A119, Data!A111:A1000, Data!D111:D1000) = "jas", INDEX('Form responses 1'!$A$2:$A1000,SUMPRODUCT(MAX(ROW('Form responses 1'!$G$2:$G1000)*(A119='Form responses 1'!$G$2:$G1000))-1)),
IF(_xlfn.XLOOKUP(A119, Data!A111:A1000, Data!D111:D1000) = "schoenen", INDEX('Form responses 1'!$A$2:$A1000,SUMPRODUCT(MAX(ROW('Form responses 1'!$F$2:$F1000)*(A119='Form responses 1'!$F$2:$F1000))-1)), "")))))),"-")
</f>
        <v>-</v>
      </c>
    </row>
    <row r="120">
      <c r="A120" s="3"/>
      <c r="B120" s="18" t="str">
        <f t="array" ref="B120">IFERROR(IF(_xlfn.XLOOKUP(A120, Data!A112:A1000, Data!D112:D1000) = "broek", IFERROR(INDEX('Form responses 1'!$A$2:$A1000,SUMPRODUCT(MAX(ROW('Form responses 1'!$B$2:$B1000)*(A120='Form responses 1'!$B$2:$B1000))-1)),"04/02/2022"),
IF(_xlfn.XLOOKUP(A120, Data!A112:A1000, Data!D112:D1000) = "T-shirt", INDEX('Form responses 1'!$A$2:$A1000,SUMPRODUCT(MAX(ROW('Form responses 1'!$C$2:$C1000)*(A120='Form responses 1'!$C$2:$C1000))-1)),
IF(_xlfn.XLOOKUP(A120, Data!A112:A1000, Data!D112:D1000) = "Trui", INDEX('Form responses 1'!$A$2:$A1000,SUMPRODUCT(MAX(ROW('Form responses 1'!$D$2:$D1000)*(A120='Form responses 1'!$D$2:$D1000))-1)),
IF(_xlfn.XLOOKUP(A120, Data!A112:A1000, Data!D112:D1000) = "blousje", INDEX('Form responses 1'!$A$2:$A1000,SUMPRODUCT(MAX(ROW('Form responses 1'!$E$2:$E1000)*(A120='Form responses 1'!$E$2:$E1000))-1)),
IF(_xlfn.XLOOKUP(A120, Data!A112:A1000, Data!D112:D1000) = "jas", INDEX('Form responses 1'!$A$2:$A1000,SUMPRODUCT(MAX(ROW('Form responses 1'!$G$2:$G1000)*(A120='Form responses 1'!$G$2:$G1000))-1)),
IF(_xlfn.XLOOKUP(A120, Data!A112:A1000, Data!D112:D1000) = "schoenen", INDEX('Form responses 1'!$A$2:$A1000,SUMPRODUCT(MAX(ROW('Form responses 1'!$F$2:$F1000)*(A120='Form responses 1'!$F$2:$F1000))-1)), "")))))),"-")
</f>
        <v>-</v>
      </c>
    </row>
    <row r="121">
      <c r="A121" s="3"/>
      <c r="B121" s="18" t="str">
        <f t="array" ref="B121">IFERROR(IF(_xlfn.XLOOKUP(A121, Data!A113:A1000, Data!D113:D1000) = "broek", IFERROR(INDEX('Form responses 1'!$A$2:$A1000,SUMPRODUCT(MAX(ROW('Form responses 1'!$B$2:$B1000)*(A121='Form responses 1'!$B$2:$B1000))-1)),"04/02/2022"),
IF(_xlfn.XLOOKUP(A121, Data!A113:A1000, Data!D113:D1000) = "T-shirt", INDEX('Form responses 1'!$A$2:$A1000,SUMPRODUCT(MAX(ROW('Form responses 1'!$C$2:$C1000)*(A121='Form responses 1'!$C$2:$C1000))-1)),
IF(_xlfn.XLOOKUP(A121, Data!A113:A1000, Data!D113:D1000) = "Trui", INDEX('Form responses 1'!$A$2:$A1000,SUMPRODUCT(MAX(ROW('Form responses 1'!$D$2:$D1000)*(A121='Form responses 1'!$D$2:$D1000))-1)),
IF(_xlfn.XLOOKUP(A121, Data!A113:A1000, Data!D113:D1000) = "blousje", INDEX('Form responses 1'!$A$2:$A1000,SUMPRODUCT(MAX(ROW('Form responses 1'!$E$2:$E1000)*(A121='Form responses 1'!$E$2:$E1000))-1)),
IF(_xlfn.XLOOKUP(A121, Data!A113:A1000, Data!D113:D1000) = "jas", INDEX('Form responses 1'!$A$2:$A1000,SUMPRODUCT(MAX(ROW('Form responses 1'!$G$2:$G1000)*(A121='Form responses 1'!$G$2:$G1000))-1)),
IF(_xlfn.XLOOKUP(A121, Data!A113:A1000, Data!D113:D1000) = "schoenen", INDEX('Form responses 1'!$A$2:$A1000,SUMPRODUCT(MAX(ROW('Form responses 1'!$F$2:$F1000)*(A121='Form responses 1'!$F$2:$F1000))-1)), "")))))),"-")
</f>
        <v>-</v>
      </c>
    </row>
    <row r="122">
      <c r="A122" s="3"/>
      <c r="B122" s="18" t="str">
        <f t="array" ref="B122">IFERROR(IF(_xlfn.XLOOKUP(A122, Data!A114:A1000, Data!D114:D1000) = "broek", IFERROR(INDEX('Form responses 1'!$A$2:$A1000,SUMPRODUCT(MAX(ROW('Form responses 1'!$B$2:$B1000)*(A122='Form responses 1'!$B$2:$B1000))-1)),"04/02/2022"),
IF(_xlfn.XLOOKUP(A122, Data!A114:A1000, Data!D114:D1000) = "T-shirt", INDEX('Form responses 1'!$A$2:$A1000,SUMPRODUCT(MAX(ROW('Form responses 1'!$C$2:$C1000)*(A122='Form responses 1'!$C$2:$C1000))-1)),
IF(_xlfn.XLOOKUP(A122, Data!A114:A1000, Data!D114:D1000) = "Trui", INDEX('Form responses 1'!$A$2:$A1000,SUMPRODUCT(MAX(ROW('Form responses 1'!$D$2:$D1000)*(A122='Form responses 1'!$D$2:$D1000))-1)),
IF(_xlfn.XLOOKUP(A122, Data!A114:A1000, Data!D114:D1000) = "blousje", INDEX('Form responses 1'!$A$2:$A1000,SUMPRODUCT(MAX(ROW('Form responses 1'!$E$2:$E1000)*(A122='Form responses 1'!$E$2:$E1000))-1)),
IF(_xlfn.XLOOKUP(A122, Data!A114:A1000, Data!D114:D1000) = "jas", INDEX('Form responses 1'!$A$2:$A1000,SUMPRODUCT(MAX(ROW('Form responses 1'!$G$2:$G1000)*(A122='Form responses 1'!$G$2:$G1000))-1)),
IF(_xlfn.XLOOKUP(A122, Data!A114:A1000, Data!D114:D1000) = "schoenen", INDEX('Form responses 1'!$A$2:$A1000,SUMPRODUCT(MAX(ROW('Form responses 1'!$F$2:$F1000)*(A122='Form responses 1'!$F$2:$F1000))-1)), "")))))),"-")
</f>
        <v>-</v>
      </c>
    </row>
    <row r="123">
      <c r="A123" s="3"/>
      <c r="B123" s="18" t="str">
        <f t="array" ref="B123">IFERROR(IF(_xlfn.XLOOKUP(A123, Data!A115:A1000, Data!D115:D1000) = "broek", IFERROR(INDEX('Form responses 1'!$A$2:$A1000,SUMPRODUCT(MAX(ROW('Form responses 1'!$B$2:$B1000)*(A123='Form responses 1'!$B$2:$B1000))-1)),"04/02/2022"),
IF(_xlfn.XLOOKUP(A123, Data!A115:A1000, Data!D115:D1000) = "T-shirt", INDEX('Form responses 1'!$A$2:$A1000,SUMPRODUCT(MAX(ROW('Form responses 1'!$C$2:$C1000)*(A123='Form responses 1'!$C$2:$C1000))-1)),
IF(_xlfn.XLOOKUP(A123, Data!A115:A1000, Data!D115:D1000) = "Trui", INDEX('Form responses 1'!$A$2:$A1000,SUMPRODUCT(MAX(ROW('Form responses 1'!$D$2:$D1000)*(A123='Form responses 1'!$D$2:$D1000))-1)),
IF(_xlfn.XLOOKUP(A123, Data!A115:A1000, Data!D115:D1000) = "blousje", INDEX('Form responses 1'!$A$2:$A1000,SUMPRODUCT(MAX(ROW('Form responses 1'!$E$2:$E1000)*(A123='Form responses 1'!$E$2:$E1000))-1)),
IF(_xlfn.XLOOKUP(A123, Data!A115:A1000, Data!D115:D1000) = "jas", INDEX('Form responses 1'!$A$2:$A1000,SUMPRODUCT(MAX(ROW('Form responses 1'!$G$2:$G1000)*(A123='Form responses 1'!$G$2:$G1000))-1)),
IF(_xlfn.XLOOKUP(A123, Data!A115:A1000, Data!D115:D1000) = "schoenen", INDEX('Form responses 1'!$A$2:$A1000,SUMPRODUCT(MAX(ROW('Form responses 1'!$F$2:$F1000)*(A123='Form responses 1'!$F$2:$F1000))-1)), "")))))),"-")
</f>
        <v>-</v>
      </c>
    </row>
    <row r="124">
      <c r="A124" s="3"/>
      <c r="B124" s="18" t="str">
        <f t="array" ref="B124">IFERROR(IF(_xlfn.XLOOKUP(A124, Data!A116:A1000, Data!D116:D1000) = "broek", IFERROR(INDEX('Form responses 1'!$A$2:$A1000,SUMPRODUCT(MAX(ROW('Form responses 1'!$B$2:$B1000)*(A124='Form responses 1'!$B$2:$B1000))-1)),"04/02/2022"),
IF(_xlfn.XLOOKUP(A124, Data!A116:A1000, Data!D116:D1000) = "T-shirt", INDEX('Form responses 1'!$A$2:$A1000,SUMPRODUCT(MAX(ROW('Form responses 1'!$C$2:$C1000)*(A124='Form responses 1'!$C$2:$C1000))-1)),
IF(_xlfn.XLOOKUP(A124, Data!A116:A1000, Data!D116:D1000) = "Trui", INDEX('Form responses 1'!$A$2:$A1000,SUMPRODUCT(MAX(ROW('Form responses 1'!$D$2:$D1000)*(A124='Form responses 1'!$D$2:$D1000))-1)),
IF(_xlfn.XLOOKUP(A124, Data!A116:A1000, Data!D116:D1000) = "blousje", INDEX('Form responses 1'!$A$2:$A1000,SUMPRODUCT(MAX(ROW('Form responses 1'!$E$2:$E1000)*(A124='Form responses 1'!$E$2:$E1000))-1)),
IF(_xlfn.XLOOKUP(A124, Data!A116:A1000, Data!D116:D1000) = "jas", INDEX('Form responses 1'!$A$2:$A1000,SUMPRODUCT(MAX(ROW('Form responses 1'!$G$2:$G1000)*(A124='Form responses 1'!$G$2:$G1000))-1)),
IF(_xlfn.XLOOKUP(A124, Data!A116:A1000, Data!D116:D1000) = "schoenen", INDEX('Form responses 1'!$A$2:$A1000,SUMPRODUCT(MAX(ROW('Form responses 1'!$F$2:$F1000)*(A124='Form responses 1'!$F$2:$F1000))-1)), "")))))),"-")
</f>
        <v>-</v>
      </c>
    </row>
    <row r="125">
      <c r="A125" s="3"/>
      <c r="B125" s="18" t="str">
        <f t="array" ref="B125">IFERROR(IF(_xlfn.XLOOKUP(A125, Data!A117:A1000, Data!D117:D1000) = "broek", IFERROR(INDEX('Form responses 1'!$A$2:$A1000,SUMPRODUCT(MAX(ROW('Form responses 1'!$B$2:$B1000)*(A125='Form responses 1'!$B$2:$B1000))-1)),"04/02/2022"),
IF(_xlfn.XLOOKUP(A125, Data!A117:A1000, Data!D117:D1000) = "T-shirt", INDEX('Form responses 1'!$A$2:$A1000,SUMPRODUCT(MAX(ROW('Form responses 1'!$C$2:$C1000)*(A125='Form responses 1'!$C$2:$C1000))-1)),
IF(_xlfn.XLOOKUP(A125, Data!A117:A1000, Data!D117:D1000) = "Trui", INDEX('Form responses 1'!$A$2:$A1000,SUMPRODUCT(MAX(ROW('Form responses 1'!$D$2:$D1000)*(A125='Form responses 1'!$D$2:$D1000))-1)),
IF(_xlfn.XLOOKUP(A125, Data!A117:A1000, Data!D117:D1000) = "blousje", INDEX('Form responses 1'!$A$2:$A1000,SUMPRODUCT(MAX(ROW('Form responses 1'!$E$2:$E1000)*(A125='Form responses 1'!$E$2:$E1000))-1)),
IF(_xlfn.XLOOKUP(A125, Data!A117:A1000, Data!D117:D1000) = "jas", INDEX('Form responses 1'!$A$2:$A1000,SUMPRODUCT(MAX(ROW('Form responses 1'!$G$2:$G1000)*(A125='Form responses 1'!$G$2:$G1000))-1)),
IF(_xlfn.XLOOKUP(A125, Data!A117:A1000, Data!D117:D1000) = "schoenen", INDEX('Form responses 1'!$A$2:$A1000,SUMPRODUCT(MAX(ROW('Form responses 1'!$F$2:$F1000)*(A125='Form responses 1'!$F$2:$F1000))-1)), "")))))),"-")
</f>
        <v>-</v>
      </c>
    </row>
    <row r="126">
      <c r="A126" s="3"/>
      <c r="B126" s="18" t="str">
        <f t="array" ref="B126">IFERROR(IF(_xlfn.XLOOKUP(A126, Data!A118:A1000, Data!D118:D1000) = "broek", IFERROR(INDEX('Form responses 1'!$A$2:$A1000,SUMPRODUCT(MAX(ROW('Form responses 1'!$B$2:$B1000)*(A126='Form responses 1'!$B$2:$B1000))-1)),"04/02/2022"),
IF(_xlfn.XLOOKUP(A126, Data!A118:A1000, Data!D118:D1000) = "T-shirt", INDEX('Form responses 1'!$A$2:$A1000,SUMPRODUCT(MAX(ROW('Form responses 1'!$C$2:$C1000)*(A126='Form responses 1'!$C$2:$C1000))-1)),
IF(_xlfn.XLOOKUP(A126, Data!A118:A1000, Data!D118:D1000) = "Trui", INDEX('Form responses 1'!$A$2:$A1000,SUMPRODUCT(MAX(ROW('Form responses 1'!$D$2:$D1000)*(A126='Form responses 1'!$D$2:$D1000))-1)),
IF(_xlfn.XLOOKUP(A126, Data!A118:A1000, Data!D118:D1000) = "blousje", INDEX('Form responses 1'!$A$2:$A1000,SUMPRODUCT(MAX(ROW('Form responses 1'!$E$2:$E1000)*(A126='Form responses 1'!$E$2:$E1000))-1)),
IF(_xlfn.XLOOKUP(A126, Data!A118:A1000, Data!D118:D1000) = "jas", INDEX('Form responses 1'!$A$2:$A1000,SUMPRODUCT(MAX(ROW('Form responses 1'!$G$2:$G1000)*(A126='Form responses 1'!$G$2:$G1000))-1)),
IF(_xlfn.XLOOKUP(A126, Data!A118:A1000, Data!D118:D1000) = "schoenen", INDEX('Form responses 1'!$A$2:$A1000,SUMPRODUCT(MAX(ROW('Form responses 1'!$F$2:$F1000)*(A126='Form responses 1'!$F$2:$F1000))-1)), "")))))),"-")
</f>
        <v>-</v>
      </c>
    </row>
    <row r="127">
      <c r="A127" s="3"/>
      <c r="B127" s="18" t="str">
        <f t="array" ref="B127">IFERROR(IF(_xlfn.XLOOKUP(A127, Data!A119:A1000, Data!D119:D1000) = "broek", IFERROR(INDEX('Form responses 1'!$A$2:$A1000,SUMPRODUCT(MAX(ROW('Form responses 1'!$B$2:$B1000)*(A127='Form responses 1'!$B$2:$B1000))-1)),"04/02/2022"),
IF(_xlfn.XLOOKUP(A127, Data!A119:A1000, Data!D119:D1000) = "T-shirt", INDEX('Form responses 1'!$A$2:$A1000,SUMPRODUCT(MAX(ROW('Form responses 1'!$C$2:$C1000)*(A127='Form responses 1'!$C$2:$C1000))-1)),
IF(_xlfn.XLOOKUP(A127, Data!A119:A1000, Data!D119:D1000) = "Trui", INDEX('Form responses 1'!$A$2:$A1000,SUMPRODUCT(MAX(ROW('Form responses 1'!$D$2:$D1000)*(A127='Form responses 1'!$D$2:$D1000))-1)),
IF(_xlfn.XLOOKUP(A127, Data!A119:A1000, Data!D119:D1000) = "blousje", INDEX('Form responses 1'!$A$2:$A1000,SUMPRODUCT(MAX(ROW('Form responses 1'!$E$2:$E1000)*(A127='Form responses 1'!$E$2:$E1000))-1)),
IF(_xlfn.XLOOKUP(A127, Data!A119:A1000, Data!D119:D1000) = "jas", INDEX('Form responses 1'!$A$2:$A1000,SUMPRODUCT(MAX(ROW('Form responses 1'!$G$2:$G1000)*(A127='Form responses 1'!$G$2:$G1000))-1)),
IF(_xlfn.XLOOKUP(A127, Data!A119:A1000, Data!D119:D1000) = "schoenen", INDEX('Form responses 1'!$A$2:$A1000,SUMPRODUCT(MAX(ROW('Form responses 1'!$F$2:$F1000)*(A127='Form responses 1'!$F$2:$F1000))-1)), "")))))),"-")
</f>
        <v>-</v>
      </c>
    </row>
    <row r="128">
      <c r="A128" s="3"/>
      <c r="B128" s="18" t="str">
        <f t="array" ref="B128">IFERROR(IF(_xlfn.XLOOKUP(A128, Data!A120:A1000, Data!D120:D1000) = "broek", IFERROR(INDEX('Form responses 1'!$A$2:$A1000,SUMPRODUCT(MAX(ROW('Form responses 1'!$B$2:$B1000)*(A128='Form responses 1'!$B$2:$B1000))-1)),"04/02/2022"),
IF(_xlfn.XLOOKUP(A128, Data!A120:A1000, Data!D120:D1000) = "T-shirt", INDEX('Form responses 1'!$A$2:$A1000,SUMPRODUCT(MAX(ROW('Form responses 1'!$C$2:$C1000)*(A128='Form responses 1'!$C$2:$C1000))-1)),
IF(_xlfn.XLOOKUP(A128, Data!A120:A1000, Data!D120:D1000) = "Trui", INDEX('Form responses 1'!$A$2:$A1000,SUMPRODUCT(MAX(ROW('Form responses 1'!$D$2:$D1000)*(A128='Form responses 1'!$D$2:$D1000))-1)),
IF(_xlfn.XLOOKUP(A128, Data!A120:A1000, Data!D120:D1000) = "blousje", INDEX('Form responses 1'!$A$2:$A1000,SUMPRODUCT(MAX(ROW('Form responses 1'!$E$2:$E1000)*(A128='Form responses 1'!$E$2:$E1000))-1)),
IF(_xlfn.XLOOKUP(A128, Data!A120:A1000, Data!D120:D1000) = "jas", INDEX('Form responses 1'!$A$2:$A1000,SUMPRODUCT(MAX(ROW('Form responses 1'!$G$2:$G1000)*(A128='Form responses 1'!$G$2:$G1000))-1)),
IF(_xlfn.XLOOKUP(A128, Data!A120:A1000, Data!D120:D1000) = "schoenen", INDEX('Form responses 1'!$A$2:$A1000,SUMPRODUCT(MAX(ROW('Form responses 1'!$F$2:$F1000)*(A128='Form responses 1'!$F$2:$F1000))-1)), "")))))),"-")
</f>
        <v>-</v>
      </c>
    </row>
    <row r="129">
      <c r="A129" s="3"/>
      <c r="B129" s="18" t="str">
        <f t="array" ref="B129">IFERROR(IF(_xlfn.XLOOKUP(A129, Data!A121:A1000, Data!D121:D1000) = "broek", IFERROR(INDEX('Form responses 1'!$A$2:$A1000,SUMPRODUCT(MAX(ROW('Form responses 1'!$B$2:$B1000)*(A129='Form responses 1'!$B$2:$B1000))-1)),"04/02/2022"),
IF(_xlfn.XLOOKUP(A129, Data!A121:A1000, Data!D121:D1000) = "T-shirt", INDEX('Form responses 1'!$A$2:$A1000,SUMPRODUCT(MAX(ROW('Form responses 1'!$C$2:$C1000)*(A129='Form responses 1'!$C$2:$C1000))-1)),
IF(_xlfn.XLOOKUP(A129, Data!A121:A1000, Data!D121:D1000) = "Trui", INDEX('Form responses 1'!$A$2:$A1000,SUMPRODUCT(MAX(ROW('Form responses 1'!$D$2:$D1000)*(A129='Form responses 1'!$D$2:$D1000))-1)),
IF(_xlfn.XLOOKUP(A129, Data!A121:A1000, Data!D121:D1000) = "blousje", INDEX('Form responses 1'!$A$2:$A1000,SUMPRODUCT(MAX(ROW('Form responses 1'!$E$2:$E1000)*(A129='Form responses 1'!$E$2:$E1000))-1)),
IF(_xlfn.XLOOKUP(A129, Data!A121:A1000, Data!D121:D1000) = "jas", INDEX('Form responses 1'!$A$2:$A1000,SUMPRODUCT(MAX(ROW('Form responses 1'!$G$2:$G1000)*(A129='Form responses 1'!$G$2:$G1000))-1)),
IF(_xlfn.XLOOKUP(A129, Data!A121:A1000, Data!D121:D1000) = "schoenen", INDEX('Form responses 1'!$A$2:$A1000,SUMPRODUCT(MAX(ROW('Form responses 1'!$F$2:$F1000)*(A129='Form responses 1'!$F$2:$F1000))-1)), "")))))),"-")
</f>
        <v>-</v>
      </c>
    </row>
    <row r="130">
      <c r="A130" s="3"/>
      <c r="B130" s="18" t="str">
        <f t="array" ref="B130">IFERROR(IF(_xlfn.XLOOKUP(A130, Data!A122:A1000, Data!D122:D1000) = "broek", IFERROR(INDEX('Form responses 1'!$A$2:$A1000,SUMPRODUCT(MAX(ROW('Form responses 1'!$B$2:$B1000)*(A130='Form responses 1'!$B$2:$B1000))-1)),"04/02/2022"),
IF(_xlfn.XLOOKUP(A130, Data!A122:A1000, Data!D122:D1000) = "T-shirt", INDEX('Form responses 1'!$A$2:$A1000,SUMPRODUCT(MAX(ROW('Form responses 1'!$C$2:$C1000)*(A130='Form responses 1'!$C$2:$C1000))-1)),
IF(_xlfn.XLOOKUP(A130, Data!A122:A1000, Data!D122:D1000) = "Trui", INDEX('Form responses 1'!$A$2:$A1000,SUMPRODUCT(MAX(ROW('Form responses 1'!$D$2:$D1000)*(A130='Form responses 1'!$D$2:$D1000))-1)),
IF(_xlfn.XLOOKUP(A130, Data!A122:A1000, Data!D122:D1000) = "blousje", INDEX('Form responses 1'!$A$2:$A1000,SUMPRODUCT(MAX(ROW('Form responses 1'!$E$2:$E1000)*(A130='Form responses 1'!$E$2:$E1000))-1)),
IF(_xlfn.XLOOKUP(A130, Data!A122:A1000, Data!D122:D1000) = "jas", INDEX('Form responses 1'!$A$2:$A1000,SUMPRODUCT(MAX(ROW('Form responses 1'!$G$2:$G1000)*(A130='Form responses 1'!$G$2:$G1000))-1)),
IF(_xlfn.XLOOKUP(A130, Data!A122:A1000, Data!D122:D1000) = "schoenen", INDEX('Form responses 1'!$A$2:$A1000,SUMPRODUCT(MAX(ROW('Form responses 1'!$F$2:$F1000)*(A130='Form responses 1'!$F$2:$F1000))-1)), "")))))),"-")
</f>
        <v>-</v>
      </c>
    </row>
    <row r="131">
      <c r="A131" s="3"/>
      <c r="B131" s="18" t="str">
        <f t="array" ref="B131">IFERROR(IF(_xlfn.XLOOKUP(A131, Data!A123:A1000, Data!D123:D1000) = "broek", IFERROR(INDEX('Form responses 1'!$A$2:$A1000,SUMPRODUCT(MAX(ROW('Form responses 1'!$B$2:$B1000)*(A131='Form responses 1'!$B$2:$B1000))-1)),"04/02/2022"),
IF(_xlfn.XLOOKUP(A131, Data!A123:A1000, Data!D123:D1000) = "T-shirt", INDEX('Form responses 1'!$A$2:$A1000,SUMPRODUCT(MAX(ROW('Form responses 1'!$C$2:$C1000)*(A131='Form responses 1'!$C$2:$C1000))-1)),
IF(_xlfn.XLOOKUP(A131, Data!A123:A1000, Data!D123:D1000) = "Trui", INDEX('Form responses 1'!$A$2:$A1000,SUMPRODUCT(MAX(ROW('Form responses 1'!$D$2:$D1000)*(A131='Form responses 1'!$D$2:$D1000))-1)),
IF(_xlfn.XLOOKUP(A131, Data!A123:A1000, Data!D123:D1000) = "blousje", INDEX('Form responses 1'!$A$2:$A1000,SUMPRODUCT(MAX(ROW('Form responses 1'!$E$2:$E1000)*(A131='Form responses 1'!$E$2:$E1000))-1)),
IF(_xlfn.XLOOKUP(A131, Data!A123:A1000, Data!D123:D1000) = "jas", INDEX('Form responses 1'!$A$2:$A1000,SUMPRODUCT(MAX(ROW('Form responses 1'!$G$2:$G1000)*(A131='Form responses 1'!$G$2:$G1000))-1)),
IF(_xlfn.XLOOKUP(A131, Data!A123:A1000, Data!D123:D1000) = "schoenen", INDEX('Form responses 1'!$A$2:$A1000,SUMPRODUCT(MAX(ROW('Form responses 1'!$F$2:$F1000)*(A131='Form responses 1'!$F$2:$F1000))-1)), "")))))),"-")
</f>
        <v>-</v>
      </c>
    </row>
    <row r="132">
      <c r="A132" s="3"/>
      <c r="B132" s="18" t="str">
        <f t="array" ref="B132">IFERROR(IF(_xlfn.XLOOKUP(A132, Data!A124:A1000, Data!D124:D1000) = "broek", IFERROR(INDEX('Form responses 1'!$A$2:$A1000,SUMPRODUCT(MAX(ROW('Form responses 1'!$B$2:$B1000)*(A132='Form responses 1'!$B$2:$B1000))-1)),"04/02/2022"),
IF(_xlfn.XLOOKUP(A132, Data!A124:A1000, Data!D124:D1000) = "T-shirt", INDEX('Form responses 1'!$A$2:$A1000,SUMPRODUCT(MAX(ROW('Form responses 1'!$C$2:$C1000)*(A132='Form responses 1'!$C$2:$C1000))-1)),
IF(_xlfn.XLOOKUP(A132, Data!A124:A1000, Data!D124:D1000) = "Trui", INDEX('Form responses 1'!$A$2:$A1000,SUMPRODUCT(MAX(ROW('Form responses 1'!$D$2:$D1000)*(A132='Form responses 1'!$D$2:$D1000))-1)),
IF(_xlfn.XLOOKUP(A132, Data!A124:A1000, Data!D124:D1000) = "blousje", INDEX('Form responses 1'!$A$2:$A1000,SUMPRODUCT(MAX(ROW('Form responses 1'!$E$2:$E1000)*(A132='Form responses 1'!$E$2:$E1000))-1)),
IF(_xlfn.XLOOKUP(A132, Data!A124:A1000, Data!D124:D1000) = "jas", INDEX('Form responses 1'!$A$2:$A1000,SUMPRODUCT(MAX(ROW('Form responses 1'!$G$2:$G1000)*(A132='Form responses 1'!$G$2:$G1000))-1)),
IF(_xlfn.XLOOKUP(A132, Data!A124:A1000, Data!D124:D1000) = "schoenen", INDEX('Form responses 1'!$A$2:$A1000,SUMPRODUCT(MAX(ROW('Form responses 1'!$F$2:$F1000)*(A132='Form responses 1'!$F$2:$F1000))-1)), "")))))),"-")
</f>
        <v>-</v>
      </c>
    </row>
    <row r="133">
      <c r="A133" s="3"/>
      <c r="B133" s="18" t="str">
        <f t="array" ref="B133">IFERROR(IF(_xlfn.XLOOKUP(A133, Data!A125:A1000, Data!D125:D1000) = "broek", IFERROR(INDEX('Form responses 1'!$A$2:$A1000,SUMPRODUCT(MAX(ROW('Form responses 1'!$B$2:$B1000)*(A133='Form responses 1'!$B$2:$B1000))-1)),"04/02/2022"),
IF(_xlfn.XLOOKUP(A133, Data!A125:A1000, Data!D125:D1000) = "T-shirt", INDEX('Form responses 1'!$A$2:$A1000,SUMPRODUCT(MAX(ROW('Form responses 1'!$C$2:$C1000)*(A133='Form responses 1'!$C$2:$C1000))-1)),
IF(_xlfn.XLOOKUP(A133, Data!A125:A1000, Data!D125:D1000) = "Trui", INDEX('Form responses 1'!$A$2:$A1000,SUMPRODUCT(MAX(ROW('Form responses 1'!$D$2:$D1000)*(A133='Form responses 1'!$D$2:$D1000))-1)),
IF(_xlfn.XLOOKUP(A133, Data!A125:A1000, Data!D125:D1000) = "blousje", INDEX('Form responses 1'!$A$2:$A1000,SUMPRODUCT(MAX(ROW('Form responses 1'!$E$2:$E1000)*(A133='Form responses 1'!$E$2:$E1000))-1)),
IF(_xlfn.XLOOKUP(A133, Data!A125:A1000, Data!D125:D1000) = "jas", INDEX('Form responses 1'!$A$2:$A1000,SUMPRODUCT(MAX(ROW('Form responses 1'!$G$2:$G1000)*(A133='Form responses 1'!$G$2:$G1000))-1)),
IF(_xlfn.XLOOKUP(A133, Data!A125:A1000, Data!D125:D1000) = "schoenen", INDEX('Form responses 1'!$A$2:$A1000,SUMPRODUCT(MAX(ROW('Form responses 1'!$F$2:$F1000)*(A133='Form responses 1'!$F$2:$F1000))-1)), "")))))),"-")
</f>
        <v>-</v>
      </c>
    </row>
    <row r="134">
      <c r="A134" s="3"/>
      <c r="B134" s="18" t="str">
        <f t="array" ref="B134">IFERROR(IF(_xlfn.XLOOKUP(A134, Data!A126:A1000, Data!D126:D1000) = "broek", IFERROR(INDEX('Form responses 1'!$A$2:$A1000,SUMPRODUCT(MAX(ROW('Form responses 1'!$B$2:$B1000)*(A134='Form responses 1'!$B$2:$B1000))-1)),"04/02/2022"),
IF(_xlfn.XLOOKUP(A134, Data!A126:A1000, Data!D126:D1000) = "T-shirt", INDEX('Form responses 1'!$A$2:$A1000,SUMPRODUCT(MAX(ROW('Form responses 1'!$C$2:$C1000)*(A134='Form responses 1'!$C$2:$C1000))-1)),
IF(_xlfn.XLOOKUP(A134, Data!A126:A1000, Data!D126:D1000) = "Trui", INDEX('Form responses 1'!$A$2:$A1000,SUMPRODUCT(MAX(ROW('Form responses 1'!$D$2:$D1000)*(A134='Form responses 1'!$D$2:$D1000))-1)),
IF(_xlfn.XLOOKUP(A134, Data!A126:A1000, Data!D126:D1000) = "blousje", INDEX('Form responses 1'!$A$2:$A1000,SUMPRODUCT(MAX(ROW('Form responses 1'!$E$2:$E1000)*(A134='Form responses 1'!$E$2:$E1000))-1)),
IF(_xlfn.XLOOKUP(A134, Data!A126:A1000, Data!D126:D1000) = "jas", INDEX('Form responses 1'!$A$2:$A1000,SUMPRODUCT(MAX(ROW('Form responses 1'!$G$2:$G1000)*(A134='Form responses 1'!$G$2:$G1000))-1)),
IF(_xlfn.XLOOKUP(A134, Data!A126:A1000, Data!D126:D1000) = "schoenen", INDEX('Form responses 1'!$A$2:$A1000,SUMPRODUCT(MAX(ROW('Form responses 1'!$F$2:$F1000)*(A134='Form responses 1'!$F$2:$F1000))-1)), "")))))),"-")
</f>
        <v>-</v>
      </c>
    </row>
    <row r="135">
      <c r="A135" s="3"/>
      <c r="B135" s="18" t="str">
        <f t="array" ref="B135">IFERROR(IF(_xlfn.XLOOKUP(A135, Data!A127:A1000, Data!D127:D1000) = "broek", IFERROR(INDEX('Form responses 1'!$A$2:$A1000,SUMPRODUCT(MAX(ROW('Form responses 1'!$B$2:$B1000)*(A135='Form responses 1'!$B$2:$B1000))-1)),"04/02/2022"),
IF(_xlfn.XLOOKUP(A135, Data!A127:A1000, Data!D127:D1000) = "T-shirt", INDEX('Form responses 1'!$A$2:$A1000,SUMPRODUCT(MAX(ROW('Form responses 1'!$C$2:$C1000)*(A135='Form responses 1'!$C$2:$C1000))-1)),
IF(_xlfn.XLOOKUP(A135, Data!A127:A1000, Data!D127:D1000) = "Trui", INDEX('Form responses 1'!$A$2:$A1000,SUMPRODUCT(MAX(ROW('Form responses 1'!$D$2:$D1000)*(A135='Form responses 1'!$D$2:$D1000))-1)),
IF(_xlfn.XLOOKUP(A135, Data!A127:A1000, Data!D127:D1000) = "blousje", INDEX('Form responses 1'!$A$2:$A1000,SUMPRODUCT(MAX(ROW('Form responses 1'!$E$2:$E1000)*(A135='Form responses 1'!$E$2:$E1000))-1)),
IF(_xlfn.XLOOKUP(A135, Data!A127:A1000, Data!D127:D1000) = "jas", INDEX('Form responses 1'!$A$2:$A1000,SUMPRODUCT(MAX(ROW('Form responses 1'!$G$2:$G1000)*(A135='Form responses 1'!$G$2:$G1000))-1)),
IF(_xlfn.XLOOKUP(A135, Data!A127:A1000, Data!D127:D1000) = "schoenen", INDEX('Form responses 1'!$A$2:$A1000,SUMPRODUCT(MAX(ROW('Form responses 1'!$F$2:$F1000)*(A135='Form responses 1'!$F$2:$F1000))-1)), "")))))),"-")
</f>
        <v>-</v>
      </c>
    </row>
    <row r="136">
      <c r="A136" s="3"/>
      <c r="B136" s="18" t="str">
        <f t="array" ref="B136">IFERROR(IF(_xlfn.XLOOKUP(A136, Data!A128:A1000, Data!D128:D1000) = "broek", IFERROR(INDEX('Form responses 1'!$A$2:$A1000,SUMPRODUCT(MAX(ROW('Form responses 1'!$B$2:$B1000)*(A136='Form responses 1'!$B$2:$B1000))-1)),"04/02/2022"),
IF(_xlfn.XLOOKUP(A136, Data!A128:A1000, Data!D128:D1000) = "T-shirt", INDEX('Form responses 1'!$A$2:$A1000,SUMPRODUCT(MAX(ROW('Form responses 1'!$C$2:$C1000)*(A136='Form responses 1'!$C$2:$C1000))-1)),
IF(_xlfn.XLOOKUP(A136, Data!A128:A1000, Data!D128:D1000) = "Trui", INDEX('Form responses 1'!$A$2:$A1000,SUMPRODUCT(MAX(ROW('Form responses 1'!$D$2:$D1000)*(A136='Form responses 1'!$D$2:$D1000))-1)),
IF(_xlfn.XLOOKUP(A136, Data!A128:A1000, Data!D128:D1000) = "blousje", INDEX('Form responses 1'!$A$2:$A1000,SUMPRODUCT(MAX(ROW('Form responses 1'!$E$2:$E1000)*(A136='Form responses 1'!$E$2:$E1000))-1)),
IF(_xlfn.XLOOKUP(A136, Data!A128:A1000, Data!D128:D1000) = "jas", INDEX('Form responses 1'!$A$2:$A1000,SUMPRODUCT(MAX(ROW('Form responses 1'!$G$2:$G1000)*(A136='Form responses 1'!$G$2:$G1000))-1)),
IF(_xlfn.XLOOKUP(A136, Data!A128:A1000, Data!D128:D1000) = "schoenen", INDEX('Form responses 1'!$A$2:$A1000,SUMPRODUCT(MAX(ROW('Form responses 1'!$F$2:$F1000)*(A136='Form responses 1'!$F$2:$F1000))-1)), "")))))),"-")
</f>
        <v>-</v>
      </c>
    </row>
    <row r="137">
      <c r="A137" s="3"/>
      <c r="B137" s="18" t="str">
        <f t="array" ref="B137">IFERROR(IF(_xlfn.XLOOKUP(A137, Data!A129:A1000, Data!D129:D1000) = "broek", IFERROR(INDEX('Form responses 1'!$A$2:$A1000,SUMPRODUCT(MAX(ROW('Form responses 1'!$B$2:$B1000)*(A137='Form responses 1'!$B$2:$B1000))-1)),"04/02/2022"),
IF(_xlfn.XLOOKUP(A137, Data!A129:A1000, Data!D129:D1000) = "T-shirt", INDEX('Form responses 1'!$A$2:$A1000,SUMPRODUCT(MAX(ROW('Form responses 1'!$C$2:$C1000)*(A137='Form responses 1'!$C$2:$C1000))-1)),
IF(_xlfn.XLOOKUP(A137, Data!A129:A1000, Data!D129:D1000) = "Trui", INDEX('Form responses 1'!$A$2:$A1000,SUMPRODUCT(MAX(ROW('Form responses 1'!$D$2:$D1000)*(A137='Form responses 1'!$D$2:$D1000))-1)),
IF(_xlfn.XLOOKUP(A137, Data!A129:A1000, Data!D129:D1000) = "blousje", INDEX('Form responses 1'!$A$2:$A1000,SUMPRODUCT(MAX(ROW('Form responses 1'!$E$2:$E1000)*(A137='Form responses 1'!$E$2:$E1000))-1)),
IF(_xlfn.XLOOKUP(A137, Data!A129:A1000, Data!D129:D1000) = "jas", INDEX('Form responses 1'!$A$2:$A1000,SUMPRODUCT(MAX(ROW('Form responses 1'!$G$2:$G1000)*(A137='Form responses 1'!$G$2:$G1000))-1)),
IF(_xlfn.XLOOKUP(A137, Data!A129:A1000, Data!D129:D1000) = "schoenen", INDEX('Form responses 1'!$A$2:$A1000,SUMPRODUCT(MAX(ROW('Form responses 1'!$F$2:$F1000)*(A137='Form responses 1'!$F$2:$F1000))-1)), "")))))),"-")
</f>
        <v>-</v>
      </c>
    </row>
    <row r="138">
      <c r="A138" s="3"/>
      <c r="B138" s="18" t="str">
        <f t="array" ref="B138">IFERROR(IF(_xlfn.XLOOKUP(A138, Data!A130:A1000, Data!D130:D1000) = "broek", IFERROR(INDEX('Form responses 1'!$A$2:$A1000,SUMPRODUCT(MAX(ROW('Form responses 1'!$B$2:$B1000)*(A138='Form responses 1'!$B$2:$B1000))-1)),"04/02/2022"),
IF(_xlfn.XLOOKUP(A138, Data!A130:A1000, Data!D130:D1000) = "T-shirt", INDEX('Form responses 1'!$A$2:$A1000,SUMPRODUCT(MAX(ROW('Form responses 1'!$C$2:$C1000)*(A138='Form responses 1'!$C$2:$C1000))-1)),
IF(_xlfn.XLOOKUP(A138, Data!A130:A1000, Data!D130:D1000) = "Trui", INDEX('Form responses 1'!$A$2:$A1000,SUMPRODUCT(MAX(ROW('Form responses 1'!$D$2:$D1000)*(A138='Form responses 1'!$D$2:$D1000))-1)),
IF(_xlfn.XLOOKUP(A138, Data!A130:A1000, Data!D130:D1000) = "blousje", INDEX('Form responses 1'!$A$2:$A1000,SUMPRODUCT(MAX(ROW('Form responses 1'!$E$2:$E1000)*(A138='Form responses 1'!$E$2:$E1000))-1)),
IF(_xlfn.XLOOKUP(A138, Data!A130:A1000, Data!D130:D1000) = "jas", INDEX('Form responses 1'!$A$2:$A1000,SUMPRODUCT(MAX(ROW('Form responses 1'!$G$2:$G1000)*(A138='Form responses 1'!$G$2:$G1000))-1)),
IF(_xlfn.XLOOKUP(A138, Data!A130:A1000, Data!D130:D1000) = "schoenen", INDEX('Form responses 1'!$A$2:$A1000,SUMPRODUCT(MAX(ROW('Form responses 1'!$F$2:$F1000)*(A138='Form responses 1'!$F$2:$F1000))-1)), "")))))),"-")
</f>
        <v>-</v>
      </c>
    </row>
    <row r="139">
      <c r="A139" s="3"/>
      <c r="B139" s="18" t="str">
        <f t="array" ref="B139">IFERROR(IF(_xlfn.XLOOKUP(A139, Data!A131:A1000, Data!D131:D1000) = "broek", IFERROR(INDEX('Form responses 1'!$A$2:$A1000,SUMPRODUCT(MAX(ROW('Form responses 1'!$B$2:$B1000)*(A139='Form responses 1'!$B$2:$B1000))-1)),"04/02/2022"),
IF(_xlfn.XLOOKUP(A139, Data!A131:A1000, Data!D131:D1000) = "T-shirt", INDEX('Form responses 1'!$A$2:$A1000,SUMPRODUCT(MAX(ROW('Form responses 1'!$C$2:$C1000)*(A139='Form responses 1'!$C$2:$C1000))-1)),
IF(_xlfn.XLOOKUP(A139, Data!A131:A1000, Data!D131:D1000) = "Trui", INDEX('Form responses 1'!$A$2:$A1000,SUMPRODUCT(MAX(ROW('Form responses 1'!$D$2:$D1000)*(A139='Form responses 1'!$D$2:$D1000))-1)),
IF(_xlfn.XLOOKUP(A139, Data!A131:A1000, Data!D131:D1000) = "blousje", INDEX('Form responses 1'!$A$2:$A1000,SUMPRODUCT(MAX(ROW('Form responses 1'!$E$2:$E1000)*(A139='Form responses 1'!$E$2:$E1000))-1)),
IF(_xlfn.XLOOKUP(A139, Data!A131:A1000, Data!D131:D1000) = "jas", INDEX('Form responses 1'!$A$2:$A1000,SUMPRODUCT(MAX(ROW('Form responses 1'!$G$2:$G1000)*(A139='Form responses 1'!$G$2:$G1000))-1)),
IF(_xlfn.XLOOKUP(A139, Data!A131:A1000, Data!D131:D1000) = "schoenen", INDEX('Form responses 1'!$A$2:$A1000,SUMPRODUCT(MAX(ROW('Form responses 1'!$F$2:$F1000)*(A139='Form responses 1'!$F$2:$F1000))-1)), "")))))),"-")
</f>
        <v>-</v>
      </c>
    </row>
    <row r="140">
      <c r="A140" s="3"/>
      <c r="B140" s="18" t="str">
        <f t="array" ref="B140">IFERROR(IF(_xlfn.XLOOKUP(A140, Data!A132:A1000, Data!D132:D1000) = "broek", IFERROR(INDEX('Form responses 1'!$A$2:$A1000,SUMPRODUCT(MAX(ROW('Form responses 1'!$B$2:$B1000)*(A140='Form responses 1'!$B$2:$B1000))-1)),"04/02/2022"),
IF(_xlfn.XLOOKUP(A140, Data!A132:A1000, Data!D132:D1000) = "T-shirt", INDEX('Form responses 1'!$A$2:$A1000,SUMPRODUCT(MAX(ROW('Form responses 1'!$C$2:$C1000)*(A140='Form responses 1'!$C$2:$C1000))-1)),
IF(_xlfn.XLOOKUP(A140, Data!A132:A1000, Data!D132:D1000) = "Trui", INDEX('Form responses 1'!$A$2:$A1000,SUMPRODUCT(MAX(ROW('Form responses 1'!$D$2:$D1000)*(A140='Form responses 1'!$D$2:$D1000))-1)),
IF(_xlfn.XLOOKUP(A140, Data!A132:A1000, Data!D132:D1000) = "blousje", INDEX('Form responses 1'!$A$2:$A1000,SUMPRODUCT(MAX(ROW('Form responses 1'!$E$2:$E1000)*(A140='Form responses 1'!$E$2:$E1000))-1)),
IF(_xlfn.XLOOKUP(A140, Data!A132:A1000, Data!D132:D1000) = "jas", INDEX('Form responses 1'!$A$2:$A1000,SUMPRODUCT(MAX(ROW('Form responses 1'!$G$2:$G1000)*(A140='Form responses 1'!$G$2:$G1000))-1)),
IF(_xlfn.XLOOKUP(A140, Data!A132:A1000, Data!D132:D1000) = "schoenen", INDEX('Form responses 1'!$A$2:$A1000,SUMPRODUCT(MAX(ROW('Form responses 1'!$F$2:$F1000)*(A140='Form responses 1'!$F$2:$F1000))-1)), "")))))),"-")
</f>
        <v>-</v>
      </c>
    </row>
    <row r="141">
      <c r="A141" s="3"/>
      <c r="B141" s="18" t="str">
        <f t="array" ref="B141">IFERROR(IF(_xlfn.XLOOKUP(A141, Data!A133:A1000, Data!D133:D1000) = "broek", IFERROR(INDEX('Form responses 1'!$A$2:$A1000,SUMPRODUCT(MAX(ROW('Form responses 1'!$B$2:$B1000)*(A141='Form responses 1'!$B$2:$B1000))-1)),"04/02/2022"),
IF(_xlfn.XLOOKUP(A141, Data!A133:A1000, Data!D133:D1000) = "T-shirt", INDEX('Form responses 1'!$A$2:$A1000,SUMPRODUCT(MAX(ROW('Form responses 1'!$C$2:$C1000)*(A141='Form responses 1'!$C$2:$C1000))-1)),
IF(_xlfn.XLOOKUP(A141, Data!A133:A1000, Data!D133:D1000) = "Trui", INDEX('Form responses 1'!$A$2:$A1000,SUMPRODUCT(MAX(ROW('Form responses 1'!$D$2:$D1000)*(A141='Form responses 1'!$D$2:$D1000))-1)),
IF(_xlfn.XLOOKUP(A141, Data!A133:A1000, Data!D133:D1000) = "blousje", INDEX('Form responses 1'!$A$2:$A1000,SUMPRODUCT(MAX(ROW('Form responses 1'!$E$2:$E1000)*(A141='Form responses 1'!$E$2:$E1000))-1)),
IF(_xlfn.XLOOKUP(A141, Data!A133:A1000, Data!D133:D1000) = "jas", INDEX('Form responses 1'!$A$2:$A1000,SUMPRODUCT(MAX(ROW('Form responses 1'!$G$2:$G1000)*(A141='Form responses 1'!$G$2:$G1000))-1)),
IF(_xlfn.XLOOKUP(A141, Data!A133:A1000, Data!D133:D1000) = "schoenen", INDEX('Form responses 1'!$A$2:$A1000,SUMPRODUCT(MAX(ROW('Form responses 1'!$F$2:$F1000)*(A141='Form responses 1'!$F$2:$F1000))-1)), "")))))),"-")
</f>
        <v>-</v>
      </c>
    </row>
    <row r="142">
      <c r="A142" s="3"/>
      <c r="B142" s="18" t="str">
        <f t="array" ref="B142">IFERROR(IF(_xlfn.XLOOKUP(A142, Data!A134:A1000, Data!D134:D1000) = "broek", IFERROR(INDEX('Form responses 1'!$A$2:$A1000,SUMPRODUCT(MAX(ROW('Form responses 1'!$B$2:$B1000)*(A142='Form responses 1'!$B$2:$B1000))-1)),"04/02/2022"),
IF(_xlfn.XLOOKUP(A142, Data!A134:A1000, Data!D134:D1000) = "T-shirt", INDEX('Form responses 1'!$A$2:$A1000,SUMPRODUCT(MAX(ROW('Form responses 1'!$C$2:$C1000)*(A142='Form responses 1'!$C$2:$C1000))-1)),
IF(_xlfn.XLOOKUP(A142, Data!A134:A1000, Data!D134:D1000) = "Trui", INDEX('Form responses 1'!$A$2:$A1000,SUMPRODUCT(MAX(ROW('Form responses 1'!$D$2:$D1000)*(A142='Form responses 1'!$D$2:$D1000))-1)),
IF(_xlfn.XLOOKUP(A142, Data!A134:A1000, Data!D134:D1000) = "blousje", INDEX('Form responses 1'!$A$2:$A1000,SUMPRODUCT(MAX(ROW('Form responses 1'!$E$2:$E1000)*(A142='Form responses 1'!$E$2:$E1000))-1)),
IF(_xlfn.XLOOKUP(A142, Data!A134:A1000, Data!D134:D1000) = "jas", INDEX('Form responses 1'!$A$2:$A1000,SUMPRODUCT(MAX(ROW('Form responses 1'!$G$2:$G1000)*(A142='Form responses 1'!$G$2:$G1000))-1)),
IF(_xlfn.XLOOKUP(A142, Data!A134:A1000, Data!D134:D1000) = "schoenen", INDEX('Form responses 1'!$A$2:$A1000,SUMPRODUCT(MAX(ROW('Form responses 1'!$F$2:$F1000)*(A142='Form responses 1'!$F$2:$F1000))-1)), "")))))),"-")
</f>
        <v>-</v>
      </c>
    </row>
    <row r="143">
      <c r="A143" s="3"/>
      <c r="B143" s="18" t="str">
        <f t="array" ref="B143">IFERROR(IF(_xlfn.XLOOKUP(A143, Data!A135:A1000, Data!D135:D1000) = "broek", IFERROR(INDEX('Form responses 1'!$A$2:$A1000,SUMPRODUCT(MAX(ROW('Form responses 1'!$B$2:$B1000)*(A143='Form responses 1'!$B$2:$B1000))-1)),"04/02/2022"),
IF(_xlfn.XLOOKUP(A143, Data!A135:A1000, Data!D135:D1000) = "T-shirt", INDEX('Form responses 1'!$A$2:$A1000,SUMPRODUCT(MAX(ROW('Form responses 1'!$C$2:$C1000)*(A143='Form responses 1'!$C$2:$C1000))-1)),
IF(_xlfn.XLOOKUP(A143, Data!A135:A1000, Data!D135:D1000) = "Trui", INDEX('Form responses 1'!$A$2:$A1000,SUMPRODUCT(MAX(ROW('Form responses 1'!$D$2:$D1000)*(A143='Form responses 1'!$D$2:$D1000))-1)),
IF(_xlfn.XLOOKUP(A143, Data!A135:A1000, Data!D135:D1000) = "blousje", INDEX('Form responses 1'!$A$2:$A1000,SUMPRODUCT(MAX(ROW('Form responses 1'!$E$2:$E1000)*(A143='Form responses 1'!$E$2:$E1000))-1)),
IF(_xlfn.XLOOKUP(A143, Data!A135:A1000, Data!D135:D1000) = "jas", INDEX('Form responses 1'!$A$2:$A1000,SUMPRODUCT(MAX(ROW('Form responses 1'!$G$2:$G1000)*(A143='Form responses 1'!$G$2:$G1000))-1)),
IF(_xlfn.XLOOKUP(A143, Data!A135:A1000, Data!D135:D1000) = "schoenen", INDEX('Form responses 1'!$A$2:$A1000,SUMPRODUCT(MAX(ROW('Form responses 1'!$F$2:$F1000)*(A143='Form responses 1'!$F$2:$F1000))-1)), "")))))),"-")
</f>
        <v>-</v>
      </c>
    </row>
    <row r="144">
      <c r="A144" s="3"/>
      <c r="B144" s="18" t="str">
        <f t="array" ref="B144">IFERROR(IF(_xlfn.XLOOKUP(A144, Data!A136:A1000, Data!D136:D1000) = "broek", IFERROR(INDEX('Form responses 1'!$A$2:$A1000,SUMPRODUCT(MAX(ROW('Form responses 1'!$B$2:$B1000)*(A144='Form responses 1'!$B$2:$B1000))-1)),"04/02/2022"),
IF(_xlfn.XLOOKUP(A144, Data!A136:A1000, Data!D136:D1000) = "T-shirt", INDEX('Form responses 1'!$A$2:$A1000,SUMPRODUCT(MAX(ROW('Form responses 1'!$C$2:$C1000)*(A144='Form responses 1'!$C$2:$C1000))-1)),
IF(_xlfn.XLOOKUP(A144, Data!A136:A1000, Data!D136:D1000) = "Trui", INDEX('Form responses 1'!$A$2:$A1000,SUMPRODUCT(MAX(ROW('Form responses 1'!$D$2:$D1000)*(A144='Form responses 1'!$D$2:$D1000))-1)),
IF(_xlfn.XLOOKUP(A144, Data!A136:A1000, Data!D136:D1000) = "blousje", INDEX('Form responses 1'!$A$2:$A1000,SUMPRODUCT(MAX(ROW('Form responses 1'!$E$2:$E1000)*(A144='Form responses 1'!$E$2:$E1000))-1)),
IF(_xlfn.XLOOKUP(A144, Data!A136:A1000, Data!D136:D1000) = "jas", INDEX('Form responses 1'!$A$2:$A1000,SUMPRODUCT(MAX(ROW('Form responses 1'!$G$2:$G1000)*(A144='Form responses 1'!$G$2:$G1000))-1)),
IF(_xlfn.XLOOKUP(A144, Data!A136:A1000, Data!D136:D1000) = "schoenen", INDEX('Form responses 1'!$A$2:$A1000,SUMPRODUCT(MAX(ROW('Form responses 1'!$F$2:$F1000)*(A144='Form responses 1'!$F$2:$F1000))-1)), "")))))),"-")
</f>
        <v>-</v>
      </c>
    </row>
    <row r="145">
      <c r="A145" s="3"/>
      <c r="B145" s="18" t="str">
        <f t="array" ref="B145">IFERROR(IF(_xlfn.XLOOKUP(A145, Data!A137:A1000, Data!D137:D1000) = "broek", IFERROR(INDEX('Form responses 1'!$A$2:$A1000,SUMPRODUCT(MAX(ROW('Form responses 1'!$B$2:$B1000)*(A145='Form responses 1'!$B$2:$B1000))-1)),"04/02/2022"),
IF(_xlfn.XLOOKUP(A145, Data!A137:A1000, Data!D137:D1000) = "T-shirt", INDEX('Form responses 1'!$A$2:$A1000,SUMPRODUCT(MAX(ROW('Form responses 1'!$C$2:$C1000)*(A145='Form responses 1'!$C$2:$C1000))-1)),
IF(_xlfn.XLOOKUP(A145, Data!A137:A1000, Data!D137:D1000) = "Trui", INDEX('Form responses 1'!$A$2:$A1000,SUMPRODUCT(MAX(ROW('Form responses 1'!$D$2:$D1000)*(A145='Form responses 1'!$D$2:$D1000))-1)),
IF(_xlfn.XLOOKUP(A145, Data!A137:A1000, Data!D137:D1000) = "blousje", INDEX('Form responses 1'!$A$2:$A1000,SUMPRODUCT(MAX(ROW('Form responses 1'!$E$2:$E1000)*(A145='Form responses 1'!$E$2:$E1000))-1)),
IF(_xlfn.XLOOKUP(A145, Data!A137:A1000, Data!D137:D1000) = "jas", INDEX('Form responses 1'!$A$2:$A1000,SUMPRODUCT(MAX(ROW('Form responses 1'!$G$2:$G1000)*(A145='Form responses 1'!$G$2:$G1000))-1)),
IF(_xlfn.XLOOKUP(A145, Data!A137:A1000, Data!D137:D1000) = "schoenen", INDEX('Form responses 1'!$A$2:$A1000,SUMPRODUCT(MAX(ROW('Form responses 1'!$F$2:$F1000)*(A145='Form responses 1'!$F$2:$F1000))-1)), "")))))),"-")
</f>
        <v>-</v>
      </c>
    </row>
    <row r="146">
      <c r="A146" s="3"/>
      <c r="B146" s="18" t="str">
        <f t="array" ref="B146">IFERROR(IF(_xlfn.XLOOKUP(A146, Data!A138:A1000, Data!D138:D1000) = "broek", IFERROR(INDEX('Form responses 1'!$A$2:$A1000,SUMPRODUCT(MAX(ROW('Form responses 1'!$B$2:$B1000)*(A146='Form responses 1'!$B$2:$B1000))-1)),"04/02/2022"),
IF(_xlfn.XLOOKUP(A146, Data!A138:A1000, Data!D138:D1000) = "T-shirt", INDEX('Form responses 1'!$A$2:$A1000,SUMPRODUCT(MAX(ROW('Form responses 1'!$C$2:$C1000)*(A146='Form responses 1'!$C$2:$C1000))-1)),
IF(_xlfn.XLOOKUP(A146, Data!A138:A1000, Data!D138:D1000) = "Trui", INDEX('Form responses 1'!$A$2:$A1000,SUMPRODUCT(MAX(ROW('Form responses 1'!$D$2:$D1000)*(A146='Form responses 1'!$D$2:$D1000))-1)),
IF(_xlfn.XLOOKUP(A146, Data!A138:A1000, Data!D138:D1000) = "blousje", INDEX('Form responses 1'!$A$2:$A1000,SUMPRODUCT(MAX(ROW('Form responses 1'!$E$2:$E1000)*(A146='Form responses 1'!$E$2:$E1000))-1)),
IF(_xlfn.XLOOKUP(A146, Data!A138:A1000, Data!D138:D1000) = "jas", INDEX('Form responses 1'!$A$2:$A1000,SUMPRODUCT(MAX(ROW('Form responses 1'!$G$2:$G1000)*(A146='Form responses 1'!$G$2:$G1000))-1)),
IF(_xlfn.XLOOKUP(A146, Data!A138:A1000, Data!D138:D1000) = "schoenen", INDEX('Form responses 1'!$A$2:$A1000,SUMPRODUCT(MAX(ROW('Form responses 1'!$F$2:$F1000)*(A146='Form responses 1'!$F$2:$F1000))-1)), "")))))),"-")
</f>
        <v>-</v>
      </c>
    </row>
    <row r="147">
      <c r="A147" s="3"/>
      <c r="B147" s="18" t="str">
        <f t="array" ref="B147">IFERROR(IF(_xlfn.XLOOKUP(A147, Data!A139:A1000, Data!D139:D1000) = "broek", IFERROR(INDEX('Form responses 1'!$A$2:$A1000,SUMPRODUCT(MAX(ROW('Form responses 1'!$B$2:$B1000)*(A147='Form responses 1'!$B$2:$B1000))-1)),"04/02/2022"),
IF(_xlfn.XLOOKUP(A147, Data!A139:A1000, Data!D139:D1000) = "T-shirt", INDEX('Form responses 1'!$A$2:$A1000,SUMPRODUCT(MAX(ROW('Form responses 1'!$C$2:$C1000)*(A147='Form responses 1'!$C$2:$C1000))-1)),
IF(_xlfn.XLOOKUP(A147, Data!A139:A1000, Data!D139:D1000) = "Trui", INDEX('Form responses 1'!$A$2:$A1000,SUMPRODUCT(MAX(ROW('Form responses 1'!$D$2:$D1000)*(A147='Form responses 1'!$D$2:$D1000))-1)),
IF(_xlfn.XLOOKUP(A147, Data!A139:A1000, Data!D139:D1000) = "blousje", INDEX('Form responses 1'!$A$2:$A1000,SUMPRODUCT(MAX(ROW('Form responses 1'!$E$2:$E1000)*(A147='Form responses 1'!$E$2:$E1000))-1)),
IF(_xlfn.XLOOKUP(A147, Data!A139:A1000, Data!D139:D1000) = "jas", INDEX('Form responses 1'!$A$2:$A1000,SUMPRODUCT(MAX(ROW('Form responses 1'!$G$2:$G1000)*(A147='Form responses 1'!$G$2:$G1000))-1)),
IF(_xlfn.XLOOKUP(A147, Data!A139:A1000, Data!D139:D1000) = "schoenen", INDEX('Form responses 1'!$A$2:$A1000,SUMPRODUCT(MAX(ROW('Form responses 1'!$F$2:$F1000)*(A147='Form responses 1'!$F$2:$F1000))-1)), "")))))),"-")
</f>
        <v>-</v>
      </c>
    </row>
    <row r="148">
      <c r="A148" s="3"/>
      <c r="B148" s="18" t="str">
        <f t="array" ref="B148">IFERROR(IF(_xlfn.XLOOKUP(A148, Data!A140:A1000, Data!D140:D1000) = "broek", IFERROR(INDEX('Form responses 1'!$A$2:$A1000,SUMPRODUCT(MAX(ROW('Form responses 1'!$B$2:$B1000)*(A148='Form responses 1'!$B$2:$B1000))-1)),"04/02/2022"),
IF(_xlfn.XLOOKUP(A148, Data!A140:A1000, Data!D140:D1000) = "T-shirt", INDEX('Form responses 1'!$A$2:$A1000,SUMPRODUCT(MAX(ROW('Form responses 1'!$C$2:$C1000)*(A148='Form responses 1'!$C$2:$C1000))-1)),
IF(_xlfn.XLOOKUP(A148, Data!A140:A1000, Data!D140:D1000) = "Trui", INDEX('Form responses 1'!$A$2:$A1000,SUMPRODUCT(MAX(ROW('Form responses 1'!$D$2:$D1000)*(A148='Form responses 1'!$D$2:$D1000))-1)),
IF(_xlfn.XLOOKUP(A148, Data!A140:A1000, Data!D140:D1000) = "blousje", INDEX('Form responses 1'!$A$2:$A1000,SUMPRODUCT(MAX(ROW('Form responses 1'!$E$2:$E1000)*(A148='Form responses 1'!$E$2:$E1000))-1)),
IF(_xlfn.XLOOKUP(A148, Data!A140:A1000, Data!D140:D1000) = "jas", INDEX('Form responses 1'!$A$2:$A1000,SUMPRODUCT(MAX(ROW('Form responses 1'!$G$2:$G1000)*(A148='Form responses 1'!$G$2:$G1000))-1)),
IF(_xlfn.XLOOKUP(A148, Data!A140:A1000, Data!D140:D1000) = "schoenen", INDEX('Form responses 1'!$A$2:$A1000,SUMPRODUCT(MAX(ROW('Form responses 1'!$F$2:$F1000)*(A148='Form responses 1'!$F$2:$F1000))-1)), "")))))),"-")
</f>
        <v>-</v>
      </c>
    </row>
    <row r="149">
      <c r="A149" s="3"/>
      <c r="B149" s="18" t="str">
        <f t="array" ref="B149">IFERROR(IF(_xlfn.XLOOKUP(A149, Data!A141:A1000, Data!D141:D1000) = "broek", IFERROR(INDEX('Form responses 1'!$A$2:$A1000,SUMPRODUCT(MAX(ROW('Form responses 1'!$B$2:$B1000)*(A149='Form responses 1'!$B$2:$B1000))-1)),"04/02/2022"),
IF(_xlfn.XLOOKUP(A149, Data!A141:A1000, Data!D141:D1000) = "T-shirt", INDEX('Form responses 1'!$A$2:$A1000,SUMPRODUCT(MAX(ROW('Form responses 1'!$C$2:$C1000)*(A149='Form responses 1'!$C$2:$C1000))-1)),
IF(_xlfn.XLOOKUP(A149, Data!A141:A1000, Data!D141:D1000) = "Trui", INDEX('Form responses 1'!$A$2:$A1000,SUMPRODUCT(MAX(ROW('Form responses 1'!$D$2:$D1000)*(A149='Form responses 1'!$D$2:$D1000))-1)),
IF(_xlfn.XLOOKUP(A149, Data!A141:A1000, Data!D141:D1000) = "blousje", INDEX('Form responses 1'!$A$2:$A1000,SUMPRODUCT(MAX(ROW('Form responses 1'!$E$2:$E1000)*(A149='Form responses 1'!$E$2:$E1000))-1)),
IF(_xlfn.XLOOKUP(A149, Data!A141:A1000, Data!D141:D1000) = "jas", INDEX('Form responses 1'!$A$2:$A1000,SUMPRODUCT(MAX(ROW('Form responses 1'!$G$2:$G1000)*(A149='Form responses 1'!$G$2:$G1000))-1)),
IF(_xlfn.XLOOKUP(A149, Data!A141:A1000, Data!D141:D1000) = "schoenen", INDEX('Form responses 1'!$A$2:$A1000,SUMPRODUCT(MAX(ROW('Form responses 1'!$F$2:$F1000)*(A149='Form responses 1'!$F$2:$F1000))-1)), "")))))),"-")
</f>
        <v>-</v>
      </c>
    </row>
    <row r="150">
      <c r="A150" s="3"/>
      <c r="B150" s="18" t="str">
        <f t="array" ref="B150">IFERROR(IF(_xlfn.XLOOKUP(A150, Data!A142:A1000, Data!D142:D1000) = "broek", IFERROR(INDEX('Form responses 1'!$A$2:$A1000,SUMPRODUCT(MAX(ROW('Form responses 1'!$B$2:$B1000)*(A150='Form responses 1'!$B$2:$B1000))-1)),"04/02/2022"),
IF(_xlfn.XLOOKUP(A150, Data!A142:A1000, Data!D142:D1000) = "T-shirt", INDEX('Form responses 1'!$A$2:$A1000,SUMPRODUCT(MAX(ROW('Form responses 1'!$C$2:$C1000)*(A150='Form responses 1'!$C$2:$C1000))-1)),
IF(_xlfn.XLOOKUP(A150, Data!A142:A1000, Data!D142:D1000) = "Trui", INDEX('Form responses 1'!$A$2:$A1000,SUMPRODUCT(MAX(ROW('Form responses 1'!$D$2:$D1000)*(A150='Form responses 1'!$D$2:$D1000))-1)),
IF(_xlfn.XLOOKUP(A150, Data!A142:A1000, Data!D142:D1000) = "blousje", INDEX('Form responses 1'!$A$2:$A1000,SUMPRODUCT(MAX(ROW('Form responses 1'!$E$2:$E1000)*(A150='Form responses 1'!$E$2:$E1000))-1)),
IF(_xlfn.XLOOKUP(A150, Data!A142:A1000, Data!D142:D1000) = "jas", INDEX('Form responses 1'!$A$2:$A1000,SUMPRODUCT(MAX(ROW('Form responses 1'!$G$2:$G1000)*(A150='Form responses 1'!$G$2:$G1000))-1)),
IF(_xlfn.XLOOKUP(A150, Data!A142:A1000, Data!D142:D1000) = "schoenen", INDEX('Form responses 1'!$A$2:$A1000,SUMPRODUCT(MAX(ROW('Form responses 1'!$F$2:$F1000)*(A150='Form responses 1'!$F$2:$F1000))-1)), "")))))),"-")
</f>
        <v>-</v>
      </c>
    </row>
    <row r="151">
      <c r="A151" s="3"/>
      <c r="B151" s="18" t="str">
        <f t="array" ref="B151">IFERROR(IF(_xlfn.XLOOKUP(A151, Data!A143:A1000, Data!D143:D1000) = "broek", IFERROR(INDEX('Form responses 1'!$A$2:$A1000,SUMPRODUCT(MAX(ROW('Form responses 1'!$B$2:$B1000)*(A151='Form responses 1'!$B$2:$B1000))-1)),"04/02/2022"),
IF(_xlfn.XLOOKUP(A151, Data!A143:A1000, Data!D143:D1000) = "T-shirt", INDEX('Form responses 1'!$A$2:$A1000,SUMPRODUCT(MAX(ROW('Form responses 1'!$C$2:$C1000)*(A151='Form responses 1'!$C$2:$C1000))-1)),
IF(_xlfn.XLOOKUP(A151, Data!A143:A1000, Data!D143:D1000) = "Trui", INDEX('Form responses 1'!$A$2:$A1000,SUMPRODUCT(MAX(ROW('Form responses 1'!$D$2:$D1000)*(A151='Form responses 1'!$D$2:$D1000))-1)),
IF(_xlfn.XLOOKUP(A151, Data!A143:A1000, Data!D143:D1000) = "blousje", INDEX('Form responses 1'!$A$2:$A1000,SUMPRODUCT(MAX(ROW('Form responses 1'!$E$2:$E1000)*(A151='Form responses 1'!$E$2:$E1000))-1)),
IF(_xlfn.XLOOKUP(A151, Data!A143:A1000, Data!D143:D1000) = "jas", INDEX('Form responses 1'!$A$2:$A1000,SUMPRODUCT(MAX(ROW('Form responses 1'!$G$2:$G1000)*(A151='Form responses 1'!$G$2:$G1000))-1)),
IF(_xlfn.XLOOKUP(A151, Data!A143:A1000, Data!D143:D1000) = "schoenen", INDEX('Form responses 1'!$A$2:$A1000,SUMPRODUCT(MAX(ROW('Form responses 1'!$F$2:$F1000)*(A151='Form responses 1'!$F$2:$F1000))-1)), "")))))),"-")
</f>
        <v>-</v>
      </c>
    </row>
    <row r="152">
      <c r="A152" s="3"/>
      <c r="B152" s="18" t="str">
        <f t="array" ref="B152">IFERROR(IF(_xlfn.XLOOKUP(A152, Data!A144:A1000, Data!D144:D1000) = "broek", IFERROR(INDEX('Form responses 1'!$A$2:$A1000,SUMPRODUCT(MAX(ROW('Form responses 1'!$B$2:$B1000)*(A152='Form responses 1'!$B$2:$B1000))-1)),"04/02/2022"),
IF(_xlfn.XLOOKUP(A152, Data!A144:A1000, Data!D144:D1000) = "T-shirt", INDEX('Form responses 1'!$A$2:$A1000,SUMPRODUCT(MAX(ROW('Form responses 1'!$C$2:$C1000)*(A152='Form responses 1'!$C$2:$C1000))-1)),
IF(_xlfn.XLOOKUP(A152, Data!A144:A1000, Data!D144:D1000) = "Trui", INDEX('Form responses 1'!$A$2:$A1000,SUMPRODUCT(MAX(ROW('Form responses 1'!$D$2:$D1000)*(A152='Form responses 1'!$D$2:$D1000))-1)),
IF(_xlfn.XLOOKUP(A152, Data!A144:A1000, Data!D144:D1000) = "blousje", INDEX('Form responses 1'!$A$2:$A1000,SUMPRODUCT(MAX(ROW('Form responses 1'!$E$2:$E1000)*(A152='Form responses 1'!$E$2:$E1000))-1)),
IF(_xlfn.XLOOKUP(A152, Data!A144:A1000, Data!D144:D1000) = "jas", INDEX('Form responses 1'!$A$2:$A1000,SUMPRODUCT(MAX(ROW('Form responses 1'!$G$2:$G1000)*(A152='Form responses 1'!$G$2:$G1000))-1)),
IF(_xlfn.XLOOKUP(A152, Data!A144:A1000, Data!D144:D1000) = "schoenen", INDEX('Form responses 1'!$A$2:$A1000,SUMPRODUCT(MAX(ROW('Form responses 1'!$F$2:$F1000)*(A152='Form responses 1'!$F$2:$F1000))-1)), "")))))),"-")
</f>
        <v>-</v>
      </c>
    </row>
    <row r="153">
      <c r="A153" s="3"/>
      <c r="B153" s="18" t="str">
        <f t="array" ref="B153">IFERROR(IF(_xlfn.XLOOKUP(A153, Data!A145:A1000, Data!D145:D1000) = "broek", IFERROR(INDEX('Form responses 1'!$A$2:$A1000,SUMPRODUCT(MAX(ROW('Form responses 1'!$B$2:$B1000)*(A153='Form responses 1'!$B$2:$B1000))-1)),"04/02/2022"),
IF(_xlfn.XLOOKUP(A153, Data!A145:A1000, Data!D145:D1000) = "T-shirt", INDEX('Form responses 1'!$A$2:$A1000,SUMPRODUCT(MAX(ROW('Form responses 1'!$C$2:$C1000)*(A153='Form responses 1'!$C$2:$C1000))-1)),
IF(_xlfn.XLOOKUP(A153, Data!A145:A1000, Data!D145:D1000) = "Trui", INDEX('Form responses 1'!$A$2:$A1000,SUMPRODUCT(MAX(ROW('Form responses 1'!$D$2:$D1000)*(A153='Form responses 1'!$D$2:$D1000))-1)),
IF(_xlfn.XLOOKUP(A153, Data!A145:A1000, Data!D145:D1000) = "blousje", INDEX('Form responses 1'!$A$2:$A1000,SUMPRODUCT(MAX(ROW('Form responses 1'!$E$2:$E1000)*(A153='Form responses 1'!$E$2:$E1000))-1)),
IF(_xlfn.XLOOKUP(A153, Data!A145:A1000, Data!D145:D1000) = "jas", INDEX('Form responses 1'!$A$2:$A1000,SUMPRODUCT(MAX(ROW('Form responses 1'!$G$2:$G1000)*(A153='Form responses 1'!$G$2:$G1000))-1)),
IF(_xlfn.XLOOKUP(A153, Data!A145:A1000, Data!D145:D1000) = "schoenen", INDEX('Form responses 1'!$A$2:$A1000,SUMPRODUCT(MAX(ROW('Form responses 1'!$F$2:$F1000)*(A153='Form responses 1'!$F$2:$F1000))-1)), "")))))),"-")
</f>
        <v>-</v>
      </c>
    </row>
    <row r="154">
      <c r="A154" s="3"/>
      <c r="B154" s="18" t="str">
        <f t="array" ref="B154">IFERROR(IF(_xlfn.XLOOKUP(A154, Data!A146:A1000, Data!D146:D1000) = "broek", IFERROR(INDEX('Form responses 1'!$A$2:$A1000,SUMPRODUCT(MAX(ROW('Form responses 1'!$B$2:$B1000)*(A154='Form responses 1'!$B$2:$B1000))-1)),"04/02/2022"),
IF(_xlfn.XLOOKUP(A154, Data!A146:A1000, Data!D146:D1000) = "T-shirt", INDEX('Form responses 1'!$A$2:$A1000,SUMPRODUCT(MAX(ROW('Form responses 1'!$C$2:$C1000)*(A154='Form responses 1'!$C$2:$C1000))-1)),
IF(_xlfn.XLOOKUP(A154, Data!A146:A1000, Data!D146:D1000) = "Trui", INDEX('Form responses 1'!$A$2:$A1000,SUMPRODUCT(MAX(ROW('Form responses 1'!$D$2:$D1000)*(A154='Form responses 1'!$D$2:$D1000))-1)),
IF(_xlfn.XLOOKUP(A154, Data!A146:A1000, Data!D146:D1000) = "blousje", INDEX('Form responses 1'!$A$2:$A1000,SUMPRODUCT(MAX(ROW('Form responses 1'!$E$2:$E1000)*(A154='Form responses 1'!$E$2:$E1000))-1)),
IF(_xlfn.XLOOKUP(A154, Data!A146:A1000, Data!D146:D1000) = "jas", INDEX('Form responses 1'!$A$2:$A1000,SUMPRODUCT(MAX(ROW('Form responses 1'!$G$2:$G1000)*(A154='Form responses 1'!$G$2:$G1000))-1)),
IF(_xlfn.XLOOKUP(A154, Data!A146:A1000, Data!D146:D1000) = "schoenen", INDEX('Form responses 1'!$A$2:$A1000,SUMPRODUCT(MAX(ROW('Form responses 1'!$F$2:$F1000)*(A154='Form responses 1'!$F$2:$F1000))-1)), "")))))),"-")
</f>
        <v>-</v>
      </c>
    </row>
    <row r="155">
      <c r="A155" s="3"/>
      <c r="B155" s="18" t="str">
        <f t="array" ref="B155">IFERROR(IF(_xlfn.XLOOKUP(A155, Data!A147:A1000, Data!D147:D1000) = "broek", IFERROR(INDEX('Form responses 1'!$A$2:$A1000,SUMPRODUCT(MAX(ROW('Form responses 1'!$B$2:$B1000)*(A155='Form responses 1'!$B$2:$B1000))-1)),"04/02/2022"),
IF(_xlfn.XLOOKUP(A155, Data!A147:A1000, Data!D147:D1000) = "T-shirt", INDEX('Form responses 1'!$A$2:$A1000,SUMPRODUCT(MAX(ROW('Form responses 1'!$C$2:$C1000)*(A155='Form responses 1'!$C$2:$C1000))-1)),
IF(_xlfn.XLOOKUP(A155, Data!A147:A1000, Data!D147:D1000) = "Trui", INDEX('Form responses 1'!$A$2:$A1000,SUMPRODUCT(MAX(ROW('Form responses 1'!$D$2:$D1000)*(A155='Form responses 1'!$D$2:$D1000))-1)),
IF(_xlfn.XLOOKUP(A155, Data!A147:A1000, Data!D147:D1000) = "blousje", INDEX('Form responses 1'!$A$2:$A1000,SUMPRODUCT(MAX(ROW('Form responses 1'!$E$2:$E1000)*(A155='Form responses 1'!$E$2:$E1000))-1)),
IF(_xlfn.XLOOKUP(A155, Data!A147:A1000, Data!D147:D1000) = "jas", INDEX('Form responses 1'!$A$2:$A1000,SUMPRODUCT(MAX(ROW('Form responses 1'!$G$2:$G1000)*(A155='Form responses 1'!$G$2:$G1000))-1)),
IF(_xlfn.XLOOKUP(A155, Data!A147:A1000, Data!D147:D1000) = "schoenen", INDEX('Form responses 1'!$A$2:$A1000,SUMPRODUCT(MAX(ROW('Form responses 1'!$F$2:$F1000)*(A155='Form responses 1'!$F$2:$F1000))-1)), "")))))),"-")
</f>
        <v>-</v>
      </c>
    </row>
    <row r="156">
      <c r="A156" s="3"/>
      <c r="B156" s="18" t="str">
        <f t="array" ref="B156">IFERROR(IF(_xlfn.XLOOKUP(A156, Data!A148:A1000, Data!D148:D1000) = "broek", IFERROR(INDEX('Form responses 1'!$A$2:$A1000,SUMPRODUCT(MAX(ROW('Form responses 1'!$B$2:$B1000)*(A156='Form responses 1'!$B$2:$B1000))-1)),"04/02/2022"),
IF(_xlfn.XLOOKUP(A156, Data!A148:A1000, Data!D148:D1000) = "T-shirt", INDEX('Form responses 1'!$A$2:$A1000,SUMPRODUCT(MAX(ROW('Form responses 1'!$C$2:$C1000)*(A156='Form responses 1'!$C$2:$C1000))-1)),
IF(_xlfn.XLOOKUP(A156, Data!A148:A1000, Data!D148:D1000) = "Trui", INDEX('Form responses 1'!$A$2:$A1000,SUMPRODUCT(MAX(ROW('Form responses 1'!$D$2:$D1000)*(A156='Form responses 1'!$D$2:$D1000))-1)),
IF(_xlfn.XLOOKUP(A156, Data!A148:A1000, Data!D148:D1000) = "blousje", INDEX('Form responses 1'!$A$2:$A1000,SUMPRODUCT(MAX(ROW('Form responses 1'!$E$2:$E1000)*(A156='Form responses 1'!$E$2:$E1000))-1)),
IF(_xlfn.XLOOKUP(A156, Data!A148:A1000, Data!D148:D1000) = "jas", INDEX('Form responses 1'!$A$2:$A1000,SUMPRODUCT(MAX(ROW('Form responses 1'!$G$2:$G1000)*(A156='Form responses 1'!$G$2:$G1000))-1)),
IF(_xlfn.XLOOKUP(A156, Data!A148:A1000, Data!D148:D1000) = "schoenen", INDEX('Form responses 1'!$A$2:$A1000,SUMPRODUCT(MAX(ROW('Form responses 1'!$F$2:$F1000)*(A156='Form responses 1'!$F$2:$F1000))-1)), "")))))),"-")
</f>
        <v>-</v>
      </c>
    </row>
    <row r="157">
      <c r="A157" s="3"/>
      <c r="B157" s="18" t="str">
        <f t="array" ref="B157">IFERROR(IF(_xlfn.XLOOKUP(A157, Data!A149:A1000, Data!D149:D1000) = "broek", IFERROR(INDEX('Form responses 1'!$A$2:$A1000,SUMPRODUCT(MAX(ROW('Form responses 1'!$B$2:$B1000)*(A157='Form responses 1'!$B$2:$B1000))-1)),"04/02/2022"),
IF(_xlfn.XLOOKUP(A157, Data!A149:A1000, Data!D149:D1000) = "T-shirt", INDEX('Form responses 1'!$A$2:$A1000,SUMPRODUCT(MAX(ROW('Form responses 1'!$C$2:$C1000)*(A157='Form responses 1'!$C$2:$C1000))-1)),
IF(_xlfn.XLOOKUP(A157, Data!A149:A1000, Data!D149:D1000) = "Trui", INDEX('Form responses 1'!$A$2:$A1000,SUMPRODUCT(MAX(ROW('Form responses 1'!$D$2:$D1000)*(A157='Form responses 1'!$D$2:$D1000))-1)),
IF(_xlfn.XLOOKUP(A157, Data!A149:A1000, Data!D149:D1000) = "blousje", INDEX('Form responses 1'!$A$2:$A1000,SUMPRODUCT(MAX(ROW('Form responses 1'!$E$2:$E1000)*(A157='Form responses 1'!$E$2:$E1000))-1)),
IF(_xlfn.XLOOKUP(A157, Data!A149:A1000, Data!D149:D1000) = "jas", INDEX('Form responses 1'!$A$2:$A1000,SUMPRODUCT(MAX(ROW('Form responses 1'!$G$2:$G1000)*(A157='Form responses 1'!$G$2:$G1000))-1)),
IF(_xlfn.XLOOKUP(A157, Data!A149:A1000, Data!D149:D1000) = "schoenen", INDEX('Form responses 1'!$A$2:$A1000,SUMPRODUCT(MAX(ROW('Form responses 1'!$F$2:$F1000)*(A157='Form responses 1'!$F$2:$F1000))-1)), "")))))),"-")
</f>
        <v>-</v>
      </c>
    </row>
    <row r="158">
      <c r="A158" s="3"/>
      <c r="B158" s="18" t="str">
        <f t="array" ref="B158">IFERROR(IF(_xlfn.XLOOKUP(A158, Data!A150:A1000, Data!D150:D1000) = "broek", IFERROR(INDEX('Form responses 1'!$A$2:$A1000,SUMPRODUCT(MAX(ROW('Form responses 1'!$B$2:$B1000)*(A158='Form responses 1'!$B$2:$B1000))-1)),"04/02/2022"),
IF(_xlfn.XLOOKUP(A158, Data!A150:A1000, Data!D150:D1000) = "T-shirt", INDEX('Form responses 1'!$A$2:$A1000,SUMPRODUCT(MAX(ROW('Form responses 1'!$C$2:$C1000)*(A158='Form responses 1'!$C$2:$C1000))-1)),
IF(_xlfn.XLOOKUP(A158, Data!A150:A1000, Data!D150:D1000) = "Trui", INDEX('Form responses 1'!$A$2:$A1000,SUMPRODUCT(MAX(ROW('Form responses 1'!$D$2:$D1000)*(A158='Form responses 1'!$D$2:$D1000))-1)),
IF(_xlfn.XLOOKUP(A158, Data!A150:A1000, Data!D150:D1000) = "blousje", INDEX('Form responses 1'!$A$2:$A1000,SUMPRODUCT(MAX(ROW('Form responses 1'!$E$2:$E1000)*(A158='Form responses 1'!$E$2:$E1000))-1)),
IF(_xlfn.XLOOKUP(A158, Data!A150:A1000, Data!D150:D1000) = "jas", INDEX('Form responses 1'!$A$2:$A1000,SUMPRODUCT(MAX(ROW('Form responses 1'!$G$2:$G1000)*(A158='Form responses 1'!$G$2:$G1000))-1)),
IF(_xlfn.XLOOKUP(A158, Data!A150:A1000, Data!D150:D1000) = "schoenen", INDEX('Form responses 1'!$A$2:$A1000,SUMPRODUCT(MAX(ROW('Form responses 1'!$F$2:$F1000)*(A158='Form responses 1'!$F$2:$F1000))-1)), "")))))),"-")
</f>
        <v>-</v>
      </c>
    </row>
    <row r="159">
      <c r="A159" s="3"/>
      <c r="B159" s="18" t="str">
        <f t="array" ref="B159">IFERROR(IF(_xlfn.XLOOKUP(A159, Data!A151:A1000, Data!D151:D1000) = "broek", IFERROR(INDEX('Form responses 1'!$A$2:$A1000,SUMPRODUCT(MAX(ROW('Form responses 1'!$B$2:$B1000)*(A159='Form responses 1'!$B$2:$B1000))-1)),"04/02/2022"),
IF(_xlfn.XLOOKUP(A159, Data!A151:A1000, Data!D151:D1000) = "T-shirt", INDEX('Form responses 1'!$A$2:$A1000,SUMPRODUCT(MAX(ROW('Form responses 1'!$C$2:$C1000)*(A159='Form responses 1'!$C$2:$C1000))-1)),
IF(_xlfn.XLOOKUP(A159, Data!A151:A1000, Data!D151:D1000) = "Trui", INDEX('Form responses 1'!$A$2:$A1000,SUMPRODUCT(MAX(ROW('Form responses 1'!$D$2:$D1000)*(A159='Form responses 1'!$D$2:$D1000))-1)),
IF(_xlfn.XLOOKUP(A159, Data!A151:A1000, Data!D151:D1000) = "blousje", INDEX('Form responses 1'!$A$2:$A1000,SUMPRODUCT(MAX(ROW('Form responses 1'!$E$2:$E1000)*(A159='Form responses 1'!$E$2:$E1000))-1)),
IF(_xlfn.XLOOKUP(A159, Data!A151:A1000, Data!D151:D1000) = "jas", INDEX('Form responses 1'!$A$2:$A1000,SUMPRODUCT(MAX(ROW('Form responses 1'!$G$2:$G1000)*(A159='Form responses 1'!$G$2:$G1000))-1)),
IF(_xlfn.XLOOKUP(A159, Data!A151:A1000, Data!D151:D1000) = "schoenen", INDEX('Form responses 1'!$A$2:$A1000,SUMPRODUCT(MAX(ROW('Form responses 1'!$F$2:$F1000)*(A159='Form responses 1'!$F$2:$F1000))-1)), "")))))),"-")
</f>
        <v>-</v>
      </c>
    </row>
    <row r="160">
      <c r="A160" s="3"/>
      <c r="B160" s="18" t="str">
        <f t="array" ref="B160">IFERROR(IF(_xlfn.XLOOKUP(A160, Data!A152:A1000, Data!D152:D1000) = "broek", IFERROR(INDEX('Form responses 1'!$A$2:$A1000,SUMPRODUCT(MAX(ROW('Form responses 1'!$B$2:$B1000)*(A160='Form responses 1'!$B$2:$B1000))-1)),"04/02/2022"),
IF(_xlfn.XLOOKUP(A160, Data!A152:A1000, Data!D152:D1000) = "T-shirt", INDEX('Form responses 1'!$A$2:$A1000,SUMPRODUCT(MAX(ROW('Form responses 1'!$C$2:$C1000)*(A160='Form responses 1'!$C$2:$C1000))-1)),
IF(_xlfn.XLOOKUP(A160, Data!A152:A1000, Data!D152:D1000) = "Trui", INDEX('Form responses 1'!$A$2:$A1000,SUMPRODUCT(MAX(ROW('Form responses 1'!$D$2:$D1000)*(A160='Form responses 1'!$D$2:$D1000))-1)),
IF(_xlfn.XLOOKUP(A160, Data!A152:A1000, Data!D152:D1000) = "blousje", INDEX('Form responses 1'!$A$2:$A1000,SUMPRODUCT(MAX(ROW('Form responses 1'!$E$2:$E1000)*(A160='Form responses 1'!$E$2:$E1000))-1)),
IF(_xlfn.XLOOKUP(A160, Data!A152:A1000, Data!D152:D1000) = "jas", INDEX('Form responses 1'!$A$2:$A1000,SUMPRODUCT(MAX(ROW('Form responses 1'!$G$2:$G1000)*(A160='Form responses 1'!$G$2:$G1000))-1)),
IF(_xlfn.XLOOKUP(A160, Data!A152:A1000, Data!D152:D1000) = "schoenen", INDEX('Form responses 1'!$A$2:$A1000,SUMPRODUCT(MAX(ROW('Form responses 1'!$F$2:$F1000)*(A160='Form responses 1'!$F$2:$F1000))-1)), "")))))),"-")
</f>
        <v>-</v>
      </c>
    </row>
    <row r="161">
      <c r="A161" s="3"/>
      <c r="B161" s="18" t="str">
        <f t="array" ref="B161">IFERROR(IF(_xlfn.XLOOKUP(A161, Data!A153:A1000, Data!D153:D1000) = "broek", IFERROR(INDEX('Form responses 1'!$A$2:$A1000,SUMPRODUCT(MAX(ROW('Form responses 1'!$B$2:$B1000)*(A161='Form responses 1'!$B$2:$B1000))-1)),"04/02/2022"),
IF(_xlfn.XLOOKUP(A161, Data!A153:A1000, Data!D153:D1000) = "T-shirt", INDEX('Form responses 1'!$A$2:$A1000,SUMPRODUCT(MAX(ROW('Form responses 1'!$C$2:$C1000)*(A161='Form responses 1'!$C$2:$C1000))-1)),
IF(_xlfn.XLOOKUP(A161, Data!A153:A1000, Data!D153:D1000) = "Trui", INDEX('Form responses 1'!$A$2:$A1000,SUMPRODUCT(MAX(ROW('Form responses 1'!$D$2:$D1000)*(A161='Form responses 1'!$D$2:$D1000))-1)),
IF(_xlfn.XLOOKUP(A161, Data!A153:A1000, Data!D153:D1000) = "blousje", INDEX('Form responses 1'!$A$2:$A1000,SUMPRODUCT(MAX(ROW('Form responses 1'!$E$2:$E1000)*(A161='Form responses 1'!$E$2:$E1000))-1)),
IF(_xlfn.XLOOKUP(A161, Data!A153:A1000, Data!D153:D1000) = "jas", INDEX('Form responses 1'!$A$2:$A1000,SUMPRODUCT(MAX(ROW('Form responses 1'!$G$2:$G1000)*(A161='Form responses 1'!$G$2:$G1000))-1)),
IF(_xlfn.XLOOKUP(A161, Data!A153:A1000, Data!D153:D1000) = "schoenen", INDEX('Form responses 1'!$A$2:$A1000,SUMPRODUCT(MAX(ROW('Form responses 1'!$F$2:$F1000)*(A161='Form responses 1'!$F$2:$F1000))-1)), "")))))),"-")
</f>
        <v>-</v>
      </c>
    </row>
    <row r="162">
      <c r="A162" s="3"/>
      <c r="B162" s="18" t="str">
        <f t="array" ref="B162">IFERROR(IF(_xlfn.XLOOKUP(A162, Data!A154:A1000, Data!D154:D1000) = "broek", IFERROR(INDEX('Form responses 1'!$A$2:$A1000,SUMPRODUCT(MAX(ROW('Form responses 1'!$B$2:$B1000)*(A162='Form responses 1'!$B$2:$B1000))-1)),"04/02/2022"),
IF(_xlfn.XLOOKUP(A162, Data!A154:A1000, Data!D154:D1000) = "T-shirt", INDEX('Form responses 1'!$A$2:$A1000,SUMPRODUCT(MAX(ROW('Form responses 1'!$C$2:$C1000)*(A162='Form responses 1'!$C$2:$C1000))-1)),
IF(_xlfn.XLOOKUP(A162, Data!A154:A1000, Data!D154:D1000) = "Trui", INDEX('Form responses 1'!$A$2:$A1000,SUMPRODUCT(MAX(ROW('Form responses 1'!$D$2:$D1000)*(A162='Form responses 1'!$D$2:$D1000))-1)),
IF(_xlfn.XLOOKUP(A162, Data!A154:A1000, Data!D154:D1000) = "blousje", INDEX('Form responses 1'!$A$2:$A1000,SUMPRODUCT(MAX(ROW('Form responses 1'!$E$2:$E1000)*(A162='Form responses 1'!$E$2:$E1000))-1)),
IF(_xlfn.XLOOKUP(A162, Data!A154:A1000, Data!D154:D1000) = "jas", INDEX('Form responses 1'!$A$2:$A1000,SUMPRODUCT(MAX(ROW('Form responses 1'!$G$2:$G1000)*(A162='Form responses 1'!$G$2:$G1000))-1)),
IF(_xlfn.XLOOKUP(A162, Data!A154:A1000, Data!D154:D1000) = "schoenen", INDEX('Form responses 1'!$A$2:$A1000,SUMPRODUCT(MAX(ROW('Form responses 1'!$F$2:$F1000)*(A162='Form responses 1'!$F$2:$F1000))-1)), "")))))),"-")
</f>
        <v>-</v>
      </c>
    </row>
    <row r="163">
      <c r="A163" s="3"/>
      <c r="B163" s="18" t="str">
        <f t="array" ref="B163">IFERROR(IF(_xlfn.XLOOKUP(A163, Data!A155:A1000, Data!D155:D1000) = "broek", IFERROR(INDEX('Form responses 1'!$A$2:$A1000,SUMPRODUCT(MAX(ROW('Form responses 1'!$B$2:$B1000)*(A163='Form responses 1'!$B$2:$B1000))-1)),"04/02/2022"),
IF(_xlfn.XLOOKUP(A163, Data!A155:A1000, Data!D155:D1000) = "T-shirt", INDEX('Form responses 1'!$A$2:$A1000,SUMPRODUCT(MAX(ROW('Form responses 1'!$C$2:$C1000)*(A163='Form responses 1'!$C$2:$C1000))-1)),
IF(_xlfn.XLOOKUP(A163, Data!A155:A1000, Data!D155:D1000) = "Trui", INDEX('Form responses 1'!$A$2:$A1000,SUMPRODUCT(MAX(ROW('Form responses 1'!$D$2:$D1000)*(A163='Form responses 1'!$D$2:$D1000))-1)),
IF(_xlfn.XLOOKUP(A163, Data!A155:A1000, Data!D155:D1000) = "blousje", INDEX('Form responses 1'!$A$2:$A1000,SUMPRODUCT(MAX(ROW('Form responses 1'!$E$2:$E1000)*(A163='Form responses 1'!$E$2:$E1000))-1)),
IF(_xlfn.XLOOKUP(A163, Data!A155:A1000, Data!D155:D1000) = "jas", INDEX('Form responses 1'!$A$2:$A1000,SUMPRODUCT(MAX(ROW('Form responses 1'!$G$2:$G1000)*(A163='Form responses 1'!$G$2:$G1000))-1)),
IF(_xlfn.XLOOKUP(A163, Data!A155:A1000, Data!D155:D1000) = "schoenen", INDEX('Form responses 1'!$A$2:$A1000,SUMPRODUCT(MAX(ROW('Form responses 1'!$F$2:$F1000)*(A163='Form responses 1'!$F$2:$F1000))-1)), "")))))),"-")
</f>
        <v>-</v>
      </c>
    </row>
    <row r="164">
      <c r="A164" s="3"/>
      <c r="B164" s="18" t="str">
        <f t="array" ref="B164">IFERROR(IF(_xlfn.XLOOKUP(A164, Data!A156:A1000, Data!D156:D1000) = "broek", IFERROR(INDEX('Form responses 1'!$A$2:$A1000,SUMPRODUCT(MAX(ROW('Form responses 1'!$B$2:$B1000)*(A164='Form responses 1'!$B$2:$B1000))-1)),"04/02/2022"),
IF(_xlfn.XLOOKUP(A164, Data!A156:A1000, Data!D156:D1000) = "T-shirt", INDEX('Form responses 1'!$A$2:$A1000,SUMPRODUCT(MAX(ROW('Form responses 1'!$C$2:$C1000)*(A164='Form responses 1'!$C$2:$C1000))-1)),
IF(_xlfn.XLOOKUP(A164, Data!A156:A1000, Data!D156:D1000) = "Trui", INDEX('Form responses 1'!$A$2:$A1000,SUMPRODUCT(MAX(ROW('Form responses 1'!$D$2:$D1000)*(A164='Form responses 1'!$D$2:$D1000))-1)),
IF(_xlfn.XLOOKUP(A164, Data!A156:A1000, Data!D156:D1000) = "blousje", INDEX('Form responses 1'!$A$2:$A1000,SUMPRODUCT(MAX(ROW('Form responses 1'!$E$2:$E1000)*(A164='Form responses 1'!$E$2:$E1000))-1)),
IF(_xlfn.XLOOKUP(A164, Data!A156:A1000, Data!D156:D1000) = "jas", INDEX('Form responses 1'!$A$2:$A1000,SUMPRODUCT(MAX(ROW('Form responses 1'!$G$2:$G1000)*(A164='Form responses 1'!$G$2:$G1000))-1)),
IF(_xlfn.XLOOKUP(A164, Data!A156:A1000, Data!D156:D1000) = "schoenen", INDEX('Form responses 1'!$A$2:$A1000,SUMPRODUCT(MAX(ROW('Form responses 1'!$F$2:$F1000)*(A164='Form responses 1'!$F$2:$F1000))-1)), "")))))),"-")
</f>
        <v>-</v>
      </c>
    </row>
    <row r="165">
      <c r="A165" s="3"/>
      <c r="B165" s="18" t="str">
        <f t="array" ref="B165">IFERROR(IF(_xlfn.XLOOKUP(A165, Data!A157:A1000, Data!D157:D1000) = "broek", IFERROR(INDEX('Form responses 1'!$A$2:$A1000,SUMPRODUCT(MAX(ROW('Form responses 1'!$B$2:$B1000)*(A165='Form responses 1'!$B$2:$B1000))-1)),"04/02/2022"),
IF(_xlfn.XLOOKUP(A165, Data!A157:A1000, Data!D157:D1000) = "T-shirt", INDEX('Form responses 1'!$A$2:$A1000,SUMPRODUCT(MAX(ROW('Form responses 1'!$C$2:$C1000)*(A165='Form responses 1'!$C$2:$C1000))-1)),
IF(_xlfn.XLOOKUP(A165, Data!A157:A1000, Data!D157:D1000) = "Trui", INDEX('Form responses 1'!$A$2:$A1000,SUMPRODUCT(MAX(ROW('Form responses 1'!$D$2:$D1000)*(A165='Form responses 1'!$D$2:$D1000))-1)),
IF(_xlfn.XLOOKUP(A165, Data!A157:A1000, Data!D157:D1000) = "blousje", INDEX('Form responses 1'!$A$2:$A1000,SUMPRODUCT(MAX(ROW('Form responses 1'!$E$2:$E1000)*(A165='Form responses 1'!$E$2:$E1000))-1)),
IF(_xlfn.XLOOKUP(A165, Data!A157:A1000, Data!D157:D1000) = "jas", INDEX('Form responses 1'!$A$2:$A1000,SUMPRODUCT(MAX(ROW('Form responses 1'!$G$2:$G1000)*(A165='Form responses 1'!$G$2:$G1000))-1)),
IF(_xlfn.XLOOKUP(A165, Data!A157:A1000, Data!D157:D1000) = "schoenen", INDEX('Form responses 1'!$A$2:$A1000,SUMPRODUCT(MAX(ROW('Form responses 1'!$F$2:$F1000)*(A165='Form responses 1'!$F$2:$F1000))-1)), "")))))),"-")
</f>
        <v>-</v>
      </c>
    </row>
    <row r="166">
      <c r="A166" s="3"/>
      <c r="B166" s="18" t="str">
        <f t="array" ref="B166">IFERROR(IF(_xlfn.XLOOKUP(A166, Data!A158:A1000, Data!D158:D1000) = "broek", IFERROR(INDEX('Form responses 1'!$A$2:$A1000,SUMPRODUCT(MAX(ROW('Form responses 1'!$B$2:$B1000)*(A166='Form responses 1'!$B$2:$B1000))-1)),"04/02/2022"),
IF(_xlfn.XLOOKUP(A166, Data!A158:A1000, Data!D158:D1000) = "T-shirt", INDEX('Form responses 1'!$A$2:$A1000,SUMPRODUCT(MAX(ROW('Form responses 1'!$C$2:$C1000)*(A166='Form responses 1'!$C$2:$C1000))-1)),
IF(_xlfn.XLOOKUP(A166, Data!A158:A1000, Data!D158:D1000) = "Trui", INDEX('Form responses 1'!$A$2:$A1000,SUMPRODUCT(MAX(ROW('Form responses 1'!$D$2:$D1000)*(A166='Form responses 1'!$D$2:$D1000))-1)),
IF(_xlfn.XLOOKUP(A166, Data!A158:A1000, Data!D158:D1000) = "blousje", INDEX('Form responses 1'!$A$2:$A1000,SUMPRODUCT(MAX(ROW('Form responses 1'!$E$2:$E1000)*(A166='Form responses 1'!$E$2:$E1000))-1)),
IF(_xlfn.XLOOKUP(A166, Data!A158:A1000, Data!D158:D1000) = "jas", INDEX('Form responses 1'!$A$2:$A1000,SUMPRODUCT(MAX(ROW('Form responses 1'!$G$2:$G1000)*(A166='Form responses 1'!$G$2:$G1000))-1)),
IF(_xlfn.XLOOKUP(A166, Data!A158:A1000, Data!D158:D1000) = "schoenen", INDEX('Form responses 1'!$A$2:$A1000,SUMPRODUCT(MAX(ROW('Form responses 1'!$F$2:$F1000)*(A166='Form responses 1'!$F$2:$F1000))-1)), "")))))),"-")
</f>
        <v>-</v>
      </c>
    </row>
    <row r="167">
      <c r="A167" s="3"/>
      <c r="B167" s="18" t="str">
        <f t="array" ref="B167">IFERROR(IF(_xlfn.XLOOKUP(A167, Data!A159:A1000, Data!D159:D1000) = "broek", IFERROR(INDEX('Form responses 1'!$A$2:$A1000,SUMPRODUCT(MAX(ROW('Form responses 1'!$B$2:$B1000)*(A167='Form responses 1'!$B$2:$B1000))-1)),"04/02/2022"),
IF(_xlfn.XLOOKUP(A167, Data!A159:A1000, Data!D159:D1000) = "T-shirt", INDEX('Form responses 1'!$A$2:$A1000,SUMPRODUCT(MAX(ROW('Form responses 1'!$C$2:$C1000)*(A167='Form responses 1'!$C$2:$C1000))-1)),
IF(_xlfn.XLOOKUP(A167, Data!A159:A1000, Data!D159:D1000) = "Trui", INDEX('Form responses 1'!$A$2:$A1000,SUMPRODUCT(MAX(ROW('Form responses 1'!$D$2:$D1000)*(A167='Form responses 1'!$D$2:$D1000))-1)),
IF(_xlfn.XLOOKUP(A167, Data!A159:A1000, Data!D159:D1000) = "blousje", INDEX('Form responses 1'!$A$2:$A1000,SUMPRODUCT(MAX(ROW('Form responses 1'!$E$2:$E1000)*(A167='Form responses 1'!$E$2:$E1000))-1)),
IF(_xlfn.XLOOKUP(A167, Data!A159:A1000, Data!D159:D1000) = "jas", INDEX('Form responses 1'!$A$2:$A1000,SUMPRODUCT(MAX(ROW('Form responses 1'!$G$2:$G1000)*(A167='Form responses 1'!$G$2:$G1000))-1)),
IF(_xlfn.XLOOKUP(A167, Data!A159:A1000, Data!D159:D1000) = "schoenen", INDEX('Form responses 1'!$A$2:$A1000,SUMPRODUCT(MAX(ROW('Form responses 1'!$F$2:$F1000)*(A167='Form responses 1'!$F$2:$F1000))-1)), "")))))),"-")
</f>
        <v>-</v>
      </c>
    </row>
    <row r="168">
      <c r="A168" s="3"/>
      <c r="B168" s="18" t="str">
        <f t="array" ref="B168">IFERROR(IF(_xlfn.XLOOKUP(A168, Data!A160:A1000, Data!D160:D1000) = "broek", IFERROR(INDEX('Form responses 1'!$A$2:$A1000,SUMPRODUCT(MAX(ROW('Form responses 1'!$B$2:$B1000)*(A168='Form responses 1'!$B$2:$B1000))-1)),"04/02/2022"),
IF(_xlfn.XLOOKUP(A168, Data!A160:A1000, Data!D160:D1000) = "T-shirt", INDEX('Form responses 1'!$A$2:$A1000,SUMPRODUCT(MAX(ROW('Form responses 1'!$C$2:$C1000)*(A168='Form responses 1'!$C$2:$C1000))-1)),
IF(_xlfn.XLOOKUP(A168, Data!A160:A1000, Data!D160:D1000) = "Trui", INDEX('Form responses 1'!$A$2:$A1000,SUMPRODUCT(MAX(ROW('Form responses 1'!$D$2:$D1000)*(A168='Form responses 1'!$D$2:$D1000))-1)),
IF(_xlfn.XLOOKUP(A168, Data!A160:A1000, Data!D160:D1000) = "blousje", INDEX('Form responses 1'!$A$2:$A1000,SUMPRODUCT(MAX(ROW('Form responses 1'!$E$2:$E1000)*(A168='Form responses 1'!$E$2:$E1000))-1)),
IF(_xlfn.XLOOKUP(A168, Data!A160:A1000, Data!D160:D1000) = "jas", INDEX('Form responses 1'!$A$2:$A1000,SUMPRODUCT(MAX(ROW('Form responses 1'!$G$2:$G1000)*(A168='Form responses 1'!$G$2:$G1000))-1)),
IF(_xlfn.XLOOKUP(A168, Data!A160:A1000, Data!D160:D1000) = "schoenen", INDEX('Form responses 1'!$A$2:$A1000,SUMPRODUCT(MAX(ROW('Form responses 1'!$F$2:$F1000)*(A168='Form responses 1'!$F$2:$F1000))-1)), "")))))),"-")
</f>
        <v>-</v>
      </c>
    </row>
    <row r="169">
      <c r="A169" s="3"/>
      <c r="B169" s="18" t="str">
        <f t="array" ref="B169">IFERROR(IF(_xlfn.XLOOKUP(A169, Data!A161:A1000, Data!D161:D1000) = "broek", IFERROR(INDEX('Form responses 1'!$A$2:$A1000,SUMPRODUCT(MAX(ROW('Form responses 1'!$B$2:$B1000)*(A169='Form responses 1'!$B$2:$B1000))-1)),"04/02/2022"),
IF(_xlfn.XLOOKUP(A169, Data!A161:A1000, Data!D161:D1000) = "T-shirt", INDEX('Form responses 1'!$A$2:$A1000,SUMPRODUCT(MAX(ROW('Form responses 1'!$C$2:$C1000)*(A169='Form responses 1'!$C$2:$C1000))-1)),
IF(_xlfn.XLOOKUP(A169, Data!A161:A1000, Data!D161:D1000) = "Trui", INDEX('Form responses 1'!$A$2:$A1000,SUMPRODUCT(MAX(ROW('Form responses 1'!$D$2:$D1000)*(A169='Form responses 1'!$D$2:$D1000))-1)),
IF(_xlfn.XLOOKUP(A169, Data!A161:A1000, Data!D161:D1000) = "blousje", INDEX('Form responses 1'!$A$2:$A1000,SUMPRODUCT(MAX(ROW('Form responses 1'!$E$2:$E1000)*(A169='Form responses 1'!$E$2:$E1000))-1)),
IF(_xlfn.XLOOKUP(A169, Data!A161:A1000, Data!D161:D1000) = "jas", INDEX('Form responses 1'!$A$2:$A1000,SUMPRODUCT(MAX(ROW('Form responses 1'!$G$2:$G1000)*(A169='Form responses 1'!$G$2:$G1000))-1)),
IF(_xlfn.XLOOKUP(A169, Data!A161:A1000, Data!D161:D1000) = "schoenen", INDEX('Form responses 1'!$A$2:$A1000,SUMPRODUCT(MAX(ROW('Form responses 1'!$F$2:$F1000)*(A169='Form responses 1'!$F$2:$F1000))-1)), "")))))),"-")
</f>
        <v>-</v>
      </c>
    </row>
    <row r="170">
      <c r="A170" s="3"/>
      <c r="B170" s="18" t="str">
        <f t="array" ref="B170">IFERROR(IF(_xlfn.XLOOKUP(A170, Data!A162:A1000, Data!D162:D1000) = "broek", IFERROR(INDEX('Form responses 1'!$A$2:$A1000,SUMPRODUCT(MAX(ROW('Form responses 1'!$B$2:$B1000)*(A170='Form responses 1'!$B$2:$B1000))-1)),"04/02/2022"),
IF(_xlfn.XLOOKUP(A170, Data!A162:A1000, Data!D162:D1000) = "T-shirt", INDEX('Form responses 1'!$A$2:$A1000,SUMPRODUCT(MAX(ROW('Form responses 1'!$C$2:$C1000)*(A170='Form responses 1'!$C$2:$C1000))-1)),
IF(_xlfn.XLOOKUP(A170, Data!A162:A1000, Data!D162:D1000) = "Trui", INDEX('Form responses 1'!$A$2:$A1000,SUMPRODUCT(MAX(ROW('Form responses 1'!$D$2:$D1000)*(A170='Form responses 1'!$D$2:$D1000))-1)),
IF(_xlfn.XLOOKUP(A170, Data!A162:A1000, Data!D162:D1000) = "blousje", INDEX('Form responses 1'!$A$2:$A1000,SUMPRODUCT(MAX(ROW('Form responses 1'!$E$2:$E1000)*(A170='Form responses 1'!$E$2:$E1000))-1)),
IF(_xlfn.XLOOKUP(A170, Data!A162:A1000, Data!D162:D1000) = "jas", INDEX('Form responses 1'!$A$2:$A1000,SUMPRODUCT(MAX(ROW('Form responses 1'!$G$2:$G1000)*(A170='Form responses 1'!$G$2:$G1000))-1)),
IF(_xlfn.XLOOKUP(A170, Data!A162:A1000, Data!D162:D1000) = "schoenen", INDEX('Form responses 1'!$A$2:$A1000,SUMPRODUCT(MAX(ROW('Form responses 1'!$F$2:$F1000)*(A170='Form responses 1'!$F$2:$F1000))-1)), "")))))),"-")
</f>
        <v>-</v>
      </c>
    </row>
    <row r="171">
      <c r="A171" s="3"/>
      <c r="B171" s="18" t="str">
        <f t="array" ref="B171">IFERROR(IF(_xlfn.XLOOKUP(A171, Data!A163:A1000, Data!D163:D1000) = "broek", IFERROR(INDEX('Form responses 1'!$A$2:$A1000,SUMPRODUCT(MAX(ROW('Form responses 1'!$B$2:$B1000)*(A171='Form responses 1'!$B$2:$B1000))-1)),"04/02/2022"),
IF(_xlfn.XLOOKUP(A171, Data!A163:A1000, Data!D163:D1000) = "T-shirt", INDEX('Form responses 1'!$A$2:$A1000,SUMPRODUCT(MAX(ROW('Form responses 1'!$C$2:$C1000)*(A171='Form responses 1'!$C$2:$C1000))-1)),
IF(_xlfn.XLOOKUP(A171, Data!A163:A1000, Data!D163:D1000) = "Trui", INDEX('Form responses 1'!$A$2:$A1000,SUMPRODUCT(MAX(ROW('Form responses 1'!$D$2:$D1000)*(A171='Form responses 1'!$D$2:$D1000))-1)),
IF(_xlfn.XLOOKUP(A171, Data!A163:A1000, Data!D163:D1000) = "blousje", INDEX('Form responses 1'!$A$2:$A1000,SUMPRODUCT(MAX(ROW('Form responses 1'!$E$2:$E1000)*(A171='Form responses 1'!$E$2:$E1000))-1)),
IF(_xlfn.XLOOKUP(A171, Data!A163:A1000, Data!D163:D1000) = "jas", INDEX('Form responses 1'!$A$2:$A1000,SUMPRODUCT(MAX(ROW('Form responses 1'!$G$2:$G1000)*(A171='Form responses 1'!$G$2:$G1000))-1)),
IF(_xlfn.XLOOKUP(A171, Data!A163:A1000, Data!D163:D1000) = "schoenen", INDEX('Form responses 1'!$A$2:$A1000,SUMPRODUCT(MAX(ROW('Form responses 1'!$F$2:$F1000)*(A171='Form responses 1'!$F$2:$F1000))-1)), "")))))),"-")
</f>
        <v>-</v>
      </c>
    </row>
    <row r="172">
      <c r="A172" s="3"/>
      <c r="B172" s="18" t="str">
        <f t="array" ref="B172">IFERROR(IF(_xlfn.XLOOKUP(A172, Data!A164:A1000, Data!D164:D1000) = "broek", IFERROR(INDEX('Form responses 1'!$A$2:$A1000,SUMPRODUCT(MAX(ROW('Form responses 1'!$B$2:$B1000)*(A172='Form responses 1'!$B$2:$B1000))-1)),"04/02/2022"),
IF(_xlfn.XLOOKUP(A172, Data!A164:A1000, Data!D164:D1000) = "T-shirt", INDEX('Form responses 1'!$A$2:$A1000,SUMPRODUCT(MAX(ROW('Form responses 1'!$C$2:$C1000)*(A172='Form responses 1'!$C$2:$C1000))-1)),
IF(_xlfn.XLOOKUP(A172, Data!A164:A1000, Data!D164:D1000) = "Trui", INDEX('Form responses 1'!$A$2:$A1000,SUMPRODUCT(MAX(ROW('Form responses 1'!$D$2:$D1000)*(A172='Form responses 1'!$D$2:$D1000))-1)),
IF(_xlfn.XLOOKUP(A172, Data!A164:A1000, Data!D164:D1000) = "blousje", INDEX('Form responses 1'!$A$2:$A1000,SUMPRODUCT(MAX(ROW('Form responses 1'!$E$2:$E1000)*(A172='Form responses 1'!$E$2:$E1000))-1)),
IF(_xlfn.XLOOKUP(A172, Data!A164:A1000, Data!D164:D1000) = "jas", INDEX('Form responses 1'!$A$2:$A1000,SUMPRODUCT(MAX(ROW('Form responses 1'!$G$2:$G1000)*(A172='Form responses 1'!$G$2:$G1000))-1)),
IF(_xlfn.XLOOKUP(A172, Data!A164:A1000, Data!D164:D1000) = "schoenen", INDEX('Form responses 1'!$A$2:$A1000,SUMPRODUCT(MAX(ROW('Form responses 1'!$F$2:$F1000)*(A172='Form responses 1'!$F$2:$F1000))-1)), "")))))),"-")
</f>
        <v>-</v>
      </c>
    </row>
    <row r="173">
      <c r="A173" s="3"/>
      <c r="B173" s="18" t="str">
        <f t="array" ref="B173">IFERROR(IF(_xlfn.XLOOKUP(A173, Data!A165:A1000, Data!D165:D1000) = "broek", IFERROR(INDEX('Form responses 1'!$A$2:$A1000,SUMPRODUCT(MAX(ROW('Form responses 1'!$B$2:$B1000)*(A173='Form responses 1'!$B$2:$B1000))-1)),"04/02/2022"),
IF(_xlfn.XLOOKUP(A173, Data!A165:A1000, Data!D165:D1000) = "T-shirt", INDEX('Form responses 1'!$A$2:$A1000,SUMPRODUCT(MAX(ROW('Form responses 1'!$C$2:$C1000)*(A173='Form responses 1'!$C$2:$C1000))-1)),
IF(_xlfn.XLOOKUP(A173, Data!A165:A1000, Data!D165:D1000) = "Trui", INDEX('Form responses 1'!$A$2:$A1000,SUMPRODUCT(MAX(ROW('Form responses 1'!$D$2:$D1000)*(A173='Form responses 1'!$D$2:$D1000))-1)),
IF(_xlfn.XLOOKUP(A173, Data!A165:A1000, Data!D165:D1000) = "blousje", INDEX('Form responses 1'!$A$2:$A1000,SUMPRODUCT(MAX(ROW('Form responses 1'!$E$2:$E1000)*(A173='Form responses 1'!$E$2:$E1000))-1)),
IF(_xlfn.XLOOKUP(A173, Data!A165:A1000, Data!D165:D1000) = "jas", INDEX('Form responses 1'!$A$2:$A1000,SUMPRODUCT(MAX(ROW('Form responses 1'!$G$2:$G1000)*(A173='Form responses 1'!$G$2:$G1000))-1)),
IF(_xlfn.XLOOKUP(A173, Data!A165:A1000, Data!D165:D1000) = "schoenen", INDEX('Form responses 1'!$A$2:$A1000,SUMPRODUCT(MAX(ROW('Form responses 1'!$F$2:$F1000)*(A173='Form responses 1'!$F$2:$F1000))-1)), "")))))),"-")
</f>
        <v>-</v>
      </c>
    </row>
    <row r="174">
      <c r="A174" s="3"/>
      <c r="B174" s="18" t="str">
        <f t="array" ref="B174">IFERROR(IF(_xlfn.XLOOKUP(A174, Data!A166:A1000, Data!D166:D1000) = "broek", IFERROR(INDEX('Form responses 1'!$A$2:$A1000,SUMPRODUCT(MAX(ROW('Form responses 1'!$B$2:$B1000)*(A174='Form responses 1'!$B$2:$B1000))-1)),"04/02/2022"),
IF(_xlfn.XLOOKUP(A174, Data!A166:A1000, Data!D166:D1000) = "T-shirt", INDEX('Form responses 1'!$A$2:$A1000,SUMPRODUCT(MAX(ROW('Form responses 1'!$C$2:$C1000)*(A174='Form responses 1'!$C$2:$C1000))-1)),
IF(_xlfn.XLOOKUP(A174, Data!A166:A1000, Data!D166:D1000) = "Trui", INDEX('Form responses 1'!$A$2:$A1000,SUMPRODUCT(MAX(ROW('Form responses 1'!$D$2:$D1000)*(A174='Form responses 1'!$D$2:$D1000))-1)),
IF(_xlfn.XLOOKUP(A174, Data!A166:A1000, Data!D166:D1000) = "blousje", INDEX('Form responses 1'!$A$2:$A1000,SUMPRODUCT(MAX(ROW('Form responses 1'!$E$2:$E1000)*(A174='Form responses 1'!$E$2:$E1000))-1)),
IF(_xlfn.XLOOKUP(A174, Data!A166:A1000, Data!D166:D1000) = "jas", INDEX('Form responses 1'!$A$2:$A1000,SUMPRODUCT(MAX(ROW('Form responses 1'!$G$2:$G1000)*(A174='Form responses 1'!$G$2:$G1000))-1)),
IF(_xlfn.XLOOKUP(A174, Data!A166:A1000, Data!D166:D1000) = "schoenen", INDEX('Form responses 1'!$A$2:$A1000,SUMPRODUCT(MAX(ROW('Form responses 1'!$F$2:$F1000)*(A174='Form responses 1'!$F$2:$F1000))-1)), "")))))),"-")
</f>
        <v>-</v>
      </c>
    </row>
    <row r="175">
      <c r="A175" s="3"/>
      <c r="B175" s="18" t="str">
        <f t="array" ref="B175">IFERROR(IF(_xlfn.XLOOKUP(A175, Data!A167:A1000, Data!D167:D1000) = "broek", IFERROR(INDEX('Form responses 1'!$A$2:$A1000,SUMPRODUCT(MAX(ROW('Form responses 1'!$B$2:$B1000)*(A175='Form responses 1'!$B$2:$B1000))-1)),"04/02/2022"),
IF(_xlfn.XLOOKUP(A175, Data!A167:A1000, Data!D167:D1000) = "T-shirt", INDEX('Form responses 1'!$A$2:$A1000,SUMPRODUCT(MAX(ROW('Form responses 1'!$C$2:$C1000)*(A175='Form responses 1'!$C$2:$C1000))-1)),
IF(_xlfn.XLOOKUP(A175, Data!A167:A1000, Data!D167:D1000) = "Trui", INDEX('Form responses 1'!$A$2:$A1000,SUMPRODUCT(MAX(ROW('Form responses 1'!$D$2:$D1000)*(A175='Form responses 1'!$D$2:$D1000))-1)),
IF(_xlfn.XLOOKUP(A175, Data!A167:A1000, Data!D167:D1000) = "blousje", INDEX('Form responses 1'!$A$2:$A1000,SUMPRODUCT(MAX(ROW('Form responses 1'!$E$2:$E1000)*(A175='Form responses 1'!$E$2:$E1000))-1)),
IF(_xlfn.XLOOKUP(A175, Data!A167:A1000, Data!D167:D1000) = "jas", INDEX('Form responses 1'!$A$2:$A1000,SUMPRODUCT(MAX(ROW('Form responses 1'!$G$2:$G1000)*(A175='Form responses 1'!$G$2:$G1000))-1)),
IF(_xlfn.XLOOKUP(A175, Data!A167:A1000, Data!D167:D1000) = "schoenen", INDEX('Form responses 1'!$A$2:$A1000,SUMPRODUCT(MAX(ROW('Form responses 1'!$F$2:$F1000)*(A175='Form responses 1'!$F$2:$F1000))-1)), "")))))),"-")
</f>
        <v>-</v>
      </c>
    </row>
    <row r="176">
      <c r="A176" s="3"/>
      <c r="B176" s="18" t="str">
        <f t="array" ref="B176">IFERROR(IF(_xlfn.XLOOKUP(A176, Data!A168:A1000, Data!D168:D1000) = "broek", IFERROR(INDEX('Form responses 1'!$A$2:$A1000,SUMPRODUCT(MAX(ROW('Form responses 1'!$B$2:$B1000)*(A176='Form responses 1'!$B$2:$B1000))-1)),"04/02/2022"),
IF(_xlfn.XLOOKUP(A176, Data!A168:A1000, Data!D168:D1000) = "T-shirt", INDEX('Form responses 1'!$A$2:$A1000,SUMPRODUCT(MAX(ROW('Form responses 1'!$C$2:$C1000)*(A176='Form responses 1'!$C$2:$C1000))-1)),
IF(_xlfn.XLOOKUP(A176, Data!A168:A1000, Data!D168:D1000) = "Trui", INDEX('Form responses 1'!$A$2:$A1000,SUMPRODUCT(MAX(ROW('Form responses 1'!$D$2:$D1000)*(A176='Form responses 1'!$D$2:$D1000))-1)),
IF(_xlfn.XLOOKUP(A176, Data!A168:A1000, Data!D168:D1000) = "blousje", INDEX('Form responses 1'!$A$2:$A1000,SUMPRODUCT(MAX(ROW('Form responses 1'!$E$2:$E1000)*(A176='Form responses 1'!$E$2:$E1000))-1)),
IF(_xlfn.XLOOKUP(A176, Data!A168:A1000, Data!D168:D1000) = "jas", INDEX('Form responses 1'!$A$2:$A1000,SUMPRODUCT(MAX(ROW('Form responses 1'!$G$2:$G1000)*(A176='Form responses 1'!$G$2:$G1000))-1)),
IF(_xlfn.XLOOKUP(A176, Data!A168:A1000, Data!D168:D1000) = "schoenen", INDEX('Form responses 1'!$A$2:$A1000,SUMPRODUCT(MAX(ROW('Form responses 1'!$F$2:$F1000)*(A176='Form responses 1'!$F$2:$F1000))-1)), "")))))),"-")
</f>
        <v>-</v>
      </c>
    </row>
    <row r="177">
      <c r="A177" s="3"/>
      <c r="B177" s="19"/>
    </row>
    <row r="178">
      <c r="A178" s="3"/>
      <c r="B178" s="19"/>
    </row>
    <row r="179">
      <c r="A179" s="3"/>
      <c r="B179" s="19"/>
    </row>
    <row r="180">
      <c r="A180" s="3"/>
      <c r="B180" s="19"/>
    </row>
    <row r="181">
      <c r="A181" s="3"/>
      <c r="B181" s="19"/>
    </row>
    <row r="182">
      <c r="A182" s="3"/>
      <c r="B182" s="19"/>
    </row>
    <row r="183">
      <c r="A183" s="3"/>
      <c r="B183" s="19"/>
    </row>
    <row r="184">
      <c r="A184" s="3"/>
      <c r="B184" s="19"/>
    </row>
    <row r="185">
      <c r="A185" s="3"/>
      <c r="B185" s="19"/>
    </row>
    <row r="186">
      <c r="A186" s="3"/>
      <c r="B186" s="19"/>
    </row>
    <row r="187">
      <c r="A187" s="3"/>
      <c r="B187" s="19"/>
    </row>
    <row r="188">
      <c r="A188" s="3"/>
      <c r="B188" s="19"/>
    </row>
    <row r="189">
      <c r="A189" s="3"/>
      <c r="B189" s="19"/>
    </row>
    <row r="190">
      <c r="A190" s="3"/>
      <c r="B190" s="19"/>
    </row>
    <row r="191">
      <c r="A191" s="3"/>
      <c r="B191" s="19"/>
    </row>
    <row r="192">
      <c r="A192" s="3"/>
      <c r="B192" s="19"/>
    </row>
    <row r="193">
      <c r="A193" s="3"/>
      <c r="B193" s="19"/>
    </row>
    <row r="194">
      <c r="A194" s="3"/>
      <c r="B194" s="19"/>
    </row>
    <row r="195">
      <c r="A195" s="3"/>
      <c r="B195" s="19"/>
    </row>
    <row r="196">
      <c r="A196" s="3"/>
      <c r="B196" s="19"/>
    </row>
    <row r="197">
      <c r="A197" s="3"/>
      <c r="B197" s="19"/>
    </row>
    <row r="198">
      <c r="A198" s="3"/>
      <c r="B198" s="19"/>
    </row>
    <row r="199">
      <c r="A199" s="3"/>
      <c r="B199" s="19"/>
    </row>
    <row r="200">
      <c r="A200" s="3"/>
      <c r="B200" s="19"/>
    </row>
    <row r="201">
      <c r="A201" s="3"/>
      <c r="B201" s="19"/>
    </row>
    <row r="202">
      <c r="A202" s="3"/>
      <c r="B202" s="19"/>
    </row>
    <row r="203">
      <c r="A203" s="3"/>
      <c r="B203" s="19"/>
    </row>
    <row r="204">
      <c r="A204" s="3"/>
      <c r="B204" s="19"/>
    </row>
    <row r="205">
      <c r="A205" s="3"/>
      <c r="B205" s="19"/>
    </row>
    <row r="206">
      <c r="A206" s="3"/>
      <c r="B206" s="19"/>
    </row>
    <row r="207">
      <c r="A207" s="3"/>
      <c r="B207" s="19"/>
    </row>
    <row r="208">
      <c r="A208" s="3"/>
      <c r="B208" s="19"/>
    </row>
    <row r="209">
      <c r="A209" s="3"/>
      <c r="B209" s="19"/>
    </row>
    <row r="210">
      <c r="A210" s="3"/>
      <c r="B210" s="19"/>
    </row>
    <row r="211">
      <c r="A211" s="3"/>
      <c r="B211" s="19"/>
    </row>
    <row r="212">
      <c r="A212" s="3"/>
      <c r="B212" s="19"/>
    </row>
    <row r="213">
      <c r="A213" s="3"/>
      <c r="B213" s="19"/>
    </row>
    <row r="214">
      <c r="A214" s="3"/>
      <c r="B214" s="19"/>
    </row>
    <row r="215">
      <c r="A215" s="3"/>
      <c r="B215" s="19"/>
    </row>
    <row r="216">
      <c r="A216" s="3"/>
      <c r="B216" s="19"/>
    </row>
    <row r="217">
      <c r="A217" s="3"/>
      <c r="B217" s="19"/>
    </row>
    <row r="218">
      <c r="A218" s="3"/>
      <c r="B218" s="19"/>
    </row>
    <row r="219">
      <c r="A219" s="3"/>
      <c r="B219" s="19"/>
    </row>
    <row r="220">
      <c r="A220" s="3"/>
      <c r="B220" s="19"/>
    </row>
    <row r="221">
      <c r="A221" s="3"/>
      <c r="B221" s="19"/>
    </row>
    <row r="222">
      <c r="A222" s="3"/>
      <c r="B222" s="19"/>
    </row>
    <row r="223">
      <c r="A223" s="3"/>
      <c r="B223" s="19"/>
    </row>
    <row r="224">
      <c r="A224" s="3"/>
      <c r="B224" s="19"/>
    </row>
    <row r="225">
      <c r="A225" s="3"/>
      <c r="B225" s="19"/>
    </row>
    <row r="226">
      <c r="A226" s="3"/>
      <c r="B226" s="19"/>
    </row>
    <row r="227">
      <c r="A227" s="3"/>
      <c r="B227" s="19"/>
    </row>
    <row r="228">
      <c r="A228" s="3"/>
      <c r="B228" s="19"/>
    </row>
    <row r="229">
      <c r="A229" s="3"/>
      <c r="B229" s="19"/>
    </row>
    <row r="230">
      <c r="A230" s="3"/>
      <c r="B230" s="19"/>
    </row>
    <row r="231">
      <c r="A231" s="3"/>
      <c r="B231" s="19"/>
    </row>
    <row r="232">
      <c r="A232" s="3"/>
      <c r="B232" s="19"/>
    </row>
    <row r="233">
      <c r="A233" s="3"/>
      <c r="B233" s="19"/>
    </row>
    <row r="234">
      <c r="A234" s="3"/>
      <c r="B234" s="19"/>
    </row>
    <row r="235">
      <c r="A235" s="3"/>
      <c r="B235" s="19"/>
    </row>
    <row r="236">
      <c r="A236" s="3"/>
      <c r="B236" s="19"/>
    </row>
    <row r="237">
      <c r="A237" s="3"/>
      <c r="B237" s="19"/>
    </row>
    <row r="238">
      <c r="A238" s="3"/>
      <c r="B238" s="19"/>
    </row>
    <row r="239">
      <c r="A239" s="3"/>
      <c r="B239" s="19"/>
    </row>
    <row r="240">
      <c r="A240" s="3"/>
      <c r="B240" s="19"/>
    </row>
    <row r="241">
      <c r="A241" s="3"/>
      <c r="B241" s="19"/>
    </row>
    <row r="242">
      <c r="A242" s="3"/>
      <c r="B242" s="19"/>
    </row>
    <row r="243">
      <c r="A243" s="3"/>
      <c r="B243" s="19"/>
    </row>
    <row r="244">
      <c r="A244" s="3"/>
      <c r="B244" s="19"/>
    </row>
    <row r="245">
      <c r="A245" s="3"/>
      <c r="B245" s="19"/>
    </row>
    <row r="246">
      <c r="A246" s="3"/>
      <c r="B246" s="19"/>
    </row>
    <row r="247">
      <c r="A247" s="3"/>
      <c r="B247" s="19"/>
    </row>
    <row r="248">
      <c r="A248" s="3"/>
      <c r="B248" s="19"/>
    </row>
    <row r="249">
      <c r="A249" s="3"/>
      <c r="B249" s="19"/>
    </row>
    <row r="250">
      <c r="A250" s="3"/>
      <c r="B250" s="19"/>
    </row>
    <row r="251">
      <c r="A251" s="3"/>
      <c r="B251" s="19"/>
    </row>
    <row r="252">
      <c r="A252" s="3"/>
      <c r="B252" s="19"/>
    </row>
    <row r="253">
      <c r="A253" s="3"/>
      <c r="B253" s="19"/>
    </row>
    <row r="254">
      <c r="A254" s="3"/>
      <c r="B254" s="19"/>
    </row>
    <row r="255">
      <c r="A255" s="3"/>
      <c r="B255" s="19"/>
    </row>
    <row r="256">
      <c r="A256" s="3"/>
      <c r="B256" s="19"/>
    </row>
    <row r="257">
      <c r="A257" s="3"/>
      <c r="B257" s="19"/>
    </row>
    <row r="258">
      <c r="A258" s="3"/>
      <c r="B258" s="19"/>
    </row>
    <row r="259">
      <c r="A259" s="3"/>
      <c r="B259" s="19"/>
    </row>
    <row r="260">
      <c r="A260" s="3"/>
      <c r="B260" s="19"/>
    </row>
    <row r="261">
      <c r="A261" s="3"/>
      <c r="B261" s="19"/>
    </row>
    <row r="262">
      <c r="A262" s="3"/>
      <c r="B262" s="19"/>
    </row>
    <row r="263">
      <c r="A263" s="3"/>
      <c r="B263" s="19"/>
    </row>
    <row r="264">
      <c r="A264" s="3"/>
      <c r="B264" s="19"/>
    </row>
    <row r="265">
      <c r="A265" s="3"/>
      <c r="B265" s="19"/>
    </row>
    <row r="266">
      <c r="A266" s="3"/>
      <c r="B266" s="19"/>
    </row>
    <row r="267">
      <c r="A267" s="3"/>
      <c r="B267" s="19"/>
    </row>
    <row r="268">
      <c r="A268" s="3"/>
      <c r="B268" s="19"/>
    </row>
    <row r="269">
      <c r="A269" s="3"/>
      <c r="B269" s="19"/>
    </row>
    <row r="270">
      <c r="A270" s="3"/>
      <c r="B270" s="19"/>
    </row>
    <row r="271">
      <c r="A271" s="3"/>
      <c r="B271" s="19"/>
    </row>
    <row r="272">
      <c r="A272" s="3"/>
      <c r="B272" s="19"/>
    </row>
    <row r="273">
      <c r="A273" s="3"/>
      <c r="B273" s="19"/>
    </row>
    <row r="274">
      <c r="A274" s="3"/>
      <c r="B274" s="19"/>
    </row>
    <row r="275">
      <c r="A275" s="3"/>
      <c r="B275" s="19"/>
    </row>
    <row r="276">
      <c r="A276" s="3"/>
      <c r="B276" s="19"/>
    </row>
    <row r="277">
      <c r="A277" s="3"/>
      <c r="B277" s="19"/>
    </row>
    <row r="278">
      <c r="A278" s="3"/>
      <c r="B278" s="19"/>
    </row>
    <row r="279">
      <c r="A279" s="3"/>
      <c r="B279" s="19"/>
    </row>
    <row r="280">
      <c r="A280" s="3"/>
      <c r="B280" s="19"/>
    </row>
    <row r="281">
      <c r="A281" s="3"/>
      <c r="B281" s="19"/>
    </row>
    <row r="282">
      <c r="A282" s="3"/>
      <c r="B282" s="19"/>
    </row>
    <row r="283">
      <c r="A283" s="3"/>
      <c r="B283" s="19"/>
    </row>
    <row r="284">
      <c r="A284" s="3"/>
      <c r="B284" s="19"/>
    </row>
    <row r="285">
      <c r="A285" s="3"/>
      <c r="B285" s="19"/>
    </row>
    <row r="286">
      <c r="A286" s="3"/>
      <c r="B286" s="19"/>
    </row>
    <row r="287">
      <c r="A287" s="3"/>
      <c r="B287" s="19"/>
    </row>
    <row r="288">
      <c r="A288" s="3"/>
      <c r="B288" s="19"/>
    </row>
    <row r="289">
      <c r="A289" s="3"/>
      <c r="B289" s="19"/>
    </row>
    <row r="290">
      <c r="A290" s="3"/>
      <c r="B290" s="19"/>
    </row>
    <row r="291">
      <c r="A291" s="3"/>
      <c r="B291" s="19"/>
    </row>
    <row r="292">
      <c r="A292" s="3"/>
      <c r="B292" s="19"/>
    </row>
    <row r="293">
      <c r="A293" s="3"/>
      <c r="B293" s="19"/>
    </row>
    <row r="294">
      <c r="A294" s="3"/>
      <c r="B294" s="19"/>
    </row>
    <row r="295">
      <c r="A295" s="3"/>
      <c r="B295" s="19"/>
    </row>
    <row r="296">
      <c r="A296" s="3"/>
      <c r="B296" s="19"/>
    </row>
    <row r="297">
      <c r="A297" s="3"/>
      <c r="B297" s="19"/>
    </row>
    <row r="298">
      <c r="A298" s="3"/>
      <c r="B298" s="19"/>
    </row>
    <row r="299">
      <c r="A299" s="3"/>
      <c r="B299" s="19"/>
    </row>
    <row r="300">
      <c r="A300" s="3"/>
      <c r="B300" s="19"/>
    </row>
    <row r="301">
      <c r="A301" s="3"/>
      <c r="B301" s="19"/>
    </row>
    <row r="302">
      <c r="A302" s="3"/>
      <c r="B302" s="19"/>
    </row>
    <row r="303">
      <c r="A303" s="3"/>
      <c r="B303" s="19"/>
    </row>
    <row r="304">
      <c r="A304" s="3"/>
      <c r="B304" s="19"/>
    </row>
    <row r="305">
      <c r="A305" s="3"/>
      <c r="B305" s="19"/>
    </row>
    <row r="306">
      <c r="A306" s="3"/>
      <c r="B306" s="19"/>
    </row>
    <row r="307">
      <c r="A307" s="3"/>
      <c r="B307" s="19"/>
    </row>
    <row r="308">
      <c r="A308" s="3"/>
      <c r="B308" s="19"/>
    </row>
    <row r="309">
      <c r="A309" s="3"/>
      <c r="B309" s="19"/>
    </row>
    <row r="310">
      <c r="A310" s="3"/>
      <c r="B310" s="19"/>
    </row>
    <row r="311">
      <c r="A311" s="3"/>
      <c r="B311" s="19"/>
    </row>
    <row r="312">
      <c r="A312" s="3"/>
      <c r="B312" s="19"/>
    </row>
    <row r="313">
      <c r="A313" s="3"/>
      <c r="B313" s="19"/>
    </row>
    <row r="314">
      <c r="A314" s="3"/>
      <c r="B314" s="19"/>
    </row>
    <row r="315">
      <c r="A315" s="3"/>
      <c r="B315" s="19"/>
    </row>
    <row r="316">
      <c r="A316" s="3"/>
      <c r="B316" s="19"/>
    </row>
    <row r="317">
      <c r="A317" s="3"/>
      <c r="B317" s="19"/>
    </row>
    <row r="318">
      <c r="A318" s="3"/>
      <c r="B318" s="19"/>
    </row>
    <row r="319">
      <c r="A319" s="3"/>
      <c r="B319" s="19"/>
    </row>
    <row r="320">
      <c r="A320" s="3"/>
      <c r="B320" s="19"/>
    </row>
    <row r="321">
      <c r="A321" s="3"/>
      <c r="B321" s="19"/>
    </row>
    <row r="322">
      <c r="A322" s="3"/>
      <c r="B322" s="19"/>
    </row>
    <row r="323">
      <c r="A323" s="3"/>
      <c r="B323" s="19"/>
    </row>
    <row r="324">
      <c r="A324" s="3"/>
      <c r="B324" s="19"/>
    </row>
    <row r="325">
      <c r="A325" s="3"/>
      <c r="B325" s="19"/>
    </row>
    <row r="326">
      <c r="A326" s="3"/>
      <c r="B326" s="19"/>
    </row>
    <row r="327">
      <c r="A327" s="3"/>
      <c r="B327" s="19"/>
    </row>
    <row r="328">
      <c r="A328" s="3"/>
      <c r="B328" s="19"/>
    </row>
    <row r="329">
      <c r="A329" s="3"/>
      <c r="B329" s="19"/>
    </row>
    <row r="330">
      <c r="A330" s="3"/>
      <c r="B330" s="19"/>
    </row>
    <row r="331">
      <c r="A331" s="3"/>
      <c r="B331" s="19"/>
    </row>
    <row r="332">
      <c r="A332" s="3"/>
      <c r="B332" s="19"/>
    </row>
    <row r="333">
      <c r="A333" s="3"/>
      <c r="B333" s="19"/>
    </row>
    <row r="334">
      <c r="A334" s="3"/>
      <c r="B334" s="19"/>
    </row>
    <row r="335">
      <c r="A335" s="3"/>
      <c r="B335" s="19"/>
    </row>
    <row r="336">
      <c r="A336" s="3"/>
      <c r="B336" s="19"/>
    </row>
    <row r="337">
      <c r="A337" s="3"/>
      <c r="B337" s="19"/>
    </row>
    <row r="338">
      <c r="A338" s="3"/>
      <c r="B338" s="19"/>
    </row>
    <row r="339">
      <c r="A339" s="3"/>
      <c r="B339" s="19"/>
    </row>
    <row r="340">
      <c r="A340" s="3"/>
      <c r="B340" s="19"/>
    </row>
    <row r="341">
      <c r="A341" s="3"/>
      <c r="B341" s="19"/>
    </row>
    <row r="342">
      <c r="A342" s="3"/>
      <c r="B342" s="19"/>
    </row>
    <row r="343">
      <c r="A343" s="3"/>
      <c r="B343" s="19"/>
    </row>
    <row r="344">
      <c r="A344" s="3"/>
      <c r="B344" s="19"/>
    </row>
    <row r="345">
      <c r="A345" s="3"/>
      <c r="B345" s="19"/>
    </row>
    <row r="346">
      <c r="A346" s="3"/>
      <c r="B346" s="19"/>
    </row>
    <row r="347">
      <c r="A347" s="3"/>
      <c r="B347" s="19"/>
    </row>
    <row r="348">
      <c r="A348" s="3"/>
      <c r="B348" s="19"/>
    </row>
    <row r="349">
      <c r="A349" s="3"/>
      <c r="B349" s="19"/>
    </row>
    <row r="350">
      <c r="A350" s="3"/>
      <c r="B350" s="19"/>
    </row>
    <row r="351">
      <c r="A351" s="3"/>
      <c r="B351" s="19"/>
    </row>
    <row r="352">
      <c r="A352" s="3"/>
      <c r="B352" s="19"/>
    </row>
    <row r="353">
      <c r="A353" s="3"/>
      <c r="B353" s="19"/>
    </row>
    <row r="354">
      <c r="A354" s="3"/>
      <c r="B354" s="19"/>
    </row>
    <row r="355">
      <c r="A355" s="3"/>
      <c r="B355" s="19"/>
    </row>
    <row r="356">
      <c r="A356" s="3"/>
      <c r="B356" s="19"/>
    </row>
    <row r="357">
      <c r="A357" s="3"/>
      <c r="B357" s="19"/>
    </row>
    <row r="358">
      <c r="A358" s="3"/>
      <c r="B358" s="19"/>
    </row>
    <row r="359">
      <c r="A359" s="3"/>
      <c r="B359" s="19"/>
    </row>
    <row r="360">
      <c r="A360" s="3"/>
      <c r="B360" s="19"/>
    </row>
    <row r="361">
      <c r="A361" s="3"/>
      <c r="B361" s="19"/>
    </row>
    <row r="362">
      <c r="A362" s="3"/>
      <c r="B362" s="19"/>
    </row>
    <row r="363">
      <c r="A363" s="3"/>
      <c r="B363" s="19"/>
    </row>
    <row r="364">
      <c r="A364" s="3"/>
      <c r="B364" s="19"/>
    </row>
    <row r="365">
      <c r="A365" s="3"/>
      <c r="B365" s="19"/>
    </row>
    <row r="366">
      <c r="A366" s="3"/>
      <c r="B366" s="19"/>
    </row>
    <row r="367">
      <c r="A367" s="3"/>
      <c r="B367" s="19"/>
    </row>
    <row r="368">
      <c r="A368" s="3"/>
      <c r="B368" s="19"/>
    </row>
    <row r="369">
      <c r="A369" s="3"/>
      <c r="B369" s="19"/>
    </row>
    <row r="370">
      <c r="A370" s="3"/>
      <c r="B370" s="19"/>
    </row>
    <row r="371">
      <c r="A371" s="3"/>
      <c r="B371" s="19"/>
    </row>
    <row r="372">
      <c r="A372" s="3"/>
      <c r="B372" s="19"/>
    </row>
    <row r="373">
      <c r="A373" s="3"/>
      <c r="B373" s="19"/>
    </row>
    <row r="374">
      <c r="A374" s="3"/>
      <c r="B374" s="19"/>
    </row>
    <row r="375">
      <c r="A375" s="3"/>
      <c r="B375" s="19"/>
    </row>
    <row r="376">
      <c r="A376" s="3"/>
      <c r="B376" s="19"/>
    </row>
    <row r="377">
      <c r="A377" s="3"/>
      <c r="B377" s="19"/>
    </row>
    <row r="378">
      <c r="A378" s="3"/>
      <c r="B378" s="19"/>
    </row>
    <row r="379">
      <c r="A379" s="3"/>
      <c r="B379" s="19"/>
    </row>
    <row r="380">
      <c r="A380" s="3"/>
      <c r="B380" s="19"/>
    </row>
    <row r="381">
      <c r="A381" s="3"/>
      <c r="B381" s="19"/>
    </row>
    <row r="382">
      <c r="A382" s="3"/>
      <c r="B382" s="19"/>
    </row>
    <row r="383">
      <c r="A383" s="3"/>
      <c r="B383" s="19"/>
    </row>
    <row r="384">
      <c r="A384" s="3"/>
      <c r="B384" s="19"/>
    </row>
    <row r="385">
      <c r="A385" s="3"/>
      <c r="B385" s="19"/>
    </row>
    <row r="386">
      <c r="A386" s="3"/>
      <c r="B386" s="19"/>
    </row>
    <row r="387">
      <c r="A387" s="3"/>
      <c r="B387" s="19"/>
    </row>
    <row r="388">
      <c r="A388" s="3"/>
      <c r="B388" s="19"/>
    </row>
    <row r="389">
      <c r="A389" s="3"/>
      <c r="B389" s="19"/>
    </row>
    <row r="390">
      <c r="A390" s="3"/>
      <c r="B390" s="19"/>
    </row>
    <row r="391">
      <c r="A391" s="3"/>
      <c r="B391" s="19"/>
    </row>
    <row r="392">
      <c r="A392" s="3"/>
      <c r="B392" s="19"/>
    </row>
    <row r="393">
      <c r="A393" s="3"/>
      <c r="B393" s="19"/>
    </row>
    <row r="394">
      <c r="A394" s="3"/>
      <c r="B394" s="19"/>
    </row>
    <row r="395">
      <c r="A395" s="3"/>
      <c r="B395" s="19"/>
    </row>
    <row r="396">
      <c r="A396" s="3"/>
      <c r="B396" s="19"/>
    </row>
    <row r="397">
      <c r="A397" s="3"/>
      <c r="B397" s="19"/>
    </row>
    <row r="398">
      <c r="A398" s="3"/>
      <c r="B398" s="19"/>
    </row>
    <row r="399">
      <c r="A399" s="3"/>
      <c r="B399" s="19"/>
    </row>
    <row r="400">
      <c r="A400" s="3"/>
      <c r="B400" s="19"/>
    </row>
    <row r="401">
      <c r="A401" s="3"/>
      <c r="B401" s="19"/>
    </row>
    <row r="402">
      <c r="A402" s="3"/>
      <c r="B402" s="19"/>
    </row>
    <row r="403">
      <c r="A403" s="3"/>
      <c r="B403" s="19"/>
    </row>
    <row r="404">
      <c r="A404" s="3"/>
      <c r="B404" s="19"/>
    </row>
    <row r="405">
      <c r="A405" s="3"/>
      <c r="B405" s="19"/>
    </row>
    <row r="406">
      <c r="A406" s="3"/>
      <c r="B406" s="19"/>
    </row>
    <row r="407">
      <c r="A407" s="3"/>
      <c r="B407" s="19"/>
    </row>
    <row r="408">
      <c r="A408" s="3"/>
      <c r="B408" s="19"/>
    </row>
    <row r="409">
      <c r="A409" s="3"/>
      <c r="B409" s="19"/>
    </row>
    <row r="410">
      <c r="A410" s="3"/>
      <c r="B410" s="19"/>
    </row>
    <row r="411">
      <c r="A411" s="3"/>
      <c r="B411" s="19"/>
    </row>
    <row r="412">
      <c r="A412" s="3"/>
      <c r="B412" s="19"/>
    </row>
    <row r="413">
      <c r="A413" s="3"/>
      <c r="B413" s="19"/>
    </row>
    <row r="414">
      <c r="A414" s="3"/>
      <c r="B414" s="19"/>
    </row>
    <row r="415">
      <c r="A415" s="3"/>
      <c r="B415" s="19"/>
    </row>
    <row r="416">
      <c r="A416" s="3"/>
      <c r="B416" s="19"/>
    </row>
    <row r="417">
      <c r="A417" s="3"/>
      <c r="B417" s="19"/>
    </row>
    <row r="418">
      <c r="A418" s="3"/>
      <c r="B418" s="19"/>
    </row>
    <row r="419">
      <c r="A419" s="3"/>
      <c r="B419" s="19"/>
    </row>
    <row r="420">
      <c r="A420" s="3"/>
      <c r="B420" s="19"/>
    </row>
    <row r="421">
      <c r="A421" s="3"/>
      <c r="B421" s="19"/>
    </row>
    <row r="422">
      <c r="A422" s="3"/>
      <c r="B422" s="19"/>
    </row>
    <row r="423">
      <c r="A423" s="3"/>
      <c r="B423" s="19"/>
    </row>
    <row r="424">
      <c r="A424" s="3"/>
      <c r="B424" s="19"/>
    </row>
    <row r="425">
      <c r="A425" s="3"/>
      <c r="B425" s="19"/>
    </row>
    <row r="426">
      <c r="A426" s="3"/>
      <c r="B426" s="19"/>
    </row>
    <row r="427">
      <c r="A427" s="3"/>
      <c r="B427" s="19"/>
    </row>
    <row r="428">
      <c r="A428" s="3"/>
      <c r="B428" s="19"/>
    </row>
    <row r="429">
      <c r="A429" s="3"/>
      <c r="B429" s="19"/>
    </row>
    <row r="430">
      <c r="A430" s="3"/>
      <c r="B430" s="19"/>
    </row>
    <row r="431">
      <c r="A431" s="3"/>
      <c r="B431" s="19"/>
    </row>
    <row r="432">
      <c r="A432" s="3"/>
      <c r="B432" s="19"/>
    </row>
    <row r="433">
      <c r="A433" s="3"/>
      <c r="B433" s="19"/>
    </row>
    <row r="434">
      <c r="A434" s="3"/>
      <c r="B434" s="19"/>
    </row>
    <row r="435">
      <c r="A435" s="3"/>
      <c r="B435" s="19"/>
    </row>
    <row r="436">
      <c r="A436" s="3"/>
      <c r="B436" s="19"/>
    </row>
    <row r="437">
      <c r="A437" s="3"/>
      <c r="B437" s="19"/>
    </row>
    <row r="438">
      <c r="A438" s="3"/>
      <c r="B438" s="19"/>
    </row>
    <row r="439">
      <c r="A439" s="3"/>
      <c r="B439" s="19"/>
    </row>
    <row r="440">
      <c r="A440" s="3"/>
      <c r="B440" s="19"/>
    </row>
    <row r="441">
      <c r="A441" s="3"/>
      <c r="B441" s="19"/>
    </row>
    <row r="442">
      <c r="A442" s="3"/>
      <c r="B442" s="19"/>
    </row>
    <row r="443">
      <c r="A443" s="3"/>
      <c r="B443" s="19"/>
    </row>
    <row r="444">
      <c r="A444" s="3"/>
      <c r="B444" s="19"/>
    </row>
    <row r="445">
      <c r="A445" s="3"/>
      <c r="B445" s="19"/>
    </row>
    <row r="446">
      <c r="A446" s="3"/>
      <c r="B446" s="19"/>
    </row>
    <row r="447">
      <c r="A447" s="3"/>
      <c r="B447" s="19"/>
    </row>
    <row r="448">
      <c r="A448" s="3"/>
      <c r="B448" s="19"/>
    </row>
    <row r="449">
      <c r="A449" s="3"/>
      <c r="B449" s="19"/>
    </row>
    <row r="450">
      <c r="A450" s="3"/>
      <c r="B450" s="19"/>
    </row>
    <row r="451">
      <c r="A451" s="3"/>
      <c r="B451" s="19"/>
    </row>
    <row r="452">
      <c r="A452" s="3"/>
      <c r="B452" s="19"/>
    </row>
    <row r="453">
      <c r="A453" s="3"/>
      <c r="B453" s="19"/>
    </row>
    <row r="454">
      <c r="A454" s="3"/>
      <c r="B454" s="19"/>
    </row>
    <row r="455">
      <c r="A455" s="3"/>
      <c r="B455" s="19"/>
    </row>
    <row r="456">
      <c r="A456" s="3"/>
      <c r="B456" s="19"/>
    </row>
    <row r="457">
      <c r="A457" s="3"/>
      <c r="B457" s="19"/>
    </row>
    <row r="458">
      <c r="A458" s="3"/>
      <c r="B458" s="19"/>
    </row>
    <row r="459">
      <c r="A459" s="3"/>
      <c r="B459" s="19"/>
    </row>
    <row r="460">
      <c r="A460" s="3"/>
      <c r="B460" s="19"/>
    </row>
    <row r="461">
      <c r="A461" s="3"/>
      <c r="B461" s="19"/>
    </row>
    <row r="462">
      <c r="A462" s="3"/>
      <c r="B462" s="19"/>
    </row>
    <row r="463">
      <c r="A463" s="3"/>
      <c r="B463" s="19"/>
    </row>
    <row r="464">
      <c r="A464" s="3"/>
      <c r="B464" s="19"/>
    </row>
    <row r="465">
      <c r="A465" s="3"/>
      <c r="B465" s="19"/>
    </row>
    <row r="466">
      <c r="A466" s="3"/>
      <c r="B466" s="19"/>
    </row>
    <row r="467">
      <c r="A467" s="3"/>
      <c r="B467" s="19"/>
    </row>
    <row r="468">
      <c r="A468" s="3"/>
      <c r="B468" s="19"/>
    </row>
    <row r="469">
      <c r="A469" s="3"/>
      <c r="B469" s="19"/>
    </row>
    <row r="470">
      <c r="A470" s="3"/>
      <c r="B470" s="19"/>
    </row>
    <row r="471">
      <c r="A471" s="3"/>
      <c r="B471" s="19"/>
    </row>
    <row r="472">
      <c r="A472" s="3"/>
      <c r="B472" s="19"/>
    </row>
    <row r="473">
      <c r="A473" s="3"/>
      <c r="B473" s="19"/>
    </row>
    <row r="474">
      <c r="A474" s="3"/>
      <c r="B474" s="19"/>
    </row>
    <row r="475">
      <c r="A475" s="3"/>
      <c r="B475" s="19"/>
    </row>
    <row r="476">
      <c r="A476" s="3"/>
      <c r="B476" s="19"/>
    </row>
    <row r="477">
      <c r="A477" s="3"/>
      <c r="B477" s="19"/>
    </row>
    <row r="478">
      <c r="A478" s="3"/>
      <c r="B478" s="19"/>
    </row>
    <row r="479">
      <c r="A479" s="3"/>
      <c r="B479" s="19"/>
    </row>
    <row r="480">
      <c r="A480" s="3"/>
      <c r="B480" s="19"/>
    </row>
    <row r="481">
      <c r="A481" s="3"/>
      <c r="B481" s="19"/>
    </row>
    <row r="482">
      <c r="A482" s="3"/>
      <c r="B482" s="19"/>
    </row>
    <row r="483">
      <c r="A483" s="3"/>
      <c r="B483" s="19"/>
    </row>
    <row r="484">
      <c r="A484" s="3"/>
      <c r="B484" s="19"/>
    </row>
    <row r="485">
      <c r="A485" s="3"/>
      <c r="B485" s="19"/>
    </row>
    <row r="486">
      <c r="A486" s="3"/>
      <c r="B486" s="19"/>
    </row>
    <row r="487">
      <c r="A487" s="3"/>
      <c r="B487" s="19"/>
    </row>
    <row r="488">
      <c r="A488" s="3"/>
      <c r="B488" s="19"/>
    </row>
    <row r="489">
      <c r="A489" s="3"/>
      <c r="B489" s="19"/>
    </row>
    <row r="490">
      <c r="A490" s="3"/>
      <c r="B490" s="19"/>
    </row>
    <row r="491">
      <c r="A491" s="3"/>
      <c r="B491" s="19"/>
    </row>
    <row r="492">
      <c r="A492" s="3"/>
      <c r="B492" s="19"/>
    </row>
    <row r="493">
      <c r="A493" s="3"/>
      <c r="B493" s="19"/>
    </row>
    <row r="494">
      <c r="A494" s="3"/>
      <c r="B494" s="19"/>
    </row>
    <row r="495">
      <c r="A495" s="3"/>
      <c r="B495" s="19"/>
    </row>
    <row r="496">
      <c r="A496" s="3"/>
      <c r="B496" s="19"/>
    </row>
    <row r="497">
      <c r="A497" s="3"/>
      <c r="B497" s="19"/>
    </row>
    <row r="498">
      <c r="A498" s="3"/>
      <c r="B498" s="19"/>
    </row>
    <row r="499">
      <c r="A499" s="3"/>
      <c r="B499" s="19"/>
    </row>
    <row r="500">
      <c r="A500" s="3"/>
      <c r="B500" s="19"/>
    </row>
    <row r="501">
      <c r="A501" s="3"/>
      <c r="B501" s="19"/>
    </row>
    <row r="502">
      <c r="A502" s="3"/>
      <c r="B502" s="19"/>
    </row>
    <row r="503">
      <c r="A503" s="3"/>
      <c r="B503" s="19"/>
    </row>
    <row r="504">
      <c r="A504" s="3"/>
      <c r="B504" s="19"/>
    </row>
    <row r="505">
      <c r="A505" s="3"/>
      <c r="B505" s="19"/>
    </row>
    <row r="506">
      <c r="A506" s="3"/>
      <c r="B506" s="19"/>
    </row>
    <row r="507">
      <c r="A507" s="3"/>
      <c r="B507" s="19"/>
    </row>
    <row r="508">
      <c r="A508" s="3"/>
      <c r="B508" s="19"/>
    </row>
    <row r="509">
      <c r="A509" s="3"/>
      <c r="B509" s="19"/>
    </row>
    <row r="510">
      <c r="A510" s="3"/>
      <c r="B510" s="19"/>
    </row>
    <row r="511">
      <c r="A511" s="3"/>
      <c r="B511" s="19"/>
    </row>
    <row r="512">
      <c r="A512" s="3"/>
      <c r="B512" s="19"/>
    </row>
    <row r="513">
      <c r="A513" s="3"/>
      <c r="B513" s="19"/>
    </row>
    <row r="514">
      <c r="A514" s="3"/>
      <c r="B514" s="19"/>
    </row>
    <row r="515">
      <c r="A515" s="3"/>
      <c r="B515" s="19"/>
    </row>
    <row r="516">
      <c r="A516" s="3"/>
      <c r="B516" s="19"/>
    </row>
    <row r="517">
      <c r="A517" s="3"/>
      <c r="B517" s="19"/>
    </row>
    <row r="518">
      <c r="A518" s="3"/>
      <c r="B518" s="19"/>
    </row>
    <row r="519">
      <c r="A519" s="3"/>
      <c r="B519" s="19"/>
    </row>
    <row r="520">
      <c r="A520" s="3"/>
      <c r="B520" s="19"/>
    </row>
    <row r="521">
      <c r="A521" s="3"/>
      <c r="B521" s="19"/>
    </row>
    <row r="522">
      <c r="A522" s="3"/>
      <c r="B522" s="19"/>
    </row>
    <row r="523">
      <c r="A523" s="3"/>
      <c r="B523" s="19"/>
    </row>
    <row r="524">
      <c r="A524" s="3"/>
      <c r="B524" s="19"/>
    </row>
    <row r="525">
      <c r="A525" s="3"/>
      <c r="B525" s="19"/>
    </row>
    <row r="526">
      <c r="A526" s="3"/>
      <c r="B526" s="19"/>
    </row>
    <row r="527">
      <c r="A527" s="3"/>
      <c r="B527" s="19"/>
    </row>
    <row r="528">
      <c r="A528" s="3"/>
      <c r="B528" s="19"/>
    </row>
    <row r="529">
      <c r="A529" s="3"/>
      <c r="B529" s="19"/>
    </row>
    <row r="530">
      <c r="A530" s="3"/>
      <c r="B530" s="19"/>
    </row>
    <row r="531">
      <c r="A531" s="3"/>
      <c r="B531" s="19"/>
    </row>
    <row r="532">
      <c r="A532" s="3"/>
      <c r="B532" s="19"/>
    </row>
    <row r="533">
      <c r="A533" s="3"/>
      <c r="B533" s="19"/>
    </row>
    <row r="534">
      <c r="A534" s="3"/>
      <c r="B534" s="19"/>
    </row>
    <row r="535">
      <c r="A535" s="3"/>
      <c r="B535" s="19"/>
    </row>
    <row r="536">
      <c r="A536" s="3"/>
      <c r="B536" s="19"/>
    </row>
    <row r="537">
      <c r="A537" s="3"/>
      <c r="B537" s="19"/>
    </row>
    <row r="538">
      <c r="A538" s="3"/>
      <c r="B538" s="19"/>
    </row>
    <row r="539">
      <c r="A539" s="3"/>
      <c r="B539" s="19"/>
    </row>
    <row r="540">
      <c r="A540" s="3"/>
      <c r="B540" s="19"/>
    </row>
    <row r="541">
      <c r="A541" s="3"/>
      <c r="B541" s="19"/>
    </row>
    <row r="542">
      <c r="A542" s="3"/>
      <c r="B542" s="19"/>
    </row>
    <row r="543">
      <c r="A543" s="3"/>
      <c r="B543" s="19"/>
    </row>
    <row r="544">
      <c r="A544" s="3"/>
      <c r="B544" s="19"/>
    </row>
    <row r="545">
      <c r="A545" s="3"/>
      <c r="B545" s="19"/>
    </row>
    <row r="546">
      <c r="A546" s="3"/>
      <c r="B546" s="19"/>
    </row>
    <row r="547">
      <c r="A547" s="3"/>
      <c r="B547" s="19"/>
    </row>
    <row r="548">
      <c r="A548" s="3"/>
      <c r="B548" s="19"/>
    </row>
    <row r="549">
      <c r="A549" s="3"/>
      <c r="B549" s="19"/>
    </row>
    <row r="550">
      <c r="A550" s="3"/>
      <c r="B550" s="19"/>
    </row>
    <row r="551">
      <c r="A551" s="3"/>
      <c r="B551" s="19"/>
    </row>
    <row r="552">
      <c r="A552" s="3"/>
      <c r="B552" s="19"/>
    </row>
    <row r="553">
      <c r="A553" s="3"/>
      <c r="B553" s="19"/>
    </row>
    <row r="554">
      <c r="A554" s="3"/>
      <c r="B554" s="19"/>
    </row>
    <row r="555">
      <c r="A555" s="3"/>
      <c r="B555" s="19"/>
    </row>
    <row r="556">
      <c r="A556" s="3"/>
      <c r="B556" s="19"/>
    </row>
    <row r="557">
      <c r="A557" s="3"/>
      <c r="B557" s="19"/>
    </row>
    <row r="558">
      <c r="A558" s="3"/>
      <c r="B558" s="19"/>
    </row>
    <row r="559">
      <c r="A559" s="3"/>
      <c r="B559" s="19"/>
    </row>
    <row r="560">
      <c r="A560" s="3"/>
      <c r="B560" s="19"/>
    </row>
    <row r="561">
      <c r="A561" s="3"/>
      <c r="B561" s="19"/>
    </row>
    <row r="562">
      <c r="A562" s="3"/>
      <c r="B562" s="19"/>
    </row>
    <row r="563">
      <c r="A563" s="3"/>
      <c r="B563" s="19"/>
    </row>
    <row r="564">
      <c r="A564" s="3"/>
      <c r="B564" s="19"/>
    </row>
    <row r="565">
      <c r="A565" s="3"/>
      <c r="B565" s="19"/>
    </row>
    <row r="566">
      <c r="A566" s="3"/>
      <c r="B566" s="19"/>
    </row>
    <row r="567">
      <c r="A567" s="3"/>
      <c r="B567" s="19"/>
    </row>
    <row r="568">
      <c r="A568" s="3"/>
      <c r="B568" s="19"/>
    </row>
    <row r="569">
      <c r="A569" s="3"/>
      <c r="B569" s="19"/>
    </row>
    <row r="570">
      <c r="A570" s="3"/>
      <c r="B570" s="19"/>
    </row>
    <row r="571">
      <c r="A571" s="3"/>
      <c r="B571" s="19"/>
    </row>
    <row r="572">
      <c r="A572" s="3"/>
      <c r="B572" s="19"/>
    </row>
    <row r="573">
      <c r="A573" s="3"/>
      <c r="B573" s="19"/>
    </row>
    <row r="574">
      <c r="A574" s="3"/>
      <c r="B574" s="19"/>
    </row>
    <row r="575">
      <c r="A575" s="3"/>
      <c r="B575" s="19"/>
    </row>
    <row r="576">
      <c r="A576" s="3"/>
      <c r="B576" s="19"/>
    </row>
    <row r="577">
      <c r="A577" s="3"/>
      <c r="B577" s="19"/>
    </row>
    <row r="578">
      <c r="A578" s="3"/>
      <c r="B578" s="19"/>
    </row>
    <row r="579">
      <c r="A579" s="3"/>
      <c r="B579" s="19"/>
    </row>
    <row r="580">
      <c r="A580" s="3"/>
      <c r="B580" s="19"/>
    </row>
    <row r="581">
      <c r="A581" s="3"/>
      <c r="B581" s="19"/>
    </row>
    <row r="582">
      <c r="A582" s="3"/>
      <c r="B582" s="19"/>
    </row>
    <row r="583">
      <c r="A583" s="3"/>
      <c r="B583" s="19"/>
    </row>
    <row r="584">
      <c r="A584" s="3"/>
      <c r="B584" s="19"/>
    </row>
    <row r="585">
      <c r="A585" s="3"/>
      <c r="B585" s="19"/>
    </row>
    <row r="586">
      <c r="A586" s="3"/>
      <c r="B586" s="19"/>
    </row>
    <row r="587">
      <c r="A587" s="3"/>
      <c r="B587" s="19"/>
    </row>
    <row r="588">
      <c r="A588" s="3"/>
      <c r="B588" s="19"/>
    </row>
    <row r="589">
      <c r="A589" s="3"/>
      <c r="B589" s="19"/>
    </row>
    <row r="590">
      <c r="A590" s="3"/>
      <c r="B590" s="19"/>
    </row>
    <row r="591">
      <c r="A591" s="3"/>
      <c r="B591" s="19"/>
    </row>
    <row r="592">
      <c r="A592" s="3"/>
      <c r="B592" s="19"/>
    </row>
    <row r="593">
      <c r="A593" s="3"/>
      <c r="B593" s="19"/>
    </row>
    <row r="594">
      <c r="A594" s="3"/>
      <c r="B594" s="19"/>
    </row>
    <row r="595">
      <c r="A595" s="3"/>
      <c r="B595" s="19"/>
    </row>
    <row r="596">
      <c r="A596" s="3"/>
      <c r="B596" s="19"/>
    </row>
    <row r="597">
      <c r="A597" s="3"/>
      <c r="B597" s="19"/>
    </row>
    <row r="598">
      <c r="A598" s="3"/>
      <c r="B598" s="19"/>
    </row>
    <row r="599">
      <c r="A599" s="3"/>
      <c r="B599" s="19"/>
    </row>
    <row r="600">
      <c r="A600" s="3"/>
      <c r="B600" s="19"/>
    </row>
    <row r="601">
      <c r="A601" s="3"/>
      <c r="B601" s="19"/>
    </row>
    <row r="602">
      <c r="A602" s="3"/>
      <c r="B602" s="19"/>
    </row>
    <row r="603">
      <c r="A603" s="3"/>
      <c r="B603" s="19"/>
    </row>
    <row r="604">
      <c r="A604" s="3"/>
      <c r="B604" s="19"/>
    </row>
    <row r="605">
      <c r="A605" s="3"/>
      <c r="B605" s="19"/>
    </row>
    <row r="606">
      <c r="A606" s="3"/>
      <c r="B606" s="19"/>
    </row>
    <row r="607">
      <c r="A607" s="3"/>
      <c r="B607" s="19"/>
    </row>
    <row r="608">
      <c r="A608" s="3"/>
      <c r="B608" s="19"/>
    </row>
    <row r="609">
      <c r="A609" s="3"/>
      <c r="B609" s="19"/>
    </row>
    <row r="610">
      <c r="A610" s="3"/>
      <c r="B610" s="19"/>
    </row>
    <row r="611">
      <c r="A611" s="3"/>
      <c r="B611" s="19"/>
    </row>
    <row r="612">
      <c r="A612" s="3"/>
      <c r="B612" s="19"/>
    </row>
    <row r="613">
      <c r="A613" s="3"/>
      <c r="B613" s="19"/>
    </row>
    <row r="614">
      <c r="A614" s="3"/>
      <c r="B614" s="19"/>
    </row>
    <row r="615">
      <c r="A615" s="3"/>
      <c r="B615" s="19"/>
    </row>
    <row r="616">
      <c r="A616" s="3"/>
      <c r="B616" s="19"/>
    </row>
    <row r="617">
      <c r="A617" s="3"/>
      <c r="B617" s="19"/>
    </row>
    <row r="618">
      <c r="A618" s="3"/>
      <c r="B618" s="19"/>
    </row>
    <row r="619">
      <c r="A619" s="3"/>
      <c r="B619" s="19"/>
    </row>
    <row r="620">
      <c r="A620" s="3"/>
      <c r="B620" s="19"/>
    </row>
    <row r="621">
      <c r="A621" s="3"/>
      <c r="B621" s="19"/>
    </row>
    <row r="622">
      <c r="A622" s="3"/>
      <c r="B622" s="19"/>
    </row>
    <row r="623">
      <c r="A623" s="3"/>
      <c r="B623" s="19"/>
    </row>
    <row r="624">
      <c r="A624" s="3"/>
      <c r="B624" s="19"/>
    </row>
    <row r="625">
      <c r="A625" s="3"/>
      <c r="B625" s="19"/>
    </row>
    <row r="626">
      <c r="A626" s="3"/>
      <c r="B626" s="19"/>
    </row>
    <row r="627">
      <c r="A627" s="3"/>
      <c r="B627" s="19"/>
    </row>
    <row r="628">
      <c r="A628" s="3"/>
      <c r="B628" s="19"/>
    </row>
    <row r="629">
      <c r="A629" s="3"/>
      <c r="B629" s="19"/>
    </row>
    <row r="630">
      <c r="A630" s="3"/>
      <c r="B630" s="19"/>
    </row>
    <row r="631">
      <c r="A631" s="3"/>
      <c r="B631" s="19"/>
    </row>
    <row r="632">
      <c r="A632" s="3"/>
      <c r="B632" s="19"/>
    </row>
    <row r="633">
      <c r="A633" s="3"/>
      <c r="B633" s="19"/>
    </row>
    <row r="634">
      <c r="A634" s="3"/>
      <c r="B634" s="19"/>
    </row>
    <row r="635">
      <c r="A635" s="3"/>
      <c r="B635" s="19"/>
    </row>
    <row r="636">
      <c r="A636" s="3"/>
      <c r="B636" s="19"/>
    </row>
    <row r="637">
      <c r="A637" s="3"/>
      <c r="B637" s="19"/>
    </row>
    <row r="638">
      <c r="A638" s="3"/>
      <c r="B638" s="19"/>
    </row>
    <row r="639">
      <c r="A639" s="3"/>
      <c r="B639" s="19"/>
    </row>
    <row r="640">
      <c r="A640" s="3"/>
      <c r="B640" s="19"/>
    </row>
    <row r="641">
      <c r="A641" s="3"/>
      <c r="B641" s="19"/>
    </row>
    <row r="642">
      <c r="A642" s="3"/>
      <c r="B642" s="19"/>
    </row>
    <row r="643">
      <c r="A643" s="3"/>
      <c r="B643" s="19"/>
    </row>
    <row r="644">
      <c r="A644" s="3"/>
      <c r="B644" s="19"/>
    </row>
    <row r="645">
      <c r="A645" s="3"/>
      <c r="B645" s="19"/>
    </row>
    <row r="646">
      <c r="A646" s="3"/>
      <c r="B646" s="19"/>
    </row>
    <row r="647">
      <c r="A647" s="3"/>
      <c r="B647" s="19"/>
    </row>
    <row r="648">
      <c r="A648" s="3"/>
      <c r="B648" s="19"/>
    </row>
    <row r="649">
      <c r="A649" s="3"/>
      <c r="B649" s="19"/>
    </row>
    <row r="650">
      <c r="A650" s="3"/>
      <c r="B650" s="19"/>
    </row>
    <row r="651">
      <c r="A651" s="3"/>
      <c r="B651" s="19"/>
    </row>
    <row r="652">
      <c r="A652" s="3"/>
      <c r="B652" s="19"/>
    </row>
    <row r="653">
      <c r="A653" s="3"/>
      <c r="B653" s="19"/>
    </row>
    <row r="654">
      <c r="A654" s="3"/>
      <c r="B654" s="19"/>
    </row>
    <row r="655">
      <c r="A655" s="3"/>
      <c r="B655" s="19"/>
    </row>
    <row r="656">
      <c r="A656" s="3"/>
      <c r="B656" s="19"/>
    </row>
    <row r="657">
      <c r="A657" s="3"/>
      <c r="B657" s="19"/>
    </row>
    <row r="658">
      <c r="A658" s="3"/>
      <c r="B658" s="19"/>
    </row>
    <row r="659">
      <c r="A659" s="3"/>
      <c r="B659" s="19"/>
    </row>
    <row r="660">
      <c r="A660" s="3"/>
      <c r="B660" s="19"/>
    </row>
    <row r="661">
      <c r="A661" s="3"/>
      <c r="B661" s="19"/>
    </row>
    <row r="662">
      <c r="A662" s="3"/>
      <c r="B662" s="19"/>
    </row>
    <row r="663">
      <c r="A663" s="3"/>
      <c r="B663" s="19"/>
    </row>
    <row r="664">
      <c r="A664" s="3"/>
      <c r="B664" s="19"/>
    </row>
    <row r="665">
      <c r="A665" s="3"/>
      <c r="B665" s="19"/>
    </row>
    <row r="666">
      <c r="A666" s="3"/>
      <c r="B666" s="19"/>
    </row>
    <row r="667">
      <c r="A667" s="3"/>
      <c r="B667" s="19"/>
    </row>
    <row r="668">
      <c r="A668" s="3"/>
      <c r="B668" s="19"/>
    </row>
    <row r="669">
      <c r="A669" s="3"/>
      <c r="B669" s="19"/>
    </row>
    <row r="670">
      <c r="A670" s="3"/>
      <c r="B670" s="19"/>
    </row>
    <row r="671">
      <c r="A671" s="3"/>
      <c r="B671" s="19"/>
    </row>
    <row r="672">
      <c r="A672" s="3"/>
      <c r="B672" s="19"/>
    </row>
    <row r="673">
      <c r="A673" s="3"/>
      <c r="B673" s="19"/>
    </row>
    <row r="674">
      <c r="A674" s="3"/>
      <c r="B674" s="19"/>
    </row>
    <row r="675">
      <c r="A675" s="3"/>
      <c r="B675" s="19"/>
    </row>
    <row r="676">
      <c r="A676" s="3"/>
      <c r="B676" s="19"/>
    </row>
    <row r="677">
      <c r="A677" s="3"/>
      <c r="B677" s="19"/>
    </row>
    <row r="678">
      <c r="A678" s="3"/>
      <c r="B678" s="19"/>
    </row>
    <row r="679">
      <c r="A679" s="3"/>
      <c r="B679" s="19"/>
    </row>
    <row r="680">
      <c r="A680" s="3"/>
      <c r="B680" s="19"/>
    </row>
    <row r="681">
      <c r="A681" s="3"/>
      <c r="B681" s="19"/>
    </row>
    <row r="682">
      <c r="A682" s="3"/>
      <c r="B682" s="19"/>
    </row>
    <row r="683">
      <c r="A683" s="3"/>
      <c r="B683" s="19"/>
    </row>
    <row r="684">
      <c r="A684" s="3"/>
      <c r="B684" s="19"/>
    </row>
    <row r="685">
      <c r="A685" s="3"/>
      <c r="B685" s="19"/>
    </row>
    <row r="686">
      <c r="A686" s="3"/>
      <c r="B686" s="19"/>
    </row>
    <row r="687">
      <c r="A687" s="3"/>
      <c r="B687" s="19"/>
    </row>
    <row r="688">
      <c r="A688" s="3"/>
      <c r="B688" s="19"/>
    </row>
    <row r="689">
      <c r="A689" s="3"/>
      <c r="B689" s="19"/>
    </row>
    <row r="690">
      <c r="A690" s="3"/>
      <c r="B690" s="19"/>
    </row>
    <row r="691">
      <c r="A691" s="3"/>
      <c r="B691" s="19"/>
    </row>
    <row r="692">
      <c r="A692" s="3"/>
      <c r="B692" s="19"/>
    </row>
    <row r="693">
      <c r="A693" s="3"/>
      <c r="B693" s="19"/>
    </row>
    <row r="694">
      <c r="A694" s="3"/>
      <c r="B694" s="19"/>
    </row>
    <row r="695">
      <c r="A695" s="3"/>
      <c r="B695" s="19"/>
    </row>
    <row r="696">
      <c r="A696" s="3"/>
      <c r="B696" s="19"/>
    </row>
    <row r="697">
      <c r="A697" s="3"/>
      <c r="B697" s="19"/>
    </row>
    <row r="698">
      <c r="A698" s="3"/>
      <c r="B698" s="19"/>
    </row>
    <row r="699">
      <c r="A699" s="3"/>
      <c r="B699" s="19"/>
    </row>
    <row r="700">
      <c r="A700" s="3"/>
      <c r="B700" s="19"/>
    </row>
    <row r="701">
      <c r="A701" s="3"/>
      <c r="B701" s="19"/>
    </row>
    <row r="702">
      <c r="A702" s="3"/>
      <c r="B702" s="19"/>
    </row>
    <row r="703">
      <c r="A703" s="3"/>
      <c r="B703" s="19"/>
    </row>
    <row r="704">
      <c r="A704" s="3"/>
      <c r="B704" s="19"/>
    </row>
    <row r="705">
      <c r="A705" s="3"/>
      <c r="B705" s="19"/>
    </row>
    <row r="706">
      <c r="A706" s="3"/>
      <c r="B706" s="19"/>
    </row>
    <row r="707">
      <c r="A707" s="3"/>
      <c r="B707" s="19"/>
    </row>
    <row r="708">
      <c r="A708" s="3"/>
      <c r="B708" s="19"/>
    </row>
    <row r="709">
      <c r="A709" s="3"/>
      <c r="B709" s="19"/>
    </row>
    <row r="710">
      <c r="A710" s="3"/>
      <c r="B710" s="19"/>
    </row>
    <row r="711">
      <c r="A711" s="3"/>
      <c r="B711" s="19"/>
    </row>
    <row r="712">
      <c r="A712" s="3"/>
      <c r="B712" s="19"/>
    </row>
    <row r="713">
      <c r="A713" s="3"/>
      <c r="B713" s="19"/>
    </row>
    <row r="714">
      <c r="A714" s="3"/>
      <c r="B714" s="19"/>
    </row>
    <row r="715">
      <c r="A715" s="3"/>
      <c r="B715" s="19"/>
    </row>
    <row r="716">
      <c r="A716" s="3"/>
      <c r="B716" s="19"/>
    </row>
    <row r="717">
      <c r="A717" s="3"/>
      <c r="B717" s="19"/>
    </row>
    <row r="718">
      <c r="A718" s="3"/>
      <c r="B718" s="19"/>
    </row>
    <row r="719">
      <c r="A719" s="3"/>
      <c r="B719" s="19"/>
    </row>
    <row r="720">
      <c r="A720" s="3"/>
      <c r="B720" s="19"/>
    </row>
    <row r="721">
      <c r="A721" s="3"/>
      <c r="B721" s="19"/>
    </row>
    <row r="722">
      <c r="A722" s="3"/>
      <c r="B722" s="19"/>
    </row>
    <row r="723">
      <c r="A723" s="3"/>
      <c r="B723" s="19"/>
    </row>
    <row r="724">
      <c r="A724" s="3"/>
      <c r="B724" s="19"/>
    </row>
    <row r="725">
      <c r="A725" s="3"/>
      <c r="B725" s="19"/>
    </row>
    <row r="726">
      <c r="A726" s="3"/>
      <c r="B726" s="19"/>
    </row>
    <row r="727">
      <c r="A727" s="3"/>
      <c r="B727" s="19"/>
    </row>
    <row r="728">
      <c r="A728" s="3"/>
      <c r="B728" s="19"/>
    </row>
    <row r="729">
      <c r="A729" s="3"/>
      <c r="B729" s="19"/>
    </row>
    <row r="730">
      <c r="A730" s="3"/>
      <c r="B730" s="19"/>
    </row>
    <row r="731">
      <c r="A731" s="3"/>
      <c r="B731" s="19"/>
    </row>
    <row r="732">
      <c r="A732" s="3"/>
      <c r="B732" s="19"/>
    </row>
    <row r="733">
      <c r="A733" s="3"/>
      <c r="B733" s="19"/>
    </row>
    <row r="734">
      <c r="A734" s="3"/>
      <c r="B734" s="19"/>
    </row>
    <row r="735">
      <c r="A735" s="3"/>
      <c r="B735" s="19"/>
    </row>
    <row r="736">
      <c r="A736" s="3"/>
      <c r="B736" s="19"/>
    </row>
    <row r="737">
      <c r="A737" s="3"/>
      <c r="B737" s="19"/>
    </row>
    <row r="738">
      <c r="A738" s="3"/>
      <c r="B738" s="19"/>
    </row>
    <row r="739">
      <c r="A739" s="3"/>
      <c r="B739" s="19"/>
    </row>
    <row r="740">
      <c r="A740" s="3"/>
      <c r="B740" s="19"/>
    </row>
    <row r="741">
      <c r="A741" s="3"/>
      <c r="B741" s="19"/>
    </row>
    <row r="742">
      <c r="A742" s="3"/>
      <c r="B742" s="19"/>
    </row>
    <row r="743">
      <c r="A743" s="3"/>
      <c r="B743" s="19"/>
    </row>
    <row r="744">
      <c r="A744" s="3"/>
      <c r="B744" s="19"/>
    </row>
    <row r="745">
      <c r="A745" s="3"/>
      <c r="B745" s="19"/>
    </row>
    <row r="746">
      <c r="A746" s="3"/>
      <c r="B746" s="19"/>
    </row>
    <row r="747">
      <c r="A747" s="3"/>
      <c r="B747" s="19"/>
    </row>
    <row r="748">
      <c r="A748" s="3"/>
      <c r="B748" s="19"/>
    </row>
    <row r="749">
      <c r="A749" s="3"/>
      <c r="B749" s="19"/>
    </row>
    <row r="750">
      <c r="A750" s="3"/>
      <c r="B750" s="19"/>
    </row>
    <row r="751">
      <c r="A751" s="3"/>
      <c r="B751" s="19"/>
    </row>
    <row r="752">
      <c r="A752" s="3"/>
      <c r="B752" s="19"/>
    </row>
    <row r="753">
      <c r="A753" s="3"/>
      <c r="B753" s="19"/>
    </row>
    <row r="754">
      <c r="A754" s="3"/>
      <c r="B754" s="19"/>
    </row>
    <row r="755">
      <c r="A755" s="3"/>
      <c r="B755" s="19"/>
    </row>
    <row r="756">
      <c r="A756" s="3"/>
      <c r="B756" s="19"/>
    </row>
    <row r="757">
      <c r="A757" s="3"/>
      <c r="B757" s="19"/>
    </row>
    <row r="758">
      <c r="A758" s="3"/>
      <c r="B758" s="19"/>
    </row>
    <row r="759">
      <c r="A759" s="3"/>
      <c r="B759" s="19"/>
    </row>
    <row r="760">
      <c r="A760" s="3"/>
      <c r="B760" s="19"/>
    </row>
    <row r="761">
      <c r="A761" s="3"/>
      <c r="B761" s="19"/>
    </row>
    <row r="762">
      <c r="A762" s="3"/>
      <c r="B762" s="19"/>
    </row>
    <row r="763">
      <c r="A763" s="3"/>
      <c r="B763" s="19"/>
    </row>
    <row r="764">
      <c r="A764" s="3"/>
      <c r="B764" s="19"/>
    </row>
    <row r="765">
      <c r="A765" s="3"/>
      <c r="B765" s="19"/>
    </row>
    <row r="766">
      <c r="A766" s="3"/>
      <c r="B766" s="19"/>
    </row>
    <row r="767">
      <c r="A767" s="3"/>
      <c r="B767" s="19"/>
    </row>
    <row r="768">
      <c r="A768" s="3"/>
      <c r="B768" s="19"/>
    </row>
    <row r="769">
      <c r="A769" s="3"/>
      <c r="B769" s="19"/>
    </row>
    <row r="770">
      <c r="A770" s="3"/>
      <c r="B770" s="19"/>
    </row>
    <row r="771">
      <c r="A771" s="3"/>
      <c r="B771" s="19"/>
    </row>
    <row r="772">
      <c r="A772" s="3"/>
      <c r="B772" s="19"/>
    </row>
    <row r="773">
      <c r="A773" s="3"/>
      <c r="B773" s="19"/>
    </row>
    <row r="774">
      <c r="A774" s="3"/>
      <c r="B774" s="19"/>
    </row>
    <row r="775">
      <c r="A775" s="3"/>
      <c r="B775" s="19"/>
    </row>
    <row r="776">
      <c r="A776" s="3"/>
      <c r="B776" s="19"/>
    </row>
    <row r="777">
      <c r="A777" s="3"/>
      <c r="B777" s="19"/>
    </row>
    <row r="778">
      <c r="A778" s="3"/>
      <c r="B778" s="19"/>
    </row>
    <row r="779">
      <c r="A779" s="3"/>
      <c r="B779" s="19"/>
    </row>
    <row r="780">
      <c r="A780" s="3"/>
      <c r="B780" s="19"/>
    </row>
    <row r="781">
      <c r="A781" s="3"/>
      <c r="B781" s="19"/>
    </row>
    <row r="782">
      <c r="A782" s="3"/>
      <c r="B782" s="19"/>
    </row>
    <row r="783">
      <c r="A783" s="3"/>
      <c r="B783" s="19"/>
    </row>
    <row r="784">
      <c r="A784" s="3"/>
      <c r="B784" s="19"/>
    </row>
    <row r="785">
      <c r="A785" s="3"/>
      <c r="B785" s="19"/>
    </row>
    <row r="786">
      <c r="A786" s="3"/>
      <c r="B786" s="19"/>
    </row>
    <row r="787">
      <c r="A787" s="3"/>
      <c r="B787" s="19"/>
    </row>
    <row r="788">
      <c r="A788" s="3"/>
      <c r="B788" s="19"/>
    </row>
    <row r="789">
      <c r="A789" s="3"/>
      <c r="B789" s="19"/>
    </row>
    <row r="790">
      <c r="A790" s="3"/>
      <c r="B790" s="19"/>
    </row>
    <row r="791">
      <c r="A791" s="3"/>
      <c r="B791" s="19"/>
    </row>
    <row r="792">
      <c r="A792" s="3"/>
      <c r="B792" s="19"/>
    </row>
    <row r="793">
      <c r="A793" s="3"/>
      <c r="B793" s="19"/>
    </row>
    <row r="794">
      <c r="A794" s="3"/>
      <c r="B794" s="19"/>
    </row>
    <row r="795">
      <c r="A795" s="3"/>
      <c r="B795" s="19"/>
    </row>
    <row r="796">
      <c r="A796" s="3"/>
      <c r="B796" s="19"/>
    </row>
    <row r="797">
      <c r="A797" s="3"/>
      <c r="B797" s="19"/>
    </row>
    <row r="798">
      <c r="A798" s="3"/>
      <c r="B798" s="19"/>
    </row>
    <row r="799">
      <c r="A799" s="3"/>
      <c r="B799" s="19"/>
    </row>
    <row r="800">
      <c r="A800" s="3"/>
      <c r="B800" s="19"/>
    </row>
    <row r="801">
      <c r="A801" s="3"/>
      <c r="B801" s="19"/>
    </row>
    <row r="802">
      <c r="A802" s="3"/>
      <c r="B802" s="19"/>
    </row>
    <row r="803">
      <c r="A803" s="3"/>
      <c r="B803" s="19"/>
    </row>
    <row r="804">
      <c r="A804" s="3"/>
      <c r="B804" s="19"/>
    </row>
    <row r="805">
      <c r="A805" s="3"/>
      <c r="B805" s="19"/>
    </row>
    <row r="806">
      <c r="A806" s="3"/>
      <c r="B806" s="19"/>
    </row>
    <row r="807">
      <c r="A807" s="3"/>
      <c r="B807" s="19"/>
    </row>
    <row r="808">
      <c r="A808" s="3"/>
      <c r="B808" s="19"/>
    </row>
    <row r="809">
      <c r="A809" s="3"/>
      <c r="B809" s="19"/>
    </row>
    <row r="810">
      <c r="A810" s="3"/>
      <c r="B810" s="19"/>
    </row>
    <row r="811">
      <c r="A811" s="3"/>
      <c r="B811" s="19"/>
    </row>
    <row r="812">
      <c r="A812" s="3"/>
      <c r="B812" s="19"/>
    </row>
    <row r="813">
      <c r="A813" s="3"/>
      <c r="B813" s="19"/>
    </row>
    <row r="814">
      <c r="A814" s="3"/>
      <c r="B814" s="19"/>
    </row>
    <row r="815">
      <c r="A815" s="3"/>
      <c r="B815" s="19"/>
    </row>
    <row r="816">
      <c r="A816" s="3"/>
      <c r="B816" s="19"/>
    </row>
    <row r="817">
      <c r="A817" s="3"/>
      <c r="B817" s="19"/>
    </row>
    <row r="818">
      <c r="A818" s="3"/>
      <c r="B818" s="19"/>
    </row>
    <row r="819">
      <c r="A819" s="3"/>
      <c r="B819" s="19"/>
    </row>
    <row r="820">
      <c r="A820" s="3"/>
      <c r="B820" s="19"/>
    </row>
    <row r="821">
      <c r="A821" s="3"/>
      <c r="B821" s="19"/>
    </row>
    <row r="822">
      <c r="A822" s="3"/>
      <c r="B822" s="19"/>
    </row>
    <row r="823">
      <c r="A823" s="3"/>
      <c r="B823" s="19"/>
    </row>
    <row r="824">
      <c r="A824" s="3"/>
      <c r="B824" s="19"/>
    </row>
    <row r="825">
      <c r="A825" s="3"/>
      <c r="B825" s="19"/>
    </row>
    <row r="826">
      <c r="A826" s="3"/>
      <c r="B826" s="19"/>
    </row>
    <row r="827">
      <c r="A827" s="3"/>
      <c r="B827" s="19"/>
    </row>
    <row r="828">
      <c r="A828" s="3"/>
      <c r="B828" s="19"/>
    </row>
    <row r="829">
      <c r="A829" s="3"/>
      <c r="B829" s="19"/>
    </row>
    <row r="830">
      <c r="A830" s="3"/>
      <c r="B830" s="19"/>
    </row>
    <row r="831">
      <c r="A831" s="3"/>
      <c r="B831" s="19"/>
    </row>
    <row r="832">
      <c r="A832" s="3"/>
      <c r="B832" s="19"/>
    </row>
    <row r="833">
      <c r="A833" s="3"/>
      <c r="B833" s="19"/>
    </row>
    <row r="834">
      <c r="A834" s="3"/>
      <c r="B834" s="19"/>
    </row>
    <row r="835">
      <c r="A835" s="3"/>
      <c r="B835" s="19"/>
    </row>
    <row r="836">
      <c r="A836" s="3"/>
      <c r="B836" s="19"/>
    </row>
    <row r="837">
      <c r="A837" s="3"/>
      <c r="B837" s="19"/>
    </row>
    <row r="838">
      <c r="A838" s="3"/>
      <c r="B838" s="19"/>
    </row>
    <row r="839">
      <c r="A839" s="3"/>
      <c r="B839" s="19"/>
    </row>
    <row r="840">
      <c r="A840" s="3"/>
      <c r="B840" s="19"/>
    </row>
    <row r="841">
      <c r="A841" s="3"/>
      <c r="B841" s="19"/>
    </row>
    <row r="842">
      <c r="A842" s="3"/>
      <c r="B842" s="19"/>
    </row>
    <row r="843">
      <c r="A843" s="3"/>
      <c r="B843" s="19"/>
    </row>
    <row r="844">
      <c r="A844" s="3"/>
      <c r="B844" s="19"/>
    </row>
    <row r="845">
      <c r="A845" s="3"/>
      <c r="B845" s="19"/>
    </row>
    <row r="846">
      <c r="A846" s="3"/>
      <c r="B846" s="19"/>
    </row>
    <row r="847">
      <c r="A847" s="3"/>
      <c r="B847" s="19"/>
    </row>
    <row r="848">
      <c r="A848" s="3"/>
      <c r="B848" s="19"/>
    </row>
    <row r="849">
      <c r="A849" s="3"/>
      <c r="B849" s="19"/>
    </row>
    <row r="850">
      <c r="A850" s="3"/>
      <c r="B850" s="19"/>
    </row>
    <row r="851">
      <c r="A851" s="3"/>
      <c r="B851" s="19"/>
    </row>
    <row r="852">
      <c r="A852" s="3"/>
      <c r="B852" s="19"/>
    </row>
    <row r="853">
      <c r="A853" s="3"/>
      <c r="B853" s="19"/>
    </row>
    <row r="854">
      <c r="A854" s="3"/>
      <c r="B854" s="19"/>
    </row>
    <row r="855">
      <c r="A855" s="3"/>
      <c r="B855" s="19"/>
    </row>
    <row r="856">
      <c r="A856" s="3"/>
      <c r="B856" s="19"/>
    </row>
    <row r="857">
      <c r="A857" s="3"/>
      <c r="B857" s="19"/>
    </row>
    <row r="858">
      <c r="A858" s="3"/>
      <c r="B858" s="19"/>
    </row>
    <row r="859">
      <c r="A859" s="3"/>
      <c r="B859" s="19"/>
    </row>
    <row r="860">
      <c r="A860" s="3"/>
      <c r="B860" s="19"/>
    </row>
    <row r="861">
      <c r="A861" s="3"/>
      <c r="B861" s="19"/>
    </row>
    <row r="862">
      <c r="A862" s="3"/>
      <c r="B862" s="19"/>
    </row>
    <row r="863">
      <c r="A863" s="3"/>
      <c r="B863" s="19"/>
    </row>
    <row r="864">
      <c r="A864" s="3"/>
      <c r="B864" s="19"/>
    </row>
    <row r="865">
      <c r="A865" s="3"/>
      <c r="B865" s="19"/>
    </row>
    <row r="866">
      <c r="A866" s="3"/>
      <c r="B866" s="19"/>
    </row>
    <row r="867">
      <c r="A867" s="3"/>
      <c r="B867" s="19"/>
    </row>
    <row r="868">
      <c r="A868" s="3"/>
      <c r="B868" s="19"/>
    </row>
    <row r="869">
      <c r="A869" s="3"/>
      <c r="B869" s="19"/>
    </row>
    <row r="870">
      <c r="A870" s="3"/>
      <c r="B870" s="19"/>
    </row>
    <row r="871">
      <c r="A871" s="3"/>
      <c r="B871" s="19"/>
    </row>
    <row r="872">
      <c r="A872" s="3"/>
      <c r="B872" s="19"/>
    </row>
    <row r="873">
      <c r="A873" s="3"/>
      <c r="B873" s="19"/>
    </row>
    <row r="874">
      <c r="A874" s="3"/>
      <c r="B874" s="19"/>
    </row>
    <row r="875">
      <c r="A875" s="3"/>
      <c r="B875" s="19"/>
    </row>
    <row r="876">
      <c r="A876" s="3"/>
      <c r="B876" s="19"/>
    </row>
    <row r="877">
      <c r="A877" s="3"/>
      <c r="B877" s="19"/>
    </row>
    <row r="878">
      <c r="A878" s="3"/>
      <c r="B878" s="19"/>
    </row>
    <row r="879">
      <c r="A879" s="3"/>
      <c r="B879" s="19"/>
    </row>
    <row r="880">
      <c r="A880" s="3"/>
      <c r="B880" s="19"/>
    </row>
    <row r="881">
      <c r="A881" s="3"/>
      <c r="B881" s="19"/>
    </row>
    <row r="882">
      <c r="A882" s="3"/>
      <c r="B882" s="19"/>
    </row>
    <row r="883">
      <c r="A883" s="3"/>
      <c r="B883" s="19"/>
    </row>
    <row r="884">
      <c r="A884" s="3"/>
      <c r="B884" s="19"/>
    </row>
    <row r="885">
      <c r="A885" s="3"/>
      <c r="B885" s="19"/>
    </row>
    <row r="886">
      <c r="A886" s="3"/>
      <c r="B886" s="19"/>
    </row>
    <row r="887">
      <c r="A887" s="3"/>
      <c r="B887" s="19"/>
    </row>
    <row r="888">
      <c r="A888" s="3"/>
      <c r="B888" s="19"/>
    </row>
    <row r="889">
      <c r="A889" s="3"/>
      <c r="B889" s="19"/>
    </row>
    <row r="890">
      <c r="A890" s="3"/>
      <c r="B890" s="19"/>
    </row>
    <row r="891">
      <c r="A891" s="3"/>
      <c r="B891" s="19"/>
    </row>
    <row r="892">
      <c r="A892" s="3"/>
      <c r="B892" s="19"/>
    </row>
    <row r="893">
      <c r="A893" s="3"/>
      <c r="B893" s="19"/>
    </row>
    <row r="894">
      <c r="A894" s="3"/>
      <c r="B894" s="19"/>
    </row>
    <row r="895">
      <c r="A895" s="3"/>
      <c r="B895" s="19"/>
    </row>
    <row r="896">
      <c r="A896" s="3"/>
      <c r="B896" s="19"/>
    </row>
    <row r="897">
      <c r="A897" s="3"/>
      <c r="B897" s="19"/>
    </row>
    <row r="898">
      <c r="A898" s="3"/>
      <c r="B898" s="19"/>
    </row>
    <row r="899">
      <c r="A899" s="3"/>
      <c r="B899" s="19"/>
    </row>
    <row r="900">
      <c r="A900" s="3"/>
      <c r="B900" s="19"/>
    </row>
    <row r="901">
      <c r="A901" s="3"/>
      <c r="B901" s="19"/>
    </row>
    <row r="902">
      <c r="A902" s="3"/>
      <c r="B902" s="19"/>
    </row>
    <row r="903">
      <c r="A903" s="3"/>
      <c r="B903" s="19"/>
    </row>
    <row r="904">
      <c r="A904" s="3"/>
      <c r="B904" s="19"/>
    </row>
    <row r="905">
      <c r="A905" s="3"/>
      <c r="B905" s="19"/>
    </row>
    <row r="906">
      <c r="A906" s="3"/>
      <c r="B906" s="19"/>
    </row>
    <row r="907">
      <c r="A907" s="3"/>
      <c r="B907" s="19"/>
    </row>
    <row r="908">
      <c r="A908" s="3"/>
      <c r="B908" s="19"/>
    </row>
    <row r="909">
      <c r="A909" s="3"/>
      <c r="B909" s="19"/>
    </row>
    <row r="910">
      <c r="A910" s="3"/>
      <c r="B910" s="19"/>
    </row>
    <row r="911">
      <c r="A911" s="3"/>
      <c r="B911" s="19"/>
    </row>
    <row r="912">
      <c r="A912" s="3"/>
      <c r="B912" s="19"/>
    </row>
    <row r="913">
      <c r="A913" s="3"/>
      <c r="B913" s="19"/>
    </row>
    <row r="914">
      <c r="A914" s="3"/>
      <c r="B914" s="19"/>
    </row>
    <row r="915">
      <c r="A915" s="3"/>
      <c r="B915" s="19"/>
    </row>
    <row r="916">
      <c r="A916" s="3"/>
      <c r="B916" s="19"/>
    </row>
    <row r="917">
      <c r="A917" s="3"/>
      <c r="B917" s="19"/>
    </row>
    <row r="918">
      <c r="A918" s="3"/>
      <c r="B918" s="19"/>
    </row>
    <row r="919">
      <c r="A919" s="3"/>
      <c r="B919" s="19"/>
    </row>
    <row r="920">
      <c r="A920" s="3"/>
      <c r="B920" s="19"/>
    </row>
    <row r="921">
      <c r="A921" s="3"/>
      <c r="B921" s="19"/>
    </row>
    <row r="922">
      <c r="A922" s="3"/>
      <c r="B922" s="19"/>
    </row>
    <row r="923">
      <c r="A923" s="3"/>
      <c r="B923" s="19"/>
    </row>
    <row r="924">
      <c r="A924" s="3"/>
      <c r="B924" s="19"/>
    </row>
    <row r="925">
      <c r="A925" s="3"/>
      <c r="B925" s="19"/>
    </row>
    <row r="926">
      <c r="A926" s="3"/>
      <c r="B926" s="19"/>
    </row>
    <row r="927">
      <c r="A927" s="3"/>
      <c r="B927" s="19"/>
    </row>
    <row r="928">
      <c r="A928" s="3"/>
      <c r="B928" s="19"/>
    </row>
    <row r="929">
      <c r="A929" s="3"/>
      <c r="B929" s="19"/>
    </row>
    <row r="930">
      <c r="A930" s="3"/>
      <c r="B930" s="19"/>
    </row>
    <row r="931">
      <c r="A931" s="3"/>
      <c r="B931" s="19"/>
    </row>
    <row r="932">
      <c r="A932" s="3"/>
      <c r="B932" s="19"/>
    </row>
    <row r="933">
      <c r="A933" s="3"/>
      <c r="B933" s="19"/>
    </row>
    <row r="934">
      <c r="A934" s="3"/>
      <c r="B934" s="19"/>
    </row>
    <row r="935">
      <c r="A935" s="3"/>
      <c r="B935" s="19"/>
    </row>
    <row r="936">
      <c r="A936" s="3"/>
      <c r="B936" s="19"/>
    </row>
    <row r="937">
      <c r="A937" s="3"/>
      <c r="B937" s="19"/>
    </row>
    <row r="938">
      <c r="A938" s="3"/>
      <c r="B938" s="19"/>
    </row>
    <row r="939">
      <c r="A939" s="3"/>
      <c r="B939" s="19"/>
    </row>
    <row r="940">
      <c r="A940" s="3"/>
      <c r="B940" s="19"/>
    </row>
    <row r="941">
      <c r="A941" s="3"/>
      <c r="B941" s="19"/>
    </row>
    <row r="942">
      <c r="A942" s="3"/>
      <c r="B942" s="19"/>
    </row>
    <row r="943">
      <c r="A943" s="3"/>
      <c r="B943" s="19"/>
    </row>
    <row r="944">
      <c r="A944" s="3"/>
      <c r="B944" s="19"/>
    </row>
    <row r="945">
      <c r="A945" s="3"/>
      <c r="B945" s="19"/>
    </row>
    <row r="946">
      <c r="A946" s="3"/>
      <c r="B946" s="19"/>
    </row>
    <row r="947">
      <c r="A947" s="3"/>
      <c r="B947" s="19"/>
    </row>
    <row r="948">
      <c r="A948" s="3"/>
      <c r="B948" s="19"/>
    </row>
    <row r="949">
      <c r="A949" s="3"/>
      <c r="B949" s="19"/>
    </row>
    <row r="950">
      <c r="A950" s="3"/>
      <c r="B950" s="19"/>
    </row>
    <row r="951">
      <c r="A951" s="3"/>
      <c r="B951" s="19"/>
    </row>
    <row r="952">
      <c r="A952" s="3"/>
      <c r="B952" s="19"/>
    </row>
    <row r="953">
      <c r="A953" s="3"/>
      <c r="B953" s="19"/>
    </row>
    <row r="954">
      <c r="A954" s="3"/>
      <c r="B954" s="19"/>
    </row>
    <row r="955">
      <c r="A955" s="3"/>
      <c r="B955" s="19"/>
    </row>
    <row r="956">
      <c r="A956" s="3"/>
      <c r="B956" s="19"/>
    </row>
    <row r="957">
      <c r="A957" s="3"/>
      <c r="B957" s="19"/>
    </row>
    <row r="958">
      <c r="A958" s="3"/>
      <c r="B958" s="19"/>
    </row>
    <row r="959">
      <c r="A959" s="3"/>
      <c r="B959" s="19"/>
    </row>
    <row r="960">
      <c r="A960" s="3"/>
      <c r="B960" s="19"/>
    </row>
    <row r="961">
      <c r="A961" s="3"/>
      <c r="B961" s="19"/>
    </row>
    <row r="962">
      <c r="A962" s="3"/>
      <c r="B962" s="19"/>
    </row>
    <row r="963">
      <c r="A963" s="3"/>
      <c r="B963" s="19"/>
    </row>
    <row r="964">
      <c r="A964" s="3"/>
      <c r="B964" s="19"/>
    </row>
    <row r="965">
      <c r="A965" s="3"/>
      <c r="B965" s="19"/>
    </row>
    <row r="966">
      <c r="A966" s="3"/>
      <c r="B966" s="19"/>
    </row>
    <row r="967">
      <c r="A967" s="3"/>
      <c r="B967" s="19"/>
    </row>
    <row r="968">
      <c r="A968" s="3"/>
      <c r="B968" s="19"/>
    </row>
    <row r="969">
      <c r="A969" s="3"/>
      <c r="B969" s="19"/>
    </row>
    <row r="970">
      <c r="A970" s="3"/>
      <c r="B970" s="19"/>
    </row>
    <row r="971">
      <c r="A971" s="3"/>
      <c r="B971" s="19"/>
    </row>
    <row r="972">
      <c r="A972" s="3"/>
      <c r="B972" s="19"/>
    </row>
    <row r="973">
      <c r="A973" s="3"/>
      <c r="B973" s="19"/>
    </row>
    <row r="974">
      <c r="A974" s="3"/>
      <c r="B974" s="19"/>
    </row>
    <row r="975">
      <c r="A975" s="3"/>
      <c r="B975" s="19"/>
    </row>
    <row r="976">
      <c r="B976" s="19"/>
    </row>
    <row r="977">
      <c r="B977" s="19"/>
    </row>
    <row r="978">
      <c r="B978" s="19"/>
    </row>
    <row r="979">
      <c r="B979" s="19"/>
    </row>
    <row r="980">
      <c r="B980" s="19"/>
    </row>
    <row r="981">
      <c r="B981" s="19"/>
    </row>
    <row r="982">
      <c r="B982" s="19"/>
    </row>
    <row r="983">
      <c r="B983" s="19"/>
    </row>
    <row r="984">
      <c r="B984" s="19"/>
    </row>
    <row r="985">
      <c r="B985" s="19"/>
    </row>
    <row r="986">
      <c r="B986" s="19"/>
    </row>
    <row r="987">
      <c r="B987" s="19"/>
    </row>
    <row r="988">
      <c r="B988" s="19"/>
    </row>
    <row r="989">
      <c r="B989" s="19"/>
    </row>
    <row r="990">
      <c r="B990" s="19"/>
    </row>
    <row r="991">
      <c r="B991" s="19"/>
    </row>
    <row r="992">
      <c r="B992" s="19"/>
    </row>
    <row r="993">
      <c r="B993" s="19"/>
    </row>
    <row r="994">
      <c r="B994" s="19"/>
    </row>
    <row r="995">
      <c r="B995" s="19"/>
    </row>
    <row r="996">
      <c r="B996" s="19"/>
    </row>
    <row r="997">
      <c r="B997" s="19"/>
    </row>
    <row r="998">
      <c r="B998" s="19"/>
    </row>
    <row r="999">
      <c r="B999" s="19"/>
    </row>
    <row r="1000">
      <c r="B1000" s="19"/>
    </row>
  </sheetData>
  <conditionalFormatting sqref="B1:B176">
    <cfRule type="expression" dxfId="0" priority="1">
      <formula>(EDATE(B1,12)&lt;TODAY())</formula>
    </cfRule>
  </conditionalFormatting>
  <conditionalFormatting sqref="B1:B176">
    <cfRule type="expression" dxfId="1" priority="2">
      <formula>(EDATE(B1,2)&lt;TODAY())</formula>
    </cfRule>
  </conditionalFormatting>
  <conditionalFormatting sqref="B1:B176">
    <cfRule type="expression" dxfId="2" priority="3">
      <formula>(EDATE(B1,1)&lt;TODAY())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7.38"/>
  </cols>
  <sheetData>
    <row r="1">
      <c r="B1" s="1">
        <v>2022.0</v>
      </c>
      <c r="E1" s="1">
        <v>2023.0</v>
      </c>
      <c r="I1" s="1">
        <v>2024.0</v>
      </c>
      <c r="M1" s="1">
        <v>2025.0</v>
      </c>
    </row>
    <row r="2">
      <c r="B2" s="1" t="s">
        <v>57</v>
      </c>
      <c r="C2" s="1" t="s">
        <v>58</v>
      </c>
      <c r="D2" s="1" t="s">
        <v>59</v>
      </c>
      <c r="E2" s="1" t="s">
        <v>60</v>
      </c>
      <c r="F2" s="1" t="s">
        <v>61</v>
      </c>
      <c r="G2" s="1" t="s">
        <v>62</v>
      </c>
      <c r="H2" s="1" t="s">
        <v>63</v>
      </c>
      <c r="I2" s="1" t="s">
        <v>64</v>
      </c>
      <c r="J2" s="1" t="s">
        <v>65</v>
      </c>
      <c r="K2" s="1" t="s">
        <v>66</v>
      </c>
      <c r="L2" s="1" t="s">
        <v>67</v>
      </c>
      <c r="M2" s="1" t="s">
        <v>68</v>
      </c>
      <c r="N2" s="1" t="s">
        <v>69</v>
      </c>
      <c r="O2" s="1" t="s">
        <v>70</v>
      </c>
      <c r="P2" s="1" t="s">
        <v>71</v>
      </c>
    </row>
    <row r="3">
      <c r="A3" s="6" t="str">
        <f>IFERROR(__xludf.DUMMYFUNCTION("FILTER(Data!A2:A1001, Data!A2:A1001 &lt;&gt; """")
"),"Bruine Curduroy broek")</f>
        <v>Bruine Curduroy broek</v>
      </c>
      <c r="B3" s="2">
        <f>SUM(
    COUNTIFS('Form responses 1'!$C$2:$C1001, A3, 'Form responses 1'!$A$2:$A1001, "&gt;=2022-04-01", 'Form responses 1'!$A$2:$A1001, "&lt;=2022-06-30"),
    COUNTIFS('Form responses 1'!$B$2:$B1001, A3, 'Form responses 1'!$A$2:$A1001, "&gt;=2022-04-01", 'Form responses 1'!$A$2:$A1001, "&lt;=2022-06-30"),
    COUNTIFS('Form responses 1'!$D$2:$D1001, A3, 'Form responses 1'!$A$2:$A1001, "&gt;=2022-04-01", 'Form responses 1'!$A$2:$A1001, "&lt;=2022-06-30"),
    COUNTIFS('Form responses 1'!$E$2:$E1001, A3, 'Form responses 1'!$A$2:$A1001, "&gt;=2022-04-01", 'Form responses 1'!$A$2:$A1001, "&lt;=2022-06-30"),
    COUNTIFS('Form responses 1'!$F$2:$F1001, A3, 'Form responses 1'!$A$2:$A1001, "&gt;=2022-04-01", 'Form responses 1'!$A$2:$A1001, "&lt;=2022-06-30"),
    COUNTIFS('Form responses 1'!$G$2:$G1001, A3, 'Form responses 1'!$A$2:$A1001, "&gt;=2022-04-01", 'Form responses 1'!$A$2:$A1001, "&lt;=2022-06-30")
)
</f>
        <v>20</v>
      </c>
      <c r="C3" s="2">
        <f>SUM(
    COUNTIFS('Form responses 1'!$C$2:$C1001, A3, 'Form responses 1'!$A$2:$A1001, "&gt;=2022-07-01", 'Form responses 1'!$A$2:$A1001, "&lt;=2022-09-30"),
    COUNTIFS('Form responses 1'!$B$2:$B1001, A3, 'Form responses 1'!$A$2:$A1001, "&gt;=2022-07-01", 'Form responses 1'!$A$2:$A1001, "&lt;=2022-09-30"),
    COUNTIFS('Form responses 1'!$D$2:$D1001, A3, 'Form responses 1'!$A$2:$A1001, "&gt;=2022-07-01", 'Form responses 1'!$A$2:$A1001, "&lt;=2022-09-30"),
    COUNTIFS('Form responses 1'!$E$2:$E1001, A3, 'Form responses 1'!$A$2:$A1001, "&gt;=2022-07-01", 'Form responses 1'!$A$2:$A1001, "&lt;=2022-09-30"),
    COUNTIFS('Form responses 1'!$F$2:$F1001, A3, 'Form responses 1'!$A$2:$A1001, "&gt;=2022-07-01", 'Form responses 1'!$A$2:$A1001, "&lt;=2022-09-30"),
    COUNTIFS('Form responses 1'!$G$2:$G1001, A3, 'Form responses 1'!$A$2:$A1001, "&gt;=2022-07-01", 'Form responses 1'!$A$2:$A1001, "&lt;=2022-09-30")
)
</f>
        <v>16</v>
      </c>
      <c r="D3" s="2">
        <f>SUM(
    COUNTIFS('Form responses 1'!$C$2:$C1001, A3, 'Form responses 1'!$A$2:$A1001, "&gt;=2022-10-01", 'Form responses 1'!$A$2:$A1001, "&lt;=2022-12-31"),
    COUNTIFS('Form responses 1'!$B$2:$B1001, A3, 'Form responses 1'!$A$2:$A1001, "&gt;=2022-10-01", 'Form responses 1'!$A$2:$A1001, "&lt;=2022-12-31"),
    COUNTIFS('Form responses 1'!$D$2:$D1001, A3, 'Form responses 1'!$A$2:$A1001, "&gt;=2022-10-01", 'Form responses 1'!$A$2:$A1001, "&lt;=2022-12-31"),
    COUNTIFS('Form responses 1'!$E$2:$E1001, A3, 'Form responses 1'!$A$2:$A1001, "&gt;=2022-10-01", 'Form responses 1'!$A$2:$A1001, "&lt;=2022-12-31"),
    COUNTIFS('Form responses 1'!$F$2:$F1001, A3, 'Form responses 1'!$A$2:$A1001, "&gt;=2022-10-01", 'Form responses 1'!$A$2:$A1001, "&lt;=2022-12-31"),
    COUNTIFS('Form responses 1'!$G$2:$G1001, A3, 'Form responses 1'!$A$2:$A1001, "&gt;=2022-10-01", 'Form responses 1'!$A$2:$A1001, "&lt;=2022-12-31")
)
</f>
        <v>15</v>
      </c>
      <c r="E3" s="2">
        <f>SUM(
    COUNTIFS('Form responses 1'!$C$2:$C1001, A3, 'Form responses 1'!$A$2:$A1001, "&gt;=2023-01-01", 'Form responses 1'!$A$2:$A1001, "&lt;=2023-03-31"),
    COUNTIFS('Form responses 1'!$B$2:$B1001, A3, 'Form responses 1'!$A$2:$A1001, "&gt;=2023-01-01", 'Form responses 1'!$A$2:$A1001, "&lt;=2023-03-31"),
    COUNTIFS('Form responses 1'!$D$2:$D1001, A3, 'Form responses 1'!$A$2:$A1001, "&gt;=2023-01-01", 'Form responses 1'!$A$2:$A1001, "&lt;=2023-03-31"),
    COUNTIFS('Form responses 1'!$E$2:$E1001, A3, 'Form responses 1'!$A$2:$A1001, "&gt;=2023-01-01", 'Form responses 1'!$A$2:$A1001, "&lt;=2023-03-31"),
    COUNTIFS('Form responses 1'!$F$2:$F1001, A3, 'Form responses 1'!$A$2:$A1001, "&gt;=2023-01-01", 'Form responses 1'!$A$2:$A1001, "&lt;=2023-03-31"),
    COUNTIFS('Form responses 1'!$G$2:$G1001, A3, 'Form responses 1'!$A$2:$A1001, "&gt;=2023-01-01", 'Form responses 1'!$A$2:$A1001, "&lt;=2023-03-31")
)
</f>
        <v>22</v>
      </c>
      <c r="F3" s="2">
        <f>SUM(
    COUNTIFS('Form responses 1'!$C$2:$C1001, A3, 'Form responses 1'!$A$2:$A1001, "&gt;=2023-04-01", 'Form responses 1'!$A$2:$A1001, "&lt;=2023-06-30"),
    COUNTIFS('Form responses 1'!$B$2:$B1001, A3, 'Form responses 1'!$A$2:$A1001, "&gt;=2023-04-01", 'Form responses 1'!$A$2:$A1001, "&lt;=2023-06-30"),
    COUNTIFS('Form responses 1'!$D$2:$D1001, A3, 'Form responses 1'!$A$2:$A1001, "&gt;=2023-04-01", 'Form responses 1'!$A$2:$A1001, "&lt;=2023-06-30"),
    COUNTIFS('Form responses 1'!$E$2:$E1001, A3, 'Form responses 1'!$A$2:$A1001, "&gt;=2023-04-01", 'Form responses 1'!$A$2:$A1001, "&lt;=2023-06-30"),
    COUNTIFS('Form responses 1'!$F$2:$F1001, A3, 'Form responses 1'!$A$2:$A1001, "&gt;=2023-04-01", 'Form responses 1'!$A$2:$A1001, "&lt;=2023-06-30"),
    COUNTIFS('Form responses 1'!$G$2:$G1001, A3, 'Form responses 1'!$A$2:$A1001, "&gt;=2023-04-01", 'Form responses 1'!$A$2:$A1001, "&lt;=2023-06-30")
)
</f>
        <v>20</v>
      </c>
      <c r="G3" s="2">
        <f>SUM(
    COUNTIFS('Form responses 1'!$C$2:$C1001, A3, 'Form responses 1'!$A$2:$A1001, "&gt;=2023-07-01", 'Form responses 1'!$A$2:$A1001, "&lt;=2023-09-30"),
    COUNTIFS('Form responses 1'!$B$2:$B1001, A3, 'Form responses 1'!$A$2:$A1001, "&gt;=2023-07-01", 'Form responses 1'!$A$2:$A1001, "&lt;=2023-09-30"),
    COUNTIFS('Form responses 1'!$D$2:$D1001, A3, 'Form responses 1'!$A$2:$A1001, "&gt;=2023-07-01", 'Form responses 1'!$A$2:$A1001, "&lt;=2023-09-30"),
    COUNTIFS('Form responses 1'!$E$2:$E1001, A3, 'Form responses 1'!$A$2:$A1001, "&gt;=2023-07-01", 'Form responses 1'!$A$2:$A1001, "&lt;=2023-09-30"),
    COUNTIFS('Form responses 1'!$F$2:$F1001, A3, 'Form responses 1'!$A$2:$A1001, "&gt;=2023-07-01", 'Form responses 1'!$A$2:$A1001, "&lt;=2023-09-30"),
    COUNTIFS('Form responses 1'!$G$2:$G1001, A3, 'Form responses 1'!$A$2:$A1001, "&gt;=2023-07-01", 'Form responses 1'!$A$2:$A1001, "&lt;=2023-09-30")
)
</f>
        <v>16</v>
      </c>
      <c r="H3" s="2">
        <f>SUM(
    COUNTIFS('Form responses 1'!$C$2:$C1001, A3, 'Form responses 1'!$A$2:$A1001, "&gt;=2023-10-01", 'Form responses 1'!$A$2:$A1001, "&lt;=2023-12-31"),
    COUNTIFS('Form responses 1'!$B$2:$B1001, A3, 'Form responses 1'!$A$2:$A1001, "&gt;=2023-10-01", 'Form responses 1'!$A$2:$A1001, "&lt;=2023-12-31"),
    COUNTIFS('Form responses 1'!$D$2:$D1001, A3, 'Form responses 1'!$A$2:$A1001, "&gt;=2023-10-01", 'Form responses 1'!$A$2:$A1001, "&lt;=2023-12-31"),
    COUNTIFS('Form responses 1'!$E$2:$E1001, A3, 'Form responses 1'!$A$2:$A1001, "&gt;=2023-10-01", 'Form responses 1'!$A$2:$A1001, "&lt;=2023-12-31"),
    COUNTIFS('Form responses 1'!$F$2:$F1001, A3, 'Form responses 1'!$A$2:$A1001, "&gt;=2023-10-01", 'Form responses 1'!$A$2:$A1001, "&lt;=2023-12-31"),
    COUNTIFS('Form responses 1'!$G$2:$G1001, A3, 'Form responses 1'!$A$2:$A1001, "&gt;=2023-10-01", 'Form responses 1'!$A$2:$A1001, "&lt;=2023-12-31")
)
</f>
        <v>17</v>
      </c>
      <c r="I3" s="2">
        <f>SUM(
    COUNTIFS('Form responses 1'!$C$2:$C1001, A3, 'Form responses 1'!$A$2:$A1001, "&gt;=2024-01-01", 'Form responses 1'!$A$2:$A1001, "&lt;=2024-03-31"),
    COUNTIFS('Form responses 1'!$B$2:$B1001, A3, 'Form responses 1'!$A$2:$A1001, "&gt;=2024-01-01", 'Form responses 1'!$A$2:$A1001, "&lt;=2024-03-31"),
    COUNTIFS('Form responses 1'!$D$2:$D1001, A3, 'Form responses 1'!$A$2:$A1001, "&gt;=2024-01-01", 'Form responses 1'!$A$2:$A1001, "&lt;=2024-03-31"),
    COUNTIFS('Form responses 1'!$E$2:$E1001, A3, 'Form responses 1'!$A$2:$A1001, "&gt;=2024-01-01", 'Form responses 1'!$A$2:$A1001, "&lt;=2024-03-31"),
    COUNTIFS('Form responses 1'!$F$2:$F1001, A3, 'Form responses 1'!$A$2:$A1001, "&gt;=2024-01-01", 'Form responses 1'!$A$2:$A1001, "&lt;=2024-03-31"),
    COUNTIFS('Form responses 1'!$G$2:$G1001, A3, 'Form responses 1'!$A$2:$A1001, "&gt;=2024-01-01", 'Form responses 1'!$A$2:$A1001, "&lt;=2024-03-31")
)
</f>
        <v>10</v>
      </c>
      <c r="J3" s="2">
        <f>SUM(
    COUNTIFS('Form responses 1'!$C$2:$C1001, A3, 'Form responses 1'!$A$2:$A1001, "&gt;=2024-04-01", 'Form responses 1'!$A$2:$A1001, "&lt;=2024-06-30"),
    COUNTIFS('Form responses 1'!$B$2:$B1001, A3, 'Form responses 1'!$A$2:$A1001, "&gt;=2024-04-01", 'Form responses 1'!$A$2:$A1001, "&lt;=2024-06-30"),
    COUNTIFS('Form responses 1'!$D$2:$D1001, A3, 'Form responses 1'!$A$2:$A1001, "&gt;=2024-04-01", 'Form responses 1'!$A$2:$A1001, "&lt;=2024-06-30"),
    COUNTIFS('Form responses 1'!$E$2:$E1001, A3, 'Form responses 1'!$A$2:$A1001, "&gt;=2024-04-01", 'Form responses 1'!$A$2:$A1001, "&lt;=2024-06-30"),
    COUNTIFS('Form responses 1'!$F$2:$F1001, A3, 'Form responses 1'!$A$2:$A1001, "&gt;=2024-04-01", 'Form responses 1'!$A$2:$A1001, "&lt;=2024-06-30"),
    COUNTIFS('Form responses 1'!$G$2:$G1001, A3, 'Form responses 1'!$A$2:$A1001, "&gt;=2024-04-01", 'Form responses 1'!$A$2:$A1001, "&lt;=2024-06-30")
)
</f>
        <v>8</v>
      </c>
      <c r="K3" s="2">
        <f>SUM(
    COUNTIFS('Form responses 1'!$C$2:$C1001, A3, 'Form responses 1'!$A$2:$A1001, "&gt;=2024-07-01", 'Form responses 1'!$A$2:$A1001, "&lt;=2024-09-30"),
    COUNTIFS('Form responses 1'!$B$2:$B1001, A3, 'Form responses 1'!$A$2:$A1001, "&gt;=2024-07-01", 'Form responses 1'!$A$2:$A1001, "&lt;=2024-09-30"),
    COUNTIFS('Form responses 1'!$D$2:$D1001, A3, 'Form responses 1'!$A$2:$A1001, "&gt;=2024-07-01", 'Form responses 1'!$A$2:$A1001, "&lt;=2024-09-30"),
    COUNTIFS('Form responses 1'!$E$2:$E1001, A3, 'Form responses 1'!$A$2:$A1001, "&gt;=2024-07-01", 'Form responses 1'!$A$2:$A1001, "&lt;=2024-09-30"),
    COUNTIFS('Form responses 1'!$F$2:$F1001, A3, 'Form responses 1'!$A$2:$A1001, "&gt;=2024-07-01", 'Form responses 1'!$A$2:$A1001, "&lt;=2024-09-30"),
    COUNTIFS('Form responses 1'!$G$2:$G1001, A3, 'Form responses 1'!$A$2:$A1001, "&gt;=2024-07-01", 'Form responses 1'!$A$2:$A1001, "&lt;=2024-09-30")
)
</f>
        <v>8</v>
      </c>
      <c r="L3" s="2">
        <f>SUM(
    COUNTIFS('Form responses 1'!$C$2:$C1001, A3, 'Form responses 1'!$A$2:$A1001, "&gt;=2024-10-01", 'Form responses 1'!$A$2:$A1001, "&lt;=2024-12-31"),
    COUNTIFS('Form responses 1'!$B$2:$B1001, A3, 'Form responses 1'!$A$2:$A1001, "&gt;=2024-10-01", 'Form responses 1'!$A$2:$A1001, "&lt;=2024-12-31"),
    COUNTIFS('Form responses 1'!$D$2:$D1001, A3, 'Form responses 1'!$A$2:$A1001, "&gt;=2024-10-01", 'Form responses 1'!$A$2:$A1001, "&lt;=2024-12-31"),
    COUNTIFS('Form responses 1'!$E$2:$E1001, A3, 'Form responses 1'!$A$2:$A1001, "&gt;=2024-10-01", 'Form responses 1'!$A$2:$A1001, "&lt;=2024-12-31"),
    COUNTIFS('Form responses 1'!$F$2:$F1001, A3, 'Form responses 1'!$A$2:$A1001, "&gt;=2024-10-01", 'Form responses 1'!$A$2:$A1001, "&lt;=2024-12-31"),
    COUNTIFS('Form responses 1'!$G$2:$G1001, A3, 'Form responses 1'!$A$2:$A1001, "&gt;=2024-10-01", 'Form responses 1'!$A$2:$A1001, "&lt;=2024-12-31")
)
</f>
        <v>22</v>
      </c>
      <c r="M3" s="2">
        <f>SUM(
    COUNTIFS('Form responses 1'!$C$2:$C1001, A3, 'Form responses 1'!$A$2:$A1001, "&gt;=2025-01-01", 'Form responses 1'!$A$2:$A1001, "&lt;=2025-03-31"),
    COUNTIFS('Form responses 1'!$B$2:$B1001, A3, 'Form responses 1'!$A$2:$A1001, "&gt;=2025-01-01", 'Form responses 1'!$A$2:$A1001, "&lt;=2025-03-31"),
    COUNTIFS('Form responses 1'!$D$2:$D1001, A3, 'Form responses 1'!$A$2:$A1001, "&gt;=2025-01-01", 'Form responses 1'!$A$2:$A1001, "&lt;=2025-03-31"),
    COUNTIFS('Form responses 1'!$E$2:$E1001, A3, 'Form responses 1'!$A$2:$A1001, "&gt;=2025-01-01", 'Form responses 1'!$A$2:$A1001, "&lt;=2025-03-31"),
    COUNTIFS('Form responses 1'!$F$2:$F1001, A3, 'Form responses 1'!$A$2:$A1001, "&gt;=2025-01-01", 'Form responses 1'!$A$2:$A1001, "&lt;=2025-03-31"),
    COUNTIFS('Form responses 1'!$G$2:$G1001, A3, 'Form responses 1'!$A$2:$A1001, "&gt;=2025-01-01", 'Form responses 1'!$A$2:$A1001, "&lt;=2025-03-31")
)
</f>
        <v>11</v>
      </c>
      <c r="N3" s="2">
        <f>SUM(
    COUNTIFS('Form responses 1'!$C$2:$C1001, A3, 'Form responses 1'!$A$2:$A1001, "&gt;=2025-04-01", 'Form responses 1'!$A$2:$A1001, "&lt;2025-07-01"),
    COUNTIFS('Form responses 1'!$B$2:$B1001, A3, 'Form responses 1'!$A$2:$A1001, "&gt;=2025-04-01", 'Form responses 1'!$A$2:$A1001, "&lt;2025-07-01"),
    COUNTIFS('Form responses 1'!$D$2:$D1001, A3, 'Form responses 1'!$A$2:$A1001, "&gt;=2025-04-01", 'Form responses 1'!$A$2:$A1001, "&lt;2025-07-01"),
    COUNTIFS('Form responses 1'!$E$2:$E1001, A3, 'Form responses 1'!$A$2:$A1001, "&gt;=2025-04-01", 'Form responses 1'!$A$2:$A1001, "&lt;2025-07-01"),
    COUNTIFS('Form responses 1'!$F$2:$F1001, A3, 'Form responses 1'!$A$2:$A1001, "&gt;=2025-04-01", 'Form responses 1'!$A$2:$A1001, "&lt;2025-07-01"),
    COUNTIFS('Form responses 1'!$G$2:$G1001, A3, 'Form responses 1'!$A$2:$A1001, "&gt;=2025-04-01", 'Form responses 1'!$A$2:$A1001, "&lt;2025-07-01")
)
</f>
        <v>11</v>
      </c>
      <c r="O3" s="2">
        <f>SUM(
    COUNTIFS('Form responses 1'!$C$2:$C1001, A3, 'Form responses 1'!$A$2:$A1001, "&gt;=2025-07-01", 'Form responses 1'!$A$2:$A1001, "&lt;=2025-09-30"),
    COUNTIFS('Form responses 1'!$B$2:$B1001, A3, 'Form responses 1'!$A$2:$A1001, "&gt;=2025-07-01", 'Form responses 1'!$A$2:$A1001, "&lt;=2025-09-30"),
    COUNTIFS('Form responses 1'!$D$2:$D1001, A3, 'Form responses 1'!$A$2:$A1001, "&gt;=2025-07-01", 'Form responses 1'!$A$2:$A1001, "&lt;=2025-09-30"),
    COUNTIFS('Form responses 1'!$E$2:$E1001, A3, 'Form responses 1'!$A$2:$A1001, "&gt;=2025-07-01", 'Form responses 1'!$A$2:$A1001, "&lt;=2025-09-30"),
    COUNTIFS('Form responses 1'!$F$2:$F1001, A3, 'Form responses 1'!$A$2:$A1001, "&gt;=2025-07-01", 'Form responses 1'!$A$2:$A1001, "&lt;=2025-09-30"),
    COUNTIFS('Form responses 1'!$G$2:$G1001, A3, 'Form responses 1'!$A$2:$A1001, "&gt;=2025-07-01", 'Form responses 1'!$A$2:$A1001, "&lt;=2025-09-30")
)
</f>
        <v>9</v>
      </c>
      <c r="P3" s="2">
        <f>SUM(
    COUNTIFS('Form responses 1'!$C$2:$C1001, A3, 'Form responses 1'!$A$2:$A1001, "&gt;=2025-10-01", 'Form responses 1'!$A$2:$A1001, "&lt;=2025-12-31"),
    COUNTIFS('Form responses 1'!$B$2:$B1001, A3, 'Form responses 1'!$A$2:$A1001, "&gt;=2025-10-01", 'Form responses 1'!$A$2:$A1001, "&lt;=2025-12-31"),
    COUNTIFS('Form responses 1'!$D$2:$D1001, A3, 'Form responses 1'!$A$2:$A1001, "&gt;=2025-10-01", 'Form responses 1'!$A$2:$A1001, "&lt;=2025-12-31"),
    COUNTIFS('Form responses 1'!$E$2:$E1001, A3, 'Form responses 1'!$A$2:$A1001, "&gt;=2025-10-01", 'Form responses 1'!$A$2:$A1001, "&lt;=2025-12-31"),
    COUNTIFS('Form responses 1'!$F$2:$F1001, A3, 'Form responses 1'!$A$2:$A1001, "&gt;=2025-10-01", 'Form responses 1'!$A$2:$A1001, "&lt;=2025-12-31"),
    COUNTIFS('Form responses 1'!$G$2:$G1001, A3, 'Form responses 1'!$A$2:$A1001, "&gt;=2025-10-01", 'Form responses 1'!$A$2:$A1001, "&lt;=2025-12-31")
)
</f>
        <v>13</v>
      </c>
    </row>
    <row r="4">
      <c r="A4" s="9" t="str">
        <f>IFERROR(__xludf.DUMMYFUNCTION("""COMPUTED_VALUE"""),"Nette broek zwart")</f>
        <v>Nette broek zwart</v>
      </c>
      <c r="B4" s="2">
        <f>SUM(
    COUNTIFS('Form responses 1'!$C$2:$C1001, A4, 'Form responses 1'!$A$2:$A1001, "&gt;=2022-04-01", 'Form responses 1'!$A$2:$A1001, "&lt;=2022-06-30"),
    COUNTIFS('Form responses 1'!$B$2:$B1001, A4, 'Form responses 1'!$A$2:$A1001, "&gt;=2022-04-01", 'Form responses 1'!$A$2:$A1001, "&lt;=2022-06-30"),
    COUNTIFS('Form responses 1'!$D$2:$D1001, A4, 'Form responses 1'!$A$2:$A1001, "&gt;=2022-04-01", 'Form responses 1'!$A$2:$A1001, "&lt;=2022-06-30"),
    COUNTIFS('Form responses 1'!$E$2:$E1001, A4, 'Form responses 1'!$A$2:$A1001, "&gt;=2022-04-01", 'Form responses 1'!$A$2:$A1001, "&lt;=2022-06-30"),
    COUNTIFS('Form responses 1'!$F$2:$F1001, A4, 'Form responses 1'!$A$2:$A1001, "&gt;=2022-04-01", 'Form responses 1'!$A$2:$A1001, "&lt;=2022-06-30"),
    COUNTIFS('Form responses 1'!$G$2:$G1001, A4, 'Form responses 1'!$A$2:$A1001, "&gt;=2022-04-01", 'Form responses 1'!$A$2:$A1001, "&lt;=2022-06-30")
)
</f>
        <v>10</v>
      </c>
      <c r="C4" s="2">
        <f>SUM(
    COUNTIFS('Form responses 1'!$C$2:$C1001, A4, 'Form responses 1'!$A$2:$A1001, "&gt;=2022-07-01", 'Form responses 1'!$A$2:$A1001, "&lt;=2022-09-30"),
    COUNTIFS('Form responses 1'!$B$2:$B1001, A4, 'Form responses 1'!$A$2:$A1001, "&gt;=2022-07-01", 'Form responses 1'!$A$2:$A1001, "&lt;=2022-09-30"),
    COUNTIFS('Form responses 1'!$D$2:$D1001, A4, 'Form responses 1'!$A$2:$A1001, "&gt;=2022-07-01", 'Form responses 1'!$A$2:$A1001, "&lt;=2022-09-30"),
    COUNTIFS('Form responses 1'!$E$2:$E1001, A4, 'Form responses 1'!$A$2:$A1001, "&gt;=2022-07-01", 'Form responses 1'!$A$2:$A1001, "&lt;=2022-09-30"),
    COUNTIFS('Form responses 1'!$F$2:$F1001, A4, 'Form responses 1'!$A$2:$A1001, "&gt;=2022-07-01", 'Form responses 1'!$A$2:$A1001, "&lt;=2022-09-30"),
    COUNTIFS('Form responses 1'!$G$2:$G1001, A4, 'Form responses 1'!$A$2:$A1001, "&gt;=2022-07-01", 'Form responses 1'!$A$2:$A1001, "&lt;=2022-09-30")
)
</f>
        <v>3</v>
      </c>
      <c r="D4" s="2">
        <f>SUM(
    COUNTIFS('Form responses 1'!$C$2:$C1001, A4, 'Form responses 1'!$A$2:$A1001, "&gt;=2022-10-01", 'Form responses 1'!$A$2:$A1001, "&lt;=2022-12-31"),
    COUNTIFS('Form responses 1'!$B$2:$B1001, A4, 'Form responses 1'!$A$2:$A1001, "&gt;=2022-10-01", 'Form responses 1'!$A$2:$A1001, "&lt;=2022-12-31"),
    COUNTIFS('Form responses 1'!$D$2:$D1001, A4, 'Form responses 1'!$A$2:$A1001, "&gt;=2022-10-01", 'Form responses 1'!$A$2:$A1001, "&lt;=2022-12-31"),
    COUNTIFS('Form responses 1'!$E$2:$E1001, A4, 'Form responses 1'!$A$2:$A1001, "&gt;=2022-10-01", 'Form responses 1'!$A$2:$A1001, "&lt;=2022-12-31"),
    COUNTIFS('Form responses 1'!$F$2:$F1001, A4, 'Form responses 1'!$A$2:$A1001, "&gt;=2022-10-01", 'Form responses 1'!$A$2:$A1001, "&lt;=2022-12-31"),
    COUNTIFS('Form responses 1'!$G$2:$G1001, A4, 'Form responses 1'!$A$2:$A1001, "&gt;=2022-10-01", 'Form responses 1'!$A$2:$A1001, "&lt;=2022-12-31")
)
</f>
        <v>13</v>
      </c>
      <c r="E4" s="2">
        <f>SUM(
    COUNTIFS('Form responses 1'!$C$2:$C1001, A4, 'Form responses 1'!$A$2:$A1001, "&gt;=2023-01-01", 'Form responses 1'!$A$2:$A1001, "&lt;=2023-03-31"),
    COUNTIFS('Form responses 1'!$B$2:$B1001, A4, 'Form responses 1'!$A$2:$A1001, "&gt;=2023-01-01", 'Form responses 1'!$A$2:$A1001, "&lt;=2023-03-31"),
    COUNTIFS('Form responses 1'!$D$2:$D1001, A4, 'Form responses 1'!$A$2:$A1001, "&gt;=2023-01-01", 'Form responses 1'!$A$2:$A1001, "&lt;=2023-03-31"),
    COUNTIFS('Form responses 1'!$E$2:$E1001, A4, 'Form responses 1'!$A$2:$A1001, "&gt;=2023-01-01", 'Form responses 1'!$A$2:$A1001, "&lt;=2023-03-31"),
    COUNTIFS('Form responses 1'!$F$2:$F1001, A4, 'Form responses 1'!$A$2:$A1001, "&gt;=2023-01-01", 'Form responses 1'!$A$2:$A1001, "&lt;=2023-03-31"),
    COUNTIFS('Form responses 1'!$G$2:$G1001, A4, 'Form responses 1'!$A$2:$A1001, "&gt;=2023-01-01", 'Form responses 1'!$A$2:$A1001, "&lt;=2023-03-31")
)
</f>
        <v>14</v>
      </c>
      <c r="F4" s="2">
        <f>SUM(
    COUNTIFS('Form responses 1'!$C$2:$C1001, A4, 'Form responses 1'!$A$2:$A1001, "&gt;=2023-04-01", 'Form responses 1'!$A$2:$A1001, "&lt;=2023-06-30"),
    COUNTIFS('Form responses 1'!$B$2:$B1001, A4, 'Form responses 1'!$A$2:$A1001, "&gt;=2023-04-01", 'Form responses 1'!$A$2:$A1001, "&lt;=2023-06-30"),
    COUNTIFS('Form responses 1'!$D$2:$D1001, A4, 'Form responses 1'!$A$2:$A1001, "&gt;=2023-04-01", 'Form responses 1'!$A$2:$A1001, "&lt;=2023-06-30"),
    COUNTIFS('Form responses 1'!$E$2:$E1001, A4, 'Form responses 1'!$A$2:$A1001, "&gt;=2023-04-01", 'Form responses 1'!$A$2:$A1001, "&lt;=2023-06-30"),
    COUNTIFS('Form responses 1'!$F$2:$F1001, A4, 'Form responses 1'!$A$2:$A1001, "&gt;=2023-04-01", 'Form responses 1'!$A$2:$A1001, "&lt;=2023-06-30"),
    COUNTIFS('Form responses 1'!$G$2:$G1001, A4, 'Form responses 1'!$A$2:$A1001, "&gt;=2023-04-01", 'Form responses 1'!$A$2:$A1001, "&lt;=2023-06-30")
)
</f>
        <v>3</v>
      </c>
      <c r="G4" s="2">
        <f>SUM(
    COUNTIFS('Form responses 1'!$C$2:$C1001, A4, 'Form responses 1'!$A$2:$A1001, "&gt;=2023-07-01", 'Form responses 1'!$A$2:$A1001, "&lt;=2023-09-30"),
    COUNTIFS('Form responses 1'!$B$2:$B1001, A4, 'Form responses 1'!$A$2:$A1001, "&gt;=2023-07-01", 'Form responses 1'!$A$2:$A1001, "&lt;=2023-09-30"),
    COUNTIFS('Form responses 1'!$D$2:$D1001, A4, 'Form responses 1'!$A$2:$A1001, "&gt;=2023-07-01", 'Form responses 1'!$A$2:$A1001, "&lt;=2023-09-30"),
    COUNTIFS('Form responses 1'!$E$2:$E1001, A4, 'Form responses 1'!$A$2:$A1001, "&gt;=2023-07-01", 'Form responses 1'!$A$2:$A1001, "&lt;=2023-09-30"),
    COUNTIFS('Form responses 1'!$F$2:$F1001, A4, 'Form responses 1'!$A$2:$A1001, "&gt;=2023-07-01", 'Form responses 1'!$A$2:$A1001, "&lt;=2023-09-30"),
    COUNTIFS('Form responses 1'!$G$2:$G1001, A4, 'Form responses 1'!$A$2:$A1001, "&gt;=2023-07-01", 'Form responses 1'!$A$2:$A1001, "&lt;=2023-09-30")
)
</f>
        <v>0</v>
      </c>
      <c r="H4" s="2">
        <f>SUM(
    COUNTIFS('Form responses 1'!$C$2:$C1001, A4, 'Form responses 1'!$A$2:$A1001, "&gt;=2023-10-01", 'Form responses 1'!$A$2:$A1001, "&lt;=2023-12-31"),
    COUNTIFS('Form responses 1'!$B$2:$B1001, A4, 'Form responses 1'!$A$2:$A1001, "&gt;=2023-10-01", 'Form responses 1'!$A$2:$A1001, "&lt;=2023-12-31"),
    COUNTIFS('Form responses 1'!$D$2:$D1001, A4, 'Form responses 1'!$A$2:$A1001, "&gt;=2023-10-01", 'Form responses 1'!$A$2:$A1001, "&lt;=2023-12-31"),
    COUNTIFS('Form responses 1'!$E$2:$E1001, A4, 'Form responses 1'!$A$2:$A1001, "&gt;=2023-10-01", 'Form responses 1'!$A$2:$A1001, "&lt;=2023-12-31"),
    COUNTIFS('Form responses 1'!$F$2:$F1001, A4, 'Form responses 1'!$A$2:$A1001, "&gt;=2023-10-01", 'Form responses 1'!$A$2:$A1001, "&lt;=2023-12-31"),
    COUNTIFS('Form responses 1'!$G$2:$G1001, A4, 'Form responses 1'!$A$2:$A1001, "&gt;=2023-10-01", 'Form responses 1'!$A$2:$A1001, "&lt;=2023-12-31")
)
</f>
        <v>0</v>
      </c>
      <c r="I4" s="2">
        <f>SUM(
    COUNTIFS('Form responses 1'!$C$2:$C1001, A4, 'Form responses 1'!$A$2:$A1001, "&gt;=2024-01-01", 'Form responses 1'!$A$2:$A1001, "&lt;=2024-03-31"),
    COUNTIFS('Form responses 1'!$B$2:$B1001, A4, 'Form responses 1'!$A$2:$A1001, "&gt;=2024-01-01", 'Form responses 1'!$A$2:$A1001, "&lt;=2024-03-31"),
    COUNTIFS('Form responses 1'!$D$2:$D1001, A4, 'Form responses 1'!$A$2:$A1001, "&gt;=2024-01-01", 'Form responses 1'!$A$2:$A1001, "&lt;=2024-03-31"),
    COUNTIFS('Form responses 1'!$E$2:$E1001, A4, 'Form responses 1'!$A$2:$A1001, "&gt;=2024-01-01", 'Form responses 1'!$A$2:$A1001, "&lt;=2024-03-31"),
    COUNTIFS('Form responses 1'!$F$2:$F1001, A4, 'Form responses 1'!$A$2:$A1001, "&gt;=2024-01-01", 'Form responses 1'!$A$2:$A1001, "&lt;=2024-03-31"),
    COUNTIFS('Form responses 1'!$G$2:$G1001, A4, 'Form responses 1'!$A$2:$A1001, "&gt;=2024-01-01", 'Form responses 1'!$A$2:$A1001, "&lt;=2024-03-31")
)
</f>
        <v>0</v>
      </c>
      <c r="J4" s="2">
        <f>SUM(
    COUNTIFS('Form responses 1'!$C$2:$C1001, A4, 'Form responses 1'!$A$2:$A1001, "&gt;=2024-04-01", 'Form responses 1'!$A$2:$A1001, "&lt;=2024-06-30"),
    COUNTIFS('Form responses 1'!$B$2:$B1001, A4, 'Form responses 1'!$A$2:$A1001, "&gt;=2024-04-01", 'Form responses 1'!$A$2:$A1001, "&lt;=2024-06-30"),
    COUNTIFS('Form responses 1'!$D$2:$D1001, A4, 'Form responses 1'!$A$2:$A1001, "&gt;=2024-04-01", 'Form responses 1'!$A$2:$A1001, "&lt;=2024-06-30"),
    COUNTIFS('Form responses 1'!$E$2:$E1001, A4, 'Form responses 1'!$A$2:$A1001, "&gt;=2024-04-01", 'Form responses 1'!$A$2:$A1001, "&lt;=2024-06-30"),
    COUNTIFS('Form responses 1'!$F$2:$F1001, A4, 'Form responses 1'!$A$2:$A1001, "&gt;=2024-04-01", 'Form responses 1'!$A$2:$A1001, "&lt;=2024-06-30"),
    COUNTIFS('Form responses 1'!$G$2:$G1001, A4, 'Form responses 1'!$A$2:$A1001, "&gt;=2024-04-01", 'Form responses 1'!$A$2:$A1001, "&lt;=2024-06-30")
)
</f>
        <v>0</v>
      </c>
      <c r="K4" s="2">
        <f>SUM(
    COUNTIFS('Form responses 1'!$C$2:$C1001, A4, 'Form responses 1'!$A$2:$A1001, "&gt;=2024-07-01", 'Form responses 1'!$A$2:$A1001, "&lt;=2024-09-30"),
    COUNTIFS('Form responses 1'!$B$2:$B1001, A4, 'Form responses 1'!$A$2:$A1001, "&gt;=2024-07-01", 'Form responses 1'!$A$2:$A1001, "&lt;=2024-09-30"),
    COUNTIFS('Form responses 1'!$D$2:$D1001, A4, 'Form responses 1'!$A$2:$A1001, "&gt;=2024-07-01", 'Form responses 1'!$A$2:$A1001, "&lt;=2024-09-30"),
    COUNTIFS('Form responses 1'!$E$2:$E1001, A4, 'Form responses 1'!$A$2:$A1001, "&gt;=2024-07-01", 'Form responses 1'!$A$2:$A1001, "&lt;=2024-09-30"),
    COUNTIFS('Form responses 1'!$F$2:$F1001, A4, 'Form responses 1'!$A$2:$A1001, "&gt;=2024-07-01", 'Form responses 1'!$A$2:$A1001, "&lt;=2024-09-30"),
    COUNTIFS('Form responses 1'!$G$2:$G1001, A4, 'Form responses 1'!$A$2:$A1001, "&gt;=2024-07-01", 'Form responses 1'!$A$2:$A1001, "&lt;=2024-09-30")
)
</f>
        <v>0</v>
      </c>
      <c r="L4" s="2">
        <f>SUM(
    COUNTIFS('Form responses 1'!$C$2:$C1001, A4, 'Form responses 1'!$A$2:$A1001, "&gt;=2024-10-01", 'Form responses 1'!$A$2:$A1001, "&lt;=2024-12-31"),
    COUNTIFS('Form responses 1'!$B$2:$B1001, A4, 'Form responses 1'!$A$2:$A1001, "&gt;=2024-10-01", 'Form responses 1'!$A$2:$A1001, "&lt;=2024-12-31"),
    COUNTIFS('Form responses 1'!$D$2:$D1001, A4, 'Form responses 1'!$A$2:$A1001, "&gt;=2024-10-01", 'Form responses 1'!$A$2:$A1001, "&lt;=2024-12-31"),
    COUNTIFS('Form responses 1'!$E$2:$E1001, A4, 'Form responses 1'!$A$2:$A1001, "&gt;=2024-10-01", 'Form responses 1'!$A$2:$A1001, "&lt;=2024-12-31"),
    COUNTIFS('Form responses 1'!$F$2:$F1001, A4, 'Form responses 1'!$A$2:$A1001, "&gt;=2024-10-01", 'Form responses 1'!$A$2:$A1001, "&lt;=2024-12-31"),
    COUNTIFS('Form responses 1'!$G$2:$G1001, A4, 'Form responses 1'!$A$2:$A1001, "&gt;=2024-10-01", 'Form responses 1'!$A$2:$A1001, "&lt;=2024-12-31")
)
</f>
        <v>0</v>
      </c>
      <c r="M4" s="2">
        <f>SUM(
    COUNTIFS('Form responses 1'!$C$2:$C1001, A4, 'Form responses 1'!$A$2:$A1001, "&gt;=2025-01-01", 'Form responses 1'!$A$2:$A1001, "&lt;=2025-03-31"),
    COUNTIFS('Form responses 1'!$B$2:$B1001, A4, 'Form responses 1'!$A$2:$A1001, "&gt;=2025-01-01", 'Form responses 1'!$A$2:$A1001, "&lt;=2025-03-31"),
    COUNTIFS('Form responses 1'!$D$2:$D1001, A4, 'Form responses 1'!$A$2:$A1001, "&gt;=2025-01-01", 'Form responses 1'!$A$2:$A1001, "&lt;=2025-03-31"),
    COUNTIFS('Form responses 1'!$E$2:$E1001, A4, 'Form responses 1'!$A$2:$A1001, "&gt;=2025-01-01", 'Form responses 1'!$A$2:$A1001, "&lt;=2025-03-31"),
    COUNTIFS('Form responses 1'!$F$2:$F1001, A4, 'Form responses 1'!$A$2:$A1001, "&gt;=2025-01-01", 'Form responses 1'!$A$2:$A1001, "&lt;=2025-03-31"),
    COUNTIFS('Form responses 1'!$G$2:$G1001, A4, 'Form responses 1'!$A$2:$A1001, "&gt;=2025-01-01", 'Form responses 1'!$A$2:$A1001, "&lt;=2025-03-31")
)
</f>
        <v>0</v>
      </c>
      <c r="N4" s="2">
        <f>SUM(
    COUNTIFS('Form responses 1'!$C$2:$C1001, A4, 'Form responses 1'!$A$2:$A1001, "&gt;=2025-04-01", 'Form responses 1'!$A$2:$A1001, "&lt;2025-07-01"),
    COUNTIFS('Form responses 1'!$B$2:$B1001, A4, 'Form responses 1'!$A$2:$A1001, "&gt;=2025-04-01", 'Form responses 1'!$A$2:$A1001, "&lt;2025-07-01"),
    COUNTIFS('Form responses 1'!$D$2:$D1001, A4, 'Form responses 1'!$A$2:$A1001, "&gt;=2025-04-01", 'Form responses 1'!$A$2:$A1001, "&lt;2025-07-01"),
    COUNTIFS('Form responses 1'!$E$2:$E1001, A4, 'Form responses 1'!$A$2:$A1001, "&gt;=2025-04-01", 'Form responses 1'!$A$2:$A1001, "&lt;2025-07-01"),
    COUNTIFS('Form responses 1'!$F$2:$F1001, A4, 'Form responses 1'!$A$2:$A1001, "&gt;=2025-04-01", 'Form responses 1'!$A$2:$A1001, "&lt;2025-07-01"),
    COUNTIFS('Form responses 1'!$G$2:$G1001, A4, 'Form responses 1'!$A$2:$A1001, "&gt;=2025-04-01", 'Form responses 1'!$A$2:$A1001, "&lt;2025-07-01")
)
</f>
        <v>0</v>
      </c>
      <c r="O4" s="2">
        <f>SUM(
    COUNTIFS('Form responses 1'!$C$2:$C1001, A4, 'Form responses 1'!$A$2:$A1001, "&gt;=2025-07-01", 'Form responses 1'!$A$2:$A1001, "&lt;=2025-09-30"),
    COUNTIFS('Form responses 1'!$B$2:$B1001, A4, 'Form responses 1'!$A$2:$A1001, "&gt;=2025-07-01", 'Form responses 1'!$A$2:$A1001, "&lt;=2025-09-30"),
    COUNTIFS('Form responses 1'!$D$2:$D1001, A4, 'Form responses 1'!$A$2:$A1001, "&gt;=2025-07-01", 'Form responses 1'!$A$2:$A1001, "&lt;=2025-09-30"),
    COUNTIFS('Form responses 1'!$E$2:$E1001, A4, 'Form responses 1'!$A$2:$A1001, "&gt;=2025-07-01", 'Form responses 1'!$A$2:$A1001, "&lt;=2025-09-30"),
    COUNTIFS('Form responses 1'!$F$2:$F1001, A4, 'Form responses 1'!$A$2:$A1001, "&gt;=2025-07-01", 'Form responses 1'!$A$2:$A1001, "&lt;=2025-09-30"),
    COUNTIFS('Form responses 1'!$G$2:$G1001, A4, 'Form responses 1'!$A$2:$A1001, "&gt;=2025-07-01", 'Form responses 1'!$A$2:$A1001, "&lt;=2025-09-30")
)
</f>
        <v>0</v>
      </c>
      <c r="P4" s="2">
        <f>SUM(
    COUNTIFS('Form responses 1'!$C$2:$C1001, A4, 'Form responses 1'!$A$2:$A1001, "&gt;=2025-10-01", 'Form responses 1'!$A$2:$A1001, "&lt;=2025-12-31"),
    COUNTIFS('Form responses 1'!$B$2:$B1001, A4, 'Form responses 1'!$A$2:$A1001, "&gt;=2025-10-01", 'Form responses 1'!$A$2:$A1001, "&lt;=2025-12-31"),
    COUNTIFS('Form responses 1'!$D$2:$D1001, A4, 'Form responses 1'!$A$2:$A1001, "&gt;=2025-10-01", 'Form responses 1'!$A$2:$A1001, "&lt;=2025-12-31"),
    COUNTIFS('Form responses 1'!$E$2:$E1001, A4, 'Form responses 1'!$A$2:$A1001, "&gt;=2025-10-01", 'Form responses 1'!$A$2:$A1001, "&lt;=2025-12-31"),
    COUNTIFS('Form responses 1'!$F$2:$F1001, A4, 'Form responses 1'!$A$2:$A1001, "&gt;=2025-10-01", 'Form responses 1'!$A$2:$A1001, "&lt;=2025-12-31"),
    COUNTIFS('Form responses 1'!$G$2:$G1001, A4, 'Form responses 1'!$A$2:$A1001, "&gt;=2025-10-01", 'Form responses 1'!$A$2:$A1001, "&lt;=2025-12-31")
)
</f>
        <v>0</v>
      </c>
    </row>
    <row r="5">
      <c r="A5" s="3" t="str">
        <f>IFERROR(__xludf.DUMMYFUNCTION("""COMPUTED_VALUE"""),"Dickies 874 zwart")</f>
        <v>Dickies 874 zwart</v>
      </c>
      <c r="B5" s="2">
        <f>SUM(
    COUNTIFS('Form responses 1'!$C$2:$C1001, A5, 'Form responses 1'!$A$2:$A1001, "&gt;=2022-04-01", 'Form responses 1'!$A$2:$A1001, "&lt;=2022-06-30"),
    COUNTIFS('Form responses 1'!$B$2:$B1001, A5, 'Form responses 1'!$A$2:$A1001, "&gt;=2022-04-01", 'Form responses 1'!$A$2:$A1001, "&lt;=2022-06-30"),
    COUNTIFS('Form responses 1'!$D$2:$D1001, A5, 'Form responses 1'!$A$2:$A1001, "&gt;=2022-04-01", 'Form responses 1'!$A$2:$A1001, "&lt;=2022-06-30"),
    COUNTIFS('Form responses 1'!$E$2:$E1001, A5, 'Form responses 1'!$A$2:$A1001, "&gt;=2022-04-01", 'Form responses 1'!$A$2:$A1001, "&lt;=2022-06-30"),
    COUNTIFS('Form responses 1'!$F$2:$F1001, A5, 'Form responses 1'!$A$2:$A1001, "&gt;=2022-04-01", 'Form responses 1'!$A$2:$A1001, "&lt;=2022-06-30"),
    COUNTIFS('Form responses 1'!$G$2:$G1001, A5, 'Form responses 1'!$A$2:$A1001, "&gt;=2022-04-01", 'Form responses 1'!$A$2:$A1001, "&lt;=2022-06-30")
)
</f>
        <v>0</v>
      </c>
      <c r="C5" s="2">
        <f>SUM(
    COUNTIFS('Form responses 1'!$C$2:$C1001, A5, 'Form responses 1'!$A$2:$A1001, "&gt;=2022-07-01", 'Form responses 1'!$A$2:$A1001, "&lt;=2022-09-30"),
    COUNTIFS('Form responses 1'!$B$2:$B1001, A5, 'Form responses 1'!$A$2:$A1001, "&gt;=2022-07-01", 'Form responses 1'!$A$2:$A1001, "&lt;=2022-09-30"),
    COUNTIFS('Form responses 1'!$D$2:$D1001, A5, 'Form responses 1'!$A$2:$A1001, "&gt;=2022-07-01", 'Form responses 1'!$A$2:$A1001, "&lt;=2022-09-30"),
    COUNTIFS('Form responses 1'!$E$2:$E1001, A5, 'Form responses 1'!$A$2:$A1001, "&gt;=2022-07-01", 'Form responses 1'!$A$2:$A1001, "&lt;=2022-09-30"),
    COUNTIFS('Form responses 1'!$F$2:$F1001, A5, 'Form responses 1'!$A$2:$A1001, "&gt;=2022-07-01", 'Form responses 1'!$A$2:$A1001, "&lt;=2022-09-30"),
    COUNTIFS('Form responses 1'!$G$2:$G1001, A5, 'Form responses 1'!$A$2:$A1001, "&gt;=2022-07-01", 'Form responses 1'!$A$2:$A1001, "&lt;=2022-09-30")
)
</f>
        <v>0</v>
      </c>
      <c r="D5" s="2">
        <f>SUM(
    COUNTIFS('Form responses 1'!$C$2:$C1001, A5, 'Form responses 1'!$A$2:$A1001, "&gt;=2022-10-01", 'Form responses 1'!$A$2:$A1001, "&lt;=2022-12-31"),
    COUNTIFS('Form responses 1'!$B$2:$B1001, A5, 'Form responses 1'!$A$2:$A1001, "&gt;=2022-10-01", 'Form responses 1'!$A$2:$A1001, "&lt;=2022-12-31"),
    COUNTIFS('Form responses 1'!$D$2:$D1001, A5, 'Form responses 1'!$A$2:$A1001, "&gt;=2022-10-01", 'Form responses 1'!$A$2:$A1001, "&lt;=2022-12-31"),
    COUNTIFS('Form responses 1'!$E$2:$E1001, A5, 'Form responses 1'!$A$2:$A1001, "&gt;=2022-10-01", 'Form responses 1'!$A$2:$A1001, "&lt;=2022-12-31"),
    COUNTIFS('Form responses 1'!$F$2:$F1001, A5, 'Form responses 1'!$A$2:$A1001, "&gt;=2022-10-01", 'Form responses 1'!$A$2:$A1001, "&lt;=2022-12-31"),
    COUNTIFS('Form responses 1'!$G$2:$G1001, A5, 'Form responses 1'!$A$2:$A1001, "&gt;=2022-10-01", 'Form responses 1'!$A$2:$A1001, "&lt;=2022-12-31")
)
</f>
        <v>0</v>
      </c>
      <c r="E5" s="2">
        <f>SUM(
    COUNTIFS('Form responses 1'!$C$2:$C1001, A5, 'Form responses 1'!$A$2:$A1001, "&gt;=2023-01-01", 'Form responses 1'!$A$2:$A1001, "&lt;=2023-03-31"),
    COUNTIFS('Form responses 1'!$B$2:$B1001, A5, 'Form responses 1'!$A$2:$A1001, "&gt;=2023-01-01", 'Form responses 1'!$A$2:$A1001, "&lt;=2023-03-31"),
    COUNTIFS('Form responses 1'!$D$2:$D1001, A5, 'Form responses 1'!$A$2:$A1001, "&gt;=2023-01-01", 'Form responses 1'!$A$2:$A1001, "&lt;=2023-03-31"),
    COUNTIFS('Form responses 1'!$E$2:$E1001, A5, 'Form responses 1'!$A$2:$A1001, "&gt;=2023-01-01", 'Form responses 1'!$A$2:$A1001, "&lt;=2023-03-31"),
    COUNTIFS('Form responses 1'!$F$2:$F1001, A5, 'Form responses 1'!$A$2:$A1001, "&gt;=2023-01-01", 'Form responses 1'!$A$2:$A1001, "&lt;=2023-03-31"),
    COUNTIFS('Form responses 1'!$G$2:$G1001, A5, 'Form responses 1'!$A$2:$A1001, "&gt;=2023-01-01", 'Form responses 1'!$A$2:$A1001, "&lt;=2023-03-31")
)
</f>
        <v>0</v>
      </c>
      <c r="F5" s="2">
        <f>SUM(
    COUNTIFS('Form responses 1'!$C$2:$C1001, A5, 'Form responses 1'!$A$2:$A1001, "&gt;=2023-04-01", 'Form responses 1'!$A$2:$A1001, "&lt;=2023-06-30"),
    COUNTIFS('Form responses 1'!$B$2:$B1001, A5, 'Form responses 1'!$A$2:$A1001, "&gt;=2023-04-01", 'Form responses 1'!$A$2:$A1001, "&lt;=2023-06-30"),
    COUNTIFS('Form responses 1'!$D$2:$D1001, A5, 'Form responses 1'!$A$2:$A1001, "&gt;=2023-04-01", 'Form responses 1'!$A$2:$A1001, "&lt;=2023-06-30"),
    COUNTIFS('Form responses 1'!$E$2:$E1001, A5, 'Form responses 1'!$A$2:$A1001, "&gt;=2023-04-01", 'Form responses 1'!$A$2:$A1001, "&lt;=2023-06-30"),
    COUNTIFS('Form responses 1'!$F$2:$F1001, A5, 'Form responses 1'!$A$2:$A1001, "&gt;=2023-04-01", 'Form responses 1'!$A$2:$A1001, "&lt;=2023-06-30"),
    COUNTIFS('Form responses 1'!$G$2:$G1001, A5, 'Form responses 1'!$A$2:$A1001, "&gt;=2023-04-01", 'Form responses 1'!$A$2:$A1001, "&lt;=2023-06-30")
)
</f>
        <v>3</v>
      </c>
      <c r="G5" s="2">
        <f>SUM(
    COUNTIFS('Form responses 1'!$C$2:$C1001, A5, 'Form responses 1'!$A$2:$A1001, "&gt;=2023-07-01", 'Form responses 1'!$A$2:$A1001, "&lt;=2023-09-30"),
    COUNTIFS('Form responses 1'!$B$2:$B1001, A5, 'Form responses 1'!$A$2:$A1001, "&gt;=2023-07-01", 'Form responses 1'!$A$2:$A1001, "&lt;=2023-09-30"),
    COUNTIFS('Form responses 1'!$D$2:$D1001, A5, 'Form responses 1'!$A$2:$A1001, "&gt;=2023-07-01", 'Form responses 1'!$A$2:$A1001, "&lt;=2023-09-30"),
    COUNTIFS('Form responses 1'!$E$2:$E1001, A5, 'Form responses 1'!$A$2:$A1001, "&gt;=2023-07-01", 'Form responses 1'!$A$2:$A1001, "&lt;=2023-09-30"),
    COUNTIFS('Form responses 1'!$F$2:$F1001, A5, 'Form responses 1'!$A$2:$A1001, "&gt;=2023-07-01", 'Form responses 1'!$A$2:$A1001, "&lt;=2023-09-30"),
    COUNTIFS('Form responses 1'!$G$2:$G1001, A5, 'Form responses 1'!$A$2:$A1001, "&gt;=2023-07-01", 'Form responses 1'!$A$2:$A1001, "&lt;=2023-09-30")
)
</f>
        <v>16</v>
      </c>
      <c r="H5" s="2">
        <f>SUM(
    COUNTIFS('Form responses 1'!$C$2:$C1001, A5, 'Form responses 1'!$A$2:$A1001, "&gt;=2023-10-01", 'Form responses 1'!$A$2:$A1001, "&lt;=2023-12-31"),
    COUNTIFS('Form responses 1'!$B$2:$B1001, A5, 'Form responses 1'!$A$2:$A1001, "&gt;=2023-10-01", 'Form responses 1'!$A$2:$A1001, "&lt;=2023-12-31"),
    COUNTIFS('Form responses 1'!$D$2:$D1001, A5, 'Form responses 1'!$A$2:$A1001, "&gt;=2023-10-01", 'Form responses 1'!$A$2:$A1001, "&lt;=2023-12-31"),
    COUNTIFS('Form responses 1'!$E$2:$E1001, A5, 'Form responses 1'!$A$2:$A1001, "&gt;=2023-10-01", 'Form responses 1'!$A$2:$A1001, "&lt;=2023-12-31"),
    COUNTIFS('Form responses 1'!$F$2:$F1001, A5, 'Form responses 1'!$A$2:$A1001, "&gt;=2023-10-01", 'Form responses 1'!$A$2:$A1001, "&lt;=2023-12-31"),
    COUNTIFS('Form responses 1'!$G$2:$G1001, A5, 'Form responses 1'!$A$2:$A1001, "&gt;=2023-10-01", 'Form responses 1'!$A$2:$A1001, "&lt;=2023-12-31")
)
</f>
        <v>16</v>
      </c>
      <c r="I5" s="2">
        <f>SUM(
    COUNTIFS('Form responses 1'!$C$2:$C1001, A5, 'Form responses 1'!$A$2:$A1001, "&gt;=2024-01-01", 'Form responses 1'!$A$2:$A1001, "&lt;=2024-03-31"),
    COUNTIFS('Form responses 1'!$B$2:$B1001, A5, 'Form responses 1'!$A$2:$A1001, "&gt;=2024-01-01", 'Form responses 1'!$A$2:$A1001, "&lt;=2024-03-31"),
    COUNTIFS('Form responses 1'!$D$2:$D1001, A5, 'Form responses 1'!$A$2:$A1001, "&gt;=2024-01-01", 'Form responses 1'!$A$2:$A1001, "&lt;=2024-03-31"),
    COUNTIFS('Form responses 1'!$E$2:$E1001, A5, 'Form responses 1'!$A$2:$A1001, "&gt;=2024-01-01", 'Form responses 1'!$A$2:$A1001, "&lt;=2024-03-31"),
    COUNTIFS('Form responses 1'!$F$2:$F1001, A5, 'Form responses 1'!$A$2:$A1001, "&gt;=2024-01-01", 'Form responses 1'!$A$2:$A1001, "&lt;=2024-03-31"),
    COUNTIFS('Form responses 1'!$G$2:$G1001, A5, 'Form responses 1'!$A$2:$A1001, "&gt;=2024-01-01", 'Form responses 1'!$A$2:$A1001, "&lt;=2024-03-31")
)
</f>
        <v>21</v>
      </c>
      <c r="J5" s="2">
        <f>SUM(
    COUNTIFS('Form responses 1'!$C$2:$C1001, A5, 'Form responses 1'!$A$2:$A1001, "&gt;=2024-04-01", 'Form responses 1'!$A$2:$A1001, "&lt;=2024-06-30"),
    COUNTIFS('Form responses 1'!$B$2:$B1001, A5, 'Form responses 1'!$A$2:$A1001, "&gt;=2024-04-01", 'Form responses 1'!$A$2:$A1001, "&lt;=2024-06-30"),
    COUNTIFS('Form responses 1'!$D$2:$D1001, A5, 'Form responses 1'!$A$2:$A1001, "&gt;=2024-04-01", 'Form responses 1'!$A$2:$A1001, "&lt;=2024-06-30"),
    COUNTIFS('Form responses 1'!$E$2:$E1001, A5, 'Form responses 1'!$A$2:$A1001, "&gt;=2024-04-01", 'Form responses 1'!$A$2:$A1001, "&lt;=2024-06-30"),
    COUNTIFS('Form responses 1'!$F$2:$F1001, A5, 'Form responses 1'!$A$2:$A1001, "&gt;=2024-04-01", 'Form responses 1'!$A$2:$A1001, "&lt;=2024-06-30"),
    COUNTIFS('Form responses 1'!$G$2:$G1001, A5, 'Form responses 1'!$A$2:$A1001, "&gt;=2024-04-01", 'Form responses 1'!$A$2:$A1001, "&lt;=2024-06-30")
)
</f>
        <v>23</v>
      </c>
      <c r="K5" s="2">
        <f>SUM(
    COUNTIFS('Form responses 1'!$C$2:$C1001, A5, 'Form responses 1'!$A$2:$A1001, "&gt;=2024-07-01", 'Form responses 1'!$A$2:$A1001, "&lt;=2024-09-30"),
    COUNTIFS('Form responses 1'!$B$2:$B1001, A5, 'Form responses 1'!$A$2:$A1001, "&gt;=2024-07-01", 'Form responses 1'!$A$2:$A1001, "&lt;=2024-09-30"),
    COUNTIFS('Form responses 1'!$D$2:$D1001, A5, 'Form responses 1'!$A$2:$A1001, "&gt;=2024-07-01", 'Form responses 1'!$A$2:$A1001, "&lt;=2024-09-30"),
    COUNTIFS('Form responses 1'!$E$2:$E1001, A5, 'Form responses 1'!$A$2:$A1001, "&gt;=2024-07-01", 'Form responses 1'!$A$2:$A1001, "&lt;=2024-09-30"),
    COUNTIFS('Form responses 1'!$F$2:$F1001, A5, 'Form responses 1'!$A$2:$A1001, "&gt;=2024-07-01", 'Form responses 1'!$A$2:$A1001, "&lt;=2024-09-30"),
    COUNTIFS('Form responses 1'!$G$2:$G1001, A5, 'Form responses 1'!$A$2:$A1001, "&gt;=2024-07-01", 'Form responses 1'!$A$2:$A1001, "&lt;=2024-09-30")
)
</f>
        <v>15</v>
      </c>
      <c r="L5" s="2">
        <f>SUM(
    COUNTIFS('Form responses 1'!$C$2:$C1001, A5, 'Form responses 1'!$A$2:$A1001, "&gt;=2024-10-01", 'Form responses 1'!$A$2:$A1001, "&lt;=2024-12-31"),
    COUNTIFS('Form responses 1'!$B$2:$B1001, A5, 'Form responses 1'!$A$2:$A1001, "&gt;=2024-10-01", 'Form responses 1'!$A$2:$A1001, "&lt;=2024-12-31"),
    COUNTIFS('Form responses 1'!$D$2:$D1001, A5, 'Form responses 1'!$A$2:$A1001, "&gt;=2024-10-01", 'Form responses 1'!$A$2:$A1001, "&lt;=2024-12-31"),
    COUNTIFS('Form responses 1'!$E$2:$E1001, A5, 'Form responses 1'!$A$2:$A1001, "&gt;=2024-10-01", 'Form responses 1'!$A$2:$A1001, "&lt;=2024-12-31"),
    COUNTIFS('Form responses 1'!$F$2:$F1001, A5, 'Form responses 1'!$A$2:$A1001, "&gt;=2024-10-01", 'Form responses 1'!$A$2:$A1001, "&lt;=2024-12-31"),
    COUNTIFS('Form responses 1'!$G$2:$G1001, A5, 'Form responses 1'!$A$2:$A1001, "&gt;=2024-10-01", 'Form responses 1'!$A$2:$A1001, "&lt;=2024-12-31")
)
</f>
        <v>26</v>
      </c>
      <c r="M5" s="2">
        <f>SUM(
    COUNTIFS('Form responses 1'!$C$2:$C1001, A5, 'Form responses 1'!$A$2:$A1001, "&gt;=2025-01-01", 'Form responses 1'!$A$2:$A1001, "&lt;=2025-03-31"),
    COUNTIFS('Form responses 1'!$B$2:$B1001, A5, 'Form responses 1'!$A$2:$A1001, "&gt;=2025-01-01", 'Form responses 1'!$A$2:$A1001, "&lt;=2025-03-31"),
    COUNTIFS('Form responses 1'!$D$2:$D1001, A5, 'Form responses 1'!$A$2:$A1001, "&gt;=2025-01-01", 'Form responses 1'!$A$2:$A1001, "&lt;=2025-03-31"),
    COUNTIFS('Form responses 1'!$E$2:$E1001, A5, 'Form responses 1'!$A$2:$A1001, "&gt;=2025-01-01", 'Form responses 1'!$A$2:$A1001, "&lt;=2025-03-31"),
    COUNTIFS('Form responses 1'!$F$2:$F1001, A5, 'Form responses 1'!$A$2:$A1001, "&gt;=2025-01-01", 'Form responses 1'!$A$2:$A1001, "&lt;=2025-03-31"),
    COUNTIFS('Form responses 1'!$G$2:$G1001, A5, 'Form responses 1'!$A$2:$A1001, "&gt;=2025-01-01", 'Form responses 1'!$A$2:$A1001, "&lt;=2025-03-31")
)
</f>
        <v>25</v>
      </c>
      <c r="N5" s="2">
        <f>SUM(
    COUNTIFS('Form responses 1'!$C$2:$C1001, A5, 'Form responses 1'!$A$2:$A1001, "&gt;=2025-04-01", 'Form responses 1'!$A$2:$A1001, "&lt;2025-07-01"),
    COUNTIFS('Form responses 1'!$B$2:$B1001, A5, 'Form responses 1'!$A$2:$A1001, "&gt;=2025-04-01", 'Form responses 1'!$A$2:$A1001, "&lt;2025-07-01"),
    COUNTIFS('Form responses 1'!$D$2:$D1001, A5, 'Form responses 1'!$A$2:$A1001, "&gt;=2025-04-01", 'Form responses 1'!$A$2:$A1001, "&lt;2025-07-01"),
    COUNTIFS('Form responses 1'!$E$2:$E1001, A5, 'Form responses 1'!$A$2:$A1001, "&gt;=2025-04-01", 'Form responses 1'!$A$2:$A1001, "&lt;2025-07-01"),
    COUNTIFS('Form responses 1'!$F$2:$F1001, A5, 'Form responses 1'!$A$2:$A1001, "&gt;=2025-04-01", 'Form responses 1'!$A$2:$A1001, "&lt;2025-07-01"),
    COUNTIFS('Form responses 1'!$G$2:$G1001, A5, 'Form responses 1'!$A$2:$A1001, "&gt;=2025-04-01", 'Form responses 1'!$A$2:$A1001, "&lt;2025-07-01")
)
</f>
        <v>21</v>
      </c>
      <c r="O5" s="2">
        <f>SUM(
    COUNTIFS('Form responses 1'!$C$2:$C1001, A5, 'Form responses 1'!$A$2:$A1001, "&gt;=2025-07-01", 'Form responses 1'!$A$2:$A1001, "&lt;=2025-09-30"),
    COUNTIFS('Form responses 1'!$B$2:$B1001, A5, 'Form responses 1'!$A$2:$A1001, "&gt;=2025-07-01", 'Form responses 1'!$A$2:$A1001, "&lt;=2025-09-30"),
    COUNTIFS('Form responses 1'!$D$2:$D1001, A5, 'Form responses 1'!$A$2:$A1001, "&gt;=2025-07-01", 'Form responses 1'!$A$2:$A1001, "&lt;=2025-09-30"),
    COUNTIFS('Form responses 1'!$E$2:$E1001, A5, 'Form responses 1'!$A$2:$A1001, "&gt;=2025-07-01", 'Form responses 1'!$A$2:$A1001, "&lt;=2025-09-30"),
    COUNTIFS('Form responses 1'!$F$2:$F1001, A5, 'Form responses 1'!$A$2:$A1001, "&gt;=2025-07-01", 'Form responses 1'!$A$2:$A1001, "&lt;=2025-09-30"),
    COUNTIFS('Form responses 1'!$G$2:$G1001, A5, 'Form responses 1'!$A$2:$A1001, "&gt;=2025-07-01", 'Form responses 1'!$A$2:$A1001, "&lt;=2025-09-30")
)
</f>
        <v>8</v>
      </c>
      <c r="P5" s="2">
        <f>SUM(
    COUNTIFS('Form responses 1'!$C$2:$C1001, A5, 'Form responses 1'!$A$2:$A1001, "&gt;=2025-10-01", 'Form responses 1'!$A$2:$A1001, "&lt;=2025-12-31"),
    COUNTIFS('Form responses 1'!$B$2:$B1001, A5, 'Form responses 1'!$A$2:$A1001, "&gt;=2025-10-01", 'Form responses 1'!$A$2:$A1001, "&lt;=2025-12-31"),
    COUNTIFS('Form responses 1'!$D$2:$D1001, A5, 'Form responses 1'!$A$2:$A1001, "&gt;=2025-10-01", 'Form responses 1'!$A$2:$A1001, "&lt;=2025-12-31"),
    COUNTIFS('Form responses 1'!$E$2:$E1001, A5, 'Form responses 1'!$A$2:$A1001, "&gt;=2025-10-01", 'Form responses 1'!$A$2:$A1001, "&lt;=2025-12-31"),
    COUNTIFS('Form responses 1'!$F$2:$F1001, A5, 'Form responses 1'!$A$2:$A1001, "&gt;=2025-10-01", 'Form responses 1'!$A$2:$A1001, "&lt;=2025-12-31"),
    COUNTIFS('Form responses 1'!$G$2:$G1001, A5, 'Form responses 1'!$A$2:$A1001, "&gt;=2025-10-01", 'Form responses 1'!$A$2:$A1001, "&lt;=2025-12-31")
)
</f>
        <v>18</v>
      </c>
    </row>
    <row r="6">
      <c r="A6" s="6" t="str">
        <f>IFERROR(__xludf.DUMMYFUNCTION("""COMPUTED_VALUE"""),"Nette broek groen")</f>
        <v>Nette broek groen</v>
      </c>
      <c r="B6" s="2">
        <f>SUM(
    COUNTIFS('Form responses 1'!$C$2:$C1001, A6, 'Form responses 1'!$A$2:$A1001, "&gt;=2022-04-01", 'Form responses 1'!$A$2:$A1001, "&lt;=2022-06-30"),
    COUNTIFS('Form responses 1'!$B$2:$B1001, A6, 'Form responses 1'!$A$2:$A1001, "&gt;=2022-04-01", 'Form responses 1'!$A$2:$A1001, "&lt;=2022-06-30"),
    COUNTIFS('Form responses 1'!$D$2:$D1001, A6, 'Form responses 1'!$A$2:$A1001, "&gt;=2022-04-01", 'Form responses 1'!$A$2:$A1001, "&lt;=2022-06-30"),
    COUNTIFS('Form responses 1'!$E$2:$E1001, A6, 'Form responses 1'!$A$2:$A1001, "&gt;=2022-04-01", 'Form responses 1'!$A$2:$A1001, "&lt;=2022-06-30"),
    COUNTIFS('Form responses 1'!$F$2:$F1001, A6, 'Form responses 1'!$A$2:$A1001, "&gt;=2022-04-01", 'Form responses 1'!$A$2:$A1001, "&lt;=2022-06-30"),
    COUNTIFS('Form responses 1'!$G$2:$G1001, A6, 'Form responses 1'!$A$2:$A1001, "&gt;=2022-04-01", 'Form responses 1'!$A$2:$A1001, "&lt;=2022-06-30")
)
</f>
        <v>3</v>
      </c>
      <c r="C6" s="2">
        <f>SUM(
    COUNTIFS('Form responses 1'!$C$2:$C1001, A6, 'Form responses 1'!$A$2:$A1001, "&gt;=2022-07-01", 'Form responses 1'!$A$2:$A1001, "&lt;=2022-09-30"),
    COUNTIFS('Form responses 1'!$B$2:$B1001, A6, 'Form responses 1'!$A$2:$A1001, "&gt;=2022-07-01", 'Form responses 1'!$A$2:$A1001, "&lt;=2022-09-30"),
    COUNTIFS('Form responses 1'!$D$2:$D1001, A6, 'Form responses 1'!$A$2:$A1001, "&gt;=2022-07-01", 'Form responses 1'!$A$2:$A1001, "&lt;=2022-09-30"),
    COUNTIFS('Form responses 1'!$E$2:$E1001, A6, 'Form responses 1'!$A$2:$A1001, "&gt;=2022-07-01", 'Form responses 1'!$A$2:$A1001, "&lt;=2022-09-30"),
    COUNTIFS('Form responses 1'!$F$2:$F1001, A6, 'Form responses 1'!$A$2:$A1001, "&gt;=2022-07-01", 'Form responses 1'!$A$2:$A1001, "&lt;=2022-09-30"),
    COUNTIFS('Form responses 1'!$G$2:$G1001, A6, 'Form responses 1'!$A$2:$A1001, "&gt;=2022-07-01", 'Form responses 1'!$A$2:$A1001, "&lt;=2022-09-30")
)
</f>
        <v>12</v>
      </c>
      <c r="D6" s="2">
        <f>SUM(
    COUNTIFS('Form responses 1'!$C$2:$C1001, A6, 'Form responses 1'!$A$2:$A1001, "&gt;=2022-10-01", 'Form responses 1'!$A$2:$A1001, "&lt;=2022-12-31"),
    COUNTIFS('Form responses 1'!$B$2:$B1001, A6, 'Form responses 1'!$A$2:$A1001, "&gt;=2022-10-01", 'Form responses 1'!$A$2:$A1001, "&lt;=2022-12-31"),
    COUNTIFS('Form responses 1'!$D$2:$D1001, A6, 'Form responses 1'!$A$2:$A1001, "&gt;=2022-10-01", 'Form responses 1'!$A$2:$A1001, "&lt;=2022-12-31"),
    COUNTIFS('Form responses 1'!$E$2:$E1001, A6, 'Form responses 1'!$A$2:$A1001, "&gt;=2022-10-01", 'Form responses 1'!$A$2:$A1001, "&lt;=2022-12-31"),
    COUNTIFS('Form responses 1'!$F$2:$F1001, A6, 'Form responses 1'!$A$2:$A1001, "&gt;=2022-10-01", 'Form responses 1'!$A$2:$A1001, "&lt;=2022-12-31"),
    COUNTIFS('Form responses 1'!$G$2:$G1001, A6, 'Form responses 1'!$A$2:$A1001, "&gt;=2022-10-01", 'Form responses 1'!$A$2:$A1001, "&lt;=2022-12-31")
)
</f>
        <v>0</v>
      </c>
      <c r="E6" s="2">
        <f>SUM(
    COUNTIFS('Form responses 1'!$C$2:$C1001, A6, 'Form responses 1'!$A$2:$A1001, "&gt;=2023-01-01", 'Form responses 1'!$A$2:$A1001, "&lt;=2023-03-31"),
    COUNTIFS('Form responses 1'!$B$2:$B1001, A6, 'Form responses 1'!$A$2:$A1001, "&gt;=2023-01-01", 'Form responses 1'!$A$2:$A1001, "&lt;=2023-03-31"),
    COUNTIFS('Form responses 1'!$D$2:$D1001, A6, 'Form responses 1'!$A$2:$A1001, "&gt;=2023-01-01", 'Form responses 1'!$A$2:$A1001, "&lt;=2023-03-31"),
    COUNTIFS('Form responses 1'!$E$2:$E1001, A6, 'Form responses 1'!$A$2:$A1001, "&gt;=2023-01-01", 'Form responses 1'!$A$2:$A1001, "&lt;=2023-03-31"),
    COUNTIFS('Form responses 1'!$F$2:$F1001, A6, 'Form responses 1'!$A$2:$A1001, "&gt;=2023-01-01", 'Form responses 1'!$A$2:$A1001, "&lt;=2023-03-31"),
    COUNTIFS('Form responses 1'!$G$2:$G1001, A6, 'Form responses 1'!$A$2:$A1001, "&gt;=2023-01-01", 'Form responses 1'!$A$2:$A1001, "&lt;=2023-03-31")
)
</f>
        <v>8</v>
      </c>
      <c r="F6" s="2">
        <f>SUM(
    COUNTIFS('Form responses 1'!$C$2:$C1001, A6, 'Form responses 1'!$A$2:$A1001, "&gt;=2023-04-01", 'Form responses 1'!$A$2:$A1001, "&lt;=2023-06-30"),
    COUNTIFS('Form responses 1'!$B$2:$B1001, A6, 'Form responses 1'!$A$2:$A1001, "&gt;=2023-04-01", 'Form responses 1'!$A$2:$A1001, "&lt;=2023-06-30"),
    COUNTIFS('Form responses 1'!$D$2:$D1001, A6, 'Form responses 1'!$A$2:$A1001, "&gt;=2023-04-01", 'Form responses 1'!$A$2:$A1001, "&lt;=2023-06-30"),
    COUNTIFS('Form responses 1'!$E$2:$E1001, A6, 'Form responses 1'!$A$2:$A1001, "&gt;=2023-04-01", 'Form responses 1'!$A$2:$A1001, "&lt;=2023-06-30"),
    COUNTIFS('Form responses 1'!$F$2:$F1001, A6, 'Form responses 1'!$A$2:$A1001, "&gt;=2023-04-01", 'Form responses 1'!$A$2:$A1001, "&lt;=2023-06-30"),
    COUNTIFS('Form responses 1'!$G$2:$G1001, A6, 'Form responses 1'!$A$2:$A1001, "&gt;=2023-04-01", 'Form responses 1'!$A$2:$A1001, "&lt;=2023-06-30")
)
</f>
        <v>4</v>
      </c>
      <c r="G6" s="2">
        <f>SUM(
    COUNTIFS('Form responses 1'!$C$2:$C1001, A6, 'Form responses 1'!$A$2:$A1001, "&gt;=2023-07-01", 'Form responses 1'!$A$2:$A1001, "&lt;=2023-09-30"),
    COUNTIFS('Form responses 1'!$B$2:$B1001, A6, 'Form responses 1'!$A$2:$A1001, "&gt;=2023-07-01", 'Form responses 1'!$A$2:$A1001, "&lt;=2023-09-30"),
    COUNTIFS('Form responses 1'!$D$2:$D1001, A6, 'Form responses 1'!$A$2:$A1001, "&gt;=2023-07-01", 'Form responses 1'!$A$2:$A1001, "&lt;=2023-09-30"),
    COUNTIFS('Form responses 1'!$E$2:$E1001, A6, 'Form responses 1'!$A$2:$A1001, "&gt;=2023-07-01", 'Form responses 1'!$A$2:$A1001, "&lt;=2023-09-30"),
    COUNTIFS('Form responses 1'!$F$2:$F1001, A6, 'Form responses 1'!$A$2:$A1001, "&gt;=2023-07-01", 'Form responses 1'!$A$2:$A1001, "&lt;=2023-09-30"),
    COUNTIFS('Form responses 1'!$G$2:$G1001, A6, 'Form responses 1'!$A$2:$A1001, "&gt;=2023-07-01", 'Form responses 1'!$A$2:$A1001, "&lt;=2023-09-30")
)
</f>
        <v>2</v>
      </c>
      <c r="H6" s="2">
        <f>SUM(
    COUNTIFS('Form responses 1'!$C$2:$C1001, A6, 'Form responses 1'!$A$2:$A1001, "&gt;=2023-10-01", 'Form responses 1'!$A$2:$A1001, "&lt;=2023-12-31"),
    COUNTIFS('Form responses 1'!$B$2:$B1001, A6, 'Form responses 1'!$A$2:$A1001, "&gt;=2023-10-01", 'Form responses 1'!$A$2:$A1001, "&lt;=2023-12-31"),
    COUNTIFS('Form responses 1'!$D$2:$D1001, A6, 'Form responses 1'!$A$2:$A1001, "&gt;=2023-10-01", 'Form responses 1'!$A$2:$A1001, "&lt;=2023-12-31"),
    COUNTIFS('Form responses 1'!$E$2:$E1001, A6, 'Form responses 1'!$A$2:$A1001, "&gt;=2023-10-01", 'Form responses 1'!$A$2:$A1001, "&lt;=2023-12-31"),
    COUNTIFS('Form responses 1'!$F$2:$F1001, A6, 'Form responses 1'!$A$2:$A1001, "&gt;=2023-10-01", 'Form responses 1'!$A$2:$A1001, "&lt;=2023-12-31"),
    COUNTIFS('Form responses 1'!$G$2:$G1001, A6, 'Form responses 1'!$A$2:$A1001, "&gt;=2023-10-01", 'Form responses 1'!$A$2:$A1001, "&lt;=2023-12-31")
)
</f>
        <v>0</v>
      </c>
      <c r="I6" s="2">
        <f>SUM(
    COUNTIFS('Form responses 1'!$C$2:$C1001, A6, 'Form responses 1'!$A$2:$A1001, "&gt;=2024-01-01", 'Form responses 1'!$A$2:$A1001, "&lt;=2024-03-31"),
    COUNTIFS('Form responses 1'!$B$2:$B1001, A6, 'Form responses 1'!$A$2:$A1001, "&gt;=2024-01-01", 'Form responses 1'!$A$2:$A1001, "&lt;=2024-03-31"),
    COUNTIFS('Form responses 1'!$D$2:$D1001, A6, 'Form responses 1'!$A$2:$A1001, "&gt;=2024-01-01", 'Form responses 1'!$A$2:$A1001, "&lt;=2024-03-31"),
    COUNTIFS('Form responses 1'!$E$2:$E1001, A6, 'Form responses 1'!$A$2:$A1001, "&gt;=2024-01-01", 'Form responses 1'!$A$2:$A1001, "&lt;=2024-03-31"),
    COUNTIFS('Form responses 1'!$F$2:$F1001, A6, 'Form responses 1'!$A$2:$A1001, "&gt;=2024-01-01", 'Form responses 1'!$A$2:$A1001, "&lt;=2024-03-31"),
    COUNTIFS('Form responses 1'!$G$2:$G1001, A6, 'Form responses 1'!$A$2:$A1001, "&gt;=2024-01-01", 'Form responses 1'!$A$2:$A1001, "&lt;=2024-03-31")
)
</f>
        <v>0</v>
      </c>
      <c r="J6" s="2">
        <f>SUM(
    COUNTIFS('Form responses 1'!$C$2:$C1001, A6, 'Form responses 1'!$A$2:$A1001, "&gt;=2024-04-01", 'Form responses 1'!$A$2:$A1001, "&lt;=2024-06-30"),
    COUNTIFS('Form responses 1'!$B$2:$B1001, A6, 'Form responses 1'!$A$2:$A1001, "&gt;=2024-04-01", 'Form responses 1'!$A$2:$A1001, "&lt;=2024-06-30"),
    COUNTIFS('Form responses 1'!$D$2:$D1001, A6, 'Form responses 1'!$A$2:$A1001, "&gt;=2024-04-01", 'Form responses 1'!$A$2:$A1001, "&lt;=2024-06-30"),
    COUNTIFS('Form responses 1'!$E$2:$E1001, A6, 'Form responses 1'!$A$2:$A1001, "&gt;=2024-04-01", 'Form responses 1'!$A$2:$A1001, "&lt;=2024-06-30"),
    COUNTIFS('Form responses 1'!$F$2:$F1001, A6, 'Form responses 1'!$A$2:$A1001, "&gt;=2024-04-01", 'Form responses 1'!$A$2:$A1001, "&lt;=2024-06-30"),
    COUNTIFS('Form responses 1'!$G$2:$G1001, A6, 'Form responses 1'!$A$2:$A1001, "&gt;=2024-04-01", 'Form responses 1'!$A$2:$A1001, "&lt;=2024-06-30")
)
</f>
        <v>0</v>
      </c>
      <c r="K6" s="2">
        <f>SUM(
    COUNTIFS('Form responses 1'!$C$2:$C1001, A6, 'Form responses 1'!$A$2:$A1001, "&gt;=2024-07-01", 'Form responses 1'!$A$2:$A1001, "&lt;=2024-09-30"),
    COUNTIFS('Form responses 1'!$B$2:$B1001, A6, 'Form responses 1'!$A$2:$A1001, "&gt;=2024-07-01", 'Form responses 1'!$A$2:$A1001, "&lt;=2024-09-30"),
    COUNTIFS('Form responses 1'!$D$2:$D1001, A6, 'Form responses 1'!$A$2:$A1001, "&gt;=2024-07-01", 'Form responses 1'!$A$2:$A1001, "&lt;=2024-09-30"),
    COUNTIFS('Form responses 1'!$E$2:$E1001, A6, 'Form responses 1'!$A$2:$A1001, "&gt;=2024-07-01", 'Form responses 1'!$A$2:$A1001, "&lt;=2024-09-30"),
    COUNTIFS('Form responses 1'!$F$2:$F1001, A6, 'Form responses 1'!$A$2:$A1001, "&gt;=2024-07-01", 'Form responses 1'!$A$2:$A1001, "&lt;=2024-09-30"),
    COUNTIFS('Form responses 1'!$G$2:$G1001, A6, 'Form responses 1'!$A$2:$A1001, "&gt;=2024-07-01", 'Form responses 1'!$A$2:$A1001, "&lt;=2024-09-30")
)
</f>
        <v>0</v>
      </c>
      <c r="L6" s="2">
        <f>SUM(
    COUNTIFS('Form responses 1'!$C$2:$C1001, A6, 'Form responses 1'!$A$2:$A1001, "&gt;=2024-10-01", 'Form responses 1'!$A$2:$A1001, "&lt;=2024-12-31"),
    COUNTIFS('Form responses 1'!$B$2:$B1001, A6, 'Form responses 1'!$A$2:$A1001, "&gt;=2024-10-01", 'Form responses 1'!$A$2:$A1001, "&lt;=2024-12-31"),
    COUNTIFS('Form responses 1'!$D$2:$D1001, A6, 'Form responses 1'!$A$2:$A1001, "&gt;=2024-10-01", 'Form responses 1'!$A$2:$A1001, "&lt;=2024-12-31"),
    COUNTIFS('Form responses 1'!$E$2:$E1001, A6, 'Form responses 1'!$A$2:$A1001, "&gt;=2024-10-01", 'Form responses 1'!$A$2:$A1001, "&lt;=2024-12-31"),
    COUNTIFS('Form responses 1'!$F$2:$F1001, A6, 'Form responses 1'!$A$2:$A1001, "&gt;=2024-10-01", 'Form responses 1'!$A$2:$A1001, "&lt;=2024-12-31"),
    COUNTIFS('Form responses 1'!$G$2:$G1001, A6, 'Form responses 1'!$A$2:$A1001, "&gt;=2024-10-01", 'Form responses 1'!$A$2:$A1001, "&lt;=2024-12-31")
)
</f>
        <v>0</v>
      </c>
      <c r="M6" s="2">
        <f>SUM(
    COUNTIFS('Form responses 1'!$C$2:$C1001, A6, 'Form responses 1'!$A$2:$A1001, "&gt;=2025-01-01", 'Form responses 1'!$A$2:$A1001, "&lt;=2025-03-31"),
    COUNTIFS('Form responses 1'!$B$2:$B1001, A6, 'Form responses 1'!$A$2:$A1001, "&gt;=2025-01-01", 'Form responses 1'!$A$2:$A1001, "&lt;=2025-03-31"),
    COUNTIFS('Form responses 1'!$D$2:$D1001, A6, 'Form responses 1'!$A$2:$A1001, "&gt;=2025-01-01", 'Form responses 1'!$A$2:$A1001, "&lt;=2025-03-31"),
    COUNTIFS('Form responses 1'!$E$2:$E1001, A6, 'Form responses 1'!$A$2:$A1001, "&gt;=2025-01-01", 'Form responses 1'!$A$2:$A1001, "&lt;=2025-03-31"),
    COUNTIFS('Form responses 1'!$F$2:$F1001, A6, 'Form responses 1'!$A$2:$A1001, "&gt;=2025-01-01", 'Form responses 1'!$A$2:$A1001, "&lt;=2025-03-31"),
    COUNTIFS('Form responses 1'!$G$2:$G1001, A6, 'Form responses 1'!$A$2:$A1001, "&gt;=2025-01-01", 'Form responses 1'!$A$2:$A1001, "&lt;=2025-03-31")
)
</f>
        <v>0</v>
      </c>
      <c r="N6" s="2">
        <f>SUM(
    COUNTIFS('Form responses 1'!$C$2:$C1001, A6, 'Form responses 1'!$A$2:$A1001, "&gt;=2025-04-01", 'Form responses 1'!$A$2:$A1001, "&lt;2025-07-01"),
    COUNTIFS('Form responses 1'!$B$2:$B1001, A6, 'Form responses 1'!$A$2:$A1001, "&gt;=2025-04-01", 'Form responses 1'!$A$2:$A1001, "&lt;2025-07-01"),
    COUNTIFS('Form responses 1'!$D$2:$D1001, A6, 'Form responses 1'!$A$2:$A1001, "&gt;=2025-04-01", 'Form responses 1'!$A$2:$A1001, "&lt;2025-07-01"),
    COUNTIFS('Form responses 1'!$E$2:$E1001, A6, 'Form responses 1'!$A$2:$A1001, "&gt;=2025-04-01", 'Form responses 1'!$A$2:$A1001, "&lt;2025-07-01"),
    COUNTIFS('Form responses 1'!$F$2:$F1001, A6, 'Form responses 1'!$A$2:$A1001, "&gt;=2025-04-01", 'Form responses 1'!$A$2:$A1001, "&lt;2025-07-01"),
    COUNTIFS('Form responses 1'!$G$2:$G1001, A6, 'Form responses 1'!$A$2:$A1001, "&gt;=2025-04-01", 'Form responses 1'!$A$2:$A1001, "&lt;2025-07-01")
)
</f>
        <v>0</v>
      </c>
      <c r="O6" s="2">
        <f>SUM(
    COUNTIFS('Form responses 1'!$C$2:$C1001, A6, 'Form responses 1'!$A$2:$A1001, "&gt;=2025-07-01", 'Form responses 1'!$A$2:$A1001, "&lt;=2025-09-30"),
    COUNTIFS('Form responses 1'!$B$2:$B1001, A6, 'Form responses 1'!$A$2:$A1001, "&gt;=2025-07-01", 'Form responses 1'!$A$2:$A1001, "&lt;=2025-09-30"),
    COUNTIFS('Form responses 1'!$D$2:$D1001, A6, 'Form responses 1'!$A$2:$A1001, "&gt;=2025-07-01", 'Form responses 1'!$A$2:$A1001, "&lt;=2025-09-30"),
    COUNTIFS('Form responses 1'!$E$2:$E1001, A6, 'Form responses 1'!$A$2:$A1001, "&gt;=2025-07-01", 'Form responses 1'!$A$2:$A1001, "&lt;=2025-09-30"),
    COUNTIFS('Form responses 1'!$F$2:$F1001, A6, 'Form responses 1'!$A$2:$A1001, "&gt;=2025-07-01", 'Form responses 1'!$A$2:$A1001, "&lt;=2025-09-30"),
    COUNTIFS('Form responses 1'!$G$2:$G1001, A6, 'Form responses 1'!$A$2:$A1001, "&gt;=2025-07-01", 'Form responses 1'!$A$2:$A1001, "&lt;=2025-09-30")
)
</f>
        <v>0</v>
      </c>
      <c r="P6" s="2">
        <f>SUM(
    COUNTIFS('Form responses 1'!$C$2:$C1001, A6, 'Form responses 1'!$A$2:$A1001, "&gt;=2025-10-01", 'Form responses 1'!$A$2:$A1001, "&lt;=2025-12-31"),
    COUNTIFS('Form responses 1'!$B$2:$B1001, A6, 'Form responses 1'!$A$2:$A1001, "&gt;=2025-10-01", 'Form responses 1'!$A$2:$A1001, "&lt;=2025-12-31"),
    COUNTIFS('Form responses 1'!$D$2:$D1001, A6, 'Form responses 1'!$A$2:$A1001, "&gt;=2025-10-01", 'Form responses 1'!$A$2:$A1001, "&lt;=2025-12-31"),
    COUNTIFS('Form responses 1'!$E$2:$E1001, A6, 'Form responses 1'!$A$2:$A1001, "&gt;=2025-10-01", 'Form responses 1'!$A$2:$A1001, "&lt;=2025-12-31"),
    COUNTIFS('Form responses 1'!$F$2:$F1001, A6, 'Form responses 1'!$A$2:$A1001, "&gt;=2025-10-01", 'Form responses 1'!$A$2:$A1001, "&lt;=2025-12-31"),
    COUNTIFS('Form responses 1'!$G$2:$G1001, A6, 'Form responses 1'!$A$2:$A1001, "&gt;=2025-10-01", 'Form responses 1'!$A$2:$A1001, "&lt;=2025-12-31")
)
</f>
        <v>0</v>
      </c>
    </row>
    <row r="7">
      <c r="A7" s="3" t="str">
        <f>IFERROR(__xludf.DUMMYFUNCTION("""COMPUTED_VALUE"""),"Double pleaded beige linnen")</f>
        <v>Double pleaded beige linnen</v>
      </c>
      <c r="B7" s="2">
        <f>SUM(
    COUNTIFS('Form responses 1'!$C$2:$C1001, A7, 'Form responses 1'!$A$2:$A1001, "&gt;=2022-04-01", 'Form responses 1'!$A$2:$A1001, "&lt;=2022-06-30"),
    COUNTIFS('Form responses 1'!$B$2:$B1001, A7, 'Form responses 1'!$A$2:$A1001, "&gt;=2022-04-01", 'Form responses 1'!$A$2:$A1001, "&lt;=2022-06-30"),
    COUNTIFS('Form responses 1'!$D$2:$D1001, A7, 'Form responses 1'!$A$2:$A1001, "&gt;=2022-04-01", 'Form responses 1'!$A$2:$A1001, "&lt;=2022-06-30"),
    COUNTIFS('Form responses 1'!$E$2:$E1001, A7, 'Form responses 1'!$A$2:$A1001, "&gt;=2022-04-01", 'Form responses 1'!$A$2:$A1001, "&lt;=2022-06-30"),
    COUNTIFS('Form responses 1'!$F$2:$F1001, A7, 'Form responses 1'!$A$2:$A1001, "&gt;=2022-04-01", 'Form responses 1'!$A$2:$A1001, "&lt;=2022-06-30"),
    COUNTIFS('Form responses 1'!$G$2:$G1001, A7, 'Form responses 1'!$A$2:$A1001, "&gt;=2022-04-01", 'Form responses 1'!$A$2:$A1001, "&lt;=2022-06-30")
)
</f>
        <v>0</v>
      </c>
      <c r="C7" s="2">
        <f>SUM(
    COUNTIFS('Form responses 1'!$C$2:$C1001, A7, 'Form responses 1'!$A$2:$A1001, "&gt;=2022-07-01", 'Form responses 1'!$A$2:$A1001, "&lt;=2022-09-30"),
    COUNTIFS('Form responses 1'!$B$2:$B1001, A7, 'Form responses 1'!$A$2:$A1001, "&gt;=2022-07-01", 'Form responses 1'!$A$2:$A1001, "&lt;=2022-09-30"),
    COUNTIFS('Form responses 1'!$D$2:$D1001, A7, 'Form responses 1'!$A$2:$A1001, "&gt;=2022-07-01", 'Form responses 1'!$A$2:$A1001, "&lt;=2022-09-30"),
    COUNTIFS('Form responses 1'!$E$2:$E1001, A7, 'Form responses 1'!$A$2:$A1001, "&gt;=2022-07-01", 'Form responses 1'!$A$2:$A1001, "&lt;=2022-09-30"),
    COUNTIFS('Form responses 1'!$F$2:$F1001, A7, 'Form responses 1'!$A$2:$A1001, "&gt;=2022-07-01", 'Form responses 1'!$A$2:$A1001, "&lt;=2022-09-30"),
    COUNTIFS('Form responses 1'!$G$2:$G1001, A7, 'Form responses 1'!$A$2:$A1001, "&gt;=2022-07-01", 'Form responses 1'!$A$2:$A1001, "&lt;=2022-09-30")
)
</f>
        <v>0</v>
      </c>
      <c r="D7" s="2">
        <f>SUM(
    COUNTIFS('Form responses 1'!$C$2:$C1001, A7, 'Form responses 1'!$A$2:$A1001, "&gt;=2022-10-01", 'Form responses 1'!$A$2:$A1001, "&lt;=2022-12-31"),
    COUNTIFS('Form responses 1'!$B$2:$B1001, A7, 'Form responses 1'!$A$2:$A1001, "&gt;=2022-10-01", 'Form responses 1'!$A$2:$A1001, "&lt;=2022-12-31"),
    COUNTIFS('Form responses 1'!$D$2:$D1001, A7, 'Form responses 1'!$A$2:$A1001, "&gt;=2022-10-01", 'Form responses 1'!$A$2:$A1001, "&lt;=2022-12-31"),
    COUNTIFS('Form responses 1'!$E$2:$E1001, A7, 'Form responses 1'!$A$2:$A1001, "&gt;=2022-10-01", 'Form responses 1'!$A$2:$A1001, "&lt;=2022-12-31"),
    COUNTIFS('Form responses 1'!$F$2:$F1001, A7, 'Form responses 1'!$A$2:$A1001, "&gt;=2022-10-01", 'Form responses 1'!$A$2:$A1001, "&lt;=2022-12-31"),
    COUNTIFS('Form responses 1'!$G$2:$G1001, A7, 'Form responses 1'!$A$2:$A1001, "&gt;=2022-10-01", 'Form responses 1'!$A$2:$A1001, "&lt;=2022-12-31")
)
</f>
        <v>0</v>
      </c>
      <c r="E7" s="2">
        <f>SUM(
    COUNTIFS('Form responses 1'!$C$2:$C1001, A7, 'Form responses 1'!$A$2:$A1001, "&gt;=2023-01-01", 'Form responses 1'!$A$2:$A1001, "&lt;=2023-03-31"),
    COUNTIFS('Form responses 1'!$B$2:$B1001, A7, 'Form responses 1'!$A$2:$A1001, "&gt;=2023-01-01", 'Form responses 1'!$A$2:$A1001, "&lt;=2023-03-31"),
    COUNTIFS('Form responses 1'!$D$2:$D1001, A7, 'Form responses 1'!$A$2:$A1001, "&gt;=2023-01-01", 'Form responses 1'!$A$2:$A1001, "&lt;=2023-03-31"),
    COUNTIFS('Form responses 1'!$E$2:$E1001, A7, 'Form responses 1'!$A$2:$A1001, "&gt;=2023-01-01", 'Form responses 1'!$A$2:$A1001, "&lt;=2023-03-31"),
    COUNTIFS('Form responses 1'!$F$2:$F1001, A7, 'Form responses 1'!$A$2:$A1001, "&gt;=2023-01-01", 'Form responses 1'!$A$2:$A1001, "&lt;=2023-03-31"),
    COUNTIFS('Form responses 1'!$G$2:$G1001, A7, 'Form responses 1'!$A$2:$A1001, "&gt;=2023-01-01", 'Form responses 1'!$A$2:$A1001, "&lt;=2023-03-31")
)
</f>
        <v>0</v>
      </c>
      <c r="F7" s="2">
        <f>SUM(
    COUNTIFS('Form responses 1'!$C$2:$C1001, A7, 'Form responses 1'!$A$2:$A1001, "&gt;=2023-04-01", 'Form responses 1'!$A$2:$A1001, "&lt;=2023-06-30"),
    COUNTIFS('Form responses 1'!$B$2:$B1001, A7, 'Form responses 1'!$A$2:$A1001, "&gt;=2023-04-01", 'Form responses 1'!$A$2:$A1001, "&lt;=2023-06-30"),
    COUNTIFS('Form responses 1'!$D$2:$D1001, A7, 'Form responses 1'!$A$2:$A1001, "&gt;=2023-04-01", 'Form responses 1'!$A$2:$A1001, "&lt;=2023-06-30"),
    COUNTIFS('Form responses 1'!$E$2:$E1001, A7, 'Form responses 1'!$A$2:$A1001, "&gt;=2023-04-01", 'Form responses 1'!$A$2:$A1001, "&lt;=2023-06-30"),
    COUNTIFS('Form responses 1'!$F$2:$F1001, A7, 'Form responses 1'!$A$2:$A1001, "&gt;=2023-04-01", 'Form responses 1'!$A$2:$A1001, "&lt;=2023-06-30"),
    COUNTIFS('Form responses 1'!$G$2:$G1001, A7, 'Form responses 1'!$A$2:$A1001, "&gt;=2023-04-01", 'Form responses 1'!$A$2:$A1001, "&lt;=2023-06-30")
)
</f>
        <v>3</v>
      </c>
      <c r="G7" s="2">
        <f>SUM(
    COUNTIFS('Form responses 1'!$C$2:$C1001, A7, 'Form responses 1'!$A$2:$A1001, "&gt;=2023-07-01", 'Form responses 1'!$A$2:$A1001, "&lt;=2023-09-30"),
    COUNTIFS('Form responses 1'!$B$2:$B1001, A7, 'Form responses 1'!$A$2:$A1001, "&gt;=2023-07-01", 'Form responses 1'!$A$2:$A1001, "&lt;=2023-09-30"),
    COUNTIFS('Form responses 1'!$D$2:$D1001, A7, 'Form responses 1'!$A$2:$A1001, "&gt;=2023-07-01", 'Form responses 1'!$A$2:$A1001, "&lt;=2023-09-30"),
    COUNTIFS('Form responses 1'!$E$2:$E1001, A7, 'Form responses 1'!$A$2:$A1001, "&gt;=2023-07-01", 'Form responses 1'!$A$2:$A1001, "&lt;=2023-09-30"),
    COUNTIFS('Form responses 1'!$F$2:$F1001, A7, 'Form responses 1'!$A$2:$A1001, "&gt;=2023-07-01", 'Form responses 1'!$A$2:$A1001, "&lt;=2023-09-30"),
    COUNTIFS('Form responses 1'!$G$2:$G1001, A7, 'Form responses 1'!$A$2:$A1001, "&gt;=2023-07-01", 'Form responses 1'!$A$2:$A1001, "&lt;=2023-09-30")
)
</f>
        <v>2</v>
      </c>
      <c r="H7" s="2">
        <f>SUM(
    COUNTIFS('Form responses 1'!$C$2:$C1001, A7, 'Form responses 1'!$A$2:$A1001, "&gt;=2023-10-01", 'Form responses 1'!$A$2:$A1001, "&lt;=2023-12-31"),
    COUNTIFS('Form responses 1'!$B$2:$B1001, A7, 'Form responses 1'!$A$2:$A1001, "&gt;=2023-10-01", 'Form responses 1'!$A$2:$A1001, "&lt;=2023-12-31"),
    COUNTIFS('Form responses 1'!$D$2:$D1001, A7, 'Form responses 1'!$A$2:$A1001, "&gt;=2023-10-01", 'Form responses 1'!$A$2:$A1001, "&lt;=2023-12-31"),
    COUNTIFS('Form responses 1'!$E$2:$E1001, A7, 'Form responses 1'!$A$2:$A1001, "&gt;=2023-10-01", 'Form responses 1'!$A$2:$A1001, "&lt;=2023-12-31"),
    COUNTIFS('Form responses 1'!$F$2:$F1001, A7, 'Form responses 1'!$A$2:$A1001, "&gt;=2023-10-01", 'Form responses 1'!$A$2:$A1001, "&lt;=2023-12-31"),
    COUNTIFS('Form responses 1'!$G$2:$G1001, A7, 'Form responses 1'!$A$2:$A1001, "&gt;=2023-10-01", 'Form responses 1'!$A$2:$A1001, "&lt;=2023-12-31")
)
</f>
        <v>0</v>
      </c>
      <c r="I7" s="2">
        <f>SUM(
    COUNTIFS('Form responses 1'!$C$2:$C1001, A7, 'Form responses 1'!$A$2:$A1001, "&gt;=2024-01-01", 'Form responses 1'!$A$2:$A1001, "&lt;=2024-03-31"),
    COUNTIFS('Form responses 1'!$B$2:$B1001, A7, 'Form responses 1'!$A$2:$A1001, "&gt;=2024-01-01", 'Form responses 1'!$A$2:$A1001, "&lt;=2024-03-31"),
    COUNTIFS('Form responses 1'!$D$2:$D1001, A7, 'Form responses 1'!$A$2:$A1001, "&gt;=2024-01-01", 'Form responses 1'!$A$2:$A1001, "&lt;=2024-03-31"),
    COUNTIFS('Form responses 1'!$E$2:$E1001, A7, 'Form responses 1'!$A$2:$A1001, "&gt;=2024-01-01", 'Form responses 1'!$A$2:$A1001, "&lt;=2024-03-31"),
    COUNTIFS('Form responses 1'!$F$2:$F1001, A7, 'Form responses 1'!$A$2:$A1001, "&gt;=2024-01-01", 'Form responses 1'!$A$2:$A1001, "&lt;=2024-03-31"),
    COUNTIFS('Form responses 1'!$G$2:$G1001, A7, 'Form responses 1'!$A$2:$A1001, "&gt;=2024-01-01", 'Form responses 1'!$A$2:$A1001, "&lt;=2024-03-31")
)
</f>
        <v>0</v>
      </c>
      <c r="J7" s="2">
        <f>SUM(
    COUNTIFS('Form responses 1'!$C$2:$C1001, A7, 'Form responses 1'!$A$2:$A1001, "&gt;=2024-04-01", 'Form responses 1'!$A$2:$A1001, "&lt;=2024-06-30"),
    COUNTIFS('Form responses 1'!$B$2:$B1001, A7, 'Form responses 1'!$A$2:$A1001, "&gt;=2024-04-01", 'Form responses 1'!$A$2:$A1001, "&lt;=2024-06-30"),
    COUNTIFS('Form responses 1'!$D$2:$D1001, A7, 'Form responses 1'!$A$2:$A1001, "&gt;=2024-04-01", 'Form responses 1'!$A$2:$A1001, "&lt;=2024-06-30"),
    COUNTIFS('Form responses 1'!$E$2:$E1001, A7, 'Form responses 1'!$A$2:$A1001, "&gt;=2024-04-01", 'Form responses 1'!$A$2:$A1001, "&lt;=2024-06-30"),
    COUNTIFS('Form responses 1'!$F$2:$F1001, A7, 'Form responses 1'!$A$2:$A1001, "&gt;=2024-04-01", 'Form responses 1'!$A$2:$A1001, "&lt;=2024-06-30"),
    COUNTIFS('Form responses 1'!$G$2:$G1001, A7, 'Form responses 1'!$A$2:$A1001, "&gt;=2024-04-01", 'Form responses 1'!$A$2:$A1001, "&lt;=2024-06-30")
)
</f>
        <v>0</v>
      </c>
      <c r="K7" s="2">
        <f>SUM(
    COUNTIFS('Form responses 1'!$C$2:$C1001, A7, 'Form responses 1'!$A$2:$A1001, "&gt;=2024-07-01", 'Form responses 1'!$A$2:$A1001, "&lt;=2024-09-30"),
    COUNTIFS('Form responses 1'!$B$2:$B1001, A7, 'Form responses 1'!$A$2:$A1001, "&gt;=2024-07-01", 'Form responses 1'!$A$2:$A1001, "&lt;=2024-09-30"),
    COUNTIFS('Form responses 1'!$D$2:$D1001, A7, 'Form responses 1'!$A$2:$A1001, "&gt;=2024-07-01", 'Form responses 1'!$A$2:$A1001, "&lt;=2024-09-30"),
    COUNTIFS('Form responses 1'!$E$2:$E1001, A7, 'Form responses 1'!$A$2:$A1001, "&gt;=2024-07-01", 'Form responses 1'!$A$2:$A1001, "&lt;=2024-09-30"),
    COUNTIFS('Form responses 1'!$F$2:$F1001, A7, 'Form responses 1'!$A$2:$A1001, "&gt;=2024-07-01", 'Form responses 1'!$A$2:$A1001, "&lt;=2024-09-30"),
    COUNTIFS('Form responses 1'!$G$2:$G1001, A7, 'Form responses 1'!$A$2:$A1001, "&gt;=2024-07-01", 'Form responses 1'!$A$2:$A1001, "&lt;=2024-09-30")
)
</f>
        <v>0</v>
      </c>
      <c r="L7" s="2">
        <f>SUM(
    COUNTIFS('Form responses 1'!$C$2:$C1001, A7, 'Form responses 1'!$A$2:$A1001, "&gt;=2024-10-01", 'Form responses 1'!$A$2:$A1001, "&lt;=2024-12-31"),
    COUNTIFS('Form responses 1'!$B$2:$B1001, A7, 'Form responses 1'!$A$2:$A1001, "&gt;=2024-10-01", 'Form responses 1'!$A$2:$A1001, "&lt;=2024-12-31"),
    COUNTIFS('Form responses 1'!$D$2:$D1001, A7, 'Form responses 1'!$A$2:$A1001, "&gt;=2024-10-01", 'Form responses 1'!$A$2:$A1001, "&lt;=2024-12-31"),
    COUNTIFS('Form responses 1'!$E$2:$E1001, A7, 'Form responses 1'!$A$2:$A1001, "&gt;=2024-10-01", 'Form responses 1'!$A$2:$A1001, "&lt;=2024-12-31"),
    COUNTIFS('Form responses 1'!$F$2:$F1001, A7, 'Form responses 1'!$A$2:$A1001, "&gt;=2024-10-01", 'Form responses 1'!$A$2:$A1001, "&lt;=2024-12-31"),
    COUNTIFS('Form responses 1'!$G$2:$G1001, A7, 'Form responses 1'!$A$2:$A1001, "&gt;=2024-10-01", 'Form responses 1'!$A$2:$A1001, "&lt;=2024-12-31")
)
</f>
        <v>0</v>
      </c>
      <c r="M7" s="2">
        <f>SUM(
    COUNTIFS('Form responses 1'!$C$2:$C1001, A7, 'Form responses 1'!$A$2:$A1001, "&gt;=2025-01-01", 'Form responses 1'!$A$2:$A1001, "&lt;=2025-03-31"),
    COUNTIFS('Form responses 1'!$B$2:$B1001, A7, 'Form responses 1'!$A$2:$A1001, "&gt;=2025-01-01", 'Form responses 1'!$A$2:$A1001, "&lt;=2025-03-31"),
    COUNTIFS('Form responses 1'!$D$2:$D1001, A7, 'Form responses 1'!$A$2:$A1001, "&gt;=2025-01-01", 'Form responses 1'!$A$2:$A1001, "&lt;=2025-03-31"),
    COUNTIFS('Form responses 1'!$E$2:$E1001, A7, 'Form responses 1'!$A$2:$A1001, "&gt;=2025-01-01", 'Form responses 1'!$A$2:$A1001, "&lt;=2025-03-31"),
    COUNTIFS('Form responses 1'!$F$2:$F1001, A7, 'Form responses 1'!$A$2:$A1001, "&gt;=2025-01-01", 'Form responses 1'!$A$2:$A1001, "&lt;=2025-03-31"),
    COUNTIFS('Form responses 1'!$G$2:$G1001, A7, 'Form responses 1'!$A$2:$A1001, "&gt;=2025-01-01", 'Form responses 1'!$A$2:$A1001, "&lt;=2025-03-31")
)
</f>
        <v>0</v>
      </c>
      <c r="N7" s="2">
        <f>SUM(
    COUNTIFS('Form responses 1'!$C$2:$C1001, A7, 'Form responses 1'!$A$2:$A1001, "&gt;=2025-04-01", 'Form responses 1'!$A$2:$A1001, "&lt;2025-07-01"),
    COUNTIFS('Form responses 1'!$B$2:$B1001, A7, 'Form responses 1'!$A$2:$A1001, "&gt;=2025-04-01", 'Form responses 1'!$A$2:$A1001, "&lt;2025-07-01"),
    COUNTIFS('Form responses 1'!$D$2:$D1001, A7, 'Form responses 1'!$A$2:$A1001, "&gt;=2025-04-01", 'Form responses 1'!$A$2:$A1001, "&lt;2025-07-01"),
    COUNTIFS('Form responses 1'!$E$2:$E1001, A7, 'Form responses 1'!$A$2:$A1001, "&gt;=2025-04-01", 'Form responses 1'!$A$2:$A1001, "&lt;2025-07-01"),
    COUNTIFS('Form responses 1'!$F$2:$F1001, A7, 'Form responses 1'!$A$2:$A1001, "&gt;=2025-04-01", 'Form responses 1'!$A$2:$A1001, "&lt;2025-07-01"),
    COUNTIFS('Form responses 1'!$G$2:$G1001, A7, 'Form responses 1'!$A$2:$A1001, "&gt;=2025-04-01", 'Form responses 1'!$A$2:$A1001, "&lt;2025-07-01")
)
</f>
        <v>0</v>
      </c>
      <c r="O7" s="2">
        <f>SUM(
    COUNTIFS('Form responses 1'!$C$2:$C1001, A7, 'Form responses 1'!$A$2:$A1001, "&gt;=2025-07-01", 'Form responses 1'!$A$2:$A1001, "&lt;=2025-09-30"),
    COUNTIFS('Form responses 1'!$B$2:$B1001, A7, 'Form responses 1'!$A$2:$A1001, "&gt;=2025-07-01", 'Form responses 1'!$A$2:$A1001, "&lt;=2025-09-30"),
    COUNTIFS('Form responses 1'!$D$2:$D1001, A7, 'Form responses 1'!$A$2:$A1001, "&gt;=2025-07-01", 'Form responses 1'!$A$2:$A1001, "&lt;=2025-09-30"),
    COUNTIFS('Form responses 1'!$E$2:$E1001, A7, 'Form responses 1'!$A$2:$A1001, "&gt;=2025-07-01", 'Form responses 1'!$A$2:$A1001, "&lt;=2025-09-30"),
    COUNTIFS('Form responses 1'!$F$2:$F1001, A7, 'Form responses 1'!$A$2:$A1001, "&gt;=2025-07-01", 'Form responses 1'!$A$2:$A1001, "&lt;=2025-09-30"),
    COUNTIFS('Form responses 1'!$G$2:$G1001, A7, 'Form responses 1'!$A$2:$A1001, "&gt;=2025-07-01", 'Form responses 1'!$A$2:$A1001, "&lt;=2025-09-30")
)
</f>
        <v>0</v>
      </c>
      <c r="P7" s="2">
        <f>SUM(
    COUNTIFS('Form responses 1'!$C$2:$C1001, A7, 'Form responses 1'!$A$2:$A1001, "&gt;=2025-10-01", 'Form responses 1'!$A$2:$A1001, "&lt;=2025-12-31"),
    COUNTIFS('Form responses 1'!$B$2:$B1001, A7, 'Form responses 1'!$A$2:$A1001, "&gt;=2025-10-01", 'Form responses 1'!$A$2:$A1001, "&lt;=2025-12-31"),
    COUNTIFS('Form responses 1'!$D$2:$D1001, A7, 'Form responses 1'!$A$2:$A1001, "&gt;=2025-10-01", 'Form responses 1'!$A$2:$A1001, "&lt;=2025-12-31"),
    COUNTIFS('Form responses 1'!$E$2:$E1001, A7, 'Form responses 1'!$A$2:$A1001, "&gt;=2025-10-01", 'Form responses 1'!$A$2:$A1001, "&lt;=2025-12-31"),
    COUNTIFS('Form responses 1'!$F$2:$F1001, A7, 'Form responses 1'!$A$2:$A1001, "&gt;=2025-10-01", 'Form responses 1'!$A$2:$A1001, "&lt;=2025-12-31"),
    COUNTIFS('Form responses 1'!$G$2:$G1001, A7, 'Form responses 1'!$A$2:$A1001, "&gt;=2025-10-01", 'Form responses 1'!$A$2:$A1001, "&lt;=2025-12-31")
)
</f>
        <v>0</v>
      </c>
    </row>
    <row r="8">
      <c r="A8" s="3" t="str">
        <f>IFERROR(__xludf.DUMMYFUNCTION("""COMPUTED_VALUE"""),"Blauwe linnen broek")</f>
        <v>Blauwe linnen broek</v>
      </c>
      <c r="B8" s="2">
        <f>SUM(
    COUNTIFS('Form responses 1'!$C$2:$C1001, A8, 'Form responses 1'!$A$2:$A1001, "&gt;=2022-04-01", 'Form responses 1'!$A$2:$A1001, "&lt;=2022-06-30"),
    COUNTIFS('Form responses 1'!$B$2:$B1001, A8, 'Form responses 1'!$A$2:$A1001, "&gt;=2022-04-01", 'Form responses 1'!$A$2:$A1001, "&lt;=2022-06-30"),
    COUNTIFS('Form responses 1'!$D$2:$D1001, A8, 'Form responses 1'!$A$2:$A1001, "&gt;=2022-04-01", 'Form responses 1'!$A$2:$A1001, "&lt;=2022-06-30"),
    COUNTIFS('Form responses 1'!$E$2:$E1001, A8, 'Form responses 1'!$A$2:$A1001, "&gt;=2022-04-01", 'Form responses 1'!$A$2:$A1001, "&lt;=2022-06-30"),
    COUNTIFS('Form responses 1'!$F$2:$F1001, A8, 'Form responses 1'!$A$2:$A1001, "&gt;=2022-04-01", 'Form responses 1'!$A$2:$A1001, "&lt;=2022-06-30"),
    COUNTIFS('Form responses 1'!$G$2:$G1001, A8, 'Form responses 1'!$A$2:$A1001, "&gt;=2022-04-01", 'Form responses 1'!$A$2:$A1001, "&lt;=2022-06-30")
)
</f>
        <v>0</v>
      </c>
      <c r="C8" s="2">
        <f>SUM(
    COUNTIFS('Form responses 1'!$C$2:$C1001, A8, 'Form responses 1'!$A$2:$A1001, "&gt;=2022-07-01", 'Form responses 1'!$A$2:$A1001, "&lt;=2022-09-30"),
    COUNTIFS('Form responses 1'!$B$2:$B1001, A8, 'Form responses 1'!$A$2:$A1001, "&gt;=2022-07-01", 'Form responses 1'!$A$2:$A1001, "&lt;=2022-09-30"),
    COUNTIFS('Form responses 1'!$D$2:$D1001, A8, 'Form responses 1'!$A$2:$A1001, "&gt;=2022-07-01", 'Form responses 1'!$A$2:$A1001, "&lt;=2022-09-30"),
    COUNTIFS('Form responses 1'!$E$2:$E1001, A8, 'Form responses 1'!$A$2:$A1001, "&gt;=2022-07-01", 'Form responses 1'!$A$2:$A1001, "&lt;=2022-09-30"),
    COUNTIFS('Form responses 1'!$F$2:$F1001, A8, 'Form responses 1'!$A$2:$A1001, "&gt;=2022-07-01", 'Form responses 1'!$A$2:$A1001, "&lt;=2022-09-30"),
    COUNTIFS('Form responses 1'!$G$2:$G1001, A8, 'Form responses 1'!$A$2:$A1001, "&gt;=2022-07-01", 'Form responses 1'!$A$2:$A1001, "&lt;=2022-09-30")
)
</f>
        <v>0</v>
      </c>
      <c r="D8" s="2">
        <f>SUM(
    COUNTIFS('Form responses 1'!$C$2:$C1001, A8, 'Form responses 1'!$A$2:$A1001, "&gt;=2022-10-01", 'Form responses 1'!$A$2:$A1001, "&lt;=2022-12-31"),
    COUNTIFS('Form responses 1'!$B$2:$B1001, A8, 'Form responses 1'!$A$2:$A1001, "&gt;=2022-10-01", 'Form responses 1'!$A$2:$A1001, "&lt;=2022-12-31"),
    COUNTIFS('Form responses 1'!$D$2:$D1001, A8, 'Form responses 1'!$A$2:$A1001, "&gt;=2022-10-01", 'Form responses 1'!$A$2:$A1001, "&lt;=2022-12-31"),
    COUNTIFS('Form responses 1'!$E$2:$E1001, A8, 'Form responses 1'!$A$2:$A1001, "&gt;=2022-10-01", 'Form responses 1'!$A$2:$A1001, "&lt;=2022-12-31"),
    COUNTIFS('Form responses 1'!$F$2:$F1001, A8, 'Form responses 1'!$A$2:$A1001, "&gt;=2022-10-01", 'Form responses 1'!$A$2:$A1001, "&lt;=2022-12-31"),
    COUNTIFS('Form responses 1'!$G$2:$G1001, A8, 'Form responses 1'!$A$2:$A1001, "&gt;=2022-10-01", 'Form responses 1'!$A$2:$A1001, "&lt;=2022-12-31")
)
</f>
        <v>0</v>
      </c>
      <c r="E8" s="2">
        <f>SUM(
    COUNTIFS('Form responses 1'!$C$2:$C1001, A8, 'Form responses 1'!$A$2:$A1001, "&gt;=2023-01-01", 'Form responses 1'!$A$2:$A1001, "&lt;=2023-03-31"),
    COUNTIFS('Form responses 1'!$B$2:$B1001, A8, 'Form responses 1'!$A$2:$A1001, "&gt;=2023-01-01", 'Form responses 1'!$A$2:$A1001, "&lt;=2023-03-31"),
    COUNTIFS('Form responses 1'!$D$2:$D1001, A8, 'Form responses 1'!$A$2:$A1001, "&gt;=2023-01-01", 'Form responses 1'!$A$2:$A1001, "&lt;=2023-03-31"),
    COUNTIFS('Form responses 1'!$E$2:$E1001, A8, 'Form responses 1'!$A$2:$A1001, "&gt;=2023-01-01", 'Form responses 1'!$A$2:$A1001, "&lt;=2023-03-31"),
    COUNTIFS('Form responses 1'!$F$2:$F1001, A8, 'Form responses 1'!$A$2:$A1001, "&gt;=2023-01-01", 'Form responses 1'!$A$2:$A1001, "&lt;=2023-03-31"),
    COUNTIFS('Form responses 1'!$G$2:$G1001, A8, 'Form responses 1'!$A$2:$A1001, "&gt;=2023-01-01", 'Form responses 1'!$A$2:$A1001, "&lt;=2023-03-31")
)
</f>
        <v>0</v>
      </c>
      <c r="F8" s="2">
        <f>SUM(
    COUNTIFS('Form responses 1'!$C$2:$C1001, A8, 'Form responses 1'!$A$2:$A1001, "&gt;=2023-04-01", 'Form responses 1'!$A$2:$A1001, "&lt;=2023-06-30"),
    COUNTIFS('Form responses 1'!$B$2:$B1001, A8, 'Form responses 1'!$A$2:$A1001, "&gt;=2023-04-01", 'Form responses 1'!$A$2:$A1001, "&lt;=2023-06-30"),
    COUNTIFS('Form responses 1'!$D$2:$D1001, A8, 'Form responses 1'!$A$2:$A1001, "&gt;=2023-04-01", 'Form responses 1'!$A$2:$A1001, "&lt;=2023-06-30"),
    COUNTIFS('Form responses 1'!$E$2:$E1001, A8, 'Form responses 1'!$A$2:$A1001, "&gt;=2023-04-01", 'Form responses 1'!$A$2:$A1001, "&lt;=2023-06-30"),
    COUNTIFS('Form responses 1'!$F$2:$F1001, A8, 'Form responses 1'!$A$2:$A1001, "&gt;=2023-04-01", 'Form responses 1'!$A$2:$A1001, "&lt;=2023-06-30"),
    COUNTIFS('Form responses 1'!$G$2:$G1001, A8, 'Form responses 1'!$A$2:$A1001, "&gt;=2023-04-01", 'Form responses 1'!$A$2:$A1001, "&lt;=2023-06-30")
)
</f>
        <v>0</v>
      </c>
      <c r="G8" s="2">
        <f>SUM(
    COUNTIFS('Form responses 1'!$C$2:$C1001, A8, 'Form responses 1'!$A$2:$A1001, "&gt;=2023-07-01", 'Form responses 1'!$A$2:$A1001, "&lt;=2023-09-30"),
    COUNTIFS('Form responses 1'!$B$2:$B1001, A8, 'Form responses 1'!$A$2:$A1001, "&gt;=2023-07-01", 'Form responses 1'!$A$2:$A1001, "&lt;=2023-09-30"),
    COUNTIFS('Form responses 1'!$D$2:$D1001, A8, 'Form responses 1'!$A$2:$A1001, "&gt;=2023-07-01", 'Form responses 1'!$A$2:$A1001, "&lt;=2023-09-30"),
    COUNTIFS('Form responses 1'!$E$2:$E1001, A8, 'Form responses 1'!$A$2:$A1001, "&gt;=2023-07-01", 'Form responses 1'!$A$2:$A1001, "&lt;=2023-09-30"),
    COUNTIFS('Form responses 1'!$F$2:$F1001, A8, 'Form responses 1'!$A$2:$A1001, "&gt;=2023-07-01", 'Form responses 1'!$A$2:$A1001, "&lt;=2023-09-30"),
    COUNTIFS('Form responses 1'!$G$2:$G1001, A8, 'Form responses 1'!$A$2:$A1001, "&gt;=2023-07-01", 'Form responses 1'!$A$2:$A1001, "&lt;=2023-09-30")
)
</f>
        <v>7</v>
      </c>
      <c r="H8" s="2">
        <f>SUM(
    COUNTIFS('Form responses 1'!$C$2:$C1001, A8, 'Form responses 1'!$A$2:$A1001, "&gt;=2023-10-01", 'Form responses 1'!$A$2:$A1001, "&lt;=2023-12-31"),
    COUNTIFS('Form responses 1'!$B$2:$B1001, A8, 'Form responses 1'!$A$2:$A1001, "&gt;=2023-10-01", 'Form responses 1'!$A$2:$A1001, "&lt;=2023-12-31"),
    COUNTIFS('Form responses 1'!$D$2:$D1001, A8, 'Form responses 1'!$A$2:$A1001, "&gt;=2023-10-01", 'Form responses 1'!$A$2:$A1001, "&lt;=2023-12-31"),
    COUNTIFS('Form responses 1'!$E$2:$E1001, A8, 'Form responses 1'!$A$2:$A1001, "&gt;=2023-10-01", 'Form responses 1'!$A$2:$A1001, "&lt;=2023-12-31"),
    COUNTIFS('Form responses 1'!$F$2:$F1001, A8, 'Form responses 1'!$A$2:$A1001, "&gt;=2023-10-01", 'Form responses 1'!$A$2:$A1001, "&lt;=2023-12-31"),
    COUNTIFS('Form responses 1'!$G$2:$G1001, A8, 'Form responses 1'!$A$2:$A1001, "&gt;=2023-10-01", 'Form responses 1'!$A$2:$A1001, "&lt;=2023-12-31")
)
</f>
        <v>0</v>
      </c>
      <c r="I8" s="2">
        <f>SUM(
    COUNTIFS('Form responses 1'!$C$2:$C1001, A8, 'Form responses 1'!$A$2:$A1001, "&gt;=2024-01-01", 'Form responses 1'!$A$2:$A1001, "&lt;=2024-03-31"),
    COUNTIFS('Form responses 1'!$B$2:$B1001, A8, 'Form responses 1'!$A$2:$A1001, "&gt;=2024-01-01", 'Form responses 1'!$A$2:$A1001, "&lt;=2024-03-31"),
    COUNTIFS('Form responses 1'!$D$2:$D1001, A8, 'Form responses 1'!$A$2:$A1001, "&gt;=2024-01-01", 'Form responses 1'!$A$2:$A1001, "&lt;=2024-03-31"),
    COUNTIFS('Form responses 1'!$E$2:$E1001, A8, 'Form responses 1'!$A$2:$A1001, "&gt;=2024-01-01", 'Form responses 1'!$A$2:$A1001, "&lt;=2024-03-31"),
    COUNTIFS('Form responses 1'!$F$2:$F1001, A8, 'Form responses 1'!$A$2:$A1001, "&gt;=2024-01-01", 'Form responses 1'!$A$2:$A1001, "&lt;=2024-03-31"),
    COUNTIFS('Form responses 1'!$G$2:$G1001, A8, 'Form responses 1'!$A$2:$A1001, "&gt;=2024-01-01", 'Form responses 1'!$A$2:$A1001, "&lt;=2024-03-31")
)
</f>
        <v>0</v>
      </c>
      <c r="J8" s="2">
        <f>SUM(
    COUNTIFS('Form responses 1'!$C$2:$C1001, A8, 'Form responses 1'!$A$2:$A1001, "&gt;=2024-04-01", 'Form responses 1'!$A$2:$A1001, "&lt;=2024-06-30"),
    COUNTIFS('Form responses 1'!$B$2:$B1001, A8, 'Form responses 1'!$A$2:$A1001, "&gt;=2024-04-01", 'Form responses 1'!$A$2:$A1001, "&lt;=2024-06-30"),
    COUNTIFS('Form responses 1'!$D$2:$D1001, A8, 'Form responses 1'!$A$2:$A1001, "&gt;=2024-04-01", 'Form responses 1'!$A$2:$A1001, "&lt;=2024-06-30"),
    COUNTIFS('Form responses 1'!$E$2:$E1001, A8, 'Form responses 1'!$A$2:$A1001, "&gt;=2024-04-01", 'Form responses 1'!$A$2:$A1001, "&lt;=2024-06-30"),
    COUNTIFS('Form responses 1'!$F$2:$F1001, A8, 'Form responses 1'!$A$2:$A1001, "&gt;=2024-04-01", 'Form responses 1'!$A$2:$A1001, "&lt;=2024-06-30"),
    COUNTIFS('Form responses 1'!$G$2:$G1001, A8, 'Form responses 1'!$A$2:$A1001, "&gt;=2024-04-01", 'Form responses 1'!$A$2:$A1001, "&lt;=2024-06-30")
)
</f>
        <v>8</v>
      </c>
      <c r="K8" s="2">
        <f>SUM(
    COUNTIFS('Form responses 1'!$C$2:$C1001, A8, 'Form responses 1'!$A$2:$A1001, "&gt;=2024-07-01", 'Form responses 1'!$A$2:$A1001, "&lt;=2024-09-30"),
    COUNTIFS('Form responses 1'!$B$2:$B1001, A8, 'Form responses 1'!$A$2:$A1001, "&gt;=2024-07-01", 'Form responses 1'!$A$2:$A1001, "&lt;=2024-09-30"),
    COUNTIFS('Form responses 1'!$D$2:$D1001, A8, 'Form responses 1'!$A$2:$A1001, "&gt;=2024-07-01", 'Form responses 1'!$A$2:$A1001, "&lt;=2024-09-30"),
    COUNTIFS('Form responses 1'!$E$2:$E1001, A8, 'Form responses 1'!$A$2:$A1001, "&gt;=2024-07-01", 'Form responses 1'!$A$2:$A1001, "&lt;=2024-09-30"),
    COUNTIFS('Form responses 1'!$F$2:$F1001, A8, 'Form responses 1'!$A$2:$A1001, "&gt;=2024-07-01", 'Form responses 1'!$A$2:$A1001, "&lt;=2024-09-30"),
    COUNTIFS('Form responses 1'!$G$2:$G1001, A8, 'Form responses 1'!$A$2:$A1001, "&gt;=2024-07-01", 'Form responses 1'!$A$2:$A1001, "&lt;=2024-09-30")
)
</f>
        <v>14</v>
      </c>
      <c r="L8" s="2">
        <f>SUM(
    COUNTIFS('Form responses 1'!$C$2:$C1001, A8, 'Form responses 1'!$A$2:$A1001, "&gt;=2024-10-01", 'Form responses 1'!$A$2:$A1001, "&lt;=2024-12-31"),
    COUNTIFS('Form responses 1'!$B$2:$B1001, A8, 'Form responses 1'!$A$2:$A1001, "&gt;=2024-10-01", 'Form responses 1'!$A$2:$A1001, "&lt;=2024-12-31"),
    COUNTIFS('Form responses 1'!$D$2:$D1001, A8, 'Form responses 1'!$A$2:$A1001, "&gt;=2024-10-01", 'Form responses 1'!$A$2:$A1001, "&lt;=2024-12-31"),
    COUNTIFS('Form responses 1'!$E$2:$E1001, A8, 'Form responses 1'!$A$2:$A1001, "&gt;=2024-10-01", 'Form responses 1'!$A$2:$A1001, "&lt;=2024-12-31"),
    COUNTIFS('Form responses 1'!$F$2:$F1001, A8, 'Form responses 1'!$A$2:$A1001, "&gt;=2024-10-01", 'Form responses 1'!$A$2:$A1001, "&lt;=2024-12-31"),
    COUNTIFS('Form responses 1'!$G$2:$G1001, A8, 'Form responses 1'!$A$2:$A1001, "&gt;=2024-10-01", 'Form responses 1'!$A$2:$A1001, "&lt;=2024-12-31")
)
</f>
        <v>3</v>
      </c>
      <c r="M8" s="2">
        <f>SUM(
    COUNTIFS('Form responses 1'!$C$2:$C1001, A8, 'Form responses 1'!$A$2:$A1001, "&gt;=2025-01-01", 'Form responses 1'!$A$2:$A1001, "&lt;=2025-03-31"),
    COUNTIFS('Form responses 1'!$B$2:$B1001, A8, 'Form responses 1'!$A$2:$A1001, "&gt;=2025-01-01", 'Form responses 1'!$A$2:$A1001, "&lt;=2025-03-31"),
    COUNTIFS('Form responses 1'!$D$2:$D1001, A8, 'Form responses 1'!$A$2:$A1001, "&gt;=2025-01-01", 'Form responses 1'!$A$2:$A1001, "&lt;=2025-03-31"),
    COUNTIFS('Form responses 1'!$E$2:$E1001, A8, 'Form responses 1'!$A$2:$A1001, "&gt;=2025-01-01", 'Form responses 1'!$A$2:$A1001, "&lt;=2025-03-31"),
    COUNTIFS('Form responses 1'!$F$2:$F1001, A8, 'Form responses 1'!$A$2:$A1001, "&gt;=2025-01-01", 'Form responses 1'!$A$2:$A1001, "&lt;=2025-03-31"),
    COUNTIFS('Form responses 1'!$G$2:$G1001, A8, 'Form responses 1'!$A$2:$A1001, "&gt;=2025-01-01", 'Form responses 1'!$A$2:$A1001, "&lt;=2025-03-31")
)
</f>
        <v>0</v>
      </c>
      <c r="N8" s="2">
        <f>SUM(
    COUNTIFS('Form responses 1'!$C$2:$C1001, A8, 'Form responses 1'!$A$2:$A1001, "&gt;=2025-04-01", 'Form responses 1'!$A$2:$A1001, "&lt;2025-07-01"),
    COUNTIFS('Form responses 1'!$B$2:$B1001, A8, 'Form responses 1'!$A$2:$A1001, "&gt;=2025-04-01", 'Form responses 1'!$A$2:$A1001, "&lt;2025-07-01"),
    COUNTIFS('Form responses 1'!$D$2:$D1001, A8, 'Form responses 1'!$A$2:$A1001, "&gt;=2025-04-01", 'Form responses 1'!$A$2:$A1001, "&lt;2025-07-01"),
    COUNTIFS('Form responses 1'!$E$2:$E1001, A8, 'Form responses 1'!$A$2:$A1001, "&gt;=2025-04-01", 'Form responses 1'!$A$2:$A1001, "&lt;2025-07-01"),
    COUNTIFS('Form responses 1'!$F$2:$F1001, A8, 'Form responses 1'!$A$2:$A1001, "&gt;=2025-04-01", 'Form responses 1'!$A$2:$A1001, "&lt;2025-07-01"),
    COUNTIFS('Form responses 1'!$G$2:$G1001, A8, 'Form responses 1'!$A$2:$A1001, "&gt;=2025-04-01", 'Form responses 1'!$A$2:$A1001, "&lt;2025-07-01")
)
</f>
        <v>10</v>
      </c>
      <c r="O8" s="2">
        <f>SUM(
    COUNTIFS('Form responses 1'!$C$2:$C1001, A8, 'Form responses 1'!$A$2:$A1001, "&gt;=2025-07-01", 'Form responses 1'!$A$2:$A1001, "&lt;=2025-09-30"),
    COUNTIFS('Form responses 1'!$B$2:$B1001, A8, 'Form responses 1'!$A$2:$A1001, "&gt;=2025-07-01", 'Form responses 1'!$A$2:$A1001, "&lt;=2025-09-30"),
    COUNTIFS('Form responses 1'!$D$2:$D1001, A8, 'Form responses 1'!$A$2:$A1001, "&gt;=2025-07-01", 'Form responses 1'!$A$2:$A1001, "&lt;=2025-09-30"),
    COUNTIFS('Form responses 1'!$E$2:$E1001, A8, 'Form responses 1'!$A$2:$A1001, "&gt;=2025-07-01", 'Form responses 1'!$A$2:$A1001, "&lt;=2025-09-30"),
    COUNTIFS('Form responses 1'!$F$2:$F1001, A8, 'Form responses 1'!$A$2:$A1001, "&gt;=2025-07-01", 'Form responses 1'!$A$2:$A1001, "&lt;=2025-09-30"),
    COUNTIFS('Form responses 1'!$G$2:$G1001, A8, 'Form responses 1'!$A$2:$A1001, "&gt;=2025-07-01", 'Form responses 1'!$A$2:$A1001, "&lt;=2025-09-30")
)
</f>
        <v>0</v>
      </c>
      <c r="P8" s="2">
        <f>SUM(
    COUNTIFS('Form responses 1'!$C$2:$C1001, A8, 'Form responses 1'!$A$2:$A1001, "&gt;=2025-10-01", 'Form responses 1'!$A$2:$A1001, "&lt;=2025-12-31"),
    COUNTIFS('Form responses 1'!$B$2:$B1001, A8, 'Form responses 1'!$A$2:$A1001, "&gt;=2025-10-01", 'Form responses 1'!$A$2:$A1001, "&lt;=2025-12-31"),
    COUNTIFS('Form responses 1'!$D$2:$D1001, A8, 'Form responses 1'!$A$2:$A1001, "&gt;=2025-10-01", 'Form responses 1'!$A$2:$A1001, "&lt;=2025-12-31"),
    COUNTIFS('Form responses 1'!$E$2:$E1001, A8, 'Form responses 1'!$A$2:$A1001, "&gt;=2025-10-01", 'Form responses 1'!$A$2:$A1001, "&lt;=2025-12-31"),
    COUNTIFS('Form responses 1'!$F$2:$F1001, A8, 'Form responses 1'!$A$2:$A1001, "&gt;=2025-10-01", 'Form responses 1'!$A$2:$A1001, "&lt;=2025-12-31"),
    COUNTIFS('Form responses 1'!$G$2:$G1001, A8, 'Form responses 1'!$A$2:$A1001, "&gt;=2025-10-01", 'Form responses 1'!$A$2:$A1001, "&lt;=2025-12-31")
)
</f>
        <v>0</v>
      </c>
    </row>
    <row r="9">
      <c r="A9" s="9" t="str">
        <f>IFERROR(__xludf.DUMMYFUNCTION("""COMPUTED_VALUE"""),"Spijkerbroek 20 euro")</f>
        <v>Spijkerbroek 20 euro</v>
      </c>
      <c r="B9" s="2">
        <f>SUM(
    COUNTIFS('Form responses 1'!$C$2:$C1001, A9, 'Form responses 1'!$A$2:$A1001, "&gt;=2022-04-01", 'Form responses 1'!$A$2:$A1001, "&lt;=2022-06-30"),
    COUNTIFS('Form responses 1'!$B$2:$B1001, A9, 'Form responses 1'!$A$2:$A1001, "&gt;=2022-04-01", 'Form responses 1'!$A$2:$A1001, "&lt;=2022-06-30"),
    COUNTIFS('Form responses 1'!$D$2:$D1001, A9, 'Form responses 1'!$A$2:$A1001, "&gt;=2022-04-01", 'Form responses 1'!$A$2:$A1001, "&lt;=2022-06-30"),
    COUNTIFS('Form responses 1'!$E$2:$E1001, A9, 'Form responses 1'!$A$2:$A1001, "&gt;=2022-04-01", 'Form responses 1'!$A$2:$A1001, "&lt;=2022-06-30"),
    COUNTIFS('Form responses 1'!$F$2:$F1001, A9, 'Form responses 1'!$A$2:$A1001, "&gt;=2022-04-01", 'Form responses 1'!$A$2:$A1001, "&lt;=2022-06-30"),
    COUNTIFS('Form responses 1'!$G$2:$G1001, A9, 'Form responses 1'!$A$2:$A1001, "&gt;=2022-04-01", 'Form responses 1'!$A$2:$A1001, "&lt;=2022-06-30")
)
</f>
        <v>18</v>
      </c>
      <c r="C9" s="2">
        <f>SUM(
    COUNTIFS('Form responses 1'!$C$2:$C1001, A9, 'Form responses 1'!$A$2:$A1001, "&gt;=2022-07-01", 'Form responses 1'!$A$2:$A1001, "&lt;=2022-09-30"),
    COUNTIFS('Form responses 1'!$B$2:$B1001, A9, 'Form responses 1'!$A$2:$A1001, "&gt;=2022-07-01", 'Form responses 1'!$A$2:$A1001, "&lt;=2022-09-30"),
    COUNTIFS('Form responses 1'!$D$2:$D1001, A9, 'Form responses 1'!$A$2:$A1001, "&gt;=2022-07-01", 'Form responses 1'!$A$2:$A1001, "&lt;=2022-09-30"),
    COUNTIFS('Form responses 1'!$E$2:$E1001, A9, 'Form responses 1'!$A$2:$A1001, "&gt;=2022-07-01", 'Form responses 1'!$A$2:$A1001, "&lt;=2022-09-30"),
    COUNTIFS('Form responses 1'!$F$2:$F1001, A9, 'Form responses 1'!$A$2:$A1001, "&gt;=2022-07-01", 'Form responses 1'!$A$2:$A1001, "&lt;=2022-09-30"),
    COUNTIFS('Form responses 1'!$G$2:$G1001, A9, 'Form responses 1'!$A$2:$A1001, "&gt;=2022-07-01", 'Form responses 1'!$A$2:$A1001, "&lt;=2022-09-30")
)
</f>
        <v>5</v>
      </c>
      <c r="D9" s="2">
        <f>SUM(
    COUNTIFS('Form responses 1'!$C$2:$C1001, A9, 'Form responses 1'!$A$2:$A1001, "&gt;=2022-10-01", 'Form responses 1'!$A$2:$A1001, "&lt;=2022-12-31"),
    COUNTIFS('Form responses 1'!$B$2:$B1001, A9, 'Form responses 1'!$A$2:$A1001, "&gt;=2022-10-01", 'Form responses 1'!$A$2:$A1001, "&lt;=2022-12-31"),
    COUNTIFS('Form responses 1'!$D$2:$D1001, A9, 'Form responses 1'!$A$2:$A1001, "&gt;=2022-10-01", 'Form responses 1'!$A$2:$A1001, "&lt;=2022-12-31"),
    COUNTIFS('Form responses 1'!$E$2:$E1001, A9, 'Form responses 1'!$A$2:$A1001, "&gt;=2022-10-01", 'Form responses 1'!$A$2:$A1001, "&lt;=2022-12-31"),
    COUNTIFS('Form responses 1'!$F$2:$F1001, A9, 'Form responses 1'!$A$2:$A1001, "&gt;=2022-10-01", 'Form responses 1'!$A$2:$A1001, "&lt;=2022-12-31"),
    COUNTIFS('Form responses 1'!$G$2:$G1001, A9, 'Form responses 1'!$A$2:$A1001, "&gt;=2022-10-01", 'Form responses 1'!$A$2:$A1001, "&lt;=2022-12-31")
)
</f>
        <v>29</v>
      </c>
      <c r="E9" s="2">
        <f>SUM(
    COUNTIFS('Form responses 1'!$C$2:$C1001, A9, 'Form responses 1'!$A$2:$A1001, "&gt;=2023-01-01", 'Form responses 1'!$A$2:$A1001, "&lt;=2023-03-31"),
    COUNTIFS('Form responses 1'!$B$2:$B1001, A9, 'Form responses 1'!$A$2:$A1001, "&gt;=2023-01-01", 'Form responses 1'!$A$2:$A1001, "&lt;=2023-03-31"),
    COUNTIFS('Form responses 1'!$D$2:$D1001, A9, 'Form responses 1'!$A$2:$A1001, "&gt;=2023-01-01", 'Form responses 1'!$A$2:$A1001, "&lt;=2023-03-31"),
    COUNTIFS('Form responses 1'!$E$2:$E1001, A9, 'Form responses 1'!$A$2:$A1001, "&gt;=2023-01-01", 'Form responses 1'!$A$2:$A1001, "&lt;=2023-03-31"),
    COUNTIFS('Form responses 1'!$F$2:$F1001, A9, 'Form responses 1'!$A$2:$A1001, "&gt;=2023-01-01", 'Form responses 1'!$A$2:$A1001, "&lt;=2023-03-31"),
    COUNTIFS('Form responses 1'!$G$2:$G1001, A9, 'Form responses 1'!$A$2:$A1001, "&gt;=2023-01-01", 'Form responses 1'!$A$2:$A1001, "&lt;=2023-03-31")
)
</f>
        <v>20</v>
      </c>
      <c r="F9" s="2">
        <f>SUM(
    COUNTIFS('Form responses 1'!$C$2:$C1001, A9, 'Form responses 1'!$A$2:$A1001, "&gt;=2023-04-01", 'Form responses 1'!$A$2:$A1001, "&lt;=2023-06-30"),
    COUNTIFS('Form responses 1'!$B$2:$B1001, A9, 'Form responses 1'!$A$2:$A1001, "&gt;=2023-04-01", 'Form responses 1'!$A$2:$A1001, "&lt;=2023-06-30"),
    COUNTIFS('Form responses 1'!$D$2:$D1001, A9, 'Form responses 1'!$A$2:$A1001, "&gt;=2023-04-01", 'Form responses 1'!$A$2:$A1001, "&lt;=2023-06-30"),
    COUNTIFS('Form responses 1'!$E$2:$E1001, A9, 'Form responses 1'!$A$2:$A1001, "&gt;=2023-04-01", 'Form responses 1'!$A$2:$A1001, "&lt;=2023-06-30"),
    COUNTIFS('Form responses 1'!$F$2:$F1001, A9, 'Form responses 1'!$A$2:$A1001, "&gt;=2023-04-01", 'Form responses 1'!$A$2:$A1001, "&lt;=2023-06-30"),
    COUNTIFS('Form responses 1'!$G$2:$G1001, A9, 'Form responses 1'!$A$2:$A1001, "&gt;=2023-04-01", 'Form responses 1'!$A$2:$A1001, "&lt;=2023-06-30")
)
</f>
        <v>11</v>
      </c>
      <c r="G9" s="2">
        <f>SUM(
    COUNTIFS('Form responses 1'!$C$2:$C1001, A9, 'Form responses 1'!$A$2:$A1001, "&gt;=2023-07-01", 'Form responses 1'!$A$2:$A1001, "&lt;=2023-09-30"),
    COUNTIFS('Form responses 1'!$B$2:$B1001, A9, 'Form responses 1'!$A$2:$A1001, "&gt;=2023-07-01", 'Form responses 1'!$A$2:$A1001, "&lt;=2023-09-30"),
    COUNTIFS('Form responses 1'!$D$2:$D1001, A9, 'Form responses 1'!$A$2:$A1001, "&gt;=2023-07-01", 'Form responses 1'!$A$2:$A1001, "&lt;=2023-09-30"),
    COUNTIFS('Form responses 1'!$E$2:$E1001, A9, 'Form responses 1'!$A$2:$A1001, "&gt;=2023-07-01", 'Form responses 1'!$A$2:$A1001, "&lt;=2023-09-30"),
    COUNTIFS('Form responses 1'!$F$2:$F1001, A9, 'Form responses 1'!$A$2:$A1001, "&gt;=2023-07-01", 'Form responses 1'!$A$2:$A1001, "&lt;=2023-09-30"),
    COUNTIFS('Form responses 1'!$G$2:$G1001, A9, 'Form responses 1'!$A$2:$A1001, "&gt;=2023-07-01", 'Form responses 1'!$A$2:$A1001, "&lt;=2023-09-30")
)
</f>
        <v>0</v>
      </c>
      <c r="H9" s="2">
        <f>SUM(
    COUNTIFS('Form responses 1'!$C$2:$C1001, A9, 'Form responses 1'!$A$2:$A1001, "&gt;=2023-10-01", 'Form responses 1'!$A$2:$A1001, "&lt;=2023-12-31"),
    COUNTIFS('Form responses 1'!$B$2:$B1001, A9, 'Form responses 1'!$A$2:$A1001, "&gt;=2023-10-01", 'Form responses 1'!$A$2:$A1001, "&lt;=2023-12-31"),
    COUNTIFS('Form responses 1'!$D$2:$D1001, A9, 'Form responses 1'!$A$2:$A1001, "&gt;=2023-10-01", 'Form responses 1'!$A$2:$A1001, "&lt;=2023-12-31"),
    COUNTIFS('Form responses 1'!$E$2:$E1001, A9, 'Form responses 1'!$A$2:$A1001, "&gt;=2023-10-01", 'Form responses 1'!$A$2:$A1001, "&lt;=2023-12-31"),
    COUNTIFS('Form responses 1'!$F$2:$F1001, A9, 'Form responses 1'!$A$2:$A1001, "&gt;=2023-10-01", 'Form responses 1'!$A$2:$A1001, "&lt;=2023-12-31"),
    COUNTIFS('Form responses 1'!$G$2:$G1001, A9, 'Form responses 1'!$A$2:$A1001, "&gt;=2023-10-01", 'Form responses 1'!$A$2:$A1001, "&lt;=2023-12-31")
)
</f>
        <v>3</v>
      </c>
      <c r="I9" s="2">
        <f>SUM(
    COUNTIFS('Form responses 1'!$C$2:$C1001, A9, 'Form responses 1'!$A$2:$A1001, "&gt;=2024-01-01", 'Form responses 1'!$A$2:$A1001, "&lt;=2024-03-31"),
    COUNTIFS('Form responses 1'!$B$2:$B1001, A9, 'Form responses 1'!$A$2:$A1001, "&gt;=2024-01-01", 'Form responses 1'!$A$2:$A1001, "&lt;=2024-03-31"),
    COUNTIFS('Form responses 1'!$D$2:$D1001, A9, 'Form responses 1'!$A$2:$A1001, "&gt;=2024-01-01", 'Form responses 1'!$A$2:$A1001, "&lt;=2024-03-31"),
    COUNTIFS('Form responses 1'!$E$2:$E1001, A9, 'Form responses 1'!$A$2:$A1001, "&gt;=2024-01-01", 'Form responses 1'!$A$2:$A1001, "&lt;=2024-03-31"),
    COUNTIFS('Form responses 1'!$F$2:$F1001, A9, 'Form responses 1'!$A$2:$A1001, "&gt;=2024-01-01", 'Form responses 1'!$A$2:$A1001, "&lt;=2024-03-31"),
    COUNTIFS('Form responses 1'!$G$2:$G1001, A9, 'Form responses 1'!$A$2:$A1001, "&gt;=2024-01-01", 'Form responses 1'!$A$2:$A1001, "&lt;=2024-03-31")
)
</f>
        <v>0</v>
      </c>
      <c r="J9" s="2">
        <f>SUM(
    COUNTIFS('Form responses 1'!$C$2:$C1001, A9, 'Form responses 1'!$A$2:$A1001, "&gt;=2024-04-01", 'Form responses 1'!$A$2:$A1001, "&lt;=2024-06-30"),
    COUNTIFS('Form responses 1'!$B$2:$B1001, A9, 'Form responses 1'!$A$2:$A1001, "&gt;=2024-04-01", 'Form responses 1'!$A$2:$A1001, "&lt;=2024-06-30"),
    COUNTIFS('Form responses 1'!$D$2:$D1001, A9, 'Form responses 1'!$A$2:$A1001, "&gt;=2024-04-01", 'Form responses 1'!$A$2:$A1001, "&lt;=2024-06-30"),
    COUNTIFS('Form responses 1'!$E$2:$E1001, A9, 'Form responses 1'!$A$2:$A1001, "&gt;=2024-04-01", 'Form responses 1'!$A$2:$A1001, "&lt;=2024-06-30"),
    COUNTIFS('Form responses 1'!$F$2:$F1001, A9, 'Form responses 1'!$A$2:$A1001, "&gt;=2024-04-01", 'Form responses 1'!$A$2:$A1001, "&lt;=2024-06-30"),
    COUNTIFS('Form responses 1'!$G$2:$G1001, A9, 'Form responses 1'!$A$2:$A1001, "&gt;=2024-04-01", 'Form responses 1'!$A$2:$A1001, "&lt;=2024-06-30")
)
</f>
        <v>0</v>
      </c>
      <c r="K9" s="2">
        <f>SUM(
    COUNTIFS('Form responses 1'!$C$2:$C1001, A9, 'Form responses 1'!$A$2:$A1001, "&gt;=2024-07-01", 'Form responses 1'!$A$2:$A1001, "&lt;=2024-09-30"),
    COUNTIFS('Form responses 1'!$B$2:$B1001, A9, 'Form responses 1'!$A$2:$A1001, "&gt;=2024-07-01", 'Form responses 1'!$A$2:$A1001, "&lt;=2024-09-30"),
    COUNTIFS('Form responses 1'!$D$2:$D1001, A9, 'Form responses 1'!$A$2:$A1001, "&gt;=2024-07-01", 'Form responses 1'!$A$2:$A1001, "&lt;=2024-09-30"),
    COUNTIFS('Form responses 1'!$E$2:$E1001, A9, 'Form responses 1'!$A$2:$A1001, "&gt;=2024-07-01", 'Form responses 1'!$A$2:$A1001, "&lt;=2024-09-30"),
    COUNTIFS('Form responses 1'!$F$2:$F1001, A9, 'Form responses 1'!$A$2:$A1001, "&gt;=2024-07-01", 'Form responses 1'!$A$2:$A1001, "&lt;=2024-09-30"),
    COUNTIFS('Form responses 1'!$G$2:$G1001, A9, 'Form responses 1'!$A$2:$A1001, "&gt;=2024-07-01", 'Form responses 1'!$A$2:$A1001, "&lt;=2024-09-30")
)
</f>
        <v>1</v>
      </c>
      <c r="L9" s="2">
        <f>SUM(
    COUNTIFS('Form responses 1'!$C$2:$C1001, A9, 'Form responses 1'!$A$2:$A1001, "&gt;=2024-10-01", 'Form responses 1'!$A$2:$A1001, "&lt;=2024-12-31"),
    COUNTIFS('Form responses 1'!$B$2:$B1001, A9, 'Form responses 1'!$A$2:$A1001, "&gt;=2024-10-01", 'Form responses 1'!$A$2:$A1001, "&lt;=2024-12-31"),
    COUNTIFS('Form responses 1'!$D$2:$D1001, A9, 'Form responses 1'!$A$2:$A1001, "&gt;=2024-10-01", 'Form responses 1'!$A$2:$A1001, "&lt;=2024-12-31"),
    COUNTIFS('Form responses 1'!$E$2:$E1001, A9, 'Form responses 1'!$A$2:$A1001, "&gt;=2024-10-01", 'Form responses 1'!$A$2:$A1001, "&lt;=2024-12-31"),
    COUNTIFS('Form responses 1'!$F$2:$F1001, A9, 'Form responses 1'!$A$2:$A1001, "&gt;=2024-10-01", 'Form responses 1'!$A$2:$A1001, "&lt;=2024-12-31"),
    COUNTIFS('Form responses 1'!$G$2:$G1001, A9, 'Form responses 1'!$A$2:$A1001, "&gt;=2024-10-01", 'Form responses 1'!$A$2:$A1001, "&lt;=2024-12-31")
)
</f>
        <v>0</v>
      </c>
      <c r="M9" s="2">
        <f>SUM(
    COUNTIFS('Form responses 1'!$C$2:$C1001, A9, 'Form responses 1'!$A$2:$A1001, "&gt;=2025-01-01", 'Form responses 1'!$A$2:$A1001, "&lt;=2025-03-31"),
    COUNTIFS('Form responses 1'!$B$2:$B1001, A9, 'Form responses 1'!$A$2:$A1001, "&gt;=2025-01-01", 'Form responses 1'!$A$2:$A1001, "&lt;=2025-03-31"),
    COUNTIFS('Form responses 1'!$D$2:$D1001, A9, 'Form responses 1'!$A$2:$A1001, "&gt;=2025-01-01", 'Form responses 1'!$A$2:$A1001, "&lt;=2025-03-31"),
    COUNTIFS('Form responses 1'!$E$2:$E1001, A9, 'Form responses 1'!$A$2:$A1001, "&gt;=2025-01-01", 'Form responses 1'!$A$2:$A1001, "&lt;=2025-03-31"),
    COUNTIFS('Form responses 1'!$F$2:$F1001, A9, 'Form responses 1'!$A$2:$A1001, "&gt;=2025-01-01", 'Form responses 1'!$A$2:$A1001, "&lt;=2025-03-31"),
    COUNTIFS('Form responses 1'!$G$2:$G1001, A9, 'Form responses 1'!$A$2:$A1001, "&gt;=2025-01-01", 'Form responses 1'!$A$2:$A1001, "&lt;=2025-03-31")
)
</f>
        <v>0</v>
      </c>
      <c r="N9" s="2">
        <f>SUM(
    COUNTIFS('Form responses 1'!$C$2:$C1001, A9, 'Form responses 1'!$A$2:$A1001, "&gt;=2025-04-01", 'Form responses 1'!$A$2:$A1001, "&lt;2025-07-01"),
    COUNTIFS('Form responses 1'!$B$2:$B1001, A9, 'Form responses 1'!$A$2:$A1001, "&gt;=2025-04-01", 'Form responses 1'!$A$2:$A1001, "&lt;2025-07-01"),
    COUNTIFS('Form responses 1'!$D$2:$D1001, A9, 'Form responses 1'!$A$2:$A1001, "&gt;=2025-04-01", 'Form responses 1'!$A$2:$A1001, "&lt;2025-07-01"),
    COUNTIFS('Form responses 1'!$E$2:$E1001, A9, 'Form responses 1'!$A$2:$A1001, "&gt;=2025-04-01", 'Form responses 1'!$A$2:$A1001, "&lt;2025-07-01"),
    COUNTIFS('Form responses 1'!$F$2:$F1001, A9, 'Form responses 1'!$A$2:$A1001, "&gt;=2025-04-01", 'Form responses 1'!$A$2:$A1001, "&lt;2025-07-01"),
    COUNTIFS('Form responses 1'!$G$2:$G1001, A9, 'Form responses 1'!$A$2:$A1001, "&gt;=2025-04-01", 'Form responses 1'!$A$2:$A1001, "&lt;2025-07-01")
)
</f>
        <v>1</v>
      </c>
      <c r="O9" s="2">
        <f>SUM(
    COUNTIFS('Form responses 1'!$C$2:$C1001, A9, 'Form responses 1'!$A$2:$A1001, "&gt;=2025-07-01", 'Form responses 1'!$A$2:$A1001, "&lt;=2025-09-30"),
    COUNTIFS('Form responses 1'!$B$2:$B1001, A9, 'Form responses 1'!$A$2:$A1001, "&gt;=2025-07-01", 'Form responses 1'!$A$2:$A1001, "&lt;=2025-09-30"),
    COUNTIFS('Form responses 1'!$D$2:$D1001, A9, 'Form responses 1'!$A$2:$A1001, "&gt;=2025-07-01", 'Form responses 1'!$A$2:$A1001, "&lt;=2025-09-30"),
    COUNTIFS('Form responses 1'!$E$2:$E1001, A9, 'Form responses 1'!$A$2:$A1001, "&gt;=2025-07-01", 'Form responses 1'!$A$2:$A1001, "&lt;=2025-09-30"),
    COUNTIFS('Form responses 1'!$F$2:$F1001, A9, 'Form responses 1'!$A$2:$A1001, "&gt;=2025-07-01", 'Form responses 1'!$A$2:$A1001, "&lt;=2025-09-30"),
    COUNTIFS('Form responses 1'!$G$2:$G1001, A9, 'Form responses 1'!$A$2:$A1001, "&gt;=2025-07-01", 'Form responses 1'!$A$2:$A1001, "&lt;=2025-09-30")
)
</f>
        <v>0</v>
      </c>
      <c r="P9" s="2">
        <f>SUM(
    COUNTIFS('Form responses 1'!$C$2:$C1001, A9, 'Form responses 1'!$A$2:$A1001, "&gt;=2025-10-01", 'Form responses 1'!$A$2:$A1001, "&lt;=2025-12-31"),
    COUNTIFS('Form responses 1'!$B$2:$B1001, A9, 'Form responses 1'!$A$2:$A1001, "&gt;=2025-10-01", 'Form responses 1'!$A$2:$A1001, "&lt;=2025-12-31"),
    COUNTIFS('Form responses 1'!$D$2:$D1001, A9, 'Form responses 1'!$A$2:$A1001, "&gt;=2025-10-01", 'Form responses 1'!$A$2:$A1001, "&lt;=2025-12-31"),
    COUNTIFS('Form responses 1'!$E$2:$E1001, A9, 'Form responses 1'!$A$2:$A1001, "&gt;=2025-10-01", 'Form responses 1'!$A$2:$A1001, "&lt;=2025-12-31"),
    COUNTIFS('Form responses 1'!$F$2:$F1001, A9, 'Form responses 1'!$A$2:$A1001, "&gt;=2025-10-01", 'Form responses 1'!$A$2:$A1001, "&lt;=2025-12-31"),
    COUNTIFS('Form responses 1'!$G$2:$G1001, A9, 'Form responses 1'!$A$2:$A1001, "&gt;=2025-10-01", 'Form responses 1'!$A$2:$A1001, "&lt;=2025-12-31")
)
</f>
        <v>0</v>
      </c>
    </row>
    <row r="10">
      <c r="A10" s="6" t="str">
        <f>IFERROR(__xludf.DUMMYFUNCTION("""COMPUTED_VALUE"""),"Spijkerbroek lichtblauw papa")</f>
        <v>Spijkerbroek lichtblauw papa</v>
      </c>
      <c r="B10" s="2">
        <f>SUM(
    COUNTIFS('Form responses 1'!$C$2:$C1001, A10, 'Form responses 1'!$A$2:$A1001, "&gt;=2022-04-01", 'Form responses 1'!$A$2:$A1001, "&lt;=2022-06-30"),
    COUNTIFS('Form responses 1'!$B$2:$B1001, A10, 'Form responses 1'!$A$2:$A1001, "&gt;=2022-04-01", 'Form responses 1'!$A$2:$A1001, "&lt;=2022-06-30"),
    COUNTIFS('Form responses 1'!$D$2:$D1001, A10, 'Form responses 1'!$A$2:$A1001, "&gt;=2022-04-01", 'Form responses 1'!$A$2:$A1001, "&lt;=2022-06-30"),
    COUNTIFS('Form responses 1'!$E$2:$E1001, A10, 'Form responses 1'!$A$2:$A1001, "&gt;=2022-04-01", 'Form responses 1'!$A$2:$A1001, "&lt;=2022-06-30"),
    COUNTIFS('Form responses 1'!$F$2:$F1001, A10, 'Form responses 1'!$A$2:$A1001, "&gt;=2022-04-01", 'Form responses 1'!$A$2:$A1001, "&lt;=2022-06-30"),
    COUNTIFS('Form responses 1'!$G$2:$G1001, A10, 'Form responses 1'!$A$2:$A1001, "&gt;=2022-04-01", 'Form responses 1'!$A$2:$A1001, "&lt;=2022-06-30")
)
</f>
        <v>3</v>
      </c>
      <c r="C10" s="2">
        <f>SUM(
    COUNTIFS('Form responses 1'!$C$2:$C1001, A10, 'Form responses 1'!$A$2:$A1001, "&gt;=2022-07-01", 'Form responses 1'!$A$2:$A1001, "&lt;=2022-09-30"),
    COUNTIFS('Form responses 1'!$B$2:$B1001, A10, 'Form responses 1'!$A$2:$A1001, "&gt;=2022-07-01", 'Form responses 1'!$A$2:$A1001, "&lt;=2022-09-30"),
    COUNTIFS('Form responses 1'!$D$2:$D1001, A10, 'Form responses 1'!$A$2:$A1001, "&gt;=2022-07-01", 'Form responses 1'!$A$2:$A1001, "&lt;=2022-09-30"),
    COUNTIFS('Form responses 1'!$E$2:$E1001, A10, 'Form responses 1'!$A$2:$A1001, "&gt;=2022-07-01", 'Form responses 1'!$A$2:$A1001, "&lt;=2022-09-30"),
    COUNTIFS('Form responses 1'!$F$2:$F1001, A10, 'Form responses 1'!$A$2:$A1001, "&gt;=2022-07-01", 'Form responses 1'!$A$2:$A1001, "&lt;=2022-09-30"),
    COUNTIFS('Form responses 1'!$G$2:$G1001, A10, 'Form responses 1'!$A$2:$A1001, "&gt;=2022-07-01", 'Form responses 1'!$A$2:$A1001, "&lt;=2022-09-30")
)
</f>
        <v>0</v>
      </c>
      <c r="D10" s="2">
        <f>SUM(
    COUNTIFS('Form responses 1'!$C$2:$C1001, A10, 'Form responses 1'!$A$2:$A1001, "&gt;=2022-10-01", 'Form responses 1'!$A$2:$A1001, "&lt;=2022-12-31"),
    COUNTIFS('Form responses 1'!$B$2:$B1001, A10, 'Form responses 1'!$A$2:$A1001, "&gt;=2022-10-01", 'Form responses 1'!$A$2:$A1001, "&lt;=2022-12-31"),
    COUNTIFS('Form responses 1'!$D$2:$D1001, A10, 'Form responses 1'!$A$2:$A1001, "&gt;=2022-10-01", 'Form responses 1'!$A$2:$A1001, "&lt;=2022-12-31"),
    COUNTIFS('Form responses 1'!$E$2:$E1001, A10, 'Form responses 1'!$A$2:$A1001, "&gt;=2022-10-01", 'Form responses 1'!$A$2:$A1001, "&lt;=2022-12-31"),
    COUNTIFS('Form responses 1'!$F$2:$F1001, A10, 'Form responses 1'!$A$2:$A1001, "&gt;=2022-10-01", 'Form responses 1'!$A$2:$A1001, "&lt;=2022-12-31"),
    COUNTIFS('Form responses 1'!$G$2:$G1001, A10, 'Form responses 1'!$A$2:$A1001, "&gt;=2022-10-01", 'Form responses 1'!$A$2:$A1001, "&lt;=2022-12-31")
)
</f>
        <v>0</v>
      </c>
      <c r="E10" s="2">
        <f>SUM(
    COUNTIFS('Form responses 1'!$C$2:$C1001, A10, 'Form responses 1'!$A$2:$A1001, "&gt;=2023-01-01", 'Form responses 1'!$A$2:$A1001, "&lt;=2023-03-31"),
    COUNTIFS('Form responses 1'!$B$2:$B1001, A10, 'Form responses 1'!$A$2:$A1001, "&gt;=2023-01-01", 'Form responses 1'!$A$2:$A1001, "&lt;=2023-03-31"),
    COUNTIFS('Form responses 1'!$D$2:$D1001, A10, 'Form responses 1'!$A$2:$A1001, "&gt;=2023-01-01", 'Form responses 1'!$A$2:$A1001, "&lt;=2023-03-31"),
    COUNTIFS('Form responses 1'!$E$2:$E1001, A10, 'Form responses 1'!$A$2:$A1001, "&gt;=2023-01-01", 'Form responses 1'!$A$2:$A1001, "&lt;=2023-03-31"),
    COUNTIFS('Form responses 1'!$F$2:$F1001, A10, 'Form responses 1'!$A$2:$A1001, "&gt;=2023-01-01", 'Form responses 1'!$A$2:$A1001, "&lt;=2023-03-31"),
    COUNTIFS('Form responses 1'!$G$2:$G1001, A10, 'Form responses 1'!$A$2:$A1001, "&gt;=2023-01-01", 'Form responses 1'!$A$2:$A1001, "&lt;=2023-03-31")
)
</f>
        <v>0</v>
      </c>
      <c r="F10" s="2">
        <f>SUM(
    COUNTIFS('Form responses 1'!$C$2:$C1001, A10, 'Form responses 1'!$A$2:$A1001, "&gt;=2023-04-01", 'Form responses 1'!$A$2:$A1001, "&lt;=2023-06-30"),
    COUNTIFS('Form responses 1'!$B$2:$B1001, A10, 'Form responses 1'!$A$2:$A1001, "&gt;=2023-04-01", 'Form responses 1'!$A$2:$A1001, "&lt;=2023-06-30"),
    COUNTIFS('Form responses 1'!$D$2:$D1001, A10, 'Form responses 1'!$A$2:$A1001, "&gt;=2023-04-01", 'Form responses 1'!$A$2:$A1001, "&lt;=2023-06-30"),
    COUNTIFS('Form responses 1'!$E$2:$E1001, A10, 'Form responses 1'!$A$2:$A1001, "&gt;=2023-04-01", 'Form responses 1'!$A$2:$A1001, "&lt;=2023-06-30"),
    COUNTIFS('Form responses 1'!$F$2:$F1001, A10, 'Form responses 1'!$A$2:$A1001, "&gt;=2023-04-01", 'Form responses 1'!$A$2:$A1001, "&lt;=2023-06-30"),
    COUNTIFS('Form responses 1'!$G$2:$G1001, A10, 'Form responses 1'!$A$2:$A1001, "&gt;=2023-04-01", 'Form responses 1'!$A$2:$A1001, "&lt;=2023-06-30")
)
</f>
        <v>0</v>
      </c>
      <c r="G10" s="2">
        <f>SUM(
    COUNTIFS('Form responses 1'!$C$2:$C1001, A10, 'Form responses 1'!$A$2:$A1001, "&gt;=2023-07-01", 'Form responses 1'!$A$2:$A1001, "&lt;=2023-09-30"),
    COUNTIFS('Form responses 1'!$B$2:$B1001, A10, 'Form responses 1'!$A$2:$A1001, "&gt;=2023-07-01", 'Form responses 1'!$A$2:$A1001, "&lt;=2023-09-30"),
    COUNTIFS('Form responses 1'!$D$2:$D1001, A10, 'Form responses 1'!$A$2:$A1001, "&gt;=2023-07-01", 'Form responses 1'!$A$2:$A1001, "&lt;=2023-09-30"),
    COUNTIFS('Form responses 1'!$E$2:$E1001, A10, 'Form responses 1'!$A$2:$A1001, "&gt;=2023-07-01", 'Form responses 1'!$A$2:$A1001, "&lt;=2023-09-30"),
    COUNTIFS('Form responses 1'!$F$2:$F1001, A10, 'Form responses 1'!$A$2:$A1001, "&gt;=2023-07-01", 'Form responses 1'!$A$2:$A1001, "&lt;=2023-09-30"),
    COUNTIFS('Form responses 1'!$G$2:$G1001, A10, 'Form responses 1'!$A$2:$A1001, "&gt;=2023-07-01", 'Form responses 1'!$A$2:$A1001, "&lt;=2023-09-30")
)
</f>
        <v>0</v>
      </c>
      <c r="H10" s="2">
        <f>SUM(
    COUNTIFS('Form responses 1'!$C$2:$C1001, A10, 'Form responses 1'!$A$2:$A1001, "&gt;=2023-10-01", 'Form responses 1'!$A$2:$A1001, "&lt;=2023-12-31"),
    COUNTIFS('Form responses 1'!$B$2:$B1001, A10, 'Form responses 1'!$A$2:$A1001, "&gt;=2023-10-01", 'Form responses 1'!$A$2:$A1001, "&lt;=2023-12-31"),
    COUNTIFS('Form responses 1'!$D$2:$D1001, A10, 'Form responses 1'!$A$2:$A1001, "&gt;=2023-10-01", 'Form responses 1'!$A$2:$A1001, "&lt;=2023-12-31"),
    COUNTIFS('Form responses 1'!$E$2:$E1001, A10, 'Form responses 1'!$A$2:$A1001, "&gt;=2023-10-01", 'Form responses 1'!$A$2:$A1001, "&lt;=2023-12-31"),
    COUNTIFS('Form responses 1'!$F$2:$F1001, A10, 'Form responses 1'!$A$2:$A1001, "&gt;=2023-10-01", 'Form responses 1'!$A$2:$A1001, "&lt;=2023-12-31"),
    COUNTIFS('Form responses 1'!$G$2:$G1001, A10, 'Form responses 1'!$A$2:$A1001, "&gt;=2023-10-01", 'Form responses 1'!$A$2:$A1001, "&lt;=2023-12-31")
)
</f>
        <v>0</v>
      </c>
      <c r="I10" s="2">
        <f>SUM(
    COUNTIFS('Form responses 1'!$C$2:$C1001, A10, 'Form responses 1'!$A$2:$A1001, "&gt;=2024-01-01", 'Form responses 1'!$A$2:$A1001, "&lt;=2024-03-31"),
    COUNTIFS('Form responses 1'!$B$2:$B1001, A10, 'Form responses 1'!$A$2:$A1001, "&gt;=2024-01-01", 'Form responses 1'!$A$2:$A1001, "&lt;=2024-03-31"),
    COUNTIFS('Form responses 1'!$D$2:$D1001, A10, 'Form responses 1'!$A$2:$A1001, "&gt;=2024-01-01", 'Form responses 1'!$A$2:$A1001, "&lt;=2024-03-31"),
    COUNTIFS('Form responses 1'!$E$2:$E1001, A10, 'Form responses 1'!$A$2:$A1001, "&gt;=2024-01-01", 'Form responses 1'!$A$2:$A1001, "&lt;=2024-03-31"),
    COUNTIFS('Form responses 1'!$F$2:$F1001, A10, 'Form responses 1'!$A$2:$A1001, "&gt;=2024-01-01", 'Form responses 1'!$A$2:$A1001, "&lt;=2024-03-31"),
    COUNTIFS('Form responses 1'!$G$2:$G1001, A10, 'Form responses 1'!$A$2:$A1001, "&gt;=2024-01-01", 'Form responses 1'!$A$2:$A1001, "&lt;=2024-03-31")
)
</f>
        <v>0</v>
      </c>
      <c r="J10" s="2">
        <f>SUM(
    COUNTIFS('Form responses 1'!$C$2:$C1001, A10, 'Form responses 1'!$A$2:$A1001, "&gt;=2024-04-01", 'Form responses 1'!$A$2:$A1001, "&lt;=2024-06-30"),
    COUNTIFS('Form responses 1'!$B$2:$B1001, A10, 'Form responses 1'!$A$2:$A1001, "&gt;=2024-04-01", 'Form responses 1'!$A$2:$A1001, "&lt;=2024-06-30"),
    COUNTIFS('Form responses 1'!$D$2:$D1001, A10, 'Form responses 1'!$A$2:$A1001, "&gt;=2024-04-01", 'Form responses 1'!$A$2:$A1001, "&lt;=2024-06-30"),
    COUNTIFS('Form responses 1'!$E$2:$E1001, A10, 'Form responses 1'!$A$2:$A1001, "&gt;=2024-04-01", 'Form responses 1'!$A$2:$A1001, "&lt;=2024-06-30"),
    COUNTIFS('Form responses 1'!$F$2:$F1001, A10, 'Form responses 1'!$A$2:$A1001, "&gt;=2024-04-01", 'Form responses 1'!$A$2:$A1001, "&lt;=2024-06-30"),
    COUNTIFS('Form responses 1'!$G$2:$G1001, A10, 'Form responses 1'!$A$2:$A1001, "&gt;=2024-04-01", 'Form responses 1'!$A$2:$A1001, "&lt;=2024-06-30")
)
</f>
        <v>0</v>
      </c>
      <c r="K10" s="2">
        <f>SUM(
    COUNTIFS('Form responses 1'!$C$2:$C1001, A10, 'Form responses 1'!$A$2:$A1001, "&gt;=2024-07-01", 'Form responses 1'!$A$2:$A1001, "&lt;=2024-09-30"),
    COUNTIFS('Form responses 1'!$B$2:$B1001, A10, 'Form responses 1'!$A$2:$A1001, "&gt;=2024-07-01", 'Form responses 1'!$A$2:$A1001, "&lt;=2024-09-30"),
    COUNTIFS('Form responses 1'!$D$2:$D1001, A10, 'Form responses 1'!$A$2:$A1001, "&gt;=2024-07-01", 'Form responses 1'!$A$2:$A1001, "&lt;=2024-09-30"),
    COUNTIFS('Form responses 1'!$E$2:$E1001, A10, 'Form responses 1'!$A$2:$A1001, "&gt;=2024-07-01", 'Form responses 1'!$A$2:$A1001, "&lt;=2024-09-30"),
    COUNTIFS('Form responses 1'!$F$2:$F1001, A10, 'Form responses 1'!$A$2:$A1001, "&gt;=2024-07-01", 'Form responses 1'!$A$2:$A1001, "&lt;=2024-09-30"),
    COUNTIFS('Form responses 1'!$G$2:$G1001, A10, 'Form responses 1'!$A$2:$A1001, "&gt;=2024-07-01", 'Form responses 1'!$A$2:$A1001, "&lt;=2024-09-30")
)
</f>
        <v>0</v>
      </c>
      <c r="L10" s="2">
        <f>SUM(
    COUNTIFS('Form responses 1'!$C$2:$C1001, A10, 'Form responses 1'!$A$2:$A1001, "&gt;=2024-10-01", 'Form responses 1'!$A$2:$A1001, "&lt;=2024-12-31"),
    COUNTIFS('Form responses 1'!$B$2:$B1001, A10, 'Form responses 1'!$A$2:$A1001, "&gt;=2024-10-01", 'Form responses 1'!$A$2:$A1001, "&lt;=2024-12-31"),
    COUNTIFS('Form responses 1'!$D$2:$D1001, A10, 'Form responses 1'!$A$2:$A1001, "&gt;=2024-10-01", 'Form responses 1'!$A$2:$A1001, "&lt;=2024-12-31"),
    COUNTIFS('Form responses 1'!$E$2:$E1001, A10, 'Form responses 1'!$A$2:$A1001, "&gt;=2024-10-01", 'Form responses 1'!$A$2:$A1001, "&lt;=2024-12-31"),
    COUNTIFS('Form responses 1'!$F$2:$F1001, A10, 'Form responses 1'!$A$2:$A1001, "&gt;=2024-10-01", 'Form responses 1'!$A$2:$A1001, "&lt;=2024-12-31"),
    COUNTIFS('Form responses 1'!$G$2:$G1001, A10, 'Form responses 1'!$A$2:$A1001, "&gt;=2024-10-01", 'Form responses 1'!$A$2:$A1001, "&lt;=2024-12-31")
)
</f>
        <v>0</v>
      </c>
      <c r="M10" s="2">
        <f>SUM(
    COUNTIFS('Form responses 1'!$C$2:$C1001, A10, 'Form responses 1'!$A$2:$A1001, "&gt;=2025-01-01", 'Form responses 1'!$A$2:$A1001, "&lt;=2025-03-31"),
    COUNTIFS('Form responses 1'!$B$2:$B1001, A10, 'Form responses 1'!$A$2:$A1001, "&gt;=2025-01-01", 'Form responses 1'!$A$2:$A1001, "&lt;=2025-03-31"),
    COUNTIFS('Form responses 1'!$D$2:$D1001, A10, 'Form responses 1'!$A$2:$A1001, "&gt;=2025-01-01", 'Form responses 1'!$A$2:$A1001, "&lt;=2025-03-31"),
    COUNTIFS('Form responses 1'!$E$2:$E1001, A10, 'Form responses 1'!$A$2:$A1001, "&gt;=2025-01-01", 'Form responses 1'!$A$2:$A1001, "&lt;=2025-03-31"),
    COUNTIFS('Form responses 1'!$F$2:$F1001, A10, 'Form responses 1'!$A$2:$A1001, "&gt;=2025-01-01", 'Form responses 1'!$A$2:$A1001, "&lt;=2025-03-31"),
    COUNTIFS('Form responses 1'!$G$2:$G1001, A10, 'Form responses 1'!$A$2:$A1001, "&gt;=2025-01-01", 'Form responses 1'!$A$2:$A1001, "&lt;=2025-03-31")
)
</f>
        <v>0</v>
      </c>
      <c r="N10" s="2">
        <f>SUM(
    COUNTIFS('Form responses 1'!$C$2:$C1001, A10, 'Form responses 1'!$A$2:$A1001, "&gt;=2025-04-01", 'Form responses 1'!$A$2:$A1001, "&lt;2025-07-01"),
    COUNTIFS('Form responses 1'!$B$2:$B1001, A10, 'Form responses 1'!$A$2:$A1001, "&gt;=2025-04-01", 'Form responses 1'!$A$2:$A1001, "&lt;2025-07-01"),
    COUNTIFS('Form responses 1'!$D$2:$D1001, A10, 'Form responses 1'!$A$2:$A1001, "&gt;=2025-04-01", 'Form responses 1'!$A$2:$A1001, "&lt;2025-07-01"),
    COUNTIFS('Form responses 1'!$E$2:$E1001, A10, 'Form responses 1'!$A$2:$A1001, "&gt;=2025-04-01", 'Form responses 1'!$A$2:$A1001, "&lt;2025-07-01"),
    COUNTIFS('Form responses 1'!$F$2:$F1001, A10, 'Form responses 1'!$A$2:$A1001, "&gt;=2025-04-01", 'Form responses 1'!$A$2:$A1001, "&lt;2025-07-01"),
    COUNTIFS('Form responses 1'!$G$2:$G1001, A10, 'Form responses 1'!$A$2:$A1001, "&gt;=2025-04-01", 'Form responses 1'!$A$2:$A1001, "&lt;2025-07-01")
)
</f>
        <v>0</v>
      </c>
      <c r="O10" s="2">
        <f>SUM(
    COUNTIFS('Form responses 1'!$C$2:$C1001, A10, 'Form responses 1'!$A$2:$A1001, "&gt;=2025-07-01", 'Form responses 1'!$A$2:$A1001, "&lt;=2025-09-30"),
    COUNTIFS('Form responses 1'!$B$2:$B1001, A10, 'Form responses 1'!$A$2:$A1001, "&gt;=2025-07-01", 'Form responses 1'!$A$2:$A1001, "&lt;=2025-09-30"),
    COUNTIFS('Form responses 1'!$D$2:$D1001, A10, 'Form responses 1'!$A$2:$A1001, "&gt;=2025-07-01", 'Form responses 1'!$A$2:$A1001, "&lt;=2025-09-30"),
    COUNTIFS('Form responses 1'!$E$2:$E1001, A10, 'Form responses 1'!$A$2:$A1001, "&gt;=2025-07-01", 'Form responses 1'!$A$2:$A1001, "&lt;=2025-09-30"),
    COUNTIFS('Form responses 1'!$F$2:$F1001, A10, 'Form responses 1'!$A$2:$A1001, "&gt;=2025-07-01", 'Form responses 1'!$A$2:$A1001, "&lt;=2025-09-30"),
    COUNTIFS('Form responses 1'!$G$2:$G1001, A10, 'Form responses 1'!$A$2:$A1001, "&gt;=2025-07-01", 'Form responses 1'!$A$2:$A1001, "&lt;=2025-09-30")
)
</f>
        <v>0</v>
      </c>
      <c r="P10" s="2">
        <f>SUM(
    COUNTIFS('Form responses 1'!$C$2:$C1001, A10, 'Form responses 1'!$A$2:$A1001, "&gt;=2025-10-01", 'Form responses 1'!$A$2:$A1001, "&lt;=2025-12-31"),
    COUNTIFS('Form responses 1'!$B$2:$B1001, A10, 'Form responses 1'!$A$2:$A1001, "&gt;=2025-10-01", 'Form responses 1'!$A$2:$A1001, "&lt;=2025-12-31"),
    COUNTIFS('Form responses 1'!$D$2:$D1001, A10, 'Form responses 1'!$A$2:$A1001, "&gt;=2025-10-01", 'Form responses 1'!$A$2:$A1001, "&lt;=2025-12-31"),
    COUNTIFS('Form responses 1'!$E$2:$E1001, A10, 'Form responses 1'!$A$2:$A1001, "&gt;=2025-10-01", 'Form responses 1'!$A$2:$A1001, "&lt;=2025-12-31"),
    COUNTIFS('Form responses 1'!$F$2:$F1001, A10, 'Form responses 1'!$A$2:$A1001, "&gt;=2025-10-01", 'Form responses 1'!$A$2:$A1001, "&lt;=2025-12-31"),
    COUNTIFS('Form responses 1'!$G$2:$G1001, A10, 'Form responses 1'!$A$2:$A1001, "&gt;=2025-10-01", 'Form responses 1'!$A$2:$A1001, "&lt;=2025-12-31")
)
</f>
        <v>0</v>
      </c>
    </row>
    <row r="11">
      <c r="A11" s="3" t="str">
        <f>IFERROR(__xludf.DUMMYFUNCTION("""COMPUTED_VALUE"""),"Spijkerbroek levi's")</f>
        <v>Spijkerbroek levi's</v>
      </c>
      <c r="B11" s="2">
        <f>SUM(
    COUNTIFS('Form responses 1'!$C$2:$C1001, A11, 'Form responses 1'!$A$2:$A1001, "&gt;=2022-04-01", 'Form responses 1'!$A$2:$A1001, "&lt;=2022-06-30"),
    COUNTIFS('Form responses 1'!$B$2:$B1001, A11, 'Form responses 1'!$A$2:$A1001, "&gt;=2022-04-01", 'Form responses 1'!$A$2:$A1001, "&lt;=2022-06-30"),
    COUNTIFS('Form responses 1'!$D$2:$D1001, A11, 'Form responses 1'!$A$2:$A1001, "&gt;=2022-04-01", 'Form responses 1'!$A$2:$A1001, "&lt;=2022-06-30"),
    COUNTIFS('Form responses 1'!$E$2:$E1001, A11, 'Form responses 1'!$A$2:$A1001, "&gt;=2022-04-01", 'Form responses 1'!$A$2:$A1001, "&lt;=2022-06-30"),
    COUNTIFS('Form responses 1'!$F$2:$F1001, A11, 'Form responses 1'!$A$2:$A1001, "&gt;=2022-04-01", 'Form responses 1'!$A$2:$A1001, "&lt;=2022-06-30"),
    COUNTIFS('Form responses 1'!$G$2:$G1001, A11, 'Form responses 1'!$A$2:$A1001, "&gt;=2022-04-01", 'Form responses 1'!$A$2:$A1001, "&lt;=2022-06-30")
)
</f>
        <v>0</v>
      </c>
      <c r="C11" s="2">
        <f>SUM(
    COUNTIFS('Form responses 1'!$C$2:$C1001, A11, 'Form responses 1'!$A$2:$A1001, "&gt;=2022-07-01", 'Form responses 1'!$A$2:$A1001, "&lt;=2022-09-30"),
    COUNTIFS('Form responses 1'!$B$2:$B1001, A11, 'Form responses 1'!$A$2:$A1001, "&gt;=2022-07-01", 'Form responses 1'!$A$2:$A1001, "&lt;=2022-09-30"),
    COUNTIFS('Form responses 1'!$D$2:$D1001, A11, 'Form responses 1'!$A$2:$A1001, "&gt;=2022-07-01", 'Form responses 1'!$A$2:$A1001, "&lt;=2022-09-30"),
    COUNTIFS('Form responses 1'!$E$2:$E1001, A11, 'Form responses 1'!$A$2:$A1001, "&gt;=2022-07-01", 'Form responses 1'!$A$2:$A1001, "&lt;=2022-09-30"),
    COUNTIFS('Form responses 1'!$F$2:$F1001, A11, 'Form responses 1'!$A$2:$A1001, "&gt;=2022-07-01", 'Form responses 1'!$A$2:$A1001, "&lt;=2022-09-30"),
    COUNTIFS('Form responses 1'!$G$2:$G1001, A11, 'Form responses 1'!$A$2:$A1001, "&gt;=2022-07-01", 'Form responses 1'!$A$2:$A1001, "&lt;=2022-09-30")
)
</f>
        <v>0</v>
      </c>
      <c r="D11" s="2">
        <f>SUM(
    COUNTIFS('Form responses 1'!$C$2:$C1001, A11, 'Form responses 1'!$A$2:$A1001, "&gt;=2022-10-01", 'Form responses 1'!$A$2:$A1001, "&lt;=2022-12-31"),
    COUNTIFS('Form responses 1'!$B$2:$B1001, A11, 'Form responses 1'!$A$2:$A1001, "&gt;=2022-10-01", 'Form responses 1'!$A$2:$A1001, "&lt;=2022-12-31"),
    COUNTIFS('Form responses 1'!$D$2:$D1001, A11, 'Form responses 1'!$A$2:$A1001, "&gt;=2022-10-01", 'Form responses 1'!$A$2:$A1001, "&lt;=2022-12-31"),
    COUNTIFS('Form responses 1'!$E$2:$E1001, A11, 'Form responses 1'!$A$2:$A1001, "&gt;=2022-10-01", 'Form responses 1'!$A$2:$A1001, "&lt;=2022-12-31"),
    COUNTIFS('Form responses 1'!$F$2:$F1001, A11, 'Form responses 1'!$A$2:$A1001, "&gt;=2022-10-01", 'Form responses 1'!$A$2:$A1001, "&lt;=2022-12-31"),
    COUNTIFS('Form responses 1'!$G$2:$G1001, A11, 'Form responses 1'!$A$2:$A1001, "&gt;=2022-10-01", 'Form responses 1'!$A$2:$A1001, "&lt;=2022-12-31")
)
</f>
        <v>0</v>
      </c>
      <c r="E11" s="2">
        <f>SUM(
    COUNTIFS('Form responses 1'!$C$2:$C1001, A11, 'Form responses 1'!$A$2:$A1001, "&gt;=2023-01-01", 'Form responses 1'!$A$2:$A1001, "&lt;=2023-03-31"),
    COUNTIFS('Form responses 1'!$B$2:$B1001, A11, 'Form responses 1'!$A$2:$A1001, "&gt;=2023-01-01", 'Form responses 1'!$A$2:$A1001, "&lt;=2023-03-31"),
    COUNTIFS('Form responses 1'!$D$2:$D1001, A11, 'Form responses 1'!$A$2:$A1001, "&gt;=2023-01-01", 'Form responses 1'!$A$2:$A1001, "&lt;=2023-03-31"),
    COUNTIFS('Form responses 1'!$E$2:$E1001, A11, 'Form responses 1'!$A$2:$A1001, "&gt;=2023-01-01", 'Form responses 1'!$A$2:$A1001, "&lt;=2023-03-31"),
    COUNTIFS('Form responses 1'!$F$2:$F1001, A11, 'Form responses 1'!$A$2:$A1001, "&gt;=2023-01-01", 'Form responses 1'!$A$2:$A1001, "&lt;=2023-03-31"),
    COUNTIFS('Form responses 1'!$G$2:$G1001, A11, 'Form responses 1'!$A$2:$A1001, "&gt;=2023-01-01", 'Form responses 1'!$A$2:$A1001, "&lt;=2023-03-31")
)
</f>
        <v>13</v>
      </c>
      <c r="F11" s="2">
        <f>SUM(
    COUNTIFS('Form responses 1'!$C$2:$C1001, A11, 'Form responses 1'!$A$2:$A1001, "&gt;=2023-04-01", 'Form responses 1'!$A$2:$A1001, "&lt;=2023-06-30"),
    COUNTIFS('Form responses 1'!$B$2:$B1001, A11, 'Form responses 1'!$A$2:$A1001, "&gt;=2023-04-01", 'Form responses 1'!$A$2:$A1001, "&lt;=2023-06-30"),
    COUNTIFS('Form responses 1'!$D$2:$D1001, A11, 'Form responses 1'!$A$2:$A1001, "&gt;=2023-04-01", 'Form responses 1'!$A$2:$A1001, "&lt;=2023-06-30"),
    COUNTIFS('Form responses 1'!$E$2:$E1001, A11, 'Form responses 1'!$A$2:$A1001, "&gt;=2023-04-01", 'Form responses 1'!$A$2:$A1001, "&lt;=2023-06-30"),
    COUNTIFS('Form responses 1'!$F$2:$F1001, A11, 'Form responses 1'!$A$2:$A1001, "&gt;=2023-04-01", 'Form responses 1'!$A$2:$A1001, "&lt;=2023-06-30"),
    COUNTIFS('Form responses 1'!$G$2:$G1001, A11, 'Form responses 1'!$A$2:$A1001, "&gt;=2023-04-01", 'Form responses 1'!$A$2:$A1001, "&lt;=2023-06-30")
)
</f>
        <v>17</v>
      </c>
      <c r="G11" s="2">
        <f>SUM(
    COUNTIFS('Form responses 1'!$C$2:$C1001, A11, 'Form responses 1'!$A$2:$A1001, "&gt;=2023-07-01", 'Form responses 1'!$A$2:$A1001, "&lt;=2023-09-30"),
    COUNTIFS('Form responses 1'!$B$2:$B1001, A11, 'Form responses 1'!$A$2:$A1001, "&gt;=2023-07-01", 'Form responses 1'!$A$2:$A1001, "&lt;=2023-09-30"),
    COUNTIFS('Form responses 1'!$D$2:$D1001, A11, 'Form responses 1'!$A$2:$A1001, "&gt;=2023-07-01", 'Form responses 1'!$A$2:$A1001, "&lt;=2023-09-30"),
    COUNTIFS('Form responses 1'!$E$2:$E1001, A11, 'Form responses 1'!$A$2:$A1001, "&gt;=2023-07-01", 'Form responses 1'!$A$2:$A1001, "&lt;=2023-09-30"),
    COUNTIFS('Form responses 1'!$F$2:$F1001, A11, 'Form responses 1'!$A$2:$A1001, "&gt;=2023-07-01", 'Form responses 1'!$A$2:$A1001, "&lt;=2023-09-30"),
    COUNTIFS('Form responses 1'!$G$2:$G1001, A11, 'Form responses 1'!$A$2:$A1001, "&gt;=2023-07-01", 'Form responses 1'!$A$2:$A1001, "&lt;=2023-09-30")
)
</f>
        <v>8</v>
      </c>
      <c r="H11" s="2">
        <f>SUM(
    COUNTIFS('Form responses 1'!$C$2:$C1001, A11, 'Form responses 1'!$A$2:$A1001, "&gt;=2023-10-01", 'Form responses 1'!$A$2:$A1001, "&lt;=2023-12-31"),
    COUNTIFS('Form responses 1'!$B$2:$B1001, A11, 'Form responses 1'!$A$2:$A1001, "&gt;=2023-10-01", 'Form responses 1'!$A$2:$A1001, "&lt;=2023-12-31"),
    COUNTIFS('Form responses 1'!$D$2:$D1001, A11, 'Form responses 1'!$A$2:$A1001, "&gt;=2023-10-01", 'Form responses 1'!$A$2:$A1001, "&lt;=2023-12-31"),
    COUNTIFS('Form responses 1'!$E$2:$E1001, A11, 'Form responses 1'!$A$2:$A1001, "&gt;=2023-10-01", 'Form responses 1'!$A$2:$A1001, "&lt;=2023-12-31"),
    COUNTIFS('Form responses 1'!$F$2:$F1001, A11, 'Form responses 1'!$A$2:$A1001, "&gt;=2023-10-01", 'Form responses 1'!$A$2:$A1001, "&lt;=2023-12-31"),
    COUNTIFS('Form responses 1'!$G$2:$G1001, A11, 'Form responses 1'!$A$2:$A1001, "&gt;=2023-10-01", 'Form responses 1'!$A$2:$A1001, "&lt;=2023-12-31")
)
</f>
        <v>24</v>
      </c>
      <c r="I11" s="2">
        <f>SUM(
    COUNTIFS('Form responses 1'!$C$2:$C1001, A11, 'Form responses 1'!$A$2:$A1001, "&gt;=2024-01-01", 'Form responses 1'!$A$2:$A1001, "&lt;=2024-03-31"),
    COUNTIFS('Form responses 1'!$B$2:$B1001, A11, 'Form responses 1'!$A$2:$A1001, "&gt;=2024-01-01", 'Form responses 1'!$A$2:$A1001, "&lt;=2024-03-31"),
    COUNTIFS('Form responses 1'!$D$2:$D1001, A11, 'Form responses 1'!$A$2:$A1001, "&gt;=2024-01-01", 'Form responses 1'!$A$2:$A1001, "&lt;=2024-03-31"),
    COUNTIFS('Form responses 1'!$E$2:$E1001, A11, 'Form responses 1'!$A$2:$A1001, "&gt;=2024-01-01", 'Form responses 1'!$A$2:$A1001, "&lt;=2024-03-31"),
    COUNTIFS('Form responses 1'!$F$2:$F1001, A11, 'Form responses 1'!$A$2:$A1001, "&gt;=2024-01-01", 'Form responses 1'!$A$2:$A1001, "&lt;=2024-03-31"),
    COUNTIFS('Form responses 1'!$G$2:$G1001, A11, 'Form responses 1'!$A$2:$A1001, "&gt;=2024-01-01", 'Form responses 1'!$A$2:$A1001, "&lt;=2024-03-31")
)
</f>
        <v>12</v>
      </c>
      <c r="J11" s="2">
        <f>SUM(
    COUNTIFS('Form responses 1'!$C$2:$C1001, A11, 'Form responses 1'!$A$2:$A1001, "&gt;=2024-04-01", 'Form responses 1'!$A$2:$A1001, "&lt;=2024-06-30"),
    COUNTIFS('Form responses 1'!$B$2:$B1001, A11, 'Form responses 1'!$A$2:$A1001, "&gt;=2024-04-01", 'Form responses 1'!$A$2:$A1001, "&lt;=2024-06-30"),
    COUNTIFS('Form responses 1'!$D$2:$D1001, A11, 'Form responses 1'!$A$2:$A1001, "&gt;=2024-04-01", 'Form responses 1'!$A$2:$A1001, "&lt;=2024-06-30"),
    COUNTIFS('Form responses 1'!$E$2:$E1001, A11, 'Form responses 1'!$A$2:$A1001, "&gt;=2024-04-01", 'Form responses 1'!$A$2:$A1001, "&lt;=2024-06-30"),
    COUNTIFS('Form responses 1'!$F$2:$F1001, A11, 'Form responses 1'!$A$2:$A1001, "&gt;=2024-04-01", 'Form responses 1'!$A$2:$A1001, "&lt;=2024-06-30"),
    COUNTIFS('Form responses 1'!$G$2:$G1001, A11, 'Form responses 1'!$A$2:$A1001, "&gt;=2024-04-01", 'Form responses 1'!$A$2:$A1001, "&lt;=2024-06-30")
)
</f>
        <v>14</v>
      </c>
      <c r="K11" s="2">
        <f>SUM(
    COUNTIFS('Form responses 1'!$C$2:$C1001, A11, 'Form responses 1'!$A$2:$A1001, "&gt;=2024-07-01", 'Form responses 1'!$A$2:$A1001, "&lt;=2024-09-30"),
    COUNTIFS('Form responses 1'!$B$2:$B1001, A11, 'Form responses 1'!$A$2:$A1001, "&gt;=2024-07-01", 'Form responses 1'!$A$2:$A1001, "&lt;=2024-09-30"),
    COUNTIFS('Form responses 1'!$D$2:$D1001, A11, 'Form responses 1'!$A$2:$A1001, "&gt;=2024-07-01", 'Form responses 1'!$A$2:$A1001, "&lt;=2024-09-30"),
    COUNTIFS('Form responses 1'!$E$2:$E1001, A11, 'Form responses 1'!$A$2:$A1001, "&gt;=2024-07-01", 'Form responses 1'!$A$2:$A1001, "&lt;=2024-09-30"),
    COUNTIFS('Form responses 1'!$F$2:$F1001, A11, 'Form responses 1'!$A$2:$A1001, "&gt;=2024-07-01", 'Form responses 1'!$A$2:$A1001, "&lt;=2024-09-30"),
    COUNTIFS('Form responses 1'!$G$2:$G1001, A11, 'Form responses 1'!$A$2:$A1001, "&gt;=2024-07-01", 'Form responses 1'!$A$2:$A1001, "&lt;=2024-09-30")
)
</f>
        <v>12</v>
      </c>
      <c r="L11" s="2">
        <f>SUM(
    COUNTIFS('Form responses 1'!$C$2:$C1001, A11, 'Form responses 1'!$A$2:$A1001, "&gt;=2024-10-01", 'Form responses 1'!$A$2:$A1001, "&lt;=2024-12-31"),
    COUNTIFS('Form responses 1'!$B$2:$B1001, A11, 'Form responses 1'!$A$2:$A1001, "&gt;=2024-10-01", 'Form responses 1'!$A$2:$A1001, "&lt;=2024-12-31"),
    COUNTIFS('Form responses 1'!$D$2:$D1001, A11, 'Form responses 1'!$A$2:$A1001, "&gt;=2024-10-01", 'Form responses 1'!$A$2:$A1001, "&lt;=2024-12-31"),
    COUNTIFS('Form responses 1'!$E$2:$E1001, A11, 'Form responses 1'!$A$2:$A1001, "&gt;=2024-10-01", 'Form responses 1'!$A$2:$A1001, "&lt;=2024-12-31"),
    COUNTIFS('Form responses 1'!$F$2:$F1001, A11, 'Form responses 1'!$A$2:$A1001, "&gt;=2024-10-01", 'Form responses 1'!$A$2:$A1001, "&lt;=2024-12-31"),
    COUNTIFS('Form responses 1'!$G$2:$G1001, A11, 'Form responses 1'!$A$2:$A1001, "&gt;=2024-10-01", 'Form responses 1'!$A$2:$A1001, "&lt;=2024-12-31")
)
</f>
        <v>6</v>
      </c>
      <c r="M11" s="2">
        <f>SUM(
    COUNTIFS('Form responses 1'!$C$2:$C1001, A11, 'Form responses 1'!$A$2:$A1001, "&gt;=2025-01-01", 'Form responses 1'!$A$2:$A1001, "&lt;=2025-03-31"),
    COUNTIFS('Form responses 1'!$B$2:$B1001, A11, 'Form responses 1'!$A$2:$A1001, "&gt;=2025-01-01", 'Form responses 1'!$A$2:$A1001, "&lt;=2025-03-31"),
    COUNTIFS('Form responses 1'!$D$2:$D1001, A11, 'Form responses 1'!$A$2:$A1001, "&gt;=2025-01-01", 'Form responses 1'!$A$2:$A1001, "&lt;=2025-03-31"),
    COUNTIFS('Form responses 1'!$E$2:$E1001, A11, 'Form responses 1'!$A$2:$A1001, "&gt;=2025-01-01", 'Form responses 1'!$A$2:$A1001, "&lt;=2025-03-31"),
    COUNTIFS('Form responses 1'!$F$2:$F1001, A11, 'Form responses 1'!$A$2:$A1001, "&gt;=2025-01-01", 'Form responses 1'!$A$2:$A1001, "&lt;=2025-03-31"),
    COUNTIFS('Form responses 1'!$G$2:$G1001, A11, 'Form responses 1'!$A$2:$A1001, "&gt;=2025-01-01", 'Form responses 1'!$A$2:$A1001, "&lt;=2025-03-31")
)
</f>
        <v>30</v>
      </c>
      <c r="N11" s="2">
        <f>SUM(
    COUNTIFS('Form responses 1'!$C$2:$C1001, A11, 'Form responses 1'!$A$2:$A1001, "&gt;=2025-04-01", 'Form responses 1'!$A$2:$A1001, "&lt;2025-07-01"),
    COUNTIFS('Form responses 1'!$B$2:$B1001, A11, 'Form responses 1'!$A$2:$A1001, "&gt;=2025-04-01", 'Form responses 1'!$A$2:$A1001, "&lt;2025-07-01"),
    COUNTIFS('Form responses 1'!$D$2:$D1001, A11, 'Form responses 1'!$A$2:$A1001, "&gt;=2025-04-01", 'Form responses 1'!$A$2:$A1001, "&lt;2025-07-01"),
    COUNTIFS('Form responses 1'!$E$2:$E1001, A11, 'Form responses 1'!$A$2:$A1001, "&gt;=2025-04-01", 'Form responses 1'!$A$2:$A1001, "&lt;2025-07-01"),
    COUNTIFS('Form responses 1'!$F$2:$F1001, A11, 'Form responses 1'!$A$2:$A1001, "&gt;=2025-04-01", 'Form responses 1'!$A$2:$A1001, "&lt;2025-07-01"),
    COUNTIFS('Form responses 1'!$G$2:$G1001, A11, 'Form responses 1'!$A$2:$A1001, "&gt;=2025-04-01", 'Form responses 1'!$A$2:$A1001, "&lt;2025-07-01")
)
</f>
        <v>15</v>
      </c>
      <c r="O11" s="2">
        <f>SUM(
    COUNTIFS('Form responses 1'!$C$2:$C1001, A11, 'Form responses 1'!$A$2:$A1001, "&gt;=2025-07-01", 'Form responses 1'!$A$2:$A1001, "&lt;=2025-09-30"),
    COUNTIFS('Form responses 1'!$B$2:$B1001, A11, 'Form responses 1'!$A$2:$A1001, "&gt;=2025-07-01", 'Form responses 1'!$A$2:$A1001, "&lt;=2025-09-30"),
    COUNTIFS('Form responses 1'!$D$2:$D1001, A11, 'Form responses 1'!$A$2:$A1001, "&gt;=2025-07-01", 'Form responses 1'!$A$2:$A1001, "&lt;=2025-09-30"),
    COUNTIFS('Form responses 1'!$E$2:$E1001, A11, 'Form responses 1'!$A$2:$A1001, "&gt;=2025-07-01", 'Form responses 1'!$A$2:$A1001, "&lt;=2025-09-30"),
    COUNTIFS('Form responses 1'!$F$2:$F1001, A11, 'Form responses 1'!$A$2:$A1001, "&gt;=2025-07-01", 'Form responses 1'!$A$2:$A1001, "&lt;=2025-09-30"),
    COUNTIFS('Form responses 1'!$G$2:$G1001, A11, 'Form responses 1'!$A$2:$A1001, "&gt;=2025-07-01", 'Form responses 1'!$A$2:$A1001, "&lt;=2025-09-30")
)
</f>
        <v>4</v>
      </c>
      <c r="P11" s="2">
        <f>SUM(
    COUNTIFS('Form responses 1'!$C$2:$C1001, A11, 'Form responses 1'!$A$2:$A1001, "&gt;=2025-10-01", 'Form responses 1'!$A$2:$A1001, "&lt;=2025-12-31"),
    COUNTIFS('Form responses 1'!$B$2:$B1001, A11, 'Form responses 1'!$A$2:$A1001, "&gt;=2025-10-01", 'Form responses 1'!$A$2:$A1001, "&lt;=2025-12-31"),
    COUNTIFS('Form responses 1'!$D$2:$D1001, A11, 'Form responses 1'!$A$2:$A1001, "&gt;=2025-10-01", 'Form responses 1'!$A$2:$A1001, "&lt;=2025-12-31"),
    COUNTIFS('Form responses 1'!$E$2:$E1001, A11, 'Form responses 1'!$A$2:$A1001, "&gt;=2025-10-01", 'Form responses 1'!$A$2:$A1001, "&lt;=2025-12-31"),
    COUNTIFS('Form responses 1'!$F$2:$F1001, A11, 'Form responses 1'!$A$2:$A1001, "&gt;=2025-10-01", 'Form responses 1'!$A$2:$A1001, "&lt;=2025-12-31"),
    COUNTIFS('Form responses 1'!$G$2:$G1001, A11, 'Form responses 1'!$A$2:$A1001, "&gt;=2025-10-01", 'Form responses 1'!$A$2:$A1001, "&lt;=2025-12-31")
)
</f>
        <v>29</v>
      </c>
    </row>
    <row r="12">
      <c r="A12" s="3" t="str">
        <f>IFERROR(__xludf.DUMMYFUNCTION("""COMPUTED_VALUE"""),"Donkerblauwe spijkerbroek levi's")</f>
        <v>Donkerblauwe spijkerbroek levi's</v>
      </c>
      <c r="B12" s="2">
        <f>SUM(
    COUNTIFS('Form responses 1'!$C$2:$C1001, A12, 'Form responses 1'!$A$2:$A1001, "&gt;=2022-04-01", 'Form responses 1'!$A$2:$A1001, "&lt;=2022-06-30"),
    COUNTIFS('Form responses 1'!$B$2:$B1001, A12, 'Form responses 1'!$A$2:$A1001, "&gt;=2022-04-01", 'Form responses 1'!$A$2:$A1001, "&lt;=2022-06-30"),
    COUNTIFS('Form responses 1'!$D$2:$D1001, A12, 'Form responses 1'!$A$2:$A1001, "&gt;=2022-04-01", 'Form responses 1'!$A$2:$A1001, "&lt;=2022-06-30"),
    COUNTIFS('Form responses 1'!$E$2:$E1001, A12, 'Form responses 1'!$A$2:$A1001, "&gt;=2022-04-01", 'Form responses 1'!$A$2:$A1001, "&lt;=2022-06-30"),
    COUNTIFS('Form responses 1'!$F$2:$F1001, A12, 'Form responses 1'!$A$2:$A1001, "&gt;=2022-04-01", 'Form responses 1'!$A$2:$A1001, "&lt;=2022-06-30"),
    COUNTIFS('Form responses 1'!$G$2:$G1001, A12, 'Form responses 1'!$A$2:$A1001, "&gt;=2022-04-01", 'Form responses 1'!$A$2:$A1001, "&lt;=2022-06-30")
)
</f>
        <v>0</v>
      </c>
      <c r="C12" s="2">
        <f>SUM(
    COUNTIFS('Form responses 1'!$C$2:$C1001, A12, 'Form responses 1'!$A$2:$A1001, "&gt;=2022-07-01", 'Form responses 1'!$A$2:$A1001, "&lt;=2022-09-30"),
    COUNTIFS('Form responses 1'!$B$2:$B1001, A12, 'Form responses 1'!$A$2:$A1001, "&gt;=2022-07-01", 'Form responses 1'!$A$2:$A1001, "&lt;=2022-09-30"),
    COUNTIFS('Form responses 1'!$D$2:$D1001, A12, 'Form responses 1'!$A$2:$A1001, "&gt;=2022-07-01", 'Form responses 1'!$A$2:$A1001, "&lt;=2022-09-30"),
    COUNTIFS('Form responses 1'!$E$2:$E1001, A12, 'Form responses 1'!$A$2:$A1001, "&gt;=2022-07-01", 'Form responses 1'!$A$2:$A1001, "&lt;=2022-09-30"),
    COUNTIFS('Form responses 1'!$F$2:$F1001, A12, 'Form responses 1'!$A$2:$A1001, "&gt;=2022-07-01", 'Form responses 1'!$A$2:$A1001, "&lt;=2022-09-30"),
    COUNTIFS('Form responses 1'!$G$2:$G1001, A12, 'Form responses 1'!$A$2:$A1001, "&gt;=2022-07-01", 'Form responses 1'!$A$2:$A1001, "&lt;=2022-09-30")
)
</f>
        <v>0</v>
      </c>
      <c r="D12" s="2">
        <f>SUM(
    COUNTIFS('Form responses 1'!$C$2:$C1001, A12, 'Form responses 1'!$A$2:$A1001, "&gt;=2022-10-01", 'Form responses 1'!$A$2:$A1001, "&lt;=2022-12-31"),
    COUNTIFS('Form responses 1'!$B$2:$B1001, A12, 'Form responses 1'!$A$2:$A1001, "&gt;=2022-10-01", 'Form responses 1'!$A$2:$A1001, "&lt;=2022-12-31"),
    COUNTIFS('Form responses 1'!$D$2:$D1001, A12, 'Form responses 1'!$A$2:$A1001, "&gt;=2022-10-01", 'Form responses 1'!$A$2:$A1001, "&lt;=2022-12-31"),
    COUNTIFS('Form responses 1'!$E$2:$E1001, A12, 'Form responses 1'!$A$2:$A1001, "&gt;=2022-10-01", 'Form responses 1'!$A$2:$A1001, "&lt;=2022-12-31"),
    COUNTIFS('Form responses 1'!$F$2:$F1001, A12, 'Form responses 1'!$A$2:$A1001, "&gt;=2022-10-01", 'Form responses 1'!$A$2:$A1001, "&lt;=2022-12-31"),
    COUNTIFS('Form responses 1'!$G$2:$G1001, A12, 'Form responses 1'!$A$2:$A1001, "&gt;=2022-10-01", 'Form responses 1'!$A$2:$A1001, "&lt;=2022-12-31")
)
</f>
        <v>0</v>
      </c>
      <c r="E12" s="2">
        <f>SUM(
    COUNTIFS('Form responses 1'!$C$2:$C1001, A12, 'Form responses 1'!$A$2:$A1001, "&gt;=2023-01-01", 'Form responses 1'!$A$2:$A1001, "&lt;=2023-03-31"),
    COUNTIFS('Form responses 1'!$B$2:$B1001, A12, 'Form responses 1'!$A$2:$A1001, "&gt;=2023-01-01", 'Form responses 1'!$A$2:$A1001, "&lt;=2023-03-31"),
    COUNTIFS('Form responses 1'!$D$2:$D1001, A12, 'Form responses 1'!$A$2:$A1001, "&gt;=2023-01-01", 'Form responses 1'!$A$2:$A1001, "&lt;=2023-03-31"),
    COUNTIFS('Form responses 1'!$E$2:$E1001, A12, 'Form responses 1'!$A$2:$A1001, "&gt;=2023-01-01", 'Form responses 1'!$A$2:$A1001, "&lt;=2023-03-31"),
    COUNTIFS('Form responses 1'!$F$2:$F1001, A12, 'Form responses 1'!$A$2:$A1001, "&gt;=2023-01-01", 'Form responses 1'!$A$2:$A1001, "&lt;=2023-03-31"),
    COUNTIFS('Form responses 1'!$G$2:$G1001, A12, 'Form responses 1'!$A$2:$A1001, "&gt;=2023-01-01", 'Form responses 1'!$A$2:$A1001, "&lt;=2023-03-31")
)
</f>
        <v>0</v>
      </c>
      <c r="F12" s="2">
        <f>SUM(
    COUNTIFS('Form responses 1'!$C$2:$C1001, A12, 'Form responses 1'!$A$2:$A1001, "&gt;=2023-04-01", 'Form responses 1'!$A$2:$A1001, "&lt;=2023-06-30"),
    COUNTIFS('Form responses 1'!$B$2:$B1001, A12, 'Form responses 1'!$A$2:$A1001, "&gt;=2023-04-01", 'Form responses 1'!$A$2:$A1001, "&lt;=2023-06-30"),
    COUNTIFS('Form responses 1'!$D$2:$D1001, A12, 'Form responses 1'!$A$2:$A1001, "&gt;=2023-04-01", 'Form responses 1'!$A$2:$A1001, "&lt;=2023-06-30"),
    COUNTIFS('Form responses 1'!$E$2:$E1001, A12, 'Form responses 1'!$A$2:$A1001, "&gt;=2023-04-01", 'Form responses 1'!$A$2:$A1001, "&lt;=2023-06-30"),
    COUNTIFS('Form responses 1'!$F$2:$F1001, A12, 'Form responses 1'!$A$2:$A1001, "&gt;=2023-04-01", 'Form responses 1'!$A$2:$A1001, "&lt;=2023-06-30"),
    COUNTIFS('Form responses 1'!$G$2:$G1001, A12, 'Form responses 1'!$A$2:$A1001, "&gt;=2023-04-01", 'Form responses 1'!$A$2:$A1001, "&lt;=2023-06-30")
)
</f>
        <v>0</v>
      </c>
      <c r="G12" s="2">
        <f>SUM(
    COUNTIFS('Form responses 1'!$C$2:$C1001, A12, 'Form responses 1'!$A$2:$A1001, "&gt;=2023-07-01", 'Form responses 1'!$A$2:$A1001, "&lt;=2023-09-30"),
    COUNTIFS('Form responses 1'!$B$2:$B1001, A12, 'Form responses 1'!$A$2:$A1001, "&gt;=2023-07-01", 'Form responses 1'!$A$2:$A1001, "&lt;=2023-09-30"),
    COUNTIFS('Form responses 1'!$D$2:$D1001, A12, 'Form responses 1'!$A$2:$A1001, "&gt;=2023-07-01", 'Form responses 1'!$A$2:$A1001, "&lt;=2023-09-30"),
    COUNTIFS('Form responses 1'!$E$2:$E1001, A12, 'Form responses 1'!$A$2:$A1001, "&gt;=2023-07-01", 'Form responses 1'!$A$2:$A1001, "&lt;=2023-09-30"),
    COUNTIFS('Form responses 1'!$F$2:$F1001, A12, 'Form responses 1'!$A$2:$A1001, "&gt;=2023-07-01", 'Form responses 1'!$A$2:$A1001, "&lt;=2023-09-30"),
    COUNTIFS('Form responses 1'!$G$2:$G1001, A12, 'Form responses 1'!$A$2:$A1001, "&gt;=2023-07-01", 'Form responses 1'!$A$2:$A1001, "&lt;=2023-09-30")
)
</f>
        <v>0</v>
      </c>
      <c r="H12" s="2">
        <f>SUM(
    COUNTIFS('Form responses 1'!$C$2:$C1001, A12, 'Form responses 1'!$A$2:$A1001, "&gt;=2023-10-01", 'Form responses 1'!$A$2:$A1001, "&lt;=2023-12-31"),
    COUNTIFS('Form responses 1'!$B$2:$B1001, A12, 'Form responses 1'!$A$2:$A1001, "&gt;=2023-10-01", 'Form responses 1'!$A$2:$A1001, "&lt;=2023-12-31"),
    COUNTIFS('Form responses 1'!$D$2:$D1001, A12, 'Form responses 1'!$A$2:$A1001, "&gt;=2023-10-01", 'Form responses 1'!$A$2:$A1001, "&lt;=2023-12-31"),
    COUNTIFS('Form responses 1'!$E$2:$E1001, A12, 'Form responses 1'!$A$2:$A1001, "&gt;=2023-10-01", 'Form responses 1'!$A$2:$A1001, "&lt;=2023-12-31"),
    COUNTIFS('Form responses 1'!$F$2:$F1001, A12, 'Form responses 1'!$A$2:$A1001, "&gt;=2023-10-01", 'Form responses 1'!$A$2:$A1001, "&lt;=2023-12-31"),
    COUNTIFS('Form responses 1'!$G$2:$G1001, A12, 'Form responses 1'!$A$2:$A1001, "&gt;=2023-10-01", 'Form responses 1'!$A$2:$A1001, "&lt;=2023-12-31")
)
</f>
        <v>0</v>
      </c>
      <c r="I12" s="2">
        <f>SUM(
    COUNTIFS('Form responses 1'!$C$2:$C1001, A12, 'Form responses 1'!$A$2:$A1001, "&gt;=2024-01-01", 'Form responses 1'!$A$2:$A1001, "&lt;=2024-03-31"),
    COUNTIFS('Form responses 1'!$B$2:$B1001, A12, 'Form responses 1'!$A$2:$A1001, "&gt;=2024-01-01", 'Form responses 1'!$A$2:$A1001, "&lt;=2024-03-31"),
    COUNTIFS('Form responses 1'!$D$2:$D1001, A12, 'Form responses 1'!$A$2:$A1001, "&gt;=2024-01-01", 'Form responses 1'!$A$2:$A1001, "&lt;=2024-03-31"),
    COUNTIFS('Form responses 1'!$E$2:$E1001, A12, 'Form responses 1'!$A$2:$A1001, "&gt;=2024-01-01", 'Form responses 1'!$A$2:$A1001, "&lt;=2024-03-31"),
    COUNTIFS('Form responses 1'!$F$2:$F1001, A12, 'Form responses 1'!$A$2:$A1001, "&gt;=2024-01-01", 'Form responses 1'!$A$2:$A1001, "&lt;=2024-03-31"),
    COUNTIFS('Form responses 1'!$G$2:$G1001, A12, 'Form responses 1'!$A$2:$A1001, "&gt;=2024-01-01", 'Form responses 1'!$A$2:$A1001, "&lt;=2024-03-31")
)
</f>
        <v>23</v>
      </c>
      <c r="J12" s="2">
        <f>SUM(
    COUNTIFS('Form responses 1'!$C$2:$C1001, A12, 'Form responses 1'!$A$2:$A1001, "&gt;=2024-04-01", 'Form responses 1'!$A$2:$A1001, "&lt;=2024-06-30"),
    COUNTIFS('Form responses 1'!$B$2:$B1001, A12, 'Form responses 1'!$A$2:$A1001, "&gt;=2024-04-01", 'Form responses 1'!$A$2:$A1001, "&lt;=2024-06-30"),
    COUNTIFS('Form responses 1'!$D$2:$D1001, A12, 'Form responses 1'!$A$2:$A1001, "&gt;=2024-04-01", 'Form responses 1'!$A$2:$A1001, "&lt;=2024-06-30"),
    COUNTIFS('Form responses 1'!$E$2:$E1001, A12, 'Form responses 1'!$A$2:$A1001, "&gt;=2024-04-01", 'Form responses 1'!$A$2:$A1001, "&lt;=2024-06-30"),
    COUNTIFS('Form responses 1'!$F$2:$F1001, A12, 'Form responses 1'!$A$2:$A1001, "&gt;=2024-04-01", 'Form responses 1'!$A$2:$A1001, "&lt;=2024-06-30"),
    COUNTIFS('Form responses 1'!$G$2:$G1001, A12, 'Form responses 1'!$A$2:$A1001, "&gt;=2024-04-01", 'Form responses 1'!$A$2:$A1001, "&lt;=2024-06-30")
)
</f>
        <v>10</v>
      </c>
      <c r="K12" s="2">
        <f>SUM(
    COUNTIFS('Form responses 1'!$C$2:$C1001, A12, 'Form responses 1'!$A$2:$A1001, "&gt;=2024-07-01", 'Form responses 1'!$A$2:$A1001, "&lt;=2024-09-30"),
    COUNTIFS('Form responses 1'!$B$2:$B1001, A12, 'Form responses 1'!$A$2:$A1001, "&gt;=2024-07-01", 'Form responses 1'!$A$2:$A1001, "&lt;=2024-09-30"),
    COUNTIFS('Form responses 1'!$D$2:$D1001, A12, 'Form responses 1'!$A$2:$A1001, "&gt;=2024-07-01", 'Form responses 1'!$A$2:$A1001, "&lt;=2024-09-30"),
    COUNTIFS('Form responses 1'!$E$2:$E1001, A12, 'Form responses 1'!$A$2:$A1001, "&gt;=2024-07-01", 'Form responses 1'!$A$2:$A1001, "&lt;=2024-09-30"),
    COUNTIFS('Form responses 1'!$F$2:$F1001, A12, 'Form responses 1'!$A$2:$A1001, "&gt;=2024-07-01", 'Form responses 1'!$A$2:$A1001, "&lt;=2024-09-30"),
    COUNTIFS('Form responses 1'!$G$2:$G1001, A12, 'Form responses 1'!$A$2:$A1001, "&gt;=2024-07-01", 'Form responses 1'!$A$2:$A1001, "&lt;=2024-09-30")
)
</f>
        <v>5</v>
      </c>
      <c r="L12" s="2">
        <f>SUM(
    COUNTIFS('Form responses 1'!$C$2:$C1001, A12, 'Form responses 1'!$A$2:$A1001, "&gt;=2024-10-01", 'Form responses 1'!$A$2:$A1001, "&lt;=2024-12-31"),
    COUNTIFS('Form responses 1'!$B$2:$B1001, A12, 'Form responses 1'!$A$2:$A1001, "&gt;=2024-10-01", 'Form responses 1'!$A$2:$A1001, "&lt;=2024-12-31"),
    COUNTIFS('Form responses 1'!$D$2:$D1001, A12, 'Form responses 1'!$A$2:$A1001, "&gt;=2024-10-01", 'Form responses 1'!$A$2:$A1001, "&lt;=2024-12-31"),
    COUNTIFS('Form responses 1'!$E$2:$E1001, A12, 'Form responses 1'!$A$2:$A1001, "&gt;=2024-10-01", 'Form responses 1'!$A$2:$A1001, "&lt;=2024-12-31"),
    COUNTIFS('Form responses 1'!$F$2:$F1001, A12, 'Form responses 1'!$A$2:$A1001, "&gt;=2024-10-01", 'Form responses 1'!$A$2:$A1001, "&lt;=2024-12-31"),
    COUNTIFS('Form responses 1'!$G$2:$G1001, A12, 'Form responses 1'!$A$2:$A1001, "&gt;=2024-10-01", 'Form responses 1'!$A$2:$A1001, "&lt;=2024-12-31")
)
</f>
        <v>0</v>
      </c>
      <c r="M12" s="2">
        <f>SUM(
    COUNTIFS('Form responses 1'!$C$2:$C1001, A12, 'Form responses 1'!$A$2:$A1001, "&gt;=2025-01-01", 'Form responses 1'!$A$2:$A1001, "&lt;=2025-03-31"),
    COUNTIFS('Form responses 1'!$B$2:$B1001, A12, 'Form responses 1'!$A$2:$A1001, "&gt;=2025-01-01", 'Form responses 1'!$A$2:$A1001, "&lt;=2025-03-31"),
    COUNTIFS('Form responses 1'!$D$2:$D1001, A12, 'Form responses 1'!$A$2:$A1001, "&gt;=2025-01-01", 'Form responses 1'!$A$2:$A1001, "&lt;=2025-03-31"),
    COUNTIFS('Form responses 1'!$E$2:$E1001, A12, 'Form responses 1'!$A$2:$A1001, "&gt;=2025-01-01", 'Form responses 1'!$A$2:$A1001, "&lt;=2025-03-31"),
    COUNTIFS('Form responses 1'!$F$2:$F1001, A12, 'Form responses 1'!$A$2:$A1001, "&gt;=2025-01-01", 'Form responses 1'!$A$2:$A1001, "&lt;=2025-03-31"),
    COUNTIFS('Form responses 1'!$G$2:$G1001, A12, 'Form responses 1'!$A$2:$A1001, "&gt;=2025-01-01", 'Form responses 1'!$A$2:$A1001, "&lt;=2025-03-31")
)
</f>
        <v>0</v>
      </c>
      <c r="N12" s="2">
        <f>SUM(
    COUNTIFS('Form responses 1'!$C$2:$C1001, A12, 'Form responses 1'!$A$2:$A1001, "&gt;=2025-04-01", 'Form responses 1'!$A$2:$A1001, "&lt;2025-07-01"),
    COUNTIFS('Form responses 1'!$B$2:$B1001, A12, 'Form responses 1'!$A$2:$A1001, "&gt;=2025-04-01", 'Form responses 1'!$A$2:$A1001, "&lt;2025-07-01"),
    COUNTIFS('Form responses 1'!$D$2:$D1001, A12, 'Form responses 1'!$A$2:$A1001, "&gt;=2025-04-01", 'Form responses 1'!$A$2:$A1001, "&lt;2025-07-01"),
    COUNTIFS('Form responses 1'!$E$2:$E1001, A12, 'Form responses 1'!$A$2:$A1001, "&gt;=2025-04-01", 'Form responses 1'!$A$2:$A1001, "&lt;2025-07-01"),
    COUNTIFS('Form responses 1'!$F$2:$F1001, A12, 'Form responses 1'!$A$2:$A1001, "&gt;=2025-04-01", 'Form responses 1'!$A$2:$A1001, "&lt;2025-07-01"),
    COUNTIFS('Form responses 1'!$G$2:$G1001, A12, 'Form responses 1'!$A$2:$A1001, "&gt;=2025-04-01", 'Form responses 1'!$A$2:$A1001, "&lt;2025-07-01")
)
</f>
        <v>4</v>
      </c>
      <c r="O12" s="2">
        <f>SUM(
    COUNTIFS('Form responses 1'!$C$2:$C1001, A12, 'Form responses 1'!$A$2:$A1001, "&gt;=2025-07-01", 'Form responses 1'!$A$2:$A1001, "&lt;=2025-09-30"),
    COUNTIFS('Form responses 1'!$B$2:$B1001, A12, 'Form responses 1'!$A$2:$A1001, "&gt;=2025-07-01", 'Form responses 1'!$A$2:$A1001, "&lt;=2025-09-30"),
    COUNTIFS('Form responses 1'!$D$2:$D1001, A12, 'Form responses 1'!$A$2:$A1001, "&gt;=2025-07-01", 'Form responses 1'!$A$2:$A1001, "&lt;=2025-09-30"),
    COUNTIFS('Form responses 1'!$E$2:$E1001, A12, 'Form responses 1'!$A$2:$A1001, "&gt;=2025-07-01", 'Form responses 1'!$A$2:$A1001, "&lt;=2025-09-30"),
    COUNTIFS('Form responses 1'!$F$2:$F1001, A12, 'Form responses 1'!$A$2:$A1001, "&gt;=2025-07-01", 'Form responses 1'!$A$2:$A1001, "&lt;=2025-09-30"),
    COUNTIFS('Form responses 1'!$G$2:$G1001, A12, 'Form responses 1'!$A$2:$A1001, "&gt;=2025-07-01", 'Form responses 1'!$A$2:$A1001, "&lt;=2025-09-30")
)
</f>
        <v>0</v>
      </c>
      <c r="P12" s="2">
        <f>SUM(
    COUNTIFS('Form responses 1'!$C$2:$C1001, A12, 'Form responses 1'!$A$2:$A1001, "&gt;=2025-10-01", 'Form responses 1'!$A$2:$A1001, "&lt;=2025-12-31"),
    COUNTIFS('Form responses 1'!$B$2:$B1001, A12, 'Form responses 1'!$A$2:$A1001, "&gt;=2025-10-01", 'Form responses 1'!$A$2:$A1001, "&lt;=2025-12-31"),
    COUNTIFS('Form responses 1'!$D$2:$D1001, A12, 'Form responses 1'!$A$2:$A1001, "&gt;=2025-10-01", 'Form responses 1'!$A$2:$A1001, "&lt;=2025-12-31"),
    COUNTIFS('Form responses 1'!$E$2:$E1001, A12, 'Form responses 1'!$A$2:$A1001, "&gt;=2025-10-01", 'Form responses 1'!$A$2:$A1001, "&lt;=2025-12-31"),
    COUNTIFS('Form responses 1'!$F$2:$F1001, A12, 'Form responses 1'!$A$2:$A1001, "&gt;=2025-10-01", 'Form responses 1'!$A$2:$A1001, "&lt;=2025-12-31"),
    COUNTIFS('Form responses 1'!$G$2:$G1001, A12, 'Form responses 1'!$A$2:$A1001, "&gt;=2025-10-01", 'Form responses 1'!$A$2:$A1001, "&lt;=2025-12-31")
)
</f>
        <v>0</v>
      </c>
    </row>
    <row r="13">
      <c r="A13" s="3" t="str">
        <f>IFERROR(__xludf.DUMMYFUNCTION("""COMPUTED_VALUE"""),"Beige levi's")</f>
        <v>Beige levi's</v>
      </c>
      <c r="B13" s="2">
        <f>SUM(
    COUNTIFS('Form responses 1'!$C$2:$C1001, A13, 'Form responses 1'!$A$2:$A1001, "&gt;=2022-04-01", 'Form responses 1'!$A$2:$A1001, "&lt;=2022-06-30"),
    COUNTIFS('Form responses 1'!$B$2:$B1001, A13, 'Form responses 1'!$A$2:$A1001, "&gt;=2022-04-01", 'Form responses 1'!$A$2:$A1001, "&lt;=2022-06-30"),
    COUNTIFS('Form responses 1'!$D$2:$D1001, A13, 'Form responses 1'!$A$2:$A1001, "&gt;=2022-04-01", 'Form responses 1'!$A$2:$A1001, "&lt;=2022-06-30"),
    COUNTIFS('Form responses 1'!$E$2:$E1001, A13, 'Form responses 1'!$A$2:$A1001, "&gt;=2022-04-01", 'Form responses 1'!$A$2:$A1001, "&lt;=2022-06-30"),
    COUNTIFS('Form responses 1'!$F$2:$F1001, A13, 'Form responses 1'!$A$2:$A1001, "&gt;=2022-04-01", 'Form responses 1'!$A$2:$A1001, "&lt;=2022-06-30"),
    COUNTIFS('Form responses 1'!$G$2:$G1001, A13, 'Form responses 1'!$A$2:$A1001, "&gt;=2022-04-01", 'Form responses 1'!$A$2:$A1001, "&lt;=2022-06-30")
)
</f>
        <v>0</v>
      </c>
      <c r="C13" s="2">
        <f>SUM(
    COUNTIFS('Form responses 1'!$C$2:$C1001, A13, 'Form responses 1'!$A$2:$A1001, "&gt;=2022-07-01", 'Form responses 1'!$A$2:$A1001, "&lt;=2022-09-30"),
    COUNTIFS('Form responses 1'!$B$2:$B1001, A13, 'Form responses 1'!$A$2:$A1001, "&gt;=2022-07-01", 'Form responses 1'!$A$2:$A1001, "&lt;=2022-09-30"),
    COUNTIFS('Form responses 1'!$D$2:$D1001, A13, 'Form responses 1'!$A$2:$A1001, "&gt;=2022-07-01", 'Form responses 1'!$A$2:$A1001, "&lt;=2022-09-30"),
    COUNTIFS('Form responses 1'!$E$2:$E1001, A13, 'Form responses 1'!$A$2:$A1001, "&gt;=2022-07-01", 'Form responses 1'!$A$2:$A1001, "&lt;=2022-09-30"),
    COUNTIFS('Form responses 1'!$F$2:$F1001, A13, 'Form responses 1'!$A$2:$A1001, "&gt;=2022-07-01", 'Form responses 1'!$A$2:$A1001, "&lt;=2022-09-30"),
    COUNTIFS('Form responses 1'!$G$2:$G1001, A13, 'Form responses 1'!$A$2:$A1001, "&gt;=2022-07-01", 'Form responses 1'!$A$2:$A1001, "&lt;=2022-09-30")
)
</f>
        <v>0</v>
      </c>
      <c r="D13" s="2">
        <f>SUM(
    COUNTIFS('Form responses 1'!$C$2:$C1001, A13, 'Form responses 1'!$A$2:$A1001, "&gt;=2022-10-01", 'Form responses 1'!$A$2:$A1001, "&lt;=2022-12-31"),
    COUNTIFS('Form responses 1'!$B$2:$B1001, A13, 'Form responses 1'!$A$2:$A1001, "&gt;=2022-10-01", 'Form responses 1'!$A$2:$A1001, "&lt;=2022-12-31"),
    COUNTIFS('Form responses 1'!$D$2:$D1001, A13, 'Form responses 1'!$A$2:$A1001, "&gt;=2022-10-01", 'Form responses 1'!$A$2:$A1001, "&lt;=2022-12-31"),
    COUNTIFS('Form responses 1'!$E$2:$E1001, A13, 'Form responses 1'!$A$2:$A1001, "&gt;=2022-10-01", 'Form responses 1'!$A$2:$A1001, "&lt;=2022-12-31"),
    COUNTIFS('Form responses 1'!$F$2:$F1001, A13, 'Form responses 1'!$A$2:$A1001, "&gt;=2022-10-01", 'Form responses 1'!$A$2:$A1001, "&lt;=2022-12-31"),
    COUNTIFS('Form responses 1'!$G$2:$G1001, A13, 'Form responses 1'!$A$2:$A1001, "&gt;=2022-10-01", 'Form responses 1'!$A$2:$A1001, "&lt;=2022-12-31")
)
</f>
        <v>0</v>
      </c>
      <c r="E13" s="2">
        <f>SUM(
    COUNTIFS('Form responses 1'!$C$2:$C1001, A13, 'Form responses 1'!$A$2:$A1001, "&gt;=2023-01-01", 'Form responses 1'!$A$2:$A1001, "&lt;=2023-03-31"),
    COUNTIFS('Form responses 1'!$B$2:$B1001, A13, 'Form responses 1'!$A$2:$A1001, "&gt;=2023-01-01", 'Form responses 1'!$A$2:$A1001, "&lt;=2023-03-31"),
    COUNTIFS('Form responses 1'!$D$2:$D1001, A13, 'Form responses 1'!$A$2:$A1001, "&gt;=2023-01-01", 'Form responses 1'!$A$2:$A1001, "&lt;=2023-03-31"),
    COUNTIFS('Form responses 1'!$E$2:$E1001, A13, 'Form responses 1'!$A$2:$A1001, "&gt;=2023-01-01", 'Form responses 1'!$A$2:$A1001, "&lt;=2023-03-31"),
    COUNTIFS('Form responses 1'!$F$2:$F1001, A13, 'Form responses 1'!$A$2:$A1001, "&gt;=2023-01-01", 'Form responses 1'!$A$2:$A1001, "&lt;=2023-03-31"),
    COUNTIFS('Form responses 1'!$G$2:$G1001, A13, 'Form responses 1'!$A$2:$A1001, "&gt;=2023-01-01", 'Form responses 1'!$A$2:$A1001, "&lt;=2023-03-31")
)
</f>
        <v>0</v>
      </c>
      <c r="F13" s="2">
        <f>SUM(
    COUNTIFS('Form responses 1'!$C$2:$C1001, A13, 'Form responses 1'!$A$2:$A1001, "&gt;=2023-04-01", 'Form responses 1'!$A$2:$A1001, "&lt;=2023-06-30"),
    COUNTIFS('Form responses 1'!$B$2:$B1001, A13, 'Form responses 1'!$A$2:$A1001, "&gt;=2023-04-01", 'Form responses 1'!$A$2:$A1001, "&lt;=2023-06-30"),
    COUNTIFS('Form responses 1'!$D$2:$D1001, A13, 'Form responses 1'!$A$2:$A1001, "&gt;=2023-04-01", 'Form responses 1'!$A$2:$A1001, "&lt;=2023-06-30"),
    COUNTIFS('Form responses 1'!$E$2:$E1001, A13, 'Form responses 1'!$A$2:$A1001, "&gt;=2023-04-01", 'Form responses 1'!$A$2:$A1001, "&lt;=2023-06-30"),
    COUNTIFS('Form responses 1'!$F$2:$F1001, A13, 'Form responses 1'!$A$2:$A1001, "&gt;=2023-04-01", 'Form responses 1'!$A$2:$A1001, "&lt;=2023-06-30"),
    COUNTIFS('Form responses 1'!$G$2:$G1001, A13, 'Form responses 1'!$A$2:$A1001, "&gt;=2023-04-01", 'Form responses 1'!$A$2:$A1001, "&lt;=2023-06-30")
)
</f>
        <v>0</v>
      </c>
      <c r="G13" s="2">
        <f>SUM(
    COUNTIFS('Form responses 1'!$C$2:$C1001, A13, 'Form responses 1'!$A$2:$A1001, "&gt;=2023-07-01", 'Form responses 1'!$A$2:$A1001, "&lt;=2023-09-30"),
    COUNTIFS('Form responses 1'!$B$2:$B1001, A13, 'Form responses 1'!$A$2:$A1001, "&gt;=2023-07-01", 'Form responses 1'!$A$2:$A1001, "&lt;=2023-09-30"),
    COUNTIFS('Form responses 1'!$D$2:$D1001, A13, 'Form responses 1'!$A$2:$A1001, "&gt;=2023-07-01", 'Form responses 1'!$A$2:$A1001, "&lt;=2023-09-30"),
    COUNTIFS('Form responses 1'!$E$2:$E1001, A13, 'Form responses 1'!$A$2:$A1001, "&gt;=2023-07-01", 'Form responses 1'!$A$2:$A1001, "&lt;=2023-09-30"),
    COUNTIFS('Form responses 1'!$F$2:$F1001, A13, 'Form responses 1'!$A$2:$A1001, "&gt;=2023-07-01", 'Form responses 1'!$A$2:$A1001, "&lt;=2023-09-30"),
    COUNTIFS('Form responses 1'!$G$2:$G1001, A13, 'Form responses 1'!$A$2:$A1001, "&gt;=2023-07-01", 'Form responses 1'!$A$2:$A1001, "&lt;=2023-09-30")
)
</f>
        <v>0</v>
      </c>
      <c r="H13" s="2">
        <f>SUM(
    COUNTIFS('Form responses 1'!$C$2:$C1001, A13, 'Form responses 1'!$A$2:$A1001, "&gt;=2023-10-01", 'Form responses 1'!$A$2:$A1001, "&lt;=2023-12-31"),
    COUNTIFS('Form responses 1'!$B$2:$B1001, A13, 'Form responses 1'!$A$2:$A1001, "&gt;=2023-10-01", 'Form responses 1'!$A$2:$A1001, "&lt;=2023-12-31"),
    COUNTIFS('Form responses 1'!$D$2:$D1001, A13, 'Form responses 1'!$A$2:$A1001, "&gt;=2023-10-01", 'Form responses 1'!$A$2:$A1001, "&lt;=2023-12-31"),
    COUNTIFS('Form responses 1'!$E$2:$E1001, A13, 'Form responses 1'!$A$2:$A1001, "&gt;=2023-10-01", 'Form responses 1'!$A$2:$A1001, "&lt;=2023-12-31"),
    COUNTIFS('Form responses 1'!$F$2:$F1001, A13, 'Form responses 1'!$A$2:$A1001, "&gt;=2023-10-01", 'Form responses 1'!$A$2:$A1001, "&lt;=2023-12-31"),
    COUNTIFS('Form responses 1'!$G$2:$G1001, A13, 'Form responses 1'!$A$2:$A1001, "&gt;=2023-10-01", 'Form responses 1'!$A$2:$A1001, "&lt;=2023-12-31")
)
</f>
        <v>0</v>
      </c>
      <c r="I13" s="2">
        <f>SUM(
    COUNTIFS('Form responses 1'!$C$2:$C1001, A13, 'Form responses 1'!$A$2:$A1001, "&gt;=2024-01-01", 'Form responses 1'!$A$2:$A1001, "&lt;=2024-03-31"),
    COUNTIFS('Form responses 1'!$B$2:$B1001, A13, 'Form responses 1'!$A$2:$A1001, "&gt;=2024-01-01", 'Form responses 1'!$A$2:$A1001, "&lt;=2024-03-31"),
    COUNTIFS('Form responses 1'!$D$2:$D1001, A13, 'Form responses 1'!$A$2:$A1001, "&gt;=2024-01-01", 'Form responses 1'!$A$2:$A1001, "&lt;=2024-03-31"),
    COUNTIFS('Form responses 1'!$E$2:$E1001, A13, 'Form responses 1'!$A$2:$A1001, "&gt;=2024-01-01", 'Form responses 1'!$A$2:$A1001, "&lt;=2024-03-31"),
    COUNTIFS('Form responses 1'!$F$2:$F1001, A13, 'Form responses 1'!$A$2:$A1001, "&gt;=2024-01-01", 'Form responses 1'!$A$2:$A1001, "&lt;=2024-03-31"),
    COUNTIFS('Form responses 1'!$G$2:$G1001, A13, 'Form responses 1'!$A$2:$A1001, "&gt;=2024-01-01", 'Form responses 1'!$A$2:$A1001, "&lt;=2024-03-31")
)
</f>
        <v>23</v>
      </c>
      <c r="J13" s="2">
        <f>SUM(
    COUNTIFS('Form responses 1'!$C$2:$C1001, A13, 'Form responses 1'!$A$2:$A1001, "&gt;=2024-04-01", 'Form responses 1'!$A$2:$A1001, "&lt;=2024-06-30"),
    COUNTIFS('Form responses 1'!$B$2:$B1001, A13, 'Form responses 1'!$A$2:$A1001, "&gt;=2024-04-01", 'Form responses 1'!$A$2:$A1001, "&lt;=2024-06-30"),
    COUNTIFS('Form responses 1'!$D$2:$D1001, A13, 'Form responses 1'!$A$2:$A1001, "&gt;=2024-04-01", 'Form responses 1'!$A$2:$A1001, "&lt;=2024-06-30"),
    COUNTIFS('Form responses 1'!$E$2:$E1001, A13, 'Form responses 1'!$A$2:$A1001, "&gt;=2024-04-01", 'Form responses 1'!$A$2:$A1001, "&lt;=2024-06-30"),
    COUNTIFS('Form responses 1'!$F$2:$F1001, A13, 'Form responses 1'!$A$2:$A1001, "&gt;=2024-04-01", 'Form responses 1'!$A$2:$A1001, "&lt;=2024-06-30"),
    COUNTIFS('Form responses 1'!$G$2:$G1001, A13, 'Form responses 1'!$A$2:$A1001, "&gt;=2024-04-01", 'Form responses 1'!$A$2:$A1001, "&lt;=2024-06-30")
)
</f>
        <v>17</v>
      </c>
      <c r="K13" s="2">
        <f>SUM(
    COUNTIFS('Form responses 1'!$C$2:$C1001, A13, 'Form responses 1'!$A$2:$A1001, "&gt;=2024-07-01", 'Form responses 1'!$A$2:$A1001, "&lt;=2024-09-30"),
    COUNTIFS('Form responses 1'!$B$2:$B1001, A13, 'Form responses 1'!$A$2:$A1001, "&gt;=2024-07-01", 'Form responses 1'!$A$2:$A1001, "&lt;=2024-09-30"),
    COUNTIFS('Form responses 1'!$D$2:$D1001, A13, 'Form responses 1'!$A$2:$A1001, "&gt;=2024-07-01", 'Form responses 1'!$A$2:$A1001, "&lt;=2024-09-30"),
    COUNTIFS('Form responses 1'!$E$2:$E1001, A13, 'Form responses 1'!$A$2:$A1001, "&gt;=2024-07-01", 'Form responses 1'!$A$2:$A1001, "&lt;=2024-09-30"),
    COUNTIFS('Form responses 1'!$F$2:$F1001, A13, 'Form responses 1'!$A$2:$A1001, "&gt;=2024-07-01", 'Form responses 1'!$A$2:$A1001, "&lt;=2024-09-30"),
    COUNTIFS('Form responses 1'!$G$2:$G1001, A13, 'Form responses 1'!$A$2:$A1001, "&gt;=2024-07-01", 'Form responses 1'!$A$2:$A1001, "&lt;=2024-09-30")
)
</f>
        <v>5</v>
      </c>
      <c r="L13" s="2">
        <f>SUM(
    COUNTIFS('Form responses 1'!$C$2:$C1001, A13, 'Form responses 1'!$A$2:$A1001, "&gt;=2024-10-01", 'Form responses 1'!$A$2:$A1001, "&lt;=2024-12-31"),
    COUNTIFS('Form responses 1'!$B$2:$B1001, A13, 'Form responses 1'!$A$2:$A1001, "&gt;=2024-10-01", 'Form responses 1'!$A$2:$A1001, "&lt;=2024-12-31"),
    COUNTIFS('Form responses 1'!$D$2:$D1001, A13, 'Form responses 1'!$A$2:$A1001, "&gt;=2024-10-01", 'Form responses 1'!$A$2:$A1001, "&lt;=2024-12-31"),
    COUNTIFS('Form responses 1'!$E$2:$E1001, A13, 'Form responses 1'!$A$2:$A1001, "&gt;=2024-10-01", 'Form responses 1'!$A$2:$A1001, "&lt;=2024-12-31"),
    COUNTIFS('Form responses 1'!$F$2:$F1001, A13, 'Form responses 1'!$A$2:$A1001, "&gt;=2024-10-01", 'Form responses 1'!$A$2:$A1001, "&lt;=2024-12-31"),
    COUNTIFS('Form responses 1'!$G$2:$G1001, A13, 'Form responses 1'!$A$2:$A1001, "&gt;=2024-10-01", 'Form responses 1'!$A$2:$A1001, "&lt;=2024-12-31")
)
</f>
        <v>13</v>
      </c>
      <c r="M13" s="2">
        <f>SUM(
    COUNTIFS('Form responses 1'!$C$2:$C1001, A13, 'Form responses 1'!$A$2:$A1001, "&gt;=2025-01-01", 'Form responses 1'!$A$2:$A1001, "&lt;=2025-03-31"),
    COUNTIFS('Form responses 1'!$B$2:$B1001, A13, 'Form responses 1'!$A$2:$A1001, "&gt;=2025-01-01", 'Form responses 1'!$A$2:$A1001, "&lt;=2025-03-31"),
    COUNTIFS('Form responses 1'!$D$2:$D1001, A13, 'Form responses 1'!$A$2:$A1001, "&gt;=2025-01-01", 'Form responses 1'!$A$2:$A1001, "&lt;=2025-03-31"),
    COUNTIFS('Form responses 1'!$E$2:$E1001, A13, 'Form responses 1'!$A$2:$A1001, "&gt;=2025-01-01", 'Form responses 1'!$A$2:$A1001, "&lt;=2025-03-31"),
    COUNTIFS('Form responses 1'!$F$2:$F1001, A13, 'Form responses 1'!$A$2:$A1001, "&gt;=2025-01-01", 'Form responses 1'!$A$2:$A1001, "&lt;=2025-03-31"),
    COUNTIFS('Form responses 1'!$G$2:$G1001, A13, 'Form responses 1'!$A$2:$A1001, "&gt;=2025-01-01", 'Form responses 1'!$A$2:$A1001, "&lt;=2025-03-31")
)
</f>
        <v>14</v>
      </c>
      <c r="N13" s="2">
        <f>SUM(
    COUNTIFS('Form responses 1'!$C$2:$C1001, A13, 'Form responses 1'!$A$2:$A1001, "&gt;=2025-04-01", 'Form responses 1'!$A$2:$A1001, "&lt;2025-07-01"),
    COUNTIFS('Form responses 1'!$B$2:$B1001, A13, 'Form responses 1'!$A$2:$A1001, "&gt;=2025-04-01", 'Form responses 1'!$A$2:$A1001, "&lt;2025-07-01"),
    COUNTIFS('Form responses 1'!$D$2:$D1001, A13, 'Form responses 1'!$A$2:$A1001, "&gt;=2025-04-01", 'Form responses 1'!$A$2:$A1001, "&lt;2025-07-01"),
    COUNTIFS('Form responses 1'!$E$2:$E1001, A13, 'Form responses 1'!$A$2:$A1001, "&gt;=2025-04-01", 'Form responses 1'!$A$2:$A1001, "&lt;2025-07-01"),
    COUNTIFS('Form responses 1'!$F$2:$F1001, A13, 'Form responses 1'!$A$2:$A1001, "&gt;=2025-04-01", 'Form responses 1'!$A$2:$A1001, "&lt;2025-07-01"),
    COUNTIFS('Form responses 1'!$G$2:$G1001, A13, 'Form responses 1'!$A$2:$A1001, "&gt;=2025-04-01", 'Form responses 1'!$A$2:$A1001, "&lt;2025-07-01")
)
</f>
        <v>8</v>
      </c>
      <c r="O13" s="2">
        <f>SUM(
    COUNTIFS('Form responses 1'!$C$2:$C1001, A13, 'Form responses 1'!$A$2:$A1001, "&gt;=2025-07-01", 'Form responses 1'!$A$2:$A1001, "&lt;=2025-09-30"),
    COUNTIFS('Form responses 1'!$B$2:$B1001, A13, 'Form responses 1'!$A$2:$A1001, "&gt;=2025-07-01", 'Form responses 1'!$A$2:$A1001, "&lt;=2025-09-30"),
    COUNTIFS('Form responses 1'!$D$2:$D1001, A13, 'Form responses 1'!$A$2:$A1001, "&gt;=2025-07-01", 'Form responses 1'!$A$2:$A1001, "&lt;=2025-09-30"),
    COUNTIFS('Form responses 1'!$E$2:$E1001, A13, 'Form responses 1'!$A$2:$A1001, "&gt;=2025-07-01", 'Form responses 1'!$A$2:$A1001, "&lt;=2025-09-30"),
    COUNTIFS('Form responses 1'!$F$2:$F1001, A13, 'Form responses 1'!$A$2:$A1001, "&gt;=2025-07-01", 'Form responses 1'!$A$2:$A1001, "&lt;=2025-09-30"),
    COUNTIFS('Form responses 1'!$G$2:$G1001, A13, 'Form responses 1'!$A$2:$A1001, "&gt;=2025-07-01", 'Form responses 1'!$A$2:$A1001, "&lt;=2025-09-30")
)
</f>
        <v>3</v>
      </c>
      <c r="P13" s="2">
        <f>SUM(
    COUNTIFS('Form responses 1'!$C$2:$C1001, A13, 'Form responses 1'!$A$2:$A1001, "&gt;=2025-10-01", 'Form responses 1'!$A$2:$A1001, "&lt;=2025-12-31"),
    COUNTIFS('Form responses 1'!$B$2:$B1001, A13, 'Form responses 1'!$A$2:$A1001, "&gt;=2025-10-01", 'Form responses 1'!$A$2:$A1001, "&lt;=2025-12-31"),
    COUNTIFS('Form responses 1'!$D$2:$D1001, A13, 'Form responses 1'!$A$2:$A1001, "&gt;=2025-10-01", 'Form responses 1'!$A$2:$A1001, "&lt;=2025-12-31"),
    COUNTIFS('Form responses 1'!$E$2:$E1001, A13, 'Form responses 1'!$A$2:$A1001, "&gt;=2025-10-01", 'Form responses 1'!$A$2:$A1001, "&lt;=2025-12-31"),
    COUNTIFS('Form responses 1'!$F$2:$F1001, A13, 'Form responses 1'!$A$2:$A1001, "&gt;=2025-10-01", 'Form responses 1'!$A$2:$A1001, "&lt;=2025-12-31"),
    COUNTIFS('Form responses 1'!$G$2:$G1001, A13, 'Form responses 1'!$A$2:$A1001, "&gt;=2025-10-01", 'Form responses 1'!$A$2:$A1001, "&lt;=2025-12-31")
)
</f>
        <v>10</v>
      </c>
    </row>
    <row r="14">
      <c r="A14" s="6" t="str">
        <f>IFERROR(__xludf.DUMMYFUNCTION("""COMPUTED_VALUE"""),"Groene vintage levi's")</f>
        <v>Groene vintage levi's</v>
      </c>
      <c r="B14" s="2">
        <f>SUM(
    COUNTIFS('Form responses 1'!$C$2:$C1001, A14, 'Form responses 1'!$A$2:$A1001, "&gt;=2022-04-01", 'Form responses 1'!$A$2:$A1001, "&lt;=2022-06-30"),
    COUNTIFS('Form responses 1'!$B$2:$B1001, A14, 'Form responses 1'!$A$2:$A1001, "&gt;=2022-04-01", 'Form responses 1'!$A$2:$A1001, "&lt;=2022-06-30"),
    COUNTIFS('Form responses 1'!$D$2:$D1001, A14, 'Form responses 1'!$A$2:$A1001, "&gt;=2022-04-01", 'Form responses 1'!$A$2:$A1001, "&lt;=2022-06-30"),
    COUNTIFS('Form responses 1'!$E$2:$E1001, A14, 'Form responses 1'!$A$2:$A1001, "&gt;=2022-04-01", 'Form responses 1'!$A$2:$A1001, "&lt;=2022-06-30"),
    COUNTIFS('Form responses 1'!$F$2:$F1001, A14, 'Form responses 1'!$A$2:$A1001, "&gt;=2022-04-01", 'Form responses 1'!$A$2:$A1001, "&lt;=2022-06-30"),
    COUNTIFS('Form responses 1'!$G$2:$G1001, A14, 'Form responses 1'!$A$2:$A1001, "&gt;=2022-04-01", 'Form responses 1'!$A$2:$A1001, "&lt;=2022-06-30")
)
</f>
        <v>0</v>
      </c>
      <c r="C14" s="2">
        <f>SUM(
    COUNTIFS('Form responses 1'!$C$2:$C1001, A14, 'Form responses 1'!$A$2:$A1001, "&gt;=2022-07-01", 'Form responses 1'!$A$2:$A1001, "&lt;=2022-09-30"),
    COUNTIFS('Form responses 1'!$B$2:$B1001, A14, 'Form responses 1'!$A$2:$A1001, "&gt;=2022-07-01", 'Form responses 1'!$A$2:$A1001, "&lt;=2022-09-30"),
    COUNTIFS('Form responses 1'!$D$2:$D1001, A14, 'Form responses 1'!$A$2:$A1001, "&gt;=2022-07-01", 'Form responses 1'!$A$2:$A1001, "&lt;=2022-09-30"),
    COUNTIFS('Form responses 1'!$E$2:$E1001, A14, 'Form responses 1'!$A$2:$A1001, "&gt;=2022-07-01", 'Form responses 1'!$A$2:$A1001, "&lt;=2022-09-30"),
    COUNTIFS('Form responses 1'!$F$2:$F1001, A14, 'Form responses 1'!$A$2:$A1001, "&gt;=2022-07-01", 'Form responses 1'!$A$2:$A1001, "&lt;=2022-09-30"),
    COUNTIFS('Form responses 1'!$G$2:$G1001, A14, 'Form responses 1'!$A$2:$A1001, "&gt;=2022-07-01", 'Form responses 1'!$A$2:$A1001, "&lt;=2022-09-30")
)
</f>
        <v>0</v>
      </c>
      <c r="D14" s="2">
        <f>SUM(
    COUNTIFS('Form responses 1'!$C$2:$C1001, A14, 'Form responses 1'!$A$2:$A1001, "&gt;=2022-10-01", 'Form responses 1'!$A$2:$A1001, "&lt;=2022-12-31"),
    COUNTIFS('Form responses 1'!$B$2:$B1001, A14, 'Form responses 1'!$A$2:$A1001, "&gt;=2022-10-01", 'Form responses 1'!$A$2:$A1001, "&lt;=2022-12-31"),
    COUNTIFS('Form responses 1'!$D$2:$D1001, A14, 'Form responses 1'!$A$2:$A1001, "&gt;=2022-10-01", 'Form responses 1'!$A$2:$A1001, "&lt;=2022-12-31"),
    COUNTIFS('Form responses 1'!$E$2:$E1001, A14, 'Form responses 1'!$A$2:$A1001, "&gt;=2022-10-01", 'Form responses 1'!$A$2:$A1001, "&lt;=2022-12-31"),
    COUNTIFS('Form responses 1'!$F$2:$F1001, A14, 'Form responses 1'!$A$2:$A1001, "&gt;=2022-10-01", 'Form responses 1'!$A$2:$A1001, "&lt;=2022-12-31"),
    COUNTIFS('Form responses 1'!$G$2:$G1001, A14, 'Form responses 1'!$A$2:$A1001, "&gt;=2022-10-01", 'Form responses 1'!$A$2:$A1001, "&lt;=2022-12-31")
)
</f>
        <v>0</v>
      </c>
      <c r="E14" s="2">
        <f>SUM(
    COUNTIFS('Form responses 1'!$C$2:$C1001, A14, 'Form responses 1'!$A$2:$A1001, "&gt;=2023-01-01", 'Form responses 1'!$A$2:$A1001, "&lt;=2023-03-31"),
    COUNTIFS('Form responses 1'!$B$2:$B1001, A14, 'Form responses 1'!$A$2:$A1001, "&gt;=2023-01-01", 'Form responses 1'!$A$2:$A1001, "&lt;=2023-03-31"),
    COUNTIFS('Form responses 1'!$D$2:$D1001, A14, 'Form responses 1'!$A$2:$A1001, "&gt;=2023-01-01", 'Form responses 1'!$A$2:$A1001, "&lt;=2023-03-31"),
    COUNTIFS('Form responses 1'!$E$2:$E1001, A14, 'Form responses 1'!$A$2:$A1001, "&gt;=2023-01-01", 'Form responses 1'!$A$2:$A1001, "&lt;=2023-03-31"),
    COUNTIFS('Form responses 1'!$F$2:$F1001, A14, 'Form responses 1'!$A$2:$A1001, "&gt;=2023-01-01", 'Form responses 1'!$A$2:$A1001, "&lt;=2023-03-31"),
    COUNTIFS('Form responses 1'!$G$2:$G1001, A14, 'Form responses 1'!$A$2:$A1001, "&gt;=2023-01-01", 'Form responses 1'!$A$2:$A1001, "&lt;=2023-03-31")
)
</f>
        <v>0</v>
      </c>
      <c r="F14" s="2">
        <f>SUM(
    COUNTIFS('Form responses 1'!$C$2:$C1001, A14, 'Form responses 1'!$A$2:$A1001, "&gt;=2023-04-01", 'Form responses 1'!$A$2:$A1001, "&lt;=2023-06-30"),
    COUNTIFS('Form responses 1'!$B$2:$B1001, A14, 'Form responses 1'!$A$2:$A1001, "&gt;=2023-04-01", 'Form responses 1'!$A$2:$A1001, "&lt;=2023-06-30"),
    COUNTIFS('Form responses 1'!$D$2:$D1001, A14, 'Form responses 1'!$A$2:$A1001, "&gt;=2023-04-01", 'Form responses 1'!$A$2:$A1001, "&lt;=2023-06-30"),
    COUNTIFS('Form responses 1'!$E$2:$E1001, A14, 'Form responses 1'!$A$2:$A1001, "&gt;=2023-04-01", 'Form responses 1'!$A$2:$A1001, "&lt;=2023-06-30"),
    COUNTIFS('Form responses 1'!$F$2:$F1001, A14, 'Form responses 1'!$A$2:$A1001, "&gt;=2023-04-01", 'Form responses 1'!$A$2:$A1001, "&lt;=2023-06-30"),
    COUNTIFS('Form responses 1'!$G$2:$G1001, A14, 'Form responses 1'!$A$2:$A1001, "&gt;=2023-04-01", 'Form responses 1'!$A$2:$A1001, "&lt;=2023-06-30")
)
</f>
        <v>0</v>
      </c>
      <c r="G14" s="2">
        <f>SUM(
    COUNTIFS('Form responses 1'!$C$2:$C1001, A14, 'Form responses 1'!$A$2:$A1001, "&gt;=2023-07-01", 'Form responses 1'!$A$2:$A1001, "&lt;=2023-09-30"),
    COUNTIFS('Form responses 1'!$B$2:$B1001, A14, 'Form responses 1'!$A$2:$A1001, "&gt;=2023-07-01", 'Form responses 1'!$A$2:$A1001, "&lt;=2023-09-30"),
    COUNTIFS('Form responses 1'!$D$2:$D1001, A14, 'Form responses 1'!$A$2:$A1001, "&gt;=2023-07-01", 'Form responses 1'!$A$2:$A1001, "&lt;=2023-09-30"),
    COUNTIFS('Form responses 1'!$E$2:$E1001, A14, 'Form responses 1'!$A$2:$A1001, "&gt;=2023-07-01", 'Form responses 1'!$A$2:$A1001, "&lt;=2023-09-30"),
    COUNTIFS('Form responses 1'!$F$2:$F1001, A14, 'Form responses 1'!$A$2:$A1001, "&gt;=2023-07-01", 'Form responses 1'!$A$2:$A1001, "&lt;=2023-09-30"),
    COUNTIFS('Form responses 1'!$G$2:$G1001, A14, 'Form responses 1'!$A$2:$A1001, "&gt;=2023-07-01", 'Form responses 1'!$A$2:$A1001, "&lt;=2023-09-30")
)
</f>
        <v>0</v>
      </c>
      <c r="H14" s="2">
        <f>SUM(
    COUNTIFS('Form responses 1'!$C$2:$C1001, A14, 'Form responses 1'!$A$2:$A1001, "&gt;=2023-10-01", 'Form responses 1'!$A$2:$A1001, "&lt;=2023-12-31"),
    COUNTIFS('Form responses 1'!$B$2:$B1001, A14, 'Form responses 1'!$A$2:$A1001, "&gt;=2023-10-01", 'Form responses 1'!$A$2:$A1001, "&lt;=2023-12-31"),
    COUNTIFS('Form responses 1'!$D$2:$D1001, A14, 'Form responses 1'!$A$2:$A1001, "&gt;=2023-10-01", 'Form responses 1'!$A$2:$A1001, "&lt;=2023-12-31"),
    COUNTIFS('Form responses 1'!$E$2:$E1001, A14, 'Form responses 1'!$A$2:$A1001, "&gt;=2023-10-01", 'Form responses 1'!$A$2:$A1001, "&lt;=2023-12-31"),
    COUNTIFS('Form responses 1'!$F$2:$F1001, A14, 'Form responses 1'!$A$2:$A1001, "&gt;=2023-10-01", 'Form responses 1'!$A$2:$A1001, "&lt;=2023-12-31"),
    COUNTIFS('Form responses 1'!$G$2:$G1001, A14, 'Form responses 1'!$A$2:$A1001, "&gt;=2023-10-01", 'Form responses 1'!$A$2:$A1001, "&lt;=2023-12-31")
)
</f>
        <v>0</v>
      </c>
      <c r="I14" s="2">
        <f>SUM(
    COUNTIFS('Form responses 1'!$C$2:$C1001, A14, 'Form responses 1'!$A$2:$A1001, "&gt;=2024-01-01", 'Form responses 1'!$A$2:$A1001, "&lt;=2024-03-31"),
    COUNTIFS('Form responses 1'!$B$2:$B1001, A14, 'Form responses 1'!$A$2:$A1001, "&gt;=2024-01-01", 'Form responses 1'!$A$2:$A1001, "&lt;=2024-03-31"),
    COUNTIFS('Form responses 1'!$D$2:$D1001, A14, 'Form responses 1'!$A$2:$A1001, "&gt;=2024-01-01", 'Form responses 1'!$A$2:$A1001, "&lt;=2024-03-31"),
    COUNTIFS('Form responses 1'!$E$2:$E1001, A14, 'Form responses 1'!$A$2:$A1001, "&gt;=2024-01-01", 'Form responses 1'!$A$2:$A1001, "&lt;=2024-03-31"),
    COUNTIFS('Form responses 1'!$F$2:$F1001, A14, 'Form responses 1'!$A$2:$A1001, "&gt;=2024-01-01", 'Form responses 1'!$A$2:$A1001, "&lt;=2024-03-31"),
    COUNTIFS('Form responses 1'!$G$2:$G1001, A14, 'Form responses 1'!$A$2:$A1001, "&gt;=2024-01-01", 'Form responses 1'!$A$2:$A1001, "&lt;=2024-03-31")
)
</f>
        <v>0</v>
      </c>
      <c r="J14" s="2">
        <f>SUM(
    COUNTIFS('Form responses 1'!$C$2:$C1001, A14, 'Form responses 1'!$A$2:$A1001, "&gt;=2024-04-01", 'Form responses 1'!$A$2:$A1001, "&lt;=2024-06-30"),
    COUNTIFS('Form responses 1'!$B$2:$B1001, A14, 'Form responses 1'!$A$2:$A1001, "&gt;=2024-04-01", 'Form responses 1'!$A$2:$A1001, "&lt;=2024-06-30"),
    COUNTIFS('Form responses 1'!$D$2:$D1001, A14, 'Form responses 1'!$A$2:$A1001, "&gt;=2024-04-01", 'Form responses 1'!$A$2:$A1001, "&lt;=2024-06-30"),
    COUNTIFS('Form responses 1'!$E$2:$E1001, A14, 'Form responses 1'!$A$2:$A1001, "&gt;=2024-04-01", 'Form responses 1'!$A$2:$A1001, "&lt;=2024-06-30"),
    COUNTIFS('Form responses 1'!$F$2:$F1001, A14, 'Form responses 1'!$A$2:$A1001, "&gt;=2024-04-01", 'Form responses 1'!$A$2:$A1001, "&lt;=2024-06-30"),
    COUNTIFS('Form responses 1'!$G$2:$G1001, A14, 'Form responses 1'!$A$2:$A1001, "&gt;=2024-04-01", 'Form responses 1'!$A$2:$A1001, "&lt;=2024-06-30")
)
</f>
        <v>0</v>
      </c>
      <c r="K14" s="2">
        <f>SUM(
    COUNTIFS('Form responses 1'!$C$2:$C1001, A14, 'Form responses 1'!$A$2:$A1001, "&gt;=2024-07-01", 'Form responses 1'!$A$2:$A1001, "&lt;=2024-09-30"),
    COUNTIFS('Form responses 1'!$B$2:$B1001, A14, 'Form responses 1'!$A$2:$A1001, "&gt;=2024-07-01", 'Form responses 1'!$A$2:$A1001, "&lt;=2024-09-30"),
    COUNTIFS('Form responses 1'!$D$2:$D1001, A14, 'Form responses 1'!$A$2:$A1001, "&gt;=2024-07-01", 'Form responses 1'!$A$2:$A1001, "&lt;=2024-09-30"),
    COUNTIFS('Form responses 1'!$E$2:$E1001, A14, 'Form responses 1'!$A$2:$A1001, "&gt;=2024-07-01", 'Form responses 1'!$A$2:$A1001, "&lt;=2024-09-30"),
    COUNTIFS('Form responses 1'!$F$2:$F1001, A14, 'Form responses 1'!$A$2:$A1001, "&gt;=2024-07-01", 'Form responses 1'!$A$2:$A1001, "&lt;=2024-09-30"),
    COUNTIFS('Form responses 1'!$G$2:$G1001, A14, 'Form responses 1'!$A$2:$A1001, "&gt;=2024-07-01", 'Form responses 1'!$A$2:$A1001, "&lt;=2024-09-30")
)
</f>
        <v>0</v>
      </c>
      <c r="L14" s="2">
        <f>SUM(
    COUNTIFS('Form responses 1'!$C$2:$C1001, A14, 'Form responses 1'!$A$2:$A1001, "&gt;=2024-10-01", 'Form responses 1'!$A$2:$A1001, "&lt;=2024-12-31"),
    COUNTIFS('Form responses 1'!$B$2:$B1001, A14, 'Form responses 1'!$A$2:$A1001, "&gt;=2024-10-01", 'Form responses 1'!$A$2:$A1001, "&lt;=2024-12-31"),
    COUNTIFS('Form responses 1'!$D$2:$D1001, A14, 'Form responses 1'!$A$2:$A1001, "&gt;=2024-10-01", 'Form responses 1'!$A$2:$A1001, "&lt;=2024-12-31"),
    COUNTIFS('Form responses 1'!$E$2:$E1001, A14, 'Form responses 1'!$A$2:$A1001, "&gt;=2024-10-01", 'Form responses 1'!$A$2:$A1001, "&lt;=2024-12-31"),
    COUNTIFS('Form responses 1'!$F$2:$F1001, A14, 'Form responses 1'!$A$2:$A1001, "&gt;=2024-10-01", 'Form responses 1'!$A$2:$A1001, "&lt;=2024-12-31"),
    COUNTIFS('Form responses 1'!$G$2:$G1001, A14, 'Form responses 1'!$A$2:$A1001, "&gt;=2024-10-01", 'Form responses 1'!$A$2:$A1001, "&lt;=2024-12-31")
)
</f>
        <v>0</v>
      </c>
      <c r="M14" s="2">
        <f>SUM(
    COUNTIFS('Form responses 1'!$C$2:$C1001, A14, 'Form responses 1'!$A$2:$A1001, "&gt;=2025-01-01", 'Form responses 1'!$A$2:$A1001, "&lt;=2025-03-31"),
    COUNTIFS('Form responses 1'!$B$2:$B1001, A14, 'Form responses 1'!$A$2:$A1001, "&gt;=2025-01-01", 'Form responses 1'!$A$2:$A1001, "&lt;=2025-03-31"),
    COUNTIFS('Form responses 1'!$D$2:$D1001, A14, 'Form responses 1'!$A$2:$A1001, "&gt;=2025-01-01", 'Form responses 1'!$A$2:$A1001, "&lt;=2025-03-31"),
    COUNTIFS('Form responses 1'!$E$2:$E1001, A14, 'Form responses 1'!$A$2:$A1001, "&gt;=2025-01-01", 'Form responses 1'!$A$2:$A1001, "&lt;=2025-03-31"),
    COUNTIFS('Form responses 1'!$F$2:$F1001, A14, 'Form responses 1'!$A$2:$A1001, "&gt;=2025-01-01", 'Form responses 1'!$A$2:$A1001, "&lt;=2025-03-31"),
    COUNTIFS('Form responses 1'!$G$2:$G1001, A14, 'Form responses 1'!$A$2:$A1001, "&gt;=2025-01-01", 'Form responses 1'!$A$2:$A1001, "&lt;=2025-03-31")
)
</f>
        <v>0</v>
      </c>
      <c r="N14" s="2">
        <f>SUM(
    COUNTIFS('Form responses 1'!$C$2:$C1001, A14, 'Form responses 1'!$A$2:$A1001, "&gt;=2025-04-01", 'Form responses 1'!$A$2:$A1001, "&lt;2025-07-01"),
    COUNTIFS('Form responses 1'!$B$2:$B1001, A14, 'Form responses 1'!$A$2:$A1001, "&gt;=2025-04-01", 'Form responses 1'!$A$2:$A1001, "&lt;2025-07-01"),
    COUNTIFS('Form responses 1'!$D$2:$D1001, A14, 'Form responses 1'!$A$2:$A1001, "&gt;=2025-04-01", 'Form responses 1'!$A$2:$A1001, "&lt;2025-07-01"),
    COUNTIFS('Form responses 1'!$E$2:$E1001, A14, 'Form responses 1'!$A$2:$A1001, "&gt;=2025-04-01", 'Form responses 1'!$A$2:$A1001, "&lt;2025-07-01"),
    COUNTIFS('Form responses 1'!$F$2:$F1001, A14, 'Form responses 1'!$A$2:$A1001, "&gt;=2025-04-01", 'Form responses 1'!$A$2:$A1001, "&lt;2025-07-01"),
    COUNTIFS('Form responses 1'!$G$2:$G1001, A14, 'Form responses 1'!$A$2:$A1001, "&gt;=2025-04-01", 'Form responses 1'!$A$2:$A1001, "&lt;2025-07-01")
)
</f>
        <v>6</v>
      </c>
      <c r="O14" s="2">
        <f>SUM(
    COUNTIFS('Form responses 1'!$C$2:$C1001, A14, 'Form responses 1'!$A$2:$A1001, "&gt;=2025-07-01", 'Form responses 1'!$A$2:$A1001, "&lt;=2025-09-30"),
    COUNTIFS('Form responses 1'!$B$2:$B1001, A14, 'Form responses 1'!$A$2:$A1001, "&gt;=2025-07-01", 'Form responses 1'!$A$2:$A1001, "&lt;=2025-09-30"),
    COUNTIFS('Form responses 1'!$D$2:$D1001, A14, 'Form responses 1'!$A$2:$A1001, "&gt;=2025-07-01", 'Form responses 1'!$A$2:$A1001, "&lt;=2025-09-30"),
    COUNTIFS('Form responses 1'!$E$2:$E1001, A14, 'Form responses 1'!$A$2:$A1001, "&gt;=2025-07-01", 'Form responses 1'!$A$2:$A1001, "&lt;=2025-09-30"),
    COUNTIFS('Form responses 1'!$F$2:$F1001, A14, 'Form responses 1'!$A$2:$A1001, "&gt;=2025-07-01", 'Form responses 1'!$A$2:$A1001, "&lt;=2025-09-30"),
    COUNTIFS('Form responses 1'!$G$2:$G1001, A14, 'Form responses 1'!$A$2:$A1001, "&gt;=2025-07-01", 'Form responses 1'!$A$2:$A1001, "&lt;=2025-09-30")
)
</f>
        <v>1</v>
      </c>
      <c r="P14" s="2">
        <f>SUM(
    COUNTIFS('Form responses 1'!$C$2:$C1001, A14, 'Form responses 1'!$A$2:$A1001, "&gt;=2025-10-01", 'Form responses 1'!$A$2:$A1001, "&lt;=2025-12-31"),
    COUNTIFS('Form responses 1'!$B$2:$B1001, A14, 'Form responses 1'!$A$2:$A1001, "&gt;=2025-10-01", 'Form responses 1'!$A$2:$A1001, "&lt;=2025-12-31"),
    COUNTIFS('Form responses 1'!$D$2:$D1001, A14, 'Form responses 1'!$A$2:$A1001, "&gt;=2025-10-01", 'Form responses 1'!$A$2:$A1001, "&lt;=2025-12-31"),
    COUNTIFS('Form responses 1'!$E$2:$E1001, A14, 'Form responses 1'!$A$2:$A1001, "&gt;=2025-10-01", 'Form responses 1'!$A$2:$A1001, "&lt;=2025-12-31"),
    COUNTIFS('Form responses 1'!$F$2:$F1001, A14, 'Form responses 1'!$A$2:$A1001, "&gt;=2025-10-01", 'Form responses 1'!$A$2:$A1001, "&lt;=2025-12-31"),
    COUNTIFS('Form responses 1'!$G$2:$G1001, A14, 'Form responses 1'!$A$2:$A1001, "&gt;=2025-10-01", 'Form responses 1'!$A$2:$A1001, "&lt;=2025-12-31")
)
</f>
        <v>0</v>
      </c>
    </row>
    <row r="15">
      <c r="A15" s="6" t="str">
        <f>IFERROR(__xludf.DUMMYFUNCTION("""COMPUTED_VALUE"""),"Joggingbroek zwart/groene strepen")</f>
        <v>Joggingbroek zwart/groene strepen</v>
      </c>
      <c r="B15" s="2">
        <f>SUM(
    COUNTIFS('Form responses 1'!$C$2:$C1001, A15, 'Form responses 1'!$A$2:$A1001, "&gt;=2022-04-01", 'Form responses 1'!$A$2:$A1001, "&lt;=2022-06-30"),
    COUNTIFS('Form responses 1'!$B$2:$B1001, A15, 'Form responses 1'!$A$2:$A1001, "&gt;=2022-04-01", 'Form responses 1'!$A$2:$A1001, "&lt;=2022-06-30"),
    COUNTIFS('Form responses 1'!$D$2:$D1001, A15, 'Form responses 1'!$A$2:$A1001, "&gt;=2022-04-01", 'Form responses 1'!$A$2:$A1001, "&lt;=2022-06-30"),
    COUNTIFS('Form responses 1'!$E$2:$E1001, A15, 'Form responses 1'!$A$2:$A1001, "&gt;=2022-04-01", 'Form responses 1'!$A$2:$A1001, "&lt;=2022-06-30"),
    COUNTIFS('Form responses 1'!$F$2:$F1001, A15, 'Form responses 1'!$A$2:$A1001, "&gt;=2022-04-01", 'Form responses 1'!$A$2:$A1001, "&lt;=2022-06-30"),
    COUNTIFS('Form responses 1'!$G$2:$G1001, A15, 'Form responses 1'!$A$2:$A1001, "&gt;=2022-04-01", 'Form responses 1'!$A$2:$A1001, "&lt;=2022-06-30")
)
</f>
        <v>0</v>
      </c>
      <c r="C15" s="2">
        <f>SUM(
    COUNTIFS('Form responses 1'!$C$2:$C1001, A15, 'Form responses 1'!$A$2:$A1001, "&gt;=2022-07-01", 'Form responses 1'!$A$2:$A1001, "&lt;=2022-09-30"),
    COUNTIFS('Form responses 1'!$B$2:$B1001, A15, 'Form responses 1'!$A$2:$A1001, "&gt;=2022-07-01", 'Form responses 1'!$A$2:$A1001, "&lt;=2022-09-30"),
    COUNTIFS('Form responses 1'!$D$2:$D1001, A15, 'Form responses 1'!$A$2:$A1001, "&gt;=2022-07-01", 'Form responses 1'!$A$2:$A1001, "&lt;=2022-09-30"),
    COUNTIFS('Form responses 1'!$E$2:$E1001, A15, 'Form responses 1'!$A$2:$A1001, "&gt;=2022-07-01", 'Form responses 1'!$A$2:$A1001, "&lt;=2022-09-30"),
    COUNTIFS('Form responses 1'!$F$2:$F1001, A15, 'Form responses 1'!$A$2:$A1001, "&gt;=2022-07-01", 'Form responses 1'!$A$2:$A1001, "&lt;=2022-09-30"),
    COUNTIFS('Form responses 1'!$G$2:$G1001, A15, 'Form responses 1'!$A$2:$A1001, "&gt;=2022-07-01", 'Form responses 1'!$A$2:$A1001, "&lt;=2022-09-30")
)
</f>
        <v>5</v>
      </c>
      <c r="D15" s="2">
        <f>SUM(
    COUNTIFS('Form responses 1'!$C$2:$C1001, A15, 'Form responses 1'!$A$2:$A1001, "&gt;=2022-10-01", 'Form responses 1'!$A$2:$A1001, "&lt;=2022-12-31"),
    COUNTIFS('Form responses 1'!$B$2:$B1001, A15, 'Form responses 1'!$A$2:$A1001, "&gt;=2022-10-01", 'Form responses 1'!$A$2:$A1001, "&lt;=2022-12-31"),
    COUNTIFS('Form responses 1'!$D$2:$D1001, A15, 'Form responses 1'!$A$2:$A1001, "&gt;=2022-10-01", 'Form responses 1'!$A$2:$A1001, "&lt;=2022-12-31"),
    COUNTIFS('Form responses 1'!$E$2:$E1001, A15, 'Form responses 1'!$A$2:$A1001, "&gt;=2022-10-01", 'Form responses 1'!$A$2:$A1001, "&lt;=2022-12-31"),
    COUNTIFS('Form responses 1'!$F$2:$F1001, A15, 'Form responses 1'!$A$2:$A1001, "&gt;=2022-10-01", 'Form responses 1'!$A$2:$A1001, "&lt;=2022-12-31"),
    COUNTIFS('Form responses 1'!$G$2:$G1001, A15, 'Form responses 1'!$A$2:$A1001, "&gt;=2022-10-01", 'Form responses 1'!$A$2:$A1001, "&lt;=2022-12-31")
)
</f>
        <v>11</v>
      </c>
      <c r="E15" s="2">
        <f>SUM(
    COUNTIFS('Form responses 1'!$C$2:$C1001, A15, 'Form responses 1'!$A$2:$A1001, "&gt;=2023-01-01", 'Form responses 1'!$A$2:$A1001, "&lt;=2023-03-31"),
    COUNTIFS('Form responses 1'!$B$2:$B1001, A15, 'Form responses 1'!$A$2:$A1001, "&gt;=2023-01-01", 'Form responses 1'!$A$2:$A1001, "&lt;=2023-03-31"),
    COUNTIFS('Form responses 1'!$D$2:$D1001, A15, 'Form responses 1'!$A$2:$A1001, "&gt;=2023-01-01", 'Form responses 1'!$A$2:$A1001, "&lt;=2023-03-31"),
    COUNTIFS('Form responses 1'!$E$2:$E1001, A15, 'Form responses 1'!$A$2:$A1001, "&gt;=2023-01-01", 'Form responses 1'!$A$2:$A1001, "&lt;=2023-03-31"),
    COUNTIFS('Form responses 1'!$F$2:$F1001, A15, 'Form responses 1'!$A$2:$A1001, "&gt;=2023-01-01", 'Form responses 1'!$A$2:$A1001, "&lt;=2023-03-31"),
    COUNTIFS('Form responses 1'!$G$2:$G1001, A15, 'Form responses 1'!$A$2:$A1001, "&gt;=2023-01-01", 'Form responses 1'!$A$2:$A1001, "&lt;=2023-03-31")
)
</f>
        <v>7</v>
      </c>
      <c r="F15" s="2">
        <f>SUM(
    COUNTIFS('Form responses 1'!$C$2:$C1001, A15, 'Form responses 1'!$A$2:$A1001, "&gt;=2023-04-01", 'Form responses 1'!$A$2:$A1001, "&lt;=2023-06-30"),
    COUNTIFS('Form responses 1'!$B$2:$B1001, A15, 'Form responses 1'!$A$2:$A1001, "&gt;=2023-04-01", 'Form responses 1'!$A$2:$A1001, "&lt;=2023-06-30"),
    COUNTIFS('Form responses 1'!$D$2:$D1001, A15, 'Form responses 1'!$A$2:$A1001, "&gt;=2023-04-01", 'Form responses 1'!$A$2:$A1001, "&lt;=2023-06-30"),
    COUNTIFS('Form responses 1'!$E$2:$E1001, A15, 'Form responses 1'!$A$2:$A1001, "&gt;=2023-04-01", 'Form responses 1'!$A$2:$A1001, "&lt;=2023-06-30"),
    COUNTIFS('Form responses 1'!$F$2:$F1001, A15, 'Form responses 1'!$A$2:$A1001, "&gt;=2023-04-01", 'Form responses 1'!$A$2:$A1001, "&lt;=2023-06-30"),
    COUNTIFS('Form responses 1'!$G$2:$G1001, A15, 'Form responses 1'!$A$2:$A1001, "&gt;=2023-04-01", 'Form responses 1'!$A$2:$A1001, "&lt;=2023-06-30")
)
</f>
        <v>8</v>
      </c>
      <c r="G15" s="2">
        <f>SUM(
    COUNTIFS('Form responses 1'!$C$2:$C1001, A15, 'Form responses 1'!$A$2:$A1001, "&gt;=2023-07-01", 'Form responses 1'!$A$2:$A1001, "&lt;=2023-09-30"),
    COUNTIFS('Form responses 1'!$B$2:$B1001, A15, 'Form responses 1'!$A$2:$A1001, "&gt;=2023-07-01", 'Form responses 1'!$A$2:$A1001, "&lt;=2023-09-30"),
    COUNTIFS('Form responses 1'!$D$2:$D1001, A15, 'Form responses 1'!$A$2:$A1001, "&gt;=2023-07-01", 'Form responses 1'!$A$2:$A1001, "&lt;=2023-09-30"),
    COUNTIFS('Form responses 1'!$E$2:$E1001, A15, 'Form responses 1'!$A$2:$A1001, "&gt;=2023-07-01", 'Form responses 1'!$A$2:$A1001, "&lt;=2023-09-30"),
    COUNTIFS('Form responses 1'!$F$2:$F1001, A15, 'Form responses 1'!$A$2:$A1001, "&gt;=2023-07-01", 'Form responses 1'!$A$2:$A1001, "&lt;=2023-09-30"),
    COUNTIFS('Form responses 1'!$G$2:$G1001, A15, 'Form responses 1'!$A$2:$A1001, "&gt;=2023-07-01", 'Form responses 1'!$A$2:$A1001, "&lt;=2023-09-30")
)
</f>
        <v>0</v>
      </c>
      <c r="H15" s="2">
        <f>SUM(
    COUNTIFS('Form responses 1'!$C$2:$C1001, A15, 'Form responses 1'!$A$2:$A1001, "&gt;=2023-10-01", 'Form responses 1'!$A$2:$A1001, "&lt;=2023-12-31"),
    COUNTIFS('Form responses 1'!$B$2:$B1001, A15, 'Form responses 1'!$A$2:$A1001, "&gt;=2023-10-01", 'Form responses 1'!$A$2:$A1001, "&lt;=2023-12-31"),
    COUNTIFS('Form responses 1'!$D$2:$D1001, A15, 'Form responses 1'!$A$2:$A1001, "&gt;=2023-10-01", 'Form responses 1'!$A$2:$A1001, "&lt;=2023-12-31"),
    COUNTIFS('Form responses 1'!$E$2:$E1001, A15, 'Form responses 1'!$A$2:$A1001, "&gt;=2023-10-01", 'Form responses 1'!$A$2:$A1001, "&lt;=2023-12-31"),
    COUNTIFS('Form responses 1'!$F$2:$F1001, A15, 'Form responses 1'!$A$2:$A1001, "&gt;=2023-10-01", 'Form responses 1'!$A$2:$A1001, "&lt;=2023-12-31"),
    COUNTIFS('Form responses 1'!$G$2:$G1001, A15, 'Form responses 1'!$A$2:$A1001, "&gt;=2023-10-01", 'Form responses 1'!$A$2:$A1001, "&lt;=2023-12-31")
)
</f>
        <v>4</v>
      </c>
      <c r="I15" s="2">
        <f>SUM(
    COUNTIFS('Form responses 1'!$C$2:$C1001, A15, 'Form responses 1'!$A$2:$A1001, "&gt;=2024-01-01", 'Form responses 1'!$A$2:$A1001, "&lt;=2024-03-31"),
    COUNTIFS('Form responses 1'!$B$2:$B1001, A15, 'Form responses 1'!$A$2:$A1001, "&gt;=2024-01-01", 'Form responses 1'!$A$2:$A1001, "&lt;=2024-03-31"),
    COUNTIFS('Form responses 1'!$D$2:$D1001, A15, 'Form responses 1'!$A$2:$A1001, "&gt;=2024-01-01", 'Form responses 1'!$A$2:$A1001, "&lt;=2024-03-31"),
    COUNTIFS('Form responses 1'!$E$2:$E1001, A15, 'Form responses 1'!$A$2:$A1001, "&gt;=2024-01-01", 'Form responses 1'!$A$2:$A1001, "&lt;=2024-03-31"),
    COUNTIFS('Form responses 1'!$F$2:$F1001, A15, 'Form responses 1'!$A$2:$A1001, "&gt;=2024-01-01", 'Form responses 1'!$A$2:$A1001, "&lt;=2024-03-31"),
    COUNTIFS('Form responses 1'!$G$2:$G1001, A15, 'Form responses 1'!$A$2:$A1001, "&gt;=2024-01-01", 'Form responses 1'!$A$2:$A1001, "&lt;=2024-03-31")
)
</f>
        <v>0</v>
      </c>
      <c r="J15" s="2">
        <f>SUM(
    COUNTIFS('Form responses 1'!$C$2:$C1001, A15, 'Form responses 1'!$A$2:$A1001, "&gt;=2024-04-01", 'Form responses 1'!$A$2:$A1001, "&lt;=2024-06-30"),
    COUNTIFS('Form responses 1'!$B$2:$B1001, A15, 'Form responses 1'!$A$2:$A1001, "&gt;=2024-04-01", 'Form responses 1'!$A$2:$A1001, "&lt;=2024-06-30"),
    COUNTIFS('Form responses 1'!$D$2:$D1001, A15, 'Form responses 1'!$A$2:$A1001, "&gt;=2024-04-01", 'Form responses 1'!$A$2:$A1001, "&lt;=2024-06-30"),
    COUNTIFS('Form responses 1'!$E$2:$E1001, A15, 'Form responses 1'!$A$2:$A1001, "&gt;=2024-04-01", 'Form responses 1'!$A$2:$A1001, "&lt;=2024-06-30"),
    COUNTIFS('Form responses 1'!$F$2:$F1001, A15, 'Form responses 1'!$A$2:$A1001, "&gt;=2024-04-01", 'Form responses 1'!$A$2:$A1001, "&lt;=2024-06-30"),
    COUNTIFS('Form responses 1'!$G$2:$G1001, A15, 'Form responses 1'!$A$2:$A1001, "&gt;=2024-04-01", 'Form responses 1'!$A$2:$A1001, "&lt;=2024-06-30")
)
</f>
        <v>0</v>
      </c>
      <c r="K15" s="2">
        <f>SUM(
    COUNTIFS('Form responses 1'!$C$2:$C1001, A15, 'Form responses 1'!$A$2:$A1001, "&gt;=2024-07-01", 'Form responses 1'!$A$2:$A1001, "&lt;=2024-09-30"),
    COUNTIFS('Form responses 1'!$B$2:$B1001, A15, 'Form responses 1'!$A$2:$A1001, "&gt;=2024-07-01", 'Form responses 1'!$A$2:$A1001, "&lt;=2024-09-30"),
    COUNTIFS('Form responses 1'!$D$2:$D1001, A15, 'Form responses 1'!$A$2:$A1001, "&gt;=2024-07-01", 'Form responses 1'!$A$2:$A1001, "&lt;=2024-09-30"),
    COUNTIFS('Form responses 1'!$E$2:$E1001, A15, 'Form responses 1'!$A$2:$A1001, "&gt;=2024-07-01", 'Form responses 1'!$A$2:$A1001, "&lt;=2024-09-30"),
    COUNTIFS('Form responses 1'!$F$2:$F1001, A15, 'Form responses 1'!$A$2:$A1001, "&gt;=2024-07-01", 'Form responses 1'!$A$2:$A1001, "&lt;=2024-09-30"),
    COUNTIFS('Form responses 1'!$G$2:$G1001, A15, 'Form responses 1'!$A$2:$A1001, "&gt;=2024-07-01", 'Form responses 1'!$A$2:$A1001, "&lt;=2024-09-30")
)
</f>
        <v>0</v>
      </c>
      <c r="L15" s="2">
        <f>SUM(
    COUNTIFS('Form responses 1'!$C$2:$C1001, A15, 'Form responses 1'!$A$2:$A1001, "&gt;=2024-10-01", 'Form responses 1'!$A$2:$A1001, "&lt;=2024-12-31"),
    COUNTIFS('Form responses 1'!$B$2:$B1001, A15, 'Form responses 1'!$A$2:$A1001, "&gt;=2024-10-01", 'Form responses 1'!$A$2:$A1001, "&lt;=2024-12-31"),
    COUNTIFS('Form responses 1'!$D$2:$D1001, A15, 'Form responses 1'!$A$2:$A1001, "&gt;=2024-10-01", 'Form responses 1'!$A$2:$A1001, "&lt;=2024-12-31"),
    COUNTIFS('Form responses 1'!$E$2:$E1001, A15, 'Form responses 1'!$A$2:$A1001, "&gt;=2024-10-01", 'Form responses 1'!$A$2:$A1001, "&lt;=2024-12-31"),
    COUNTIFS('Form responses 1'!$F$2:$F1001, A15, 'Form responses 1'!$A$2:$A1001, "&gt;=2024-10-01", 'Form responses 1'!$A$2:$A1001, "&lt;=2024-12-31"),
    COUNTIFS('Form responses 1'!$G$2:$G1001, A15, 'Form responses 1'!$A$2:$A1001, "&gt;=2024-10-01", 'Form responses 1'!$A$2:$A1001, "&lt;=2024-12-31")
)
</f>
        <v>0</v>
      </c>
      <c r="M15" s="2">
        <f>SUM(
    COUNTIFS('Form responses 1'!$C$2:$C1001, A15, 'Form responses 1'!$A$2:$A1001, "&gt;=2025-01-01", 'Form responses 1'!$A$2:$A1001, "&lt;=2025-03-31"),
    COUNTIFS('Form responses 1'!$B$2:$B1001, A15, 'Form responses 1'!$A$2:$A1001, "&gt;=2025-01-01", 'Form responses 1'!$A$2:$A1001, "&lt;=2025-03-31"),
    COUNTIFS('Form responses 1'!$D$2:$D1001, A15, 'Form responses 1'!$A$2:$A1001, "&gt;=2025-01-01", 'Form responses 1'!$A$2:$A1001, "&lt;=2025-03-31"),
    COUNTIFS('Form responses 1'!$E$2:$E1001, A15, 'Form responses 1'!$A$2:$A1001, "&gt;=2025-01-01", 'Form responses 1'!$A$2:$A1001, "&lt;=2025-03-31"),
    COUNTIFS('Form responses 1'!$F$2:$F1001, A15, 'Form responses 1'!$A$2:$A1001, "&gt;=2025-01-01", 'Form responses 1'!$A$2:$A1001, "&lt;=2025-03-31"),
    COUNTIFS('Form responses 1'!$G$2:$G1001, A15, 'Form responses 1'!$A$2:$A1001, "&gt;=2025-01-01", 'Form responses 1'!$A$2:$A1001, "&lt;=2025-03-31")
)
</f>
        <v>0</v>
      </c>
      <c r="N15" s="2">
        <f>SUM(
    COUNTIFS('Form responses 1'!$C$2:$C1001, A15, 'Form responses 1'!$A$2:$A1001, "&gt;=2025-04-01", 'Form responses 1'!$A$2:$A1001, "&lt;2025-07-01"),
    COUNTIFS('Form responses 1'!$B$2:$B1001, A15, 'Form responses 1'!$A$2:$A1001, "&gt;=2025-04-01", 'Form responses 1'!$A$2:$A1001, "&lt;2025-07-01"),
    COUNTIFS('Form responses 1'!$D$2:$D1001, A15, 'Form responses 1'!$A$2:$A1001, "&gt;=2025-04-01", 'Form responses 1'!$A$2:$A1001, "&lt;2025-07-01"),
    COUNTIFS('Form responses 1'!$E$2:$E1001, A15, 'Form responses 1'!$A$2:$A1001, "&gt;=2025-04-01", 'Form responses 1'!$A$2:$A1001, "&lt;2025-07-01"),
    COUNTIFS('Form responses 1'!$F$2:$F1001, A15, 'Form responses 1'!$A$2:$A1001, "&gt;=2025-04-01", 'Form responses 1'!$A$2:$A1001, "&lt;2025-07-01"),
    COUNTIFS('Form responses 1'!$G$2:$G1001, A15, 'Form responses 1'!$A$2:$A1001, "&gt;=2025-04-01", 'Form responses 1'!$A$2:$A1001, "&lt;2025-07-01")
)
</f>
        <v>0</v>
      </c>
      <c r="O15" s="2">
        <f>SUM(
    COUNTIFS('Form responses 1'!$C$2:$C1001, A15, 'Form responses 1'!$A$2:$A1001, "&gt;=2025-07-01", 'Form responses 1'!$A$2:$A1001, "&lt;=2025-09-30"),
    COUNTIFS('Form responses 1'!$B$2:$B1001, A15, 'Form responses 1'!$A$2:$A1001, "&gt;=2025-07-01", 'Form responses 1'!$A$2:$A1001, "&lt;=2025-09-30"),
    COUNTIFS('Form responses 1'!$D$2:$D1001, A15, 'Form responses 1'!$A$2:$A1001, "&gt;=2025-07-01", 'Form responses 1'!$A$2:$A1001, "&lt;=2025-09-30"),
    COUNTIFS('Form responses 1'!$E$2:$E1001, A15, 'Form responses 1'!$A$2:$A1001, "&gt;=2025-07-01", 'Form responses 1'!$A$2:$A1001, "&lt;=2025-09-30"),
    COUNTIFS('Form responses 1'!$F$2:$F1001, A15, 'Form responses 1'!$A$2:$A1001, "&gt;=2025-07-01", 'Form responses 1'!$A$2:$A1001, "&lt;=2025-09-30"),
    COUNTIFS('Form responses 1'!$G$2:$G1001, A15, 'Form responses 1'!$A$2:$A1001, "&gt;=2025-07-01", 'Form responses 1'!$A$2:$A1001, "&lt;=2025-09-30")
)
</f>
        <v>0</v>
      </c>
      <c r="P15" s="2">
        <f>SUM(
    COUNTIFS('Form responses 1'!$C$2:$C1001, A15, 'Form responses 1'!$A$2:$A1001, "&gt;=2025-10-01", 'Form responses 1'!$A$2:$A1001, "&lt;=2025-12-31"),
    COUNTIFS('Form responses 1'!$B$2:$B1001, A15, 'Form responses 1'!$A$2:$A1001, "&gt;=2025-10-01", 'Form responses 1'!$A$2:$A1001, "&lt;=2025-12-31"),
    COUNTIFS('Form responses 1'!$D$2:$D1001, A15, 'Form responses 1'!$A$2:$A1001, "&gt;=2025-10-01", 'Form responses 1'!$A$2:$A1001, "&lt;=2025-12-31"),
    COUNTIFS('Form responses 1'!$E$2:$E1001, A15, 'Form responses 1'!$A$2:$A1001, "&gt;=2025-10-01", 'Form responses 1'!$A$2:$A1001, "&lt;=2025-12-31"),
    COUNTIFS('Form responses 1'!$F$2:$F1001, A15, 'Form responses 1'!$A$2:$A1001, "&gt;=2025-10-01", 'Form responses 1'!$A$2:$A1001, "&lt;=2025-12-31"),
    COUNTIFS('Form responses 1'!$G$2:$G1001, A15, 'Form responses 1'!$A$2:$A1001, "&gt;=2025-10-01", 'Form responses 1'!$A$2:$A1001, "&lt;=2025-12-31")
)
</f>
        <v>0</v>
      </c>
    </row>
    <row r="16">
      <c r="A16" s="6" t="str">
        <f>IFERROR(__xludf.DUMMYFUNCTION("""COMPUTED_VALUE"""),"Pyjama' broek")</f>
        <v>Pyjama' broek</v>
      </c>
      <c r="B16" s="2">
        <f>SUM(
    COUNTIFS('Form responses 1'!$C$2:$C1001, A16, 'Form responses 1'!$A$2:$A1001, "&gt;=2022-04-01", 'Form responses 1'!$A$2:$A1001, "&lt;=2022-06-30"),
    COUNTIFS('Form responses 1'!$B$2:$B1001, A16, 'Form responses 1'!$A$2:$A1001, "&gt;=2022-04-01", 'Form responses 1'!$A$2:$A1001, "&lt;=2022-06-30"),
    COUNTIFS('Form responses 1'!$D$2:$D1001, A16, 'Form responses 1'!$A$2:$A1001, "&gt;=2022-04-01", 'Form responses 1'!$A$2:$A1001, "&lt;=2022-06-30"),
    COUNTIFS('Form responses 1'!$E$2:$E1001, A16, 'Form responses 1'!$A$2:$A1001, "&gt;=2022-04-01", 'Form responses 1'!$A$2:$A1001, "&lt;=2022-06-30"),
    COUNTIFS('Form responses 1'!$F$2:$F1001, A16, 'Form responses 1'!$A$2:$A1001, "&gt;=2022-04-01", 'Form responses 1'!$A$2:$A1001, "&lt;=2022-06-30"),
    COUNTIFS('Form responses 1'!$G$2:$G1001, A16, 'Form responses 1'!$A$2:$A1001, "&gt;=2022-04-01", 'Form responses 1'!$A$2:$A1001, "&lt;=2022-06-30")
)
</f>
        <v>10</v>
      </c>
      <c r="C16" s="2">
        <f>SUM(
    COUNTIFS('Form responses 1'!$C$2:$C1001, A16, 'Form responses 1'!$A$2:$A1001, "&gt;=2022-07-01", 'Form responses 1'!$A$2:$A1001, "&lt;=2022-09-30"),
    COUNTIFS('Form responses 1'!$B$2:$B1001, A16, 'Form responses 1'!$A$2:$A1001, "&gt;=2022-07-01", 'Form responses 1'!$A$2:$A1001, "&lt;=2022-09-30"),
    COUNTIFS('Form responses 1'!$D$2:$D1001, A16, 'Form responses 1'!$A$2:$A1001, "&gt;=2022-07-01", 'Form responses 1'!$A$2:$A1001, "&lt;=2022-09-30"),
    COUNTIFS('Form responses 1'!$E$2:$E1001, A16, 'Form responses 1'!$A$2:$A1001, "&gt;=2022-07-01", 'Form responses 1'!$A$2:$A1001, "&lt;=2022-09-30"),
    COUNTIFS('Form responses 1'!$F$2:$F1001, A16, 'Form responses 1'!$A$2:$A1001, "&gt;=2022-07-01", 'Form responses 1'!$A$2:$A1001, "&lt;=2022-09-30"),
    COUNTIFS('Form responses 1'!$G$2:$G1001, A16, 'Form responses 1'!$A$2:$A1001, "&gt;=2022-07-01", 'Form responses 1'!$A$2:$A1001, "&lt;=2022-09-30")
)
</f>
        <v>13</v>
      </c>
      <c r="D16" s="2">
        <f>SUM(
    COUNTIFS('Form responses 1'!$C$2:$C1001, A16, 'Form responses 1'!$A$2:$A1001, "&gt;=2022-10-01", 'Form responses 1'!$A$2:$A1001, "&lt;=2022-12-31"),
    COUNTIFS('Form responses 1'!$B$2:$B1001, A16, 'Form responses 1'!$A$2:$A1001, "&gt;=2022-10-01", 'Form responses 1'!$A$2:$A1001, "&lt;=2022-12-31"),
    COUNTIFS('Form responses 1'!$D$2:$D1001, A16, 'Form responses 1'!$A$2:$A1001, "&gt;=2022-10-01", 'Form responses 1'!$A$2:$A1001, "&lt;=2022-12-31"),
    COUNTIFS('Form responses 1'!$E$2:$E1001, A16, 'Form responses 1'!$A$2:$A1001, "&gt;=2022-10-01", 'Form responses 1'!$A$2:$A1001, "&lt;=2022-12-31"),
    COUNTIFS('Form responses 1'!$F$2:$F1001, A16, 'Form responses 1'!$A$2:$A1001, "&gt;=2022-10-01", 'Form responses 1'!$A$2:$A1001, "&lt;=2022-12-31"),
    COUNTIFS('Form responses 1'!$G$2:$G1001, A16, 'Form responses 1'!$A$2:$A1001, "&gt;=2022-10-01", 'Form responses 1'!$A$2:$A1001, "&lt;=2022-12-31")
)
</f>
        <v>15</v>
      </c>
      <c r="E16" s="2">
        <f>SUM(
    COUNTIFS('Form responses 1'!$C$2:$C1001, A16, 'Form responses 1'!$A$2:$A1001, "&gt;=2023-01-01", 'Form responses 1'!$A$2:$A1001, "&lt;=2023-03-31"),
    COUNTIFS('Form responses 1'!$B$2:$B1001, A16, 'Form responses 1'!$A$2:$A1001, "&gt;=2023-01-01", 'Form responses 1'!$A$2:$A1001, "&lt;=2023-03-31"),
    COUNTIFS('Form responses 1'!$D$2:$D1001, A16, 'Form responses 1'!$A$2:$A1001, "&gt;=2023-01-01", 'Form responses 1'!$A$2:$A1001, "&lt;=2023-03-31"),
    COUNTIFS('Form responses 1'!$E$2:$E1001, A16, 'Form responses 1'!$A$2:$A1001, "&gt;=2023-01-01", 'Form responses 1'!$A$2:$A1001, "&lt;=2023-03-31"),
    COUNTIFS('Form responses 1'!$F$2:$F1001, A16, 'Form responses 1'!$A$2:$A1001, "&gt;=2023-01-01", 'Form responses 1'!$A$2:$A1001, "&lt;=2023-03-31"),
    COUNTIFS('Form responses 1'!$G$2:$G1001, A16, 'Form responses 1'!$A$2:$A1001, "&gt;=2023-01-01", 'Form responses 1'!$A$2:$A1001, "&lt;=2023-03-31")
)
</f>
        <v>7</v>
      </c>
      <c r="F16" s="2">
        <f>SUM(
    COUNTIFS('Form responses 1'!$C$2:$C1001, A16, 'Form responses 1'!$A$2:$A1001, "&gt;=2023-04-01", 'Form responses 1'!$A$2:$A1001, "&lt;=2023-06-30"),
    COUNTIFS('Form responses 1'!$B$2:$B1001, A16, 'Form responses 1'!$A$2:$A1001, "&gt;=2023-04-01", 'Form responses 1'!$A$2:$A1001, "&lt;=2023-06-30"),
    COUNTIFS('Form responses 1'!$D$2:$D1001, A16, 'Form responses 1'!$A$2:$A1001, "&gt;=2023-04-01", 'Form responses 1'!$A$2:$A1001, "&lt;=2023-06-30"),
    COUNTIFS('Form responses 1'!$E$2:$E1001, A16, 'Form responses 1'!$A$2:$A1001, "&gt;=2023-04-01", 'Form responses 1'!$A$2:$A1001, "&lt;=2023-06-30"),
    COUNTIFS('Form responses 1'!$F$2:$F1001, A16, 'Form responses 1'!$A$2:$A1001, "&gt;=2023-04-01", 'Form responses 1'!$A$2:$A1001, "&lt;=2023-06-30"),
    COUNTIFS('Form responses 1'!$G$2:$G1001, A16, 'Form responses 1'!$A$2:$A1001, "&gt;=2023-04-01", 'Form responses 1'!$A$2:$A1001, "&lt;=2023-06-30")
)
</f>
        <v>8</v>
      </c>
      <c r="G16" s="2">
        <f>SUM(
    COUNTIFS('Form responses 1'!$C$2:$C1001, A16, 'Form responses 1'!$A$2:$A1001, "&gt;=2023-07-01", 'Form responses 1'!$A$2:$A1001, "&lt;=2023-09-30"),
    COUNTIFS('Form responses 1'!$B$2:$B1001, A16, 'Form responses 1'!$A$2:$A1001, "&gt;=2023-07-01", 'Form responses 1'!$A$2:$A1001, "&lt;=2023-09-30"),
    COUNTIFS('Form responses 1'!$D$2:$D1001, A16, 'Form responses 1'!$A$2:$A1001, "&gt;=2023-07-01", 'Form responses 1'!$A$2:$A1001, "&lt;=2023-09-30"),
    COUNTIFS('Form responses 1'!$E$2:$E1001, A16, 'Form responses 1'!$A$2:$A1001, "&gt;=2023-07-01", 'Form responses 1'!$A$2:$A1001, "&lt;=2023-09-30"),
    COUNTIFS('Form responses 1'!$F$2:$F1001, A16, 'Form responses 1'!$A$2:$A1001, "&gt;=2023-07-01", 'Form responses 1'!$A$2:$A1001, "&lt;=2023-09-30"),
    COUNTIFS('Form responses 1'!$G$2:$G1001, A16, 'Form responses 1'!$A$2:$A1001, "&gt;=2023-07-01", 'Form responses 1'!$A$2:$A1001, "&lt;=2023-09-30")
)
</f>
        <v>17</v>
      </c>
      <c r="H16" s="2">
        <f>SUM(
    COUNTIFS('Form responses 1'!$C$2:$C1001, A16, 'Form responses 1'!$A$2:$A1001, "&gt;=2023-10-01", 'Form responses 1'!$A$2:$A1001, "&lt;=2023-12-31"),
    COUNTIFS('Form responses 1'!$B$2:$B1001, A16, 'Form responses 1'!$A$2:$A1001, "&gt;=2023-10-01", 'Form responses 1'!$A$2:$A1001, "&lt;=2023-12-31"),
    COUNTIFS('Form responses 1'!$D$2:$D1001, A16, 'Form responses 1'!$A$2:$A1001, "&gt;=2023-10-01", 'Form responses 1'!$A$2:$A1001, "&lt;=2023-12-31"),
    COUNTIFS('Form responses 1'!$E$2:$E1001, A16, 'Form responses 1'!$A$2:$A1001, "&gt;=2023-10-01", 'Form responses 1'!$A$2:$A1001, "&lt;=2023-12-31"),
    COUNTIFS('Form responses 1'!$F$2:$F1001, A16, 'Form responses 1'!$A$2:$A1001, "&gt;=2023-10-01", 'Form responses 1'!$A$2:$A1001, "&lt;=2023-12-31"),
    COUNTIFS('Form responses 1'!$G$2:$G1001, A16, 'Form responses 1'!$A$2:$A1001, "&gt;=2023-10-01", 'Form responses 1'!$A$2:$A1001, "&lt;=2023-12-31")
)
</f>
        <v>21</v>
      </c>
      <c r="I16" s="2">
        <f>SUM(
    COUNTIFS('Form responses 1'!$C$2:$C1001, A16, 'Form responses 1'!$A$2:$A1001, "&gt;=2024-01-01", 'Form responses 1'!$A$2:$A1001, "&lt;=2024-03-31"),
    COUNTIFS('Form responses 1'!$B$2:$B1001, A16, 'Form responses 1'!$A$2:$A1001, "&gt;=2024-01-01", 'Form responses 1'!$A$2:$A1001, "&lt;=2024-03-31"),
    COUNTIFS('Form responses 1'!$D$2:$D1001, A16, 'Form responses 1'!$A$2:$A1001, "&gt;=2024-01-01", 'Form responses 1'!$A$2:$A1001, "&lt;=2024-03-31"),
    COUNTIFS('Form responses 1'!$E$2:$E1001, A16, 'Form responses 1'!$A$2:$A1001, "&gt;=2024-01-01", 'Form responses 1'!$A$2:$A1001, "&lt;=2024-03-31"),
    COUNTIFS('Form responses 1'!$F$2:$F1001, A16, 'Form responses 1'!$A$2:$A1001, "&gt;=2024-01-01", 'Form responses 1'!$A$2:$A1001, "&lt;=2024-03-31"),
    COUNTIFS('Form responses 1'!$G$2:$G1001, A16, 'Form responses 1'!$A$2:$A1001, "&gt;=2024-01-01", 'Form responses 1'!$A$2:$A1001, "&lt;=2024-03-31")
)
</f>
        <v>0</v>
      </c>
      <c r="J16" s="2">
        <f>SUM(
    COUNTIFS('Form responses 1'!$C$2:$C1001, A16, 'Form responses 1'!$A$2:$A1001, "&gt;=2024-04-01", 'Form responses 1'!$A$2:$A1001, "&lt;=2024-06-30"),
    COUNTIFS('Form responses 1'!$B$2:$B1001, A16, 'Form responses 1'!$A$2:$A1001, "&gt;=2024-04-01", 'Form responses 1'!$A$2:$A1001, "&lt;=2024-06-30"),
    COUNTIFS('Form responses 1'!$D$2:$D1001, A16, 'Form responses 1'!$A$2:$A1001, "&gt;=2024-04-01", 'Form responses 1'!$A$2:$A1001, "&lt;=2024-06-30"),
    COUNTIFS('Form responses 1'!$E$2:$E1001, A16, 'Form responses 1'!$A$2:$A1001, "&gt;=2024-04-01", 'Form responses 1'!$A$2:$A1001, "&lt;=2024-06-30"),
    COUNTIFS('Form responses 1'!$F$2:$F1001, A16, 'Form responses 1'!$A$2:$A1001, "&gt;=2024-04-01", 'Form responses 1'!$A$2:$A1001, "&lt;=2024-06-30"),
    COUNTIFS('Form responses 1'!$G$2:$G1001, A16, 'Form responses 1'!$A$2:$A1001, "&gt;=2024-04-01", 'Form responses 1'!$A$2:$A1001, "&lt;=2024-06-30")
)
</f>
        <v>2</v>
      </c>
      <c r="K16" s="2">
        <f>SUM(
    COUNTIFS('Form responses 1'!$C$2:$C1001, A16, 'Form responses 1'!$A$2:$A1001, "&gt;=2024-07-01", 'Form responses 1'!$A$2:$A1001, "&lt;=2024-09-30"),
    COUNTIFS('Form responses 1'!$B$2:$B1001, A16, 'Form responses 1'!$A$2:$A1001, "&gt;=2024-07-01", 'Form responses 1'!$A$2:$A1001, "&lt;=2024-09-30"),
    COUNTIFS('Form responses 1'!$D$2:$D1001, A16, 'Form responses 1'!$A$2:$A1001, "&gt;=2024-07-01", 'Form responses 1'!$A$2:$A1001, "&lt;=2024-09-30"),
    COUNTIFS('Form responses 1'!$E$2:$E1001, A16, 'Form responses 1'!$A$2:$A1001, "&gt;=2024-07-01", 'Form responses 1'!$A$2:$A1001, "&lt;=2024-09-30"),
    COUNTIFS('Form responses 1'!$F$2:$F1001, A16, 'Form responses 1'!$A$2:$A1001, "&gt;=2024-07-01", 'Form responses 1'!$A$2:$A1001, "&lt;=2024-09-30"),
    COUNTIFS('Form responses 1'!$G$2:$G1001, A16, 'Form responses 1'!$A$2:$A1001, "&gt;=2024-07-01", 'Form responses 1'!$A$2:$A1001, "&lt;=2024-09-30")
)
</f>
        <v>4</v>
      </c>
      <c r="L16" s="2">
        <f>SUM(
    COUNTIFS('Form responses 1'!$C$2:$C1001, A16, 'Form responses 1'!$A$2:$A1001, "&gt;=2024-10-01", 'Form responses 1'!$A$2:$A1001, "&lt;=2024-12-31"),
    COUNTIFS('Form responses 1'!$B$2:$B1001, A16, 'Form responses 1'!$A$2:$A1001, "&gt;=2024-10-01", 'Form responses 1'!$A$2:$A1001, "&lt;=2024-12-31"),
    COUNTIFS('Form responses 1'!$D$2:$D1001, A16, 'Form responses 1'!$A$2:$A1001, "&gt;=2024-10-01", 'Form responses 1'!$A$2:$A1001, "&lt;=2024-12-31"),
    COUNTIFS('Form responses 1'!$E$2:$E1001, A16, 'Form responses 1'!$A$2:$A1001, "&gt;=2024-10-01", 'Form responses 1'!$A$2:$A1001, "&lt;=2024-12-31"),
    COUNTIFS('Form responses 1'!$F$2:$F1001, A16, 'Form responses 1'!$A$2:$A1001, "&gt;=2024-10-01", 'Form responses 1'!$A$2:$A1001, "&lt;=2024-12-31"),
    COUNTIFS('Form responses 1'!$G$2:$G1001, A16, 'Form responses 1'!$A$2:$A1001, "&gt;=2024-10-01", 'Form responses 1'!$A$2:$A1001, "&lt;=2024-12-31")
)
</f>
        <v>0</v>
      </c>
      <c r="M16" s="2">
        <f>SUM(
    COUNTIFS('Form responses 1'!$C$2:$C1001, A16, 'Form responses 1'!$A$2:$A1001, "&gt;=2025-01-01", 'Form responses 1'!$A$2:$A1001, "&lt;=2025-03-31"),
    COUNTIFS('Form responses 1'!$B$2:$B1001, A16, 'Form responses 1'!$A$2:$A1001, "&gt;=2025-01-01", 'Form responses 1'!$A$2:$A1001, "&lt;=2025-03-31"),
    COUNTIFS('Form responses 1'!$D$2:$D1001, A16, 'Form responses 1'!$A$2:$A1001, "&gt;=2025-01-01", 'Form responses 1'!$A$2:$A1001, "&lt;=2025-03-31"),
    COUNTIFS('Form responses 1'!$E$2:$E1001, A16, 'Form responses 1'!$A$2:$A1001, "&gt;=2025-01-01", 'Form responses 1'!$A$2:$A1001, "&lt;=2025-03-31"),
    COUNTIFS('Form responses 1'!$F$2:$F1001, A16, 'Form responses 1'!$A$2:$A1001, "&gt;=2025-01-01", 'Form responses 1'!$A$2:$A1001, "&lt;=2025-03-31"),
    COUNTIFS('Form responses 1'!$G$2:$G1001, A16, 'Form responses 1'!$A$2:$A1001, "&gt;=2025-01-01", 'Form responses 1'!$A$2:$A1001, "&lt;=2025-03-31")
)
</f>
        <v>0</v>
      </c>
      <c r="N16" s="2">
        <f>SUM(
    COUNTIFS('Form responses 1'!$C$2:$C1001, A16, 'Form responses 1'!$A$2:$A1001, "&gt;=2025-04-01", 'Form responses 1'!$A$2:$A1001, "&lt;2025-07-01"),
    COUNTIFS('Form responses 1'!$B$2:$B1001, A16, 'Form responses 1'!$A$2:$A1001, "&gt;=2025-04-01", 'Form responses 1'!$A$2:$A1001, "&lt;2025-07-01"),
    COUNTIFS('Form responses 1'!$D$2:$D1001, A16, 'Form responses 1'!$A$2:$A1001, "&gt;=2025-04-01", 'Form responses 1'!$A$2:$A1001, "&lt;2025-07-01"),
    COUNTIFS('Form responses 1'!$E$2:$E1001, A16, 'Form responses 1'!$A$2:$A1001, "&gt;=2025-04-01", 'Form responses 1'!$A$2:$A1001, "&lt;2025-07-01"),
    COUNTIFS('Form responses 1'!$F$2:$F1001, A16, 'Form responses 1'!$A$2:$A1001, "&gt;=2025-04-01", 'Form responses 1'!$A$2:$A1001, "&lt;2025-07-01"),
    COUNTIFS('Form responses 1'!$G$2:$G1001, A16, 'Form responses 1'!$A$2:$A1001, "&gt;=2025-04-01", 'Form responses 1'!$A$2:$A1001, "&lt;2025-07-01")
)
</f>
        <v>4</v>
      </c>
      <c r="O16" s="2">
        <f>SUM(
    COUNTIFS('Form responses 1'!$C$2:$C1001, A16, 'Form responses 1'!$A$2:$A1001, "&gt;=2025-07-01", 'Form responses 1'!$A$2:$A1001, "&lt;=2025-09-30"),
    COUNTIFS('Form responses 1'!$B$2:$B1001, A16, 'Form responses 1'!$A$2:$A1001, "&gt;=2025-07-01", 'Form responses 1'!$A$2:$A1001, "&lt;=2025-09-30"),
    COUNTIFS('Form responses 1'!$D$2:$D1001, A16, 'Form responses 1'!$A$2:$A1001, "&gt;=2025-07-01", 'Form responses 1'!$A$2:$A1001, "&lt;=2025-09-30"),
    COUNTIFS('Form responses 1'!$E$2:$E1001, A16, 'Form responses 1'!$A$2:$A1001, "&gt;=2025-07-01", 'Form responses 1'!$A$2:$A1001, "&lt;=2025-09-30"),
    COUNTIFS('Form responses 1'!$F$2:$F1001, A16, 'Form responses 1'!$A$2:$A1001, "&gt;=2025-07-01", 'Form responses 1'!$A$2:$A1001, "&lt;=2025-09-30"),
    COUNTIFS('Form responses 1'!$G$2:$G1001, A16, 'Form responses 1'!$A$2:$A1001, "&gt;=2025-07-01", 'Form responses 1'!$A$2:$A1001, "&lt;=2025-09-30")
)
</f>
        <v>7</v>
      </c>
      <c r="P16" s="2">
        <f>SUM(
    COUNTIFS('Form responses 1'!$C$2:$C1001, A16, 'Form responses 1'!$A$2:$A1001, "&gt;=2025-10-01", 'Form responses 1'!$A$2:$A1001, "&lt;=2025-12-31"),
    COUNTIFS('Form responses 1'!$B$2:$B1001, A16, 'Form responses 1'!$A$2:$A1001, "&gt;=2025-10-01", 'Form responses 1'!$A$2:$A1001, "&lt;=2025-12-31"),
    COUNTIFS('Form responses 1'!$D$2:$D1001, A16, 'Form responses 1'!$A$2:$A1001, "&gt;=2025-10-01", 'Form responses 1'!$A$2:$A1001, "&lt;=2025-12-31"),
    COUNTIFS('Form responses 1'!$E$2:$E1001, A16, 'Form responses 1'!$A$2:$A1001, "&gt;=2025-10-01", 'Form responses 1'!$A$2:$A1001, "&lt;=2025-12-31"),
    COUNTIFS('Form responses 1'!$F$2:$F1001, A16, 'Form responses 1'!$A$2:$A1001, "&gt;=2025-10-01", 'Form responses 1'!$A$2:$A1001, "&lt;=2025-12-31"),
    COUNTIFS('Form responses 1'!$G$2:$G1001, A16, 'Form responses 1'!$A$2:$A1001, "&gt;=2025-10-01", 'Form responses 1'!$A$2:$A1001, "&lt;=2025-12-31")
)
</f>
        <v>5</v>
      </c>
    </row>
    <row r="17">
      <c r="A17" s="6" t="str">
        <f>IFERROR(__xludf.DUMMYFUNCTION("""COMPUTED_VALUE"""),"Bruine korte broek")</f>
        <v>Bruine korte broek</v>
      </c>
      <c r="B17" s="2">
        <f>SUM(
    COUNTIFS('Form responses 1'!$C$2:$C1001, A17, 'Form responses 1'!$A$2:$A1001, "&gt;=2022-04-01", 'Form responses 1'!$A$2:$A1001, "&lt;=2022-06-30"),
    COUNTIFS('Form responses 1'!$B$2:$B1001, A17, 'Form responses 1'!$A$2:$A1001, "&gt;=2022-04-01", 'Form responses 1'!$A$2:$A1001, "&lt;=2022-06-30"),
    COUNTIFS('Form responses 1'!$D$2:$D1001, A17, 'Form responses 1'!$A$2:$A1001, "&gt;=2022-04-01", 'Form responses 1'!$A$2:$A1001, "&lt;=2022-06-30"),
    COUNTIFS('Form responses 1'!$E$2:$E1001, A17, 'Form responses 1'!$A$2:$A1001, "&gt;=2022-04-01", 'Form responses 1'!$A$2:$A1001, "&lt;=2022-06-30"),
    COUNTIFS('Form responses 1'!$F$2:$F1001, A17, 'Form responses 1'!$A$2:$A1001, "&gt;=2022-04-01", 'Form responses 1'!$A$2:$A1001, "&lt;=2022-06-30"),
    COUNTIFS('Form responses 1'!$G$2:$G1001, A17, 'Form responses 1'!$A$2:$A1001, "&gt;=2022-04-01", 'Form responses 1'!$A$2:$A1001, "&lt;=2022-06-30")
)
</f>
        <v>7</v>
      </c>
      <c r="C17" s="2">
        <f>SUM(
    COUNTIFS('Form responses 1'!$C$2:$C1001, A17, 'Form responses 1'!$A$2:$A1001, "&gt;=2022-07-01", 'Form responses 1'!$A$2:$A1001, "&lt;=2022-09-30"),
    COUNTIFS('Form responses 1'!$B$2:$B1001, A17, 'Form responses 1'!$A$2:$A1001, "&gt;=2022-07-01", 'Form responses 1'!$A$2:$A1001, "&lt;=2022-09-30"),
    COUNTIFS('Form responses 1'!$D$2:$D1001, A17, 'Form responses 1'!$A$2:$A1001, "&gt;=2022-07-01", 'Form responses 1'!$A$2:$A1001, "&lt;=2022-09-30"),
    COUNTIFS('Form responses 1'!$E$2:$E1001, A17, 'Form responses 1'!$A$2:$A1001, "&gt;=2022-07-01", 'Form responses 1'!$A$2:$A1001, "&lt;=2022-09-30"),
    COUNTIFS('Form responses 1'!$F$2:$F1001, A17, 'Form responses 1'!$A$2:$A1001, "&gt;=2022-07-01", 'Form responses 1'!$A$2:$A1001, "&lt;=2022-09-30"),
    COUNTIFS('Form responses 1'!$G$2:$G1001, A17, 'Form responses 1'!$A$2:$A1001, "&gt;=2022-07-01", 'Form responses 1'!$A$2:$A1001, "&lt;=2022-09-30")
)
</f>
        <v>15</v>
      </c>
      <c r="D17" s="2">
        <f>SUM(
    COUNTIFS('Form responses 1'!$C$2:$C1001, A17, 'Form responses 1'!$A$2:$A1001, "&gt;=2022-10-01", 'Form responses 1'!$A$2:$A1001, "&lt;=2022-12-31"),
    COUNTIFS('Form responses 1'!$B$2:$B1001, A17, 'Form responses 1'!$A$2:$A1001, "&gt;=2022-10-01", 'Form responses 1'!$A$2:$A1001, "&lt;=2022-12-31"),
    COUNTIFS('Form responses 1'!$D$2:$D1001, A17, 'Form responses 1'!$A$2:$A1001, "&gt;=2022-10-01", 'Form responses 1'!$A$2:$A1001, "&lt;=2022-12-31"),
    COUNTIFS('Form responses 1'!$E$2:$E1001, A17, 'Form responses 1'!$A$2:$A1001, "&gt;=2022-10-01", 'Form responses 1'!$A$2:$A1001, "&lt;=2022-12-31"),
    COUNTIFS('Form responses 1'!$F$2:$F1001, A17, 'Form responses 1'!$A$2:$A1001, "&gt;=2022-10-01", 'Form responses 1'!$A$2:$A1001, "&lt;=2022-12-31"),
    COUNTIFS('Form responses 1'!$G$2:$G1001, A17, 'Form responses 1'!$A$2:$A1001, "&gt;=2022-10-01", 'Form responses 1'!$A$2:$A1001, "&lt;=2022-12-31")
)
</f>
        <v>0</v>
      </c>
      <c r="E17" s="2">
        <f>SUM(
    COUNTIFS('Form responses 1'!$C$2:$C1001, A17, 'Form responses 1'!$A$2:$A1001, "&gt;=2023-01-01", 'Form responses 1'!$A$2:$A1001, "&lt;=2023-03-31"),
    COUNTIFS('Form responses 1'!$B$2:$B1001, A17, 'Form responses 1'!$A$2:$A1001, "&gt;=2023-01-01", 'Form responses 1'!$A$2:$A1001, "&lt;=2023-03-31"),
    COUNTIFS('Form responses 1'!$D$2:$D1001, A17, 'Form responses 1'!$A$2:$A1001, "&gt;=2023-01-01", 'Form responses 1'!$A$2:$A1001, "&lt;=2023-03-31"),
    COUNTIFS('Form responses 1'!$E$2:$E1001, A17, 'Form responses 1'!$A$2:$A1001, "&gt;=2023-01-01", 'Form responses 1'!$A$2:$A1001, "&lt;=2023-03-31"),
    COUNTIFS('Form responses 1'!$F$2:$F1001, A17, 'Form responses 1'!$A$2:$A1001, "&gt;=2023-01-01", 'Form responses 1'!$A$2:$A1001, "&lt;=2023-03-31"),
    COUNTIFS('Form responses 1'!$G$2:$G1001, A17, 'Form responses 1'!$A$2:$A1001, "&gt;=2023-01-01", 'Form responses 1'!$A$2:$A1001, "&lt;=2023-03-31")
)
</f>
        <v>0</v>
      </c>
      <c r="F17" s="2">
        <f>SUM(
    COUNTIFS('Form responses 1'!$C$2:$C1001, A17, 'Form responses 1'!$A$2:$A1001, "&gt;=2023-04-01", 'Form responses 1'!$A$2:$A1001, "&lt;=2023-06-30"),
    COUNTIFS('Form responses 1'!$B$2:$B1001, A17, 'Form responses 1'!$A$2:$A1001, "&gt;=2023-04-01", 'Form responses 1'!$A$2:$A1001, "&lt;=2023-06-30"),
    COUNTIFS('Form responses 1'!$D$2:$D1001, A17, 'Form responses 1'!$A$2:$A1001, "&gt;=2023-04-01", 'Form responses 1'!$A$2:$A1001, "&lt;=2023-06-30"),
    COUNTIFS('Form responses 1'!$E$2:$E1001, A17, 'Form responses 1'!$A$2:$A1001, "&gt;=2023-04-01", 'Form responses 1'!$A$2:$A1001, "&lt;=2023-06-30"),
    COUNTIFS('Form responses 1'!$F$2:$F1001, A17, 'Form responses 1'!$A$2:$A1001, "&gt;=2023-04-01", 'Form responses 1'!$A$2:$A1001, "&lt;=2023-06-30"),
    COUNTIFS('Form responses 1'!$G$2:$G1001, A17, 'Form responses 1'!$A$2:$A1001, "&gt;=2023-04-01", 'Form responses 1'!$A$2:$A1001, "&lt;=2023-06-30")
)
</f>
        <v>5</v>
      </c>
      <c r="G17" s="2">
        <f>SUM(
    COUNTIFS('Form responses 1'!$C$2:$C1001, A17, 'Form responses 1'!$A$2:$A1001, "&gt;=2023-07-01", 'Form responses 1'!$A$2:$A1001, "&lt;=2023-09-30"),
    COUNTIFS('Form responses 1'!$B$2:$B1001, A17, 'Form responses 1'!$A$2:$A1001, "&gt;=2023-07-01", 'Form responses 1'!$A$2:$A1001, "&lt;=2023-09-30"),
    COUNTIFS('Form responses 1'!$D$2:$D1001, A17, 'Form responses 1'!$A$2:$A1001, "&gt;=2023-07-01", 'Form responses 1'!$A$2:$A1001, "&lt;=2023-09-30"),
    COUNTIFS('Form responses 1'!$E$2:$E1001, A17, 'Form responses 1'!$A$2:$A1001, "&gt;=2023-07-01", 'Form responses 1'!$A$2:$A1001, "&lt;=2023-09-30"),
    COUNTIFS('Form responses 1'!$F$2:$F1001, A17, 'Form responses 1'!$A$2:$A1001, "&gt;=2023-07-01", 'Form responses 1'!$A$2:$A1001, "&lt;=2023-09-30"),
    COUNTIFS('Form responses 1'!$G$2:$G1001, A17, 'Form responses 1'!$A$2:$A1001, "&gt;=2023-07-01", 'Form responses 1'!$A$2:$A1001, "&lt;=2023-09-30")
)
</f>
        <v>12</v>
      </c>
      <c r="H17" s="2">
        <f>SUM(
    COUNTIFS('Form responses 1'!$C$2:$C1001, A17, 'Form responses 1'!$A$2:$A1001, "&gt;=2023-10-01", 'Form responses 1'!$A$2:$A1001, "&lt;=2023-12-31"),
    COUNTIFS('Form responses 1'!$B$2:$B1001, A17, 'Form responses 1'!$A$2:$A1001, "&gt;=2023-10-01", 'Form responses 1'!$A$2:$A1001, "&lt;=2023-12-31"),
    COUNTIFS('Form responses 1'!$D$2:$D1001, A17, 'Form responses 1'!$A$2:$A1001, "&gt;=2023-10-01", 'Form responses 1'!$A$2:$A1001, "&lt;=2023-12-31"),
    COUNTIFS('Form responses 1'!$E$2:$E1001, A17, 'Form responses 1'!$A$2:$A1001, "&gt;=2023-10-01", 'Form responses 1'!$A$2:$A1001, "&lt;=2023-12-31"),
    COUNTIFS('Form responses 1'!$F$2:$F1001, A17, 'Form responses 1'!$A$2:$A1001, "&gt;=2023-10-01", 'Form responses 1'!$A$2:$A1001, "&lt;=2023-12-31"),
    COUNTIFS('Form responses 1'!$G$2:$G1001, A17, 'Form responses 1'!$A$2:$A1001, "&gt;=2023-10-01", 'Form responses 1'!$A$2:$A1001, "&lt;=2023-12-31")
)
</f>
        <v>0</v>
      </c>
      <c r="I17" s="2">
        <f>SUM(
    COUNTIFS('Form responses 1'!$C$2:$C1001, A17, 'Form responses 1'!$A$2:$A1001, "&gt;=2024-01-01", 'Form responses 1'!$A$2:$A1001, "&lt;=2024-03-31"),
    COUNTIFS('Form responses 1'!$B$2:$B1001, A17, 'Form responses 1'!$A$2:$A1001, "&gt;=2024-01-01", 'Form responses 1'!$A$2:$A1001, "&lt;=2024-03-31"),
    COUNTIFS('Form responses 1'!$D$2:$D1001, A17, 'Form responses 1'!$A$2:$A1001, "&gt;=2024-01-01", 'Form responses 1'!$A$2:$A1001, "&lt;=2024-03-31"),
    COUNTIFS('Form responses 1'!$E$2:$E1001, A17, 'Form responses 1'!$A$2:$A1001, "&gt;=2024-01-01", 'Form responses 1'!$A$2:$A1001, "&lt;=2024-03-31"),
    COUNTIFS('Form responses 1'!$F$2:$F1001, A17, 'Form responses 1'!$A$2:$A1001, "&gt;=2024-01-01", 'Form responses 1'!$A$2:$A1001, "&lt;=2024-03-31"),
    COUNTIFS('Form responses 1'!$G$2:$G1001, A17, 'Form responses 1'!$A$2:$A1001, "&gt;=2024-01-01", 'Form responses 1'!$A$2:$A1001, "&lt;=2024-03-31")
)
</f>
        <v>0</v>
      </c>
      <c r="J17" s="2">
        <f>SUM(
    COUNTIFS('Form responses 1'!$C$2:$C1001, A17, 'Form responses 1'!$A$2:$A1001, "&gt;=2024-04-01", 'Form responses 1'!$A$2:$A1001, "&lt;=2024-06-30"),
    COUNTIFS('Form responses 1'!$B$2:$B1001, A17, 'Form responses 1'!$A$2:$A1001, "&gt;=2024-04-01", 'Form responses 1'!$A$2:$A1001, "&lt;=2024-06-30"),
    COUNTIFS('Form responses 1'!$D$2:$D1001, A17, 'Form responses 1'!$A$2:$A1001, "&gt;=2024-04-01", 'Form responses 1'!$A$2:$A1001, "&lt;=2024-06-30"),
    COUNTIFS('Form responses 1'!$E$2:$E1001, A17, 'Form responses 1'!$A$2:$A1001, "&gt;=2024-04-01", 'Form responses 1'!$A$2:$A1001, "&lt;=2024-06-30"),
    COUNTIFS('Form responses 1'!$F$2:$F1001, A17, 'Form responses 1'!$A$2:$A1001, "&gt;=2024-04-01", 'Form responses 1'!$A$2:$A1001, "&lt;=2024-06-30"),
    COUNTIFS('Form responses 1'!$G$2:$G1001, A17, 'Form responses 1'!$A$2:$A1001, "&gt;=2024-04-01", 'Form responses 1'!$A$2:$A1001, "&lt;=2024-06-30")
)
</f>
        <v>0</v>
      </c>
      <c r="K17" s="2">
        <f>SUM(
    COUNTIFS('Form responses 1'!$C$2:$C1001, A17, 'Form responses 1'!$A$2:$A1001, "&gt;=2024-07-01", 'Form responses 1'!$A$2:$A1001, "&lt;=2024-09-30"),
    COUNTIFS('Form responses 1'!$B$2:$B1001, A17, 'Form responses 1'!$A$2:$A1001, "&gt;=2024-07-01", 'Form responses 1'!$A$2:$A1001, "&lt;=2024-09-30"),
    COUNTIFS('Form responses 1'!$D$2:$D1001, A17, 'Form responses 1'!$A$2:$A1001, "&gt;=2024-07-01", 'Form responses 1'!$A$2:$A1001, "&lt;=2024-09-30"),
    COUNTIFS('Form responses 1'!$E$2:$E1001, A17, 'Form responses 1'!$A$2:$A1001, "&gt;=2024-07-01", 'Form responses 1'!$A$2:$A1001, "&lt;=2024-09-30"),
    COUNTIFS('Form responses 1'!$F$2:$F1001, A17, 'Form responses 1'!$A$2:$A1001, "&gt;=2024-07-01", 'Form responses 1'!$A$2:$A1001, "&lt;=2024-09-30"),
    COUNTIFS('Form responses 1'!$G$2:$G1001, A17, 'Form responses 1'!$A$2:$A1001, "&gt;=2024-07-01", 'Form responses 1'!$A$2:$A1001, "&lt;=2024-09-30")
)
</f>
        <v>8</v>
      </c>
      <c r="L17" s="2">
        <f>SUM(
    COUNTIFS('Form responses 1'!$C$2:$C1001, A17, 'Form responses 1'!$A$2:$A1001, "&gt;=2024-10-01", 'Form responses 1'!$A$2:$A1001, "&lt;=2024-12-31"),
    COUNTIFS('Form responses 1'!$B$2:$B1001, A17, 'Form responses 1'!$A$2:$A1001, "&gt;=2024-10-01", 'Form responses 1'!$A$2:$A1001, "&lt;=2024-12-31"),
    COUNTIFS('Form responses 1'!$D$2:$D1001, A17, 'Form responses 1'!$A$2:$A1001, "&gt;=2024-10-01", 'Form responses 1'!$A$2:$A1001, "&lt;=2024-12-31"),
    COUNTIFS('Form responses 1'!$E$2:$E1001, A17, 'Form responses 1'!$A$2:$A1001, "&gt;=2024-10-01", 'Form responses 1'!$A$2:$A1001, "&lt;=2024-12-31"),
    COUNTIFS('Form responses 1'!$F$2:$F1001, A17, 'Form responses 1'!$A$2:$A1001, "&gt;=2024-10-01", 'Form responses 1'!$A$2:$A1001, "&lt;=2024-12-31"),
    COUNTIFS('Form responses 1'!$G$2:$G1001, A17, 'Form responses 1'!$A$2:$A1001, "&gt;=2024-10-01", 'Form responses 1'!$A$2:$A1001, "&lt;=2024-12-31")
)
</f>
        <v>2</v>
      </c>
      <c r="M17" s="2">
        <f>SUM(
    COUNTIFS('Form responses 1'!$C$2:$C1001, A17, 'Form responses 1'!$A$2:$A1001, "&gt;=2025-01-01", 'Form responses 1'!$A$2:$A1001, "&lt;=2025-03-31"),
    COUNTIFS('Form responses 1'!$B$2:$B1001, A17, 'Form responses 1'!$A$2:$A1001, "&gt;=2025-01-01", 'Form responses 1'!$A$2:$A1001, "&lt;=2025-03-31"),
    COUNTIFS('Form responses 1'!$D$2:$D1001, A17, 'Form responses 1'!$A$2:$A1001, "&gt;=2025-01-01", 'Form responses 1'!$A$2:$A1001, "&lt;=2025-03-31"),
    COUNTIFS('Form responses 1'!$E$2:$E1001, A17, 'Form responses 1'!$A$2:$A1001, "&gt;=2025-01-01", 'Form responses 1'!$A$2:$A1001, "&lt;=2025-03-31"),
    COUNTIFS('Form responses 1'!$F$2:$F1001, A17, 'Form responses 1'!$A$2:$A1001, "&gt;=2025-01-01", 'Form responses 1'!$A$2:$A1001, "&lt;=2025-03-31"),
    COUNTIFS('Form responses 1'!$G$2:$G1001, A17, 'Form responses 1'!$A$2:$A1001, "&gt;=2025-01-01", 'Form responses 1'!$A$2:$A1001, "&lt;=2025-03-31")
)
</f>
        <v>0</v>
      </c>
      <c r="N17" s="2">
        <f>SUM(
    COUNTIFS('Form responses 1'!$C$2:$C1001, A17, 'Form responses 1'!$A$2:$A1001, "&gt;=2025-04-01", 'Form responses 1'!$A$2:$A1001, "&lt;2025-07-01"),
    COUNTIFS('Form responses 1'!$B$2:$B1001, A17, 'Form responses 1'!$A$2:$A1001, "&gt;=2025-04-01", 'Form responses 1'!$A$2:$A1001, "&lt;2025-07-01"),
    COUNTIFS('Form responses 1'!$D$2:$D1001, A17, 'Form responses 1'!$A$2:$A1001, "&gt;=2025-04-01", 'Form responses 1'!$A$2:$A1001, "&lt;2025-07-01"),
    COUNTIFS('Form responses 1'!$E$2:$E1001, A17, 'Form responses 1'!$A$2:$A1001, "&gt;=2025-04-01", 'Form responses 1'!$A$2:$A1001, "&lt;2025-07-01"),
    COUNTIFS('Form responses 1'!$F$2:$F1001, A17, 'Form responses 1'!$A$2:$A1001, "&gt;=2025-04-01", 'Form responses 1'!$A$2:$A1001, "&lt;2025-07-01"),
    COUNTIFS('Form responses 1'!$G$2:$G1001, A17, 'Form responses 1'!$A$2:$A1001, "&gt;=2025-04-01", 'Form responses 1'!$A$2:$A1001, "&lt;2025-07-01")
)
</f>
        <v>2</v>
      </c>
      <c r="O17" s="2">
        <f>SUM(
    COUNTIFS('Form responses 1'!$C$2:$C1001, A17, 'Form responses 1'!$A$2:$A1001, "&gt;=2025-07-01", 'Form responses 1'!$A$2:$A1001, "&lt;=2025-09-30"),
    COUNTIFS('Form responses 1'!$B$2:$B1001, A17, 'Form responses 1'!$A$2:$A1001, "&gt;=2025-07-01", 'Form responses 1'!$A$2:$A1001, "&lt;=2025-09-30"),
    COUNTIFS('Form responses 1'!$D$2:$D1001, A17, 'Form responses 1'!$A$2:$A1001, "&gt;=2025-07-01", 'Form responses 1'!$A$2:$A1001, "&lt;=2025-09-30"),
    COUNTIFS('Form responses 1'!$E$2:$E1001, A17, 'Form responses 1'!$A$2:$A1001, "&gt;=2025-07-01", 'Form responses 1'!$A$2:$A1001, "&lt;=2025-09-30"),
    COUNTIFS('Form responses 1'!$F$2:$F1001, A17, 'Form responses 1'!$A$2:$A1001, "&gt;=2025-07-01", 'Form responses 1'!$A$2:$A1001, "&lt;=2025-09-30"),
    COUNTIFS('Form responses 1'!$G$2:$G1001, A17, 'Form responses 1'!$A$2:$A1001, "&gt;=2025-07-01", 'Form responses 1'!$A$2:$A1001, "&lt;=2025-09-30")
)
</f>
        <v>3</v>
      </c>
      <c r="P17" s="2">
        <f>SUM(
    COUNTIFS('Form responses 1'!$C$2:$C1001, A17, 'Form responses 1'!$A$2:$A1001, "&gt;=2025-10-01", 'Form responses 1'!$A$2:$A1001, "&lt;=2025-12-31"),
    COUNTIFS('Form responses 1'!$B$2:$B1001, A17, 'Form responses 1'!$A$2:$A1001, "&gt;=2025-10-01", 'Form responses 1'!$A$2:$A1001, "&lt;=2025-12-31"),
    COUNTIFS('Form responses 1'!$D$2:$D1001, A17, 'Form responses 1'!$A$2:$A1001, "&gt;=2025-10-01", 'Form responses 1'!$A$2:$A1001, "&lt;=2025-12-31"),
    COUNTIFS('Form responses 1'!$E$2:$E1001, A17, 'Form responses 1'!$A$2:$A1001, "&gt;=2025-10-01", 'Form responses 1'!$A$2:$A1001, "&lt;=2025-12-31"),
    COUNTIFS('Form responses 1'!$F$2:$F1001, A17, 'Form responses 1'!$A$2:$A1001, "&gt;=2025-10-01", 'Form responses 1'!$A$2:$A1001, "&lt;=2025-12-31"),
    COUNTIFS('Form responses 1'!$G$2:$G1001, A17, 'Form responses 1'!$A$2:$A1001, "&gt;=2025-10-01", 'Form responses 1'!$A$2:$A1001, "&lt;=2025-12-31")
)
</f>
        <v>0</v>
      </c>
    </row>
    <row r="18">
      <c r="A18" s="6" t="str">
        <f>IFERROR(__xludf.DUMMYFUNCTION("""COMPUTED_VALUE"""),"Beige korte broek")</f>
        <v>Beige korte broek</v>
      </c>
      <c r="B18" s="2">
        <f>SUM(
    COUNTIFS('Form responses 1'!$C$2:$C1001, A18, 'Form responses 1'!$A$2:$A1001, "&gt;=2022-04-01", 'Form responses 1'!$A$2:$A1001, "&lt;=2022-06-30"),
    COUNTIFS('Form responses 1'!$B$2:$B1001, A18, 'Form responses 1'!$A$2:$A1001, "&gt;=2022-04-01", 'Form responses 1'!$A$2:$A1001, "&lt;=2022-06-30"),
    COUNTIFS('Form responses 1'!$D$2:$D1001, A18, 'Form responses 1'!$A$2:$A1001, "&gt;=2022-04-01", 'Form responses 1'!$A$2:$A1001, "&lt;=2022-06-30"),
    COUNTIFS('Form responses 1'!$E$2:$E1001, A18, 'Form responses 1'!$A$2:$A1001, "&gt;=2022-04-01", 'Form responses 1'!$A$2:$A1001, "&lt;=2022-06-30"),
    COUNTIFS('Form responses 1'!$F$2:$F1001, A18, 'Form responses 1'!$A$2:$A1001, "&gt;=2022-04-01", 'Form responses 1'!$A$2:$A1001, "&lt;=2022-06-30"),
    COUNTIFS('Form responses 1'!$G$2:$G1001, A18, 'Form responses 1'!$A$2:$A1001, "&gt;=2022-04-01", 'Form responses 1'!$A$2:$A1001, "&lt;=2022-06-30")
)
</f>
        <v>0</v>
      </c>
      <c r="C18" s="2">
        <f>SUM(
    COUNTIFS('Form responses 1'!$C$2:$C1001, A18, 'Form responses 1'!$A$2:$A1001, "&gt;=2022-07-01", 'Form responses 1'!$A$2:$A1001, "&lt;=2022-09-30"),
    COUNTIFS('Form responses 1'!$B$2:$B1001, A18, 'Form responses 1'!$A$2:$A1001, "&gt;=2022-07-01", 'Form responses 1'!$A$2:$A1001, "&lt;=2022-09-30"),
    COUNTIFS('Form responses 1'!$D$2:$D1001, A18, 'Form responses 1'!$A$2:$A1001, "&gt;=2022-07-01", 'Form responses 1'!$A$2:$A1001, "&lt;=2022-09-30"),
    COUNTIFS('Form responses 1'!$E$2:$E1001, A18, 'Form responses 1'!$A$2:$A1001, "&gt;=2022-07-01", 'Form responses 1'!$A$2:$A1001, "&lt;=2022-09-30"),
    COUNTIFS('Form responses 1'!$F$2:$F1001, A18, 'Form responses 1'!$A$2:$A1001, "&gt;=2022-07-01", 'Form responses 1'!$A$2:$A1001, "&lt;=2022-09-30"),
    COUNTIFS('Form responses 1'!$G$2:$G1001, A18, 'Form responses 1'!$A$2:$A1001, "&gt;=2022-07-01", 'Form responses 1'!$A$2:$A1001, "&lt;=2022-09-30")
)
</f>
        <v>20</v>
      </c>
      <c r="D18" s="2">
        <f>SUM(
    COUNTIFS('Form responses 1'!$C$2:$C1001, A18, 'Form responses 1'!$A$2:$A1001, "&gt;=2022-10-01", 'Form responses 1'!$A$2:$A1001, "&lt;=2022-12-31"),
    COUNTIFS('Form responses 1'!$B$2:$B1001, A18, 'Form responses 1'!$A$2:$A1001, "&gt;=2022-10-01", 'Form responses 1'!$A$2:$A1001, "&lt;=2022-12-31"),
    COUNTIFS('Form responses 1'!$D$2:$D1001, A18, 'Form responses 1'!$A$2:$A1001, "&gt;=2022-10-01", 'Form responses 1'!$A$2:$A1001, "&lt;=2022-12-31"),
    COUNTIFS('Form responses 1'!$E$2:$E1001, A18, 'Form responses 1'!$A$2:$A1001, "&gt;=2022-10-01", 'Form responses 1'!$A$2:$A1001, "&lt;=2022-12-31"),
    COUNTIFS('Form responses 1'!$F$2:$F1001, A18, 'Form responses 1'!$A$2:$A1001, "&gt;=2022-10-01", 'Form responses 1'!$A$2:$A1001, "&lt;=2022-12-31"),
    COUNTIFS('Form responses 1'!$G$2:$G1001, A18, 'Form responses 1'!$A$2:$A1001, "&gt;=2022-10-01", 'Form responses 1'!$A$2:$A1001, "&lt;=2022-12-31")
)
</f>
        <v>0</v>
      </c>
      <c r="E18" s="2">
        <f>SUM(
    COUNTIFS('Form responses 1'!$C$2:$C1001, A18, 'Form responses 1'!$A$2:$A1001, "&gt;=2023-01-01", 'Form responses 1'!$A$2:$A1001, "&lt;=2023-03-31"),
    COUNTIFS('Form responses 1'!$B$2:$B1001, A18, 'Form responses 1'!$A$2:$A1001, "&gt;=2023-01-01", 'Form responses 1'!$A$2:$A1001, "&lt;=2023-03-31"),
    COUNTIFS('Form responses 1'!$D$2:$D1001, A18, 'Form responses 1'!$A$2:$A1001, "&gt;=2023-01-01", 'Form responses 1'!$A$2:$A1001, "&lt;=2023-03-31"),
    COUNTIFS('Form responses 1'!$E$2:$E1001, A18, 'Form responses 1'!$A$2:$A1001, "&gt;=2023-01-01", 'Form responses 1'!$A$2:$A1001, "&lt;=2023-03-31"),
    COUNTIFS('Form responses 1'!$F$2:$F1001, A18, 'Form responses 1'!$A$2:$A1001, "&gt;=2023-01-01", 'Form responses 1'!$A$2:$A1001, "&lt;=2023-03-31"),
    COUNTIFS('Form responses 1'!$G$2:$G1001, A18, 'Form responses 1'!$A$2:$A1001, "&gt;=2023-01-01", 'Form responses 1'!$A$2:$A1001, "&lt;=2023-03-31")
)
</f>
        <v>0</v>
      </c>
      <c r="F18" s="2">
        <f>SUM(
    COUNTIFS('Form responses 1'!$C$2:$C1001, A18, 'Form responses 1'!$A$2:$A1001, "&gt;=2023-04-01", 'Form responses 1'!$A$2:$A1001, "&lt;=2023-06-30"),
    COUNTIFS('Form responses 1'!$B$2:$B1001, A18, 'Form responses 1'!$A$2:$A1001, "&gt;=2023-04-01", 'Form responses 1'!$A$2:$A1001, "&lt;=2023-06-30"),
    COUNTIFS('Form responses 1'!$D$2:$D1001, A18, 'Form responses 1'!$A$2:$A1001, "&gt;=2023-04-01", 'Form responses 1'!$A$2:$A1001, "&lt;=2023-06-30"),
    COUNTIFS('Form responses 1'!$E$2:$E1001, A18, 'Form responses 1'!$A$2:$A1001, "&gt;=2023-04-01", 'Form responses 1'!$A$2:$A1001, "&lt;=2023-06-30"),
    COUNTIFS('Form responses 1'!$F$2:$F1001, A18, 'Form responses 1'!$A$2:$A1001, "&gt;=2023-04-01", 'Form responses 1'!$A$2:$A1001, "&lt;=2023-06-30"),
    COUNTIFS('Form responses 1'!$G$2:$G1001, A18, 'Form responses 1'!$A$2:$A1001, "&gt;=2023-04-01", 'Form responses 1'!$A$2:$A1001, "&lt;=2023-06-30")
)
</f>
        <v>11</v>
      </c>
      <c r="G18" s="2">
        <f>SUM(
    COUNTIFS('Form responses 1'!$C$2:$C1001, A18, 'Form responses 1'!$A$2:$A1001, "&gt;=2023-07-01", 'Form responses 1'!$A$2:$A1001, "&lt;=2023-09-30"),
    COUNTIFS('Form responses 1'!$B$2:$B1001, A18, 'Form responses 1'!$A$2:$A1001, "&gt;=2023-07-01", 'Form responses 1'!$A$2:$A1001, "&lt;=2023-09-30"),
    COUNTIFS('Form responses 1'!$D$2:$D1001, A18, 'Form responses 1'!$A$2:$A1001, "&gt;=2023-07-01", 'Form responses 1'!$A$2:$A1001, "&lt;=2023-09-30"),
    COUNTIFS('Form responses 1'!$E$2:$E1001, A18, 'Form responses 1'!$A$2:$A1001, "&gt;=2023-07-01", 'Form responses 1'!$A$2:$A1001, "&lt;=2023-09-30"),
    COUNTIFS('Form responses 1'!$F$2:$F1001, A18, 'Form responses 1'!$A$2:$A1001, "&gt;=2023-07-01", 'Form responses 1'!$A$2:$A1001, "&lt;=2023-09-30"),
    COUNTIFS('Form responses 1'!$G$2:$G1001, A18, 'Form responses 1'!$A$2:$A1001, "&gt;=2023-07-01", 'Form responses 1'!$A$2:$A1001, "&lt;=2023-09-30")
)
</f>
        <v>14</v>
      </c>
      <c r="H18" s="2">
        <f>SUM(
    COUNTIFS('Form responses 1'!$C$2:$C1001, A18, 'Form responses 1'!$A$2:$A1001, "&gt;=2023-10-01", 'Form responses 1'!$A$2:$A1001, "&lt;=2023-12-31"),
    COUNTIFS('Form responses 1'!$B$2:$B1001, A18, 'Form responses 1'!$A$2:$A1001, "&gt;=2023-10-01", 'Form responses 1'!$A$2:$A1001, "&lt;=2023-12-31"),
    COUNTIFS('Form responses 1'!$D$2:$D1001, A18, 'Form responses 1'!$A$2:$A1001, "&gt;=2023-10-01", 'Form responses 1'!$A$2:$A1001, "&lt;=2023-12-31"),
    COUNTIFS('Form responses 1'!$E$2:$E1001, A18, 'Form responses 1'!$A$2:$A1001, "&gt;=2023-10-01", 'Form responses 1'!$A$2:$A1001, "&lt;=2023-12-31"),
    COUNTIFS('Form responses 1'!$F$2:$F1001, A18, 'Form responses 1'!$A$2:$A1001, "&gt;=2023-10-01", 'Form responses 1'!$A$2:$A1001, "&lt;=2023-12-31"),
    COUNTIFS('Form responses 1'!$G$2:$G1001, A18, 'Form responses 1'!$A$2:$A1001, "&gt;=2023-10-01", 'Form responses 1'!$A$2:$A1001, "&lt;=2023-12-31")
)
</f>
        <v>0</v>
      </c>
      <c r="I18" s="2">
        <f>SUM(
    COUNTIFS('Form responses 1'!$C$2:$C1001, A18, 'Form responses 1'!$A$2:$A1001, "&gt;=2024-01-01", 'Form responses 1'!$A$2:$A1001, "&lt;=2024-03-31"),
    COUNTIFS('Form responses 1'!$B$2:$B1001, A18, 'Form responses 1'!$A$2:$A1001, "&gt;=2024-01-01", 'Form responses 1'!$A$2:$A1001, "&lt;=2024-03-31"),
    COUNTIFS('Form responses 1'!$D$2:$D1001, A18, 'Form responses 1'!$A$2:$A1001, "&gt;=2024-01-01", 'Form responses 1'!$A$2:$A1001, "&lt;=2024-03-31"),
    COUNTIFS('Form responses 1'!$E$2:$E1001, A18, 'Form responses 1'!$A$2:$A1001, "&gt;=2024-01-01", 'Form responses 1'!$A$2:$A1001, "&lt;=2024-03-31"),
    COUNTIFS('Form responses 1'!$F$2:$F1001, A18, 'Form responses 1'!$A$2:$A1001, "&gt;=2024-01-01", 'Form responses 1'!$A$2:$A1001, "&lt;=2024-03-31"),
    COUNTIFS('Form responses 1'!$G$2:$G1001, A18, 'Form responses 1'!$A$2:$A1001, "&gt;=2024-01-01", 'Form responses 1'!$A$2:$A1001, "&lt;=2024-03-31")
)
</f>
        <v>0</v>
      </c>
      <c r="J18" s="2">
        <f>SUM(
    COUNTIFS('Form responses 1'!$C$2:$C1001, A18, 'Form responses 1'!$A$2:$A1001, "&gt;=2024-04-01", 'Form responses 1'!$A$2:$A1001, "&lt;=2024-06-30"),
    COUNTIFS('Form responses 1'!$B$2:$B1001, A18, 'Form responses 1'!$A$2:$A1001, "&gt;=2024-04-01", 'Form responses 1'!$A$2:$A1001, "&lt;=2024-06-30"),
    COUNTIFS('Form responses 1'!$D$2:$D1001, A18, 'Form responses 1'!$A$2:$A1001, "&gt;=2024-04-01", 'Form responses 1'!$A$2:$A1001, "&lt;=2024-06-30"),
    COUNTIFS('Form responses 1'!$E$2:$E1001, A18, 'Form responses 1'!$A$2:$A1001, "&gt;=2024-04-01", 'Form responses 1'!$A$2:$A1001, "&lt;=2024-06-30"),
    COUNTIFS('Form responses 1'!$F$2:$F1001, A18, 'Form responses 1'!$A$2:$A1001, "&gt;=2024-04-01", 'Form responses 1'!$A$2:$A1001, "&lt;=2024-06-30"),
    COUNTIFS('Form responses 1'!$G$2:$G1001, A18, 'Form responses 1'!$A$2:$A1001, "&gt;=2024-04-01", 'Form responses 1'!$A$2:$A1001, "&lt;=2024-06-30")
)
</f>
        <v>3</v>
      </c>
      <c r="K18" s="2">
        <f>SUM(
    COUNTIFS('Form responses 1'!$C$2:$C1001, A18, 'Form responses 1'!$A$2:$A1001, "&gt;=2024-07-01", 'Form responses 1'!$A$2:$A1001, "&lt;=2024-09-30"),
    COUNTIFS('Form responses 1'!$B$2:$B1001, A18, 'Form responses 1'!$A$2:$A1001, "&gt;=2024-07-01", 'Form responses 1'!$A$2:$A1001, "&lt;=2024-09-30"),
    COUNTIFS('Form responses 1'!$D$2:$D1001, A18, 'Form responses 1'!$A$2:$A1001, "&gt;=2024-07-01", 'Form responses 1'!$A$2:$A1001, "&lt;=2024-09-30"),
    COUNTIFS('Form responses 1'!$E$2:$E1001, A18, 'Form responses 1'!$A$2:$A1001, "&gt;=2024-07-01", 'Form responses 1'!$A$2:$A1001, "&lt;=2024-09-30"),
    COUNTIFS('Form responses 1'!$F$2:$F1001, A18, 'Form responses 1'!$A$2:$A1001, "&gt;=2024-07-01", 'Form responses 1'!$A$2:$A1001, "&lt;=2024-09-30"),
    COUNTIFS('Form responses 1'!$G$2:$G1001, A18, 'Form responses 1'!$A$2:$A1001, "&gt;=2024-07-01", 'Form responses 1'!$A$2:$A1001, "&lt;=2024-09-30")
)
</f>
        <v>14</v>
      </c>
      <c r="L18" s="2">
        <f>SUM(
    COUNTIFS('Form responses 1'!$C$2:$C1001, A18, 'Form responses 1'!$A$2:$A1001, "&gt;=2024-10-01", 'Form responses 1'!$A$2:$A1001, "&lt;=2024-12-31"),
    COUNTIFS('Form responses 1'!$B$2:$B1001, A18, 'Form responses 1'!$A$2:$A1001, "&gt;=2024-10-01", 'Form responses 1'!$A$2:$A1001, "&lt;=2024-12-31"),
    COUNTIFS('Form responses 1'!$D$2:$D1001, A18, 'Form responses 1'!$A$2:$A1001, "&gt;=2024-10-01", 'Form responses 1'!$A$2:$A1001, "&lt;=2024-12-31"),
    COUNTIFS('Form responses 1'!$E$2:$E1001, A18, 'Form responses 1'!$A$2:$A1001, "&gt;=2024-10-01", 'Form responses 1'!$A$2:$A1001, "&lt;=2024-12-31"),
    COUNTIFS('Form responses 1'!$F$2:$F1001, A18, 'Form responses 1'!$A$2:$A1001, "&gt;=2024-10-01", 'Form responses 1'!$A$2:$A1001, "&lt;=2024-12-31"),
    COUNTIFS('Form responses 1'!$G$2:$G1001, A18, 'Form responses 1'!$A$2:$A1001, "&gt;=2024-10-01", 'Form responses 1'!$A$2:$A1001, "&lt;=2024-12-31")
)
</f>
        <v>0</v>
      </c>
      <c r="M18" s="2">
        <f>SUM(
    COUNTIFS('Form responses 1'!$C$2:$C1001, A18, 'Form responses 1'!$A$2:$A1001, "&gt;=2025-01-01", 'Form responses 1'!$A$2:$A1001, "&lt;=2025-03-31"),
    COUNTIFS('Form responses 1'!$B$2:$B1001, A18, 'Form responses 1'!$A$2:$A1001, "&gt;=2025-01-01", 'Form responses 1'!$A$2:$A1001, "&lt;=2025-03-31"),
    COUNTIFS('Form responses 1'!$D$2:$D1001, A18, 'Form responses 1'!$A$2:$A1001, "&gt;=2025-01-01", 'Form responses 1'!$A$2:$A1001, "&lt;=2025-03-31"),
    COUNTIFS('Form responses 1'!$E$2:$E1001, A18, 'Form responses 1'!$A$2:$A1001, "&gt;=2025-01-01", 'Form responses 1'!$A$2:$A1001, "&lt;=2025-03-31"),
    COUNTIFS('Form responses 1'!$F$2:$F1001, A18, 'Form responses 1'!$A$2:$A1001, "&gt;=2025-01-01", 'Form responses 1'!$A$2:$A1001, "&lt;=2025-03-31"),
    COUNTIFS('Form responses 1'!$G$2:$G1001, A18, 'Form responses 1'!$A$2:$A1001, "&gt;=2025-01-01", 'Form responses 1'!$A$2:$A1001, "&lt;=2025-03-31")
)
</f>
        <v>0</v>
      </c>
      <c r="N18" s="2">
        <f>SUM(
    COUNTIFS('Form responses 1'!$C$2:$C1001, A18, 'Form responses 1'!$A$2:$A1001, "&gt;=2025-04-01", 'Form responses 1'!$A$2:$A1001, "&lt;2025-07-01"),
    COUNTIFS('Form responses 1'!$B$2:$B1001, A18, 'Form responses 1'!$A$2:$A1001, "&gt;=2025-04-01", 'Form responses 1'!$A$2:$A1001, "&lt;2025-07-01"),
    COUNTIFS('Form responses 1'!$D$2:$D1001, A18, 'Form responses 1'!$A$2:$A1001, "&gt;=2025-04-01", 'Form responses 1'!$A$2:$A1001, "&lt;2025-07-01"),
    COUNTIFS('Form responses 1'!$E$2:$E1001, A18, 'Form responses 1'!$A$2:$A1001, "&gt;=2025-04-01", 'Form responses 1'!$A$2:$A1001, "&lt;2025-07-01"),
    COUNTIFS('Form responses 1'!$F$2:$F1001, A18, 'Form responses 1'!$A$2:$A1001, "&gt;=2025-04-01", 'Form responses 1'!$A$2:$A1001, "&lt;2025-07-01"),
    COUNTIFS('Form responses 1'!$G$2:$G1001, A18, 'Form responses 1'!$A$2:$A1001, "&gt;=2025-04-01", 'Form responses 1'!$A$2:$A1001, "&lt;2025-07-01")
)
</f>
        <v>5</v>
      </c>
      <c r="O18" s="2">
        <f>SUM(
    COUNTIFS('Form responses 1'!$C$2:$C1001, A18, 'Form responses 1'!$A$2:$A1001, "&gt;=2025-07-01", 'Form responses 1'!$A$2:$A1001, "&lt;=2025-09-30"),
    COUNTIFS('Form responses 1'!$B$2:$B1001, A18, 'Form responses 1'!$A$2:$A1001, "&gt;=2025-07-01", 'Form responses 1'!$A$2:$A1001, "&lt;=2025-09-30"),
    COUNTIFS('Form responses 1'!$D$2:$D1001, A18, 'Form responses 1'!$A$2:$A1001, "&gt;=2025-07-01", 'Form responses 1'!$A$2:$A1001, "&lt;=2025-09-30"),
    COUNTIFS('Form responses 1'!$E$2:$E1001, A18, 'Form responses 1'!$A$2:$A1001, "&gt;=2025-07-01", 'Form responses 1'!$A$2:$A1001, "&lt;=2025-09-30"),
    COUNTIFS('Form responses 1'!$F$2:$F1001, A18, 'Form responses 1'!$A$2:$A1001, "&gt;=2025-07-01", 'Form responses 1'!$A$2:$A1001, "&lt;=2025-09-30"),
    COUNTIFS('Form responses 1'!$G$2:$G1001, A18, 'Form responses 1'!$A$2:$A1001, "&gt;=2025-07-01", 'Form responses 1'!$A$2:$A1001, "&lt;=2025-09-30")
)
</f>
        <v>2</v>
      </c>
      <c r="P18" s="2">
        <f>SUM(
    COUNTIFS('Form responses 1'!$C$2:$C1001, A18, 'Form responses 1'!$A$2:$A1001, "&gt;=2025-10-01", 'Form responses 1'!$A$2:$A1001, "&lt;=2025-12-31"),
    COUNTIFS('Form responses 1'!$B$2:$B1001, A18, 'Form responses 1'!$A$2:$A1001, "&gt;=2025-10-01", 'Form responses 1'!$A$2:$A1001, "&lt;=2025-12-31"),
    COUNTIFS('Form responses 1'!$D$2:$D1001, A18, 'Form responses 1'!$A$2:$A1001, "&gt;=2025-10-01", 'Form responses 1'!$A$2:$A1001, "&lt;=2025-12-31"),
    COUNTIFS('Form responses 1'!$E$2:$E1001, A18, 'Form responses 1'!$A$2:$A1001, "&gt;=2025-10-01", 'Form responses 1'!$A$2:$A1001, "&lt;=2025-12-31"),
    COUNTIFS('Form responses 1'!$F$2:$F1001, A18, 'Form responses 1'!$A$2:$A1001, "&gt;=2025-10-01", 'Form responses 1'!$A$2:$A1001, "&lt;=2025-12-31"),
    COUNTIFS('Form responses 1'!$G$2:$G1001, A18, 'Form responses 1'!$A$2:$A1001, "&gt;=2025-10-01", 'Form responses 1'!$A$2:$A1001, "&lt;=2025-12-31")
)
</f>
        <v>0</v>
      </c>
    </row>
    <row r="19">
      <c r="A19" s="6" t="str">
        <f>IFERROR(__xludf.DUMMYFUNCTION("""COMPUTED_VALUE"""),"Blauwe pantalon pak")</f>
        <v>Blauwe pantalon pak</v>
      </c>
      <c r="B19" s="2">
        <f>SUM(
    COUNTIFS('Form responses 1'!$C$2:$C1001, A19, 'Form responses 1'!$A$2:$A1001, "&gt;=2022-04-01", 'Form responses 1'!$A$2:$A1001, "&lt;=2022-06-30"),
    COUNTIFS('Form responses 1'!$B$2:$B1001, A19, 'Form responses 1'!$A$2:$A1001, "&gt;=2022-04-01", 'Form responses 1'!$A$2:$A1001, "&lt;=2022-06-30"),
    COUNTIFS('Form responses 1'!$D$2:$D1001, A19, 'Form responses 1'!$A$2:$A1001, "&gt;=2022-04-01", 'Form responses 1'!$A$2:$A1001, "&lt;=2022-06-30"),
    COUNTIFS('Form responses 1'!$E$2:$E1001, A19, 'Form responses 1'!$A$2:$A1001, "&gt;=2022-04-01", 'Form responses 1'!$A$2:$A1001, "&lt;=2022-06-30"),
    COUNTIFS('Form responses 1'!$F$2:$F1001, A19, 'Form responses 1'!$A$2:$A1001, "&gt;=2022-04-01", 'Form responses 1'!$A$2:$A1001, "&lt;=2022-06-30"),
    COUNTIFS('Form responses 1'!$G$2:$G1001, A19, 'Form responses 1'!$A$2:$A1001, "&gt;=2022-04-01", 'Form responses 1'!$A$2:$A1001, "&lt;=2022-06-30")
)
</f>
        <v>0</v>
      </c>
      <c r="C19" s="2">
        <f>SUM(
    COUNTIFS('Form responses 1'!$C$2:$C1001, A19, 'Form responses 1'!$A$2:$A1001, "&gt;=2022-07-01", 'Form responses 1'!$A$2:$A1001, "&lt;=2022-09-30"),
    COUNTIFS('Form responses 1'!$B$2:$B1001, A19, 'Form responses 1'!$A$2:$A1001, "&gt;=2022-07-01", 'Form responses 1'!$A$2:$A1001, "&lt;=2022-09-30"),
    COUNTIFS('Form responses 1'!$D$2:$D1001, A19, 'Form responses 1'!$A$2:$A1001, "&gt;=2022-07-01", 'Form responses 1'!$A$2:$A1001, "&lt;=2022-09-30"),
    COUNTIFS('Form responses 1'!$E$2:$E1001, A19, 'Form responses 1'!$A$2:$A1001, "&gt;=2022-07-01", 'Form responses 1'!$A$2:$A1001, "&lt;=2022-09-30"),
    COUNTIFS('Form responses 1'!$F$2:$F1001, A19, 'Form responses 1'!$A$2:$A1001, "&gt;=2022-07-01", 'Form responses 1'!$A$2:$A1001, "&lt;=2022-09-30"),
    COUNTIFS('Form responses 1'!$G$2:$G1001, A19, 'Form responses 1'!$A$2:$A1001, "&gt;=2022-07-01", 'Form responses 1'!$A$2:$A1001, "&lt;=2022-09-30")
)
</f>
        <v>0</v>
      </c>
      <c r="D19" s="2">
        <f>SUM(
    COUNTIFS('Form responses 1'!$C$2:$C1001, A19, 'Form responses 1'!$A$2:$A1001, "&gt;=2022-10-01", 'Form responses 1'!$A$2:$A1001, "&lt;=2022-12-31"),
    COUNTIFS('Form responses 1'!$B$2:$B1001, A19, 'Form responses 1'!$A$2:$A1001, "&gt;=2022-10-01", 'Form responses 1'!$A$2:$A1001, "&lt;=2022-12-31"),
    COUNTIFS('Form responses 1'!$D$2:$D1001, A19, 'Form responses 1'!$A$2:$A1001, "&gt;=2022-10-01", 'Form responses 1'!$A$2:$A1001, "&lt;=2022-12-31"),
    COUNTIFS('Form responses 1'!$E$2:$E1001, A19, 'Form responses 1'!$A$2:$A1001, "&gt;=2022-10-01", 'Form responses 1'!$A$2:$A1001, "&lt;=2022-12-31"),
    COUNTIFS('Form responses 1'!$F$2:$F1001, A19, 'Form responses 1'!$A$2:$A1001, "&gt;=2022-10-01", 'Form responses 1'!$A$2:$A1001, "&lt;=2022-12-31"),
    COUNTIFS('Form responses 1'!$G$2:$G1001, A19, 'Form responses 1'!$A$2:$A1001, "&gt;=2022-10-01", 'Form responses 1'!$A$2:$A1001, "&lt;=2022-12-31")
)
</f>
        <v>0</v>
      </c>
      <c r="E19" s="2">
        <f>SUM(
    COUNTIFS('Form responses 1'!$C$2:$C1001, A19, 'Form responses 1'!$A$2:$A1001, "&gt;=2023-01-01", 'Form responses 1'!$A$2:$A1001, "&lt;=2023-03-31"),
    COUNTIFS('Form responses 1'!$B$2:$B1001, A19, 'Form responses 1'!$A$2:$A1001, "&gt;=2023-01-01", 'Form responses 1'!$A$2:$A1001, "&lt;=2023-03-31"),
    COUNTIFS('Form responses 1'!$D$2:$D1001, A19, 'Form responses 1'!$A$2:$A1001, "&gt;=2023-01-01", 'Form responses 1'!$A$2:$A1001, "&lt;=2023-03-31"),
    COUNTIFS('Form responses 1'!$E$2:$E1001, A19, 'Form responses 1'!$A$2:$A1001, "&gt;=2023-01-01", 'Form responses 1'!$A$2:$A1001, "&lt;=2023-03-31"),
    COUNTIFS('Form responses 1'!$F$2:$F1001, A19, 'Form responses 1'!$A$2:$A1001, "&gt;=2023-01-01", 'Form responses 1'!$A$2:$A1001, "&lt;=2023-03-31"),
    COUNTIFS('Form responses 1'!$G$2:$G1001, A19, 'Form responses 1'!$A$2:$A1001, "&gt;=2023-01-01", 'Form responses 1'!$A$2:$A1001, "&lt;=2023-03-31")
)
</f>
        <v>0</v>
      </c>
      <c r="F19" s="2">
        <f>SUM(
    COUNTIFS('Form responses 1'!$C$2:$C1001, A19, 'Form responses 1'!$A$2:$A1001, "&gt;=2023-04-01", 'Form responses 1'!$A$2:$A1001, "&lt;=2023-06-30"),
    COUNTIFS('Form responses 1'!$B$2:$B1001, A19, 'Form responses 1'!$A$2:$A1001, "&gt;=2023-04-01", 'Form responses 1'!$A$2:$A1001, "&lt;=2023-06-30"),
    COUNTIFS('Form responses 1'!$D$2:$D1001, A19, 'Form responses 1'!$A$2:$A1001, "&gt;=2023-04-01", 'Form responses 1'!$A$2:$A1001, "&lt;=2023-06-30"),
    COUNTIFS('Form responses 1'!$E$2:$E1001, A19, 'Form responses 1'!$A$2:$A1001, "&gt;=2023-04-01", 'Form responses 1'!$A$2:$A1001, "&lt;=2023-06-30"),
    COUNTIFS('Form responses 1'!$F$2:$F1001, A19, 'Form responses 1'!$A$2:$A1001, "&gt;=2023-04-01", 'Form responses 1'!$A$2:$A1001, "&lt;=2023-06-30"),
    COUNTIFS('Form responses 1'!$G$2:$G1001, A19, 'Form responses 1'!$A$2:$A1001, "&gt;=2023-04-01", 'Form responses 1'!$A$2:$A1001, "&lt;=2023-06-30")
)
</f>
        <v>0</v>
      </c>
      <c r="G19" s="2">
        <f>SUM(
    COUNTIFS('Form responses 1'!$C$2:$C1001, A19, 'Form responses 1'!$A$2:$A1001, "&gt;=2023-07-01", 'Form responses 1'!$A$2:$A1001, "&lt;=2023-09-30"),
    COUNTIFS('Form responses 1'!$B$2:$B1001, A19, 'Form responses 1'!$A$2:$A1001, "&gt;=2023-07-01", 'Form responses 1'!$A$2:$A1001, "&lt;=2023-09-30"),
    COUNTIFS('Form responses 1'!$D$2:$D1001, A19, 'Form responses 1'!$A$2:$A1001, "&gt;=2023-07-01", 'Form responses 1'!$A$2:$A1001, "&lt;=2023-09-30"),
    COUNTIFS('Form responses 1'!$E$2:$E1001, A19, 'Form responses 1'!$A$2:$A1001, "&gt;=2023-07-01", 'Form responses 1'!$A$2:$A1001, "&lt;=2023-09-30"),
    COUNTIFS('Form responses 1'!$F$2:$F1001, A19, 'Form responses 1'!$A$2:$A1001, "&gt;=2023-07-01", 'Form responses 1'!$A$2:$A1001, "&lt;=2023-09-30"),
    COUNTIFS('Form responses 1'!$G$2:$G1001, A19, 'Form responses 1'!$A$2:$A1001, "&gt;=2023-07-01", 'Form responses 1'!$A$2:$A1001, "&lt;=2023-09-30")
)
</f>
        <v>0</v>
      </c>
      <c r="H19" s="2">
        <f>SUM(
    COUNTIFS('Form responses 1'!$C$2:$C1001, A19, 'Form responses 1'!$A$2:$A1001, "&gt;=2023-10-01", 'Form responses 1'!$A$2:$A1001, "&lt;=2023-12-31"),
    COUNTIFS('Form responses 1'!$B$2:$B1001, A19, 'Form responses 1'!$A$2:$A1001, "&gt;=2023-10-01", 'Form responses 1'!$A$2:$A1001, "&lt;=2023-12-31"),
    COUNTIFS('Form responses 1'!$D$2:$D1001, A19, 'Form responses 1'!$A$2:$A1001, "&gt;=2023-10-01", 'Form responses 1'!$A$2:$A1001, "&lt;=2023-12-31"),
    COUNTIFS('Form responses 1'!$E$2:$E1001, A19, 'Form responses 1'!$A$2:$A1001, "&gt;=2023-10-01", 'Form responses 1'!$A$2:$A1001, "&lt;=2023-12-31"),
    COUNTIFS('Form responses 1'!$F$2:$F1001, A19, 'Form responses 1'!$A$2:$A1001, "&gt;=2023-10-01", 'Form responses 1'!$A$2:$A1001, "&lt;=2023-12-31"),
    COUNTIFS('Form responses 1'!$G$2:$G1001, A19, 'Form responses 1'!$A$2:$A1001, "&gt;=2023-10-01", 'Form responses 1'!$A$2:$A1001, "&lt;=2023-12-31")
)
</f>
        <v>0</v>
      </c>
      <c r="I19" s="2">
        <f>SUM(
    COUNTIFS('Form responses 1'!$C$2:$C1001, A19, 'Form responses 1'!$A$2:$A1001, "&gt;=2024-01-01", 'Form responses 1'!$A$2:$A1001, "&lt;=2024-03-31"),
    COUNTIFS('Form responses 1'!$B$2:$B1001, A19, 'Form responses 1'!$A$2:$A1001, "&gt;=2024-01-01", 'Form responses 1'!$A$2:$A1001, "&lt;=2024-03-31"),
    COUNTIFS('Form responses 1'!$D$2:$D1001, A19, 'Form responses 1'!$A$2:$A1001, "&gt;=2024-01-01", 'Form responses 1'!$A$2:$A1001, "&lt;=2024-03-31"),
    COUNTIFS('Form responses 1'!$E$2:$E1001, A19, 'Form responses 1'!$A$2:$A1001, "&gt;=2024-01-01", 'Form responses 1'!$A$2:$A1001, "&lt;=2024-03-31"),
    COUNTIFS('Form responses 1'!$F$2:$F1001, A19, 'Form responses 1'!$A$2:$A1001, "&gt;=2024-01-01", 'Form responses 1'!$A$2:$A1001, "&lt;=2024-03-31"),
    COUNTIFS('Form responses 1'!$G$2:$G1001, A19, 'Form responses 1'!$A$2:$A1001, "&gt;=2024-01-01", 'Form responses 1'!$A$2:$A1001, "&lt;=2024-03-31")
)
</f>
        <v>0</v>
      </c>
      <c r="J19" s="2">
        <f>SUM(
    COUNTIFS('Form responses 1'!$C$2:$C1001, A19, 'Form responses 1'!$A$2:$A1001, "&gt;=2024-04-01", 'Form responses 1'!$A$2:$A1001, "&lt;=2024-06-30"),
    COUNTIFS('Form responses 1'!$B$2:$B1001, A19, 'Form responses 1'!$A$2:$A1001, "&gt;=2024-04-01", 'Form responses 1'!$A$2:$A1001, "&lt;=2024-06-30"),
    COUNTIFS('Form responses 1'!$D$2:$D1001, A19, 'Form responses 1'!$A$2:$A1001, "&gt;=2024-04-01", 'Form responses 1'!$A$2:$A1001, "&lt;=2024-06-30"),
    COUNTIFS('Form responses 1'!$E$2:$E1001, A19, 'Form responses 1'!$A$2:$A1001, "&gt;=2024-04-01", 'Form responses 1'!$A$2:$A1001, "&lt;=2024-06-30"),
    COUNTIFS('Form responses 1'!$F$2:$F1001, A19, 'Form responses 1'!$A$2:$A1001, "&gt;=2024-04-01", 'Form responses 1'!$A$2:$A1001, "&lt;=2024-06-30"),
    COUNTIFS('Form responses 1'!$G$2:$G1001, A19, 'Form responses 1'!$A$2:$A1001, "&gt;=2024-04-01", 'Form responses 1'!$A$2:$A1001, "&lt;=2024-06-30")
)
</f>
        <v>0</v>
      </c>
      <c r="K19" s="2">
        <f>SUM(
    COUNTIFS('Form responses 1'!$C$2:$C1001, A19, 'Form responses 1'!$A$2:$A1001, "&gt;=2024-07-01", 'Form responses 1'!$A$2:$A1001, "&lt;=2024-09-30"),
    COUNTIFS('Form responses 1'!$B$2:$B1001, A19, 'Form responses 1'!$A$2:$A1001, "&gt;=2024-07-01", 'Form responses 1'!$A$2:$A1001, "&lt;=2024-09-30"),
    COUNTIFS('Form responses 1'!$D$2:$D1001, A19, 'Form responses 1'!$A$2:$A1001, "&gt;=2024-07-01", 'Form responses 1'!$A$2:$A1001, "&lt;=2024-09-30"),
    COUNTIFS('Form responses 1'!$E$2:$E1001, A19, 'Form responses 1'!$A$2:$A1001, "&gt;=2024-07-01", 'Form responses 1'!$A$2:$A1001, "&lt;=2024-09-30"),
    COUNTIFS('Form responses 1'!$F$2:$F1001, A19, 'Form responses 1'!$A$2:$A1001, "&gt;=2024-07-01", 'Form responses 1'!$A$2:$A1001, "&lt;=2024-09-30"),
    COUNTIFS('Form responses 1'!$G$2:$G1001, A19, 'Form responses 1'!$A$2:$A1001, "&gt;=2024-07-01", 'Form responses 1'!$A$2:$A1001, "&lt;=2024-09-30")
)
</f>
        <v>2</v>
      </c>
      <c r="L19" s="2">
        <f>SUM(
    COUNTIFS('Form responses 1'!$C$2:$C1001, A19, 'Form responses 1'!$A$2:$A1001, "&gt;=2024-10-01", 'Form responses 1'!$A$2:$A1001, "&lt;=2024-12-31"),
    COUNTIFS('Form responses 1'!$B$2:$B1001, A19, 'Form responses 1'!$A$2:$A1001, "&gt;=2024-10-01", 'Form responses 1'!$A$2:$A1001, "&lt;=2024-12-31"),
    COUNTIFS('Form responses 1'!$D$2:$D1001, A19, 'Form responses 1'!$A$2:$A1001, "&gt;=2024-10-01", 'Form responses 1'!$A$2:$A1001, "&lt;=2024-12-31"),
    COUNTIFS('Form responses 1'!$E$2:$E1001, A19, 'Form responses 1'!$A$2:$A1001, "&gt;=2024-10-01", 'Form responses 1'!$A$2:$A1001, "&lt;=2024-12-31"),
    COUNTIFS('Form responses 1'!$F$2:$F1001, A19, 'Form responses 1'!$A$2:$A1001, "&gt;=2024-10-01", 'Form responses 1'!$A$2:$A1001, "&lt;=2024-12-31"),
    COUNTIFS('Form responses 1'!$G$2:$G1001, A19, 'Form responses 1'!$A$2:$A1001, "&gt;=2024-10-01", 'Form responses 1'!$A$2:$A1001, "&lt;=2024-12-31")
)
</f>
        <v>8</v>
      </c>
      <c r="M19" s="2">
        <f>SUM(
    COUNTIFS('Form responses 1'!$C$2:$C1001, A19, 'Form responses 1'!$A$2:$A1001, "&gt;=2025-01-01", 'Form responses 1'!$A$2:$A1001, "&lt;=2025-03-31"),
    COUNTIFS('Form responses 1'!$B$2:$B1001, A19, 'Form responses 1'!$A$2:$A1001, "&gt;=2025-01-01", 'Form responses 1'!$A$2:$A1001, "&lt;=2025-03-31"),
    COUNTIFS('Form responses 1'!$D$2:$D1001, A19, 'Form responses 1'!$A$2:$A1001, "&gt;=2025-01-01", 'Form responses 1'!$A$2:$A1001, "&lt;=2025-03-31"),
    COUNTIFS('Form responses 1'!$E$2:$E1001, A19, 'Form responses 1'!$A$2:$A1001, "&gt;=2025-01-01", 'Form responses 1'!$A$2:$A1001, "&lt;=2025-03-31"),
    COUNTIFS('Form responses 1'!$F$2:$F1001, A19, 'Form responses 1'!$A$2:$A1001, "&gt;=2025-01-01", 'Form responses 1'!$A$2:$A1001, "&lt;=2025-03-31"),
    COUNTIFS('Form responses 1'!$G$2:$G1001, A19, 'Form responses 1'!$A$2:$A1001, "&gt;=2025-01-01", 'Form responses 1'!$A$2:$A1001, "&lt;=2025-03-31")
)
</f>
        <v>1</v>
      </c>
      <c r="N19" s="2">
        <f>SUM(
    COUNTIFS('Form responses 1'!$C$2:$C1001, A19, 'Form responses 1'!$A$2:$A1001, "&gt;=2025-04-01", 'Form responses 1'!$A$2:$A1001, "&lt;2025-07-01"),
    COUNTIFS('Form responses 1'!$B$2:$B1001, A19, 'Form responses 1'!$A$2:$A1001, "&gt;=2025-04-01", 'Form responses 1'!$A$2:$A1001, "&lt;2025-07-01"),
    COUNTIFS('Form responses 1'!$D$2:$D1001, A19, 'Form responses 1'!$A$2:$A1001, "&gt;=2025-04-01", 'Form responses 1'!$A$2:$A1001, "&lt;2025-07-01"),
    COUNTIFS('Form responses 1'!$E$2:$E1001, A19, 'Form responses 1'!$A$2:$A1001, "&gt;=2025-04-01", 'Form responses 1'!$A$2:$A1001, "&lt;2025-07-01"),
    COUNTIFS('Form responses 1'!$F$2:$F1001, A19, 'Form responses 1'!$A$2:$A1001, "&gt;=2025-04-01", 'Form responses 1'!$A$2:$A1001, "&lt;2025-07-01"),
    COUNTIFS('Form responses 1'!$G$2:$G1001, A19, 'Form responses 1'!$A$2:$A1001, "&gt;=2025-04-01", 'Form responses 1'!$A$2:$A1001, "&lt;2025-07-01")
)
</f>
        <v>6</v>
      </c>
      <c r="O19" s="2">
        <f>SUM(
    COUNTIFS('Form responses 1'!$C$2:$C1001, A19, 'Form responses 1'!$A$2:$A1001, "&gt;=2025-07-01", 'Form responses 1'!$A$2:$A1001, "&lt;=2025-09-30"),
    COUNTIFS('Form responses 1'!$B$2:$B1001, A19, 'Form responses 1'!$A$2:$A1001, "&gt;=2025-07-01", 'Form responses 1'!$A$2:$A1001, "&lt;=2025-09-30"),
    COUNTIFS('Form responses 1'!$D$2:$D1001, A19, 'Form responses 1'!$A$2:$A1001, "&gt;=2025-07-01", 'Form responses 1'!$A$2:$A1001, "&lt;=2025-09-30"),
    COUNTIFS('Form responses 1'!$E$2:$E1001, A19, 'Form responses 1'!$A$2:$A1001, "&gt;=2025-07-01", 'Form responses 1'!$A$2:$A1001, "&lt;=2025-09-30"),
    COUNTIFS('Form responses 1'!$F$2:$F1001, A19, 'Form responses 1'!$A$2:$A1001, "&gt;=2025-07-01", 'Form responses 1'!$A$2:$A1001, "&lt;=2025-09-30"),
    COUNTIFS('Form responses 1'!$G$2:$G1001, A19, 'Form responses 1'!$A$2:$A1001, "&gt;=2025-07-01", 'Form responses 1'!$A$2:$A1001, "&lt;=2025-09-30")
)
</f>
        <v>0</v>
      </c>
      <c r="P19" s="2">
        <f>SUM(
    COUNTIFS('Form responses 1'!$C$2:$C1001, A19, 'Form responses 1'!$A$2:$A1001, "&gt;=2025-10-01", 'Form responses 1'!$A$2:$A1001, "&lt;=2025-12-31"),
    COUNTIFS('Form responses 1'!$B$2:$B1001, A19, 'Form responses 1'!$A$2:$A1001, "&gt;=2025-10-01", 'Form responses 1'!$A$2:$A1001, "&lt;=2025-12-31"),
    COUNTIFS('Form responses 1'!$D$2:$D1001, A19, 'Form responses 1'!$A$2:$A1001, "&gt;=2025-10-01", 'Form responses 1'!$A$2:$A1001, "&lt;=2025-12-31"),
    COUNTIFS('Form responses 1'!$E$2:$E1001, A19, 'Form responses 1'!$A$2:$A1001, "&gt;=2025-10-01", 'Form responses 1'!$A$2:$A1001, "&lt;=2025-12-31"),
    COUNTIFS('Form responses 1'!$F$2:$F1001, A19, 'Form responses 1'!$A$2:$A1001, "&gt;=2025-10-01", 'Form responses 1'!$A$2:$A1001, "&lt;=2025-12-31"),
    COUNTIFS('Form responses 1'!$G$2:$G1001, A19, 'Form responses 1'!$A$2:$A1001, "&gt;=2025-10-01", 'Form responses 1'!$A$2:$A1001, "&lt;=2025-12-31")
)
</f>
        <v>9</v>
      </c>
    </row>
    <row r="20">
      <c r="A20" s="6" t="str">
        <f>IFERROR(__xludf.DUMMYFUNCTION("""COMPUTED_VALUE"""),"Wit t-shirt")</f>
        <v>Wit t-shirt</v>
      </c>
      <c r="B20" s="2">
        <f>SUM(
    COUNTIFS('Form responses 1'!$C$2:$C1001, A20, 'Form responses 1'!$A$2:$A1001, "&gt;=2022-04-01", 'Form responses 1'!$A$2:$A1001, "&lt;=2022-06-30"),
    COUNTIFS('Form responses 1'!$B$2:$B1001, A20, 'Form responses 1'!$A$2:$A1001, "&gt;=2022-04-01", 'Form responses 1'!$A$2:$A1001, "&lt;=2022-06-30"),
    COUNTIFS('Form responses 1'!$D$2:$D1001, A20, 'Form responses 1'!$A$2:$A1001, "&gt;=2022-04-01", 'Form responses 1'!$A$2:$A1001, "&lt;=2022-06-30"),
    COUNTIFS('Form responses 1'!$E$2:$E1001, A20, 'Form responses 1'!$A$2:$A1001, "&gt;=2022-04-01", 'Form responses 1'!$A$2:$A1001, "&lt;=2022-06-30"),
    COUNTIFS('Form responses 1'!$F$2:$F1001, A20, 'Form responses 1'!$A$2:$A1001, "&gt;=2022-04-01", 'Form responses 1'!$A$2:$A1001, "&lt;=2022-06-30"),
    COUNTIFS('Form responses 1'!$G$2:$G1001, A20, 'Form responses 1'!$A$2:$A1001, "&gt;=2022-04-01", 'Form responses 1'!$A$2:$A1001, "&lt;=2022-06-30")
)
</f>
        <v>32</v>
      </c>
      <c r="C20" s="2">
        <f>SUM(
    COUNTIFS('Form responses 1'!$C$2:$C1001, A20, 'Form responses 1'!$A$2:$A1001, "&gt;=2022-07-01", 'Form responses 1'!$A$2:$A1001, "&lt;=2022-09-30"),
    COUNTIFS('Form responses 1'!$B$2:$B1001, A20, 'Form responses 1'!$A$2:$A1001, "&gt;=2022-07-01", 'Form responses 1'!$A$2:$A1001, "&lt;=2022-09-30"),
    COUNTIFS('Form responses 1'!$D$2:$D1001, A20, 'Form responses 1'!$A$2:$A1001, "&gt;=2022-07-01", 'Form responses 1'!$A$2:$A1001, "&lt;=2022-09-30"),
    COUNTIFS('Form responses 1'!$E$2:$E1001, A20, 'Form responses 1'!$A$2:$A1001, "&gt;=2022-07-01", 'Form responses 1'!$A$2:$A1001, "&lt;=2022-09-30"),
    COUNTIFS('Form responses 1'!$F$2:$F1001, A20, 'Form responses 1'!$A$2:$A1001, "&gt;=2022-07-01", 'Form responses 1'!$A$2:$A1001, "&lt;=2022-09-30"),
    COUNTIFS('Form responses 1'!$G$2:$G1001, A20, 'Form responses 1'!$A$2:$A1001, "&gt;=2022-07-01", 'Form responses 1'!$A$2:$A1001, "&lt;=2022-09-30")
)
</f>
        <v>11</v>
      </c>
      <c r="D20" s="2">
        <f>SUM(
    COUNTIFS('Form responses 1'!$C$2:$C1001, A20, 'Form responses 1'!$A$2:$A1001, "&gt;=2022-10-01", 'Form responses 1'!$A$2:$A1001, "&lt;=2022-12-31"),
    COUNTIFS('Form responses 1'!$B$2:$B1001, A20, 'Form responses 1'!$A$2:$A1001, "&gt;=2022-10-01", 'Form responses 1'!$A$2:$A1001, "&lt;=2022-12-31"),
    COUNTIFS('Form responses 1'!$D$2:$D1001, A20, 'Form responses 1'!$A$2:$A1001, "&gt;=2022-10-01", 'Form responses 1'!$A$2:$A1001, "&lt;=2022-12-31"),
    COUNTIFS('Form responses 1'!$E$2:$E1001, A20, 'Form responses 1'!$A$2:$A1001, "&gt;=2022-10-01", 'Form responses 1'!$A$2:$A1001, "&lt;=2022-12-31"),
    COUNTIFS('Form responses 1'!$F$2:$F1001, A20, 'Form responses 1'!$A$2:$A1001, "&gt;=2022-10-01", 'Form responses 1'!$A$2:$A1001, "&lt;=2022-12-31"),
    COUNTIFS('Form responses 1'!$G$2:$G1001, A20, 'Form responses 1'!$A$2:$A1001, "&gt;=2022-10-01", 'Form responses 1'!$A$2:$A1001, "&lt;=2022-12-31")
)
</f>
        <v>36</v>
      </c>
      <c r="E20" s="2">
        <f>SUM(
    COUNTIFS('Form responses 1'!$C$2:$C1001, A20, 'Form responses 1'!$A$2:$A1001, "&gt;=2023-01-01", 'Form responses 1'!$A$2:$A1001, "&lt;=2023-03-31"),
    COUNTIFS('Form responses 1'!$B$2:$B1001, A20, 'Form responses 1'!$A$2:$A1001, "&gt;=2023-01-01", 'Form responses 1'!$A$2:$A1001, "&lt;=2023-03-31"),
    COUNTIFS('Form responses 1'!$D$2:$D1001, A20, 'Form responses 1'!$A$2:$A1001, "&gt;=2023-01-01", 'Form responses 1'!$A$2:$A1001, "&lt;=2023-03-31"),
    COUNTIFS('Form responses 1'!$E$2:$E1001, A20, 'Form responses 1'!$A$2:$A1001, "&gt;=2023-01-01", 'Form responses 1'!$A$2:$A1001, "&lt;=2023-03-31"),
    COUNTIFS('Form responses 1'!$F$2:$F1001, A20, 'Form responses 1'!$A$2:$A1001, "&gt;=2023-01-01", 'Form responses 1'!$A$2:$A1001, "&lt;=2023-03-31"),
    COUNTIFS('Form responses 1'!$G$2:$G1001, A20, 'Form responses 1'!$A$2:$A1001, "&gt;=2023-01-01", 'Form responses 1'!$A$2:$A1001, "&lt;=2023-03-31")
)
</f>
        <v>61</v>
      </c>
      <c r="F20" s="2">
        <f>SUM(
    COUNTIFS('Form responses 1'!$C$2:$C1001, A20, 'Form responses 1'!$A$2:$A1001, "&gt;=2023-04-01", 'Form responses 1'!$A$2:$A1001, "&lt;=2023-06-30"),
    COUNTIFS('Form responses 1'!$B$2:$B1001, A20, 'Form responses 1'!$A$2:$A1001, "&gt;=2023-04-01", 'Form responses 1'!$A$2:$A1001, "&lt;=2023-06-30"),
    COUNTIFS('Form responses 1'!$D$2:$D1001, A20, 'Form responses 1'!$A$2:$A1001, "&gt;=2023-04-01", 'Form responses 1'!$A$2:$A1001, "&lt;=2023-06-30"),
    COUNTIFS('Form responses 1'!$E$2:$E1001, A20, 'Form responses 1'!$A$2:$A1001, "&gt;=2023-04-01", 'Form responses 1'!$A$2:$A1001, "&lt;=2023-06-30"),
    COUNTIFS('Form responses 1'!$F$2:$F1001, A20, 'Form responses 1'!$A$2:$A1001, "&gt;=2023-04-01", 'Form responses 1'!$A$2:$A1001, "&lt;=2023-06-30"),
    COUNTIFS('Form responses 1'!$G$2:$G1001, A20, 'Form responses 1'!$A$2:$A1001, "&gt;=2023-04-01", 'Form responses 1'!$A$2:$A1001, "&lt;=2023-06-30")
)
</f>
        <v>54</v>
      </c>
      <c r="G20" s="2">
        <f>SUM(
    COUNTIFS('Form responses 1'!$C$2:$C1001, A20, 'Form responses 1'!$A$2:$A1001, "&gt;=2023-07-01", 'Form responses 1'!$A$2:$A1001, "&lt;=2023-09-30"),
    COUNTIFS('Form responses 1'!$B$2:$B1001, A20, 'Form responses 1'!$A$2:$A1001, "&gt;=2023-07-01", 'Form responses 1'!$A$2:$A1001, "&lt;=2023-09-30"),
    COUNTIFS('Form responses 1'!$D$2:$D1001, A20, 'Form responses 1'!$A$2:$A1001, "&gt;=2023-07-01", 'Form responses 1'!$A$2:$A1001, "&lt;=2023-09-30"),
    COUNTIFS('Form responses 1'!$E$2:$E1001, A20, 'Form responses 1'!$A$2:$A1001, "&gt;=2023-07-01", 'Form responses 1'!$A$2:$A1001, "&lt;=2023-09-30"),
    COUNTIFS('Form responses 1'!$F$2:$F1001, A20, 'Form responses 1'!$A$2:$A1001, "&gt;=2023-07-01", 'Form responses 1'!$A$2:$A1001, "&lt;=2023-09-30"),
    COUNTIFS('Form responses 1'!$G$2:$G1001, A20, 'Form responses 1'!$A$2:$A1001, "&gt;=2023-07-01", 'Form responses 1'!$A$2:$A1001, "&lt;=2023-09-30")
)
</f>
        <v>24</v>
      </c>
      <c r="H20" s="2">
        <f>SUM(
    COUNTIFS('Form responses 1'!$C$2:$C1001, A20, 'Form responses 1'!$A$2:$A1001, "&gt;=2023-10-01", 'Form responses 1'!$A$2:$A1001, "&lt;=2023-12-31"),
    COUNTIFS('Form responses 1'!$B$2:$B1001, A20, 'Form responses 1'!$A$2:$A1001, "&gt;=2023-10-01", 'Form responses 1'!$A$2:$A1001, "&lt;=2023-12-31"),
    COUNTIFS('Form responses 1'!$D$2:$D1001, A20, 'Form responses 1'!$A$2:$A1001, "&gt;=2023-10-01", 'Form responses 1'!$A$2:$A1001, "&lt;=2023-12-31"),
    COUNTIFS('Form responses 1'!$E$2:$E1001, A20, 'Form responses 1'!$A$2:$A1001, "&gt;=2023-10-01", 'Form responses 1'!$A$2:$A1001, "&lt;=2023-12-31"),
    COUNTIFS('Form responses 1'!$F$2:$F1001, A20, 'Form responses 1'!$A$2:$A1001, "&gt;=2023-10-01", 'Form responses 1'!$A$2:$A1001, "&lt;=2023-12-31"),
    COUNTIFS('Form responses 1'!$G$2:$G1001, A20, 'Form responses 1'!$A$2:$A1001, "&gt;=2023-10-01", 'Form responses 1'!$A$2:$A1001, "&lt;=2023-12-31")
)
</f>
        <v>51</v>
      </c>
      <c r="I20" s="2">
        <f>SUM(
    COUNTIFS('Form responses 1'!$C$2:$C1001, A20, 'Form responses 1'!$A$2:$A1001, "&gt;=2024-01-01", 'Form responses 1'!$A$2:$A1001, "&lt;=2024-03-31"),
    COUNTIFS('Form responses 1'!$B$2:$B1001, A20, 'Form responses 1'!$A$2:$A1001, "&gt;=2024-01-01", 'Form responses 1'!$A$2:$A1001, "&lt;=2024-03-31"),
    COUNTIFS('Form responses 1'!$D$2:$D1001, A20, 'Form responses 1'!$A$2:$A1001, "&gt;=2024-01-01", 'Form responses 1'!$A$2:$A1001, "&lt;=2024-03-31"),
    COUNTIFS('Form responses 1'!$E$2:$E1001, A20, 'Form responses 1'!$A$2:$A1001, "&gt;=2024-01-01", 'Form responses 1'!$A$2:$A1001, "&lt;=2024-03-31"),
    COUNTIFS('Form responses 1'!$F$2:$F1001, A20, 'Form responses 1'!$A$2:$A1001, "&gt;=2024-01-01", 'Form responses 1'!$A$2:$A1001, "&lt;=2024-03-31"),
    COUNTIFS('Form responses 1'!$G$2:$G1001, A20, 'Form responses 1'!$A$2:$A1001, "&gt;=2024-01-01", 'Form responses 1'!$A$2:$A1001, "&lt;=2024-03-31")
)
</f>
        <v>44</v>
      </c>
      <c r="J20" s="2">
        <f>SUM(
    COUNTIFS('Form responses 1'!$C$2:$C1001, A20, 'Form responses 1'!$A$2:$A1001, "&gt;=2024-04-01", 'Form responses 1'!$A$2:$A1001, "&lt;=2024-06-30"),
    COUNTIFS('Form responses 1'!$B$2:$B1001, A20, 'Form responses 1'!$A$2:$A1001, "&gt;=2024-04-01", 'Form responses 1'!$A$2:$A1001, "&lt;=2024-06-30"),
    COUNTIFS('Form responses 1'!$D$2:$D1001, A20, 'Form responses 1'!$A$2:$A1001, "&gt;=2024-04-01", 'Form responses 1'!$A$2:$A1001, "&lt;=2024-06-30"),
    COUNTIFS('Form responses 1'!$E$2:$E1001, A20, 'Form responses 1'!$A$2:$A1001, "&gt;=2024-04-01", 'Form responses 1'!$A$2:$A1001, "&lt;=2024-06-30"),
    COUNTIFS('Form responses 1'!$F$2:$F1001, A20, 'Form responses 1'!$A$2:$A1001, "&gt;=2024-04-01", 'Form responses 1'!$A$2:$A1001, "&lt;=2024-06-30"),
    COUNTIFS('Form responses 1'!$G$2:$G1001, A20, 'Form responses 1'!$A$2:$A1001, "&gt;=2024-04-01", 'Form responses 1'!$A$2:$A1001, "&lt;=2024-06-30")
)
</f>
        <v>44</v>
      </c>
      <c r="K20" s="2">
        <f>SUM(
    COUNTIFS('Form responses 1'!$C$2:$C1001, A20, 'Form responses 1'!$A$2:$A1001, "&gt;=2024-07-01", 'Form responses 1'!$A$2:$A1001, "&lt;=2024-09-30"),
    COUNTIFS('Form responses 1'!$B$2:$B1001, A20, 'Form responses 1'!$A$2:$A1001, "&gt;=2024-07-01", 'Form responses 1'!$A$2:$A1001, "&lt;=2024-09-30"),
    COUNTIFS('Form responses 1'!$D$2:$D1001, A20, 'Form responses 1'!$A$2:$A1001, "&gt;=2024-07-01", 'Form responses 1'!$A$2:$A1001, "&lt;=2024-09-30"),
    COUNTIFS('Form responses 1'!$E$2:$E1001, A20, 'Form responses 1'!$A$2:$A1001, "&gt;=2024-07-01", 'Form responses 1'!$A$2:$A1001, "&lt;=2024-09-30"),
    COUNTIFS('Form responses 1'!$F$2:$F1001, A20, 'Form responses 1'!$A$2:$A1001, "&gt;=2024-07-01", 'Form responses 1'!$A$2:$A1001, "&lt;=2024-09-30"),
    COUNTIFS('Form responses 1'!$G$2:$G1001, A20, 'Form responses 1'!$A$2:$A1001, "&gt;=2024-07-01", 'Form responses 1'!$A$2:$A1001, "&lt;=2024-09-30")
)
</f>
        <v>16</v>
      </c>
      <c r="L20" s="2">
        <f>SUM(
    COUNTIFS('Form responses 1'!$C$2:$C1001, A20, 'Form responses 1'!$A$2:$A1001, "&gt;=2024-10-01", 'Form responses 1'!$A$2:$A1001, "&lt;=2024-12-31"),
    COUNTIFS('Form responses 1'!$B$2:$B1001, A20, 'Form responses 1'!$A$2:$A1001, "&gt;=2024-10-01", 'Form responses 1'!$A$2:$A1001, "&lt;=2024-12-31"),
    COUNTIFS('Form responses 1'!$D$2:$D1001, A20, 'Form responses 1'!$A$2:$A1001, "&gt;=2024-10-01", 'Form responses 1'!$A$2:$A1001, "&lt;=2024-12-31"),
    COUNTIFS('Form responses 1'!$E$2:$E1001, A20, 'Form responses 1'!$A$2:$A1001, "&gt;=2024-10-01", 'Form responses 1'!$A$2:$A1001, "&lt;=2024-12-31"),
    COUNTIFS('Form responses 1'!$F$2:$F1001, A20, 'Form responses 1'!$A$2:$A1001, "&gt;=2024-10-01", 'Form responses 1'!$A$2:$A1001, "&lt;=2024-12-31"),
    COUNTIFS('Form responses 1'!$G$2:$G1001, A20, 'Form responses 1'!$A$2:$A1001, "&gt;=2024-10-01", 'Form responses 1'!$A$2:$A1001, "&lt;=2024-12-31")
)
</f>
        <v>46</v>
      </c>
      <c r="M20" s="2">
        <f>SUM(
    COUNTIFS('Form responses 1'!$C$2:$C1001, A20, 'Form responses 1'!$A$2:$A1001, "&gt;=2025-01-01", 'Form responses 1'!$A$2:$A1001, "&lt;=2025-03-31"),
    COUNTIFS('Form responses 1'!$B$2:$B1001, A20, 'Form responses 1'!$A$2:$A1001, "&gt;=2025-01-01", 'Form responses 1'!$A$2:$A1001, "&lt;=2025-03-31"),
    COUNTIFS('Form responses 1'!$D$2:$D1001, A20, 'Form responses 1'!$A$2:$A1001, "&gt;=2025-01-01", 'Form responses 1'!$A$2:$A1001, "&lt;=2025-03-31"),
    COUNTIFS('Form responses 1'!$E$2:$E1001, A20, 'Form responses 1'!$A$2:$A1001, "&gt;=2025-01-01", 'Form responses 1'!$A$2:$A1001, "&lt;=2025-03-31"),
    COUNTIFS('Form responses 1'!$F$2:$F1001, A20, 'Form responses 1'!$A$2:$A1001, "&gt;=2025-01-01", 'Form responses 1'!$A$2:$A1001, "&lt;=2025-03-31"),
    COUNTIFS('Form responses 1'!$G$2:$G1001, A20, 'Form responses 1'!$A$2:$A1001, "&gt;=2025-01-01", 'Form responses 1'!$A$2:$A1001, "&lt;=2025-03-31")
)
</f>
        <v>60</v>
      </c>
      <c r="N20" s="2">
        <f>SUM(
    COUNTIFS('Form responses 1'!$C$2:$C1001, A20, 'Form responses 1'!$A$2:$A1001, "&gt;=2025-04-01", 'Form responses 1'!$A$2:$A1001, "&lt;2025-07-01"),
    COUNTIFS('Form responses 1'!$B$2:$B1001, A20, 'Form responses 1'!$A$2:$A1001, "&gt;=2025-04-01", 'Form responses 1'!$A$2:$A1001, "&lt;2025-07-01"),
    COUNTIFS('Form responses 1'!$D$2:$D1001, A20, 'Form responses 1'!$A$2:$A1001, "&gt;=2025-04-01", 'Form responses 1'!$A$2:$A1001, "&lt;2025-07-01"),
    COUNTIFS('Form responses 1'!$E$2:$E1001, A20, 'Form responses 1'!$A$2:$A1001, "&gt;=2025-04-01", 'Form responses 1'!$A$2:$A1001, "&lt;2025-07-01"),
    COUNTIFS('Form responses 1'!$F$2:$F1001, A20, 'Form responses 1'!$A$2:$A1001, "&gt;=2025-04-01", 'Form responses 1'!$A$2:$A1001, "&lt;2025-07-01"),
    COUNTIFS('Form responses 1'!$G$2:$G1001, A20, 'Form responses 1'!$A$2:$A1001, "&gt;=2025-04-01", 'Form responses 1'!$A$2:$A1001, "&lt;2025-07-01")
)
</f>
        <v>32</v>
      </c>
      <c r="O20" s="2">
        <f>SUM(
    COUNTIFS('Form responses 1'!$C$2:$C1001, A20, 'Form responses 1'!$A$2:$A1001, "&gt;=2025-07-01", 'Form responses 1'!$A$2:$A1001, "&lt;=2025-09-30"),
    COUNTIFS('Form responses 1'!$B$2:$B1001, A20, 'Form responses 1'!$A$2:$A1001, "&gt;=2025-07-01", 'Form responses 1'!$A$2:$A1001, "&lt;=2025-09-30"),
    COUNTIFS('Form responses 1'!$D$2:$D1001, A20, 'Form responses 1'!$A$2:$A1001, "&gt;=2025-07-01", 'Form responses 1'!$A$2:$A1001, "&lt;=2025-09-30"),
    COUNTIFS('Form responses 1'!$E$2:$E1001, A20, 'Form responses 1'!$A$2:$A1001, "&gt;=2025-07-01", 'Form responses 1'!$A$2:$A1001, "&lt;=2025-09-30"),
    COUNTIFS('Form responses 1'!$F$2:$F1001, A20, 'Form responses 1'!$A$2:$A1001, "&gt;=2025-07-01", 'Form responses 1'!$A$2:$A1001, "&lt;=2025-09-30"),
    COUNTIFS('Form responses 1'!$G$2:$G1001, A20, 'Form responses 1'!$A$2:$A1001, "&gt;=2025-07-01", 'Form responses 1'!$A$2:$A1001, "&lt;=2025-09-30")
)
</f>
        <v>7</v>
      </c>
      <c r="P20" s="2">
        <f>SUM(
    COUNTIFS('Form responses 1'!$C$2:$C1001, A20, 'Form responses 1'!$A$2:$A1001, "&gt;=2025-10-01", 'Form responses 1'!$A$2:$A1001, "&lt;=2025-12-31"),
    COUNTIFS('Form responses 1'!$B$2:$B1001, A20, 'Form responses 1'!$A$2:$A1001, "&gt;=2025-10-01", 'Form responses 1'!$A$2:$A1001, "&lt;=2025-12-31"),
    COUNTIFS('Form responses 1'!$D$2:$D1001, A20, 'Form responses 1'!$A$2:$A1001, "&gt;=2025-10-01", 'Form responses 1'!$A$2:$A1001, "&lt;=2025-12-31"),
    COUNTIFS('Form responses 1'!$E$2:$E1001, A20, 'Form responses 1'!$A$2:$A1001, "&gt;=2025-10-01", 'Form responses 1'!$A$2:$A1001, "&lt;=2025-12-31"),
    COUNTIFS('Form responses 1'!$F$2:$F1001, A20, 'Form responses 1'!$A$2:$A1001, "&gt;=2025-10-01", 'Form responses 1'!$A$2:$A1001, "&lt;=2025-12-31"),
    COUNTIFS('Form responses 1'!$G$2:$G1001, A20, 'Form responses 1'!$A$2:$A1001, "&gt;=2025-10-01", 'Form responses 1'!$A$2:$A1001, "&lt;=2025-12-31")
)
</f>
        <v>32</v>
      </c>
    </row>
    <row r="21">
      <c r="A21" s="3" t="str">
        <f>IFERROR(__xludf.DUMMYFUNCTION("""COMPUTED_VALUE"""),"Wit t-shirt uniqlo")</f>
        <v>Wit t-shirt uniqlo</v>
      </c>
      <c r="B21" s="2">
        <f>SUM(
    COUNTIFS('Form responses 1'!$C$2:$C1001, A21, 'Form responses 1'!$A$2:$A1001, "&gt;=2022-04-01", 'Form responses 1'!$A$2:$A1001, "&lt;=2022-06-30"),
    COUNTIFS('Form responses 1'!$B$2:$B1001, A21, 'Form responses 1'!$A$2:$A1001, "&gt;=2022-04-01", 'Form responses 1'!$A$2:$A1001, "&lt;=2022-06-30"),
    COUNTIFS('Form responses 1'!$D$2:$D1001, A21, 'Form responses 1'!$A$2:$A1001, "&gt;=2022-04-01", 'Form responses 1'!$A$2:$A1001, "&lt;=2022-06-30"),
    COUNTIFS('Form responses 1'!$E$2:$E1001, A21, 'Form responses 1'!$A$2:$A1001, "&gt;=2022-04-01", 'Form responses 1'!$A$2:$A1001, "&lt;=2022-06-30"),
    COUNTIFS('Form responses 1'!$F$2:$F1001, A21, 'Form responses 1'!$A$2:$A1001, "&gt;=2022-04-01", 'Form responses 1'!$A$2:$A1001, "&lt;=2022-06-30"),
    COUNTIFS('Form responses 1'!$G$2:$G1001, A21, 'Form responses 1'!$A$2:$A1001, "&gt;=2022-04-01", 'Form responses 1'!$A$2:$A1001, "&lt;=2022-06-30")
)
</f>
        <v>0</v>
      </c>
      <c r="C21" s="2">
        <f>SUM(
    COUNTIFS('Form responses 1'!$C$2:$C1001, A21, 'Form responses 1'!$A$2:$A1001, "&gt;=2022-07-01", 'Form responses 1'!$A$2:$A1001, "&lt;=2022-09-30"),
    COUNTIFS('Form responses 1'!$B$2:$B1001, A21, 'Form responses 1'!$A$2:$A1001, "&gt;=2022-07-01", 'Form responses 1'!$A$2:$A1001, "&lt;=2022-09-30"),
    COUNTIFS('Form responses 1'!$D$2:$D1001, A21, 'Form responses 1'!$A$2:$A1001, "&gt;=2022-07-01", 'Form responses 1'!$A$2:$A1001, "&lt;=2022-09-30"),
    COUNTIFS('Form responses 1'!$E$2:$E1001, A21, 'Form responses 1'!$A$2:$A1001, "&gt;=2022-07-01", 'Form responses 1'!$A$2:$A1001, "&lt;=2022-09-30"),
    COUNTIFS('Form responses 1'!$F$2:$F1001, A21, 'Form responses 1'!$A$2:$A1001, "&gt;=2022-07-01", 'Form responses 1'!$A$2:$A1001, "&lt;=2022-09-30"),
    COUNTIFS('Form responses 1'!$G$2:$G1001, A21, 'Form responses 1'!$A$2:$A1001, "&gt;=2022-07-01", 'Form responses 1'!$A$2:$A1001, "&lt;=2022-09-30")
)
</f>
        <v>0</v>
      </c>
      <c r="D21" s="2">
        <f>SUM(
    COUNTIFS('Form responses 1'!$C$2:$C1001, A21, 'Form responses 1'!$A$2:$A1001, "&gt;=2022-10-01", 'Form responses 1'!$A$2:$A1001, "&lt;=2022-12-31"),
    COUNTIFS('Form responses 1'!$B$2:$B1001, A21, 'Form responses 1'!$A$2:$A1001, "&gt;=2022-10-01", 'Form responses 1'!$A$2:$A1001, "&lt;=2022-12-31"),
    COUNTIFS('Form responses 1'!$D$2:$D1001, A21, 'Form responses 1'!$A$2:$A1001, "&gt;=2022-10-01", 'Form responses 1'!$A$2:$A1001, "&lt;=2022-12-31"),
    COUNTIFS('Form responses 1'!$E$2:$E1001, A21, 'Form responses 1'!$A$2:$A1001, "&gt;=2022-10-01", 'Form responses 1'!$A$2:$A1001, "&lt;=2022-12-31"),
    COUNTIFS('Form responses 1'!$F$2:$F1001, A21, 'Form responses 1'!$A$2:$A1001, "&gt;=2022-10-01", 'Form responses 1'!$A$2:$A1001, "&lt;=2022-12-31"),
    COUNTIFS('Form responses 1'!$G$2:$G1001, A21, 'Form responses 1'!$A$2:$A1001, "&gt;=2022-10-01", 'Form responses 1'!$A$2:$A1001, "&lt;=2022-12-31")
)
</f>
        <v>0</v>
      </c>
      <c r="E21" s="2">
        <f>SUM(
    COUNTIFS('Form responses 1'!$C$2:$C1001, A21, 'Form responses 1'!$A$2:$A1001, "&gt;=2023-01-01", 'Form responses 1'!$A$2:$A1001, "&lt;=2023-03-31"),
    COUNTIFS('Form responses 1'!$B$2:$B1001, A21, 'Form responses 1'!$A$2:$A1001, "&gt;=2023-01-01", 'Form responses 1'!$A$2:$A1001, "&lt;=2023-03-31"),
    COUNTIFS('Form responses 1'!$D$2:$D1001, A21, 'Form responses 1'!$A$2:$A1001, "&gt;=2023-01-01", 'Form responses 1'!$A$2:$A1001, "&lt;=2023-03-31"),
    COUNTIFS('Form responses 1'!$E$2:$E1001, A21, 'Form responses 1'!$A$2:$A1001, "&gt;=2023-01-01", 'Form responses 1'!$A$2:$A1001, "&lt;=2023-03-31"),
    COUNTIFS('Form responses 1'!$F$2:$F1001, A21, 'Form responses 1'!$A$2:$A1001, "&gt;=2023-01-01", 'Form responses 1'!$A$2:$A1001, "&lt;=2023-03-31"),
    COUNTIFS('Form responses 1'!$G$2:$G1001, A21, 'Form responses 1'!$A$2:$A1001, "&gt;=2023-01-01", 'Form responses 1'!$A$2:$A1001, "&lt;=2023-03-31")
)
</f>
        <v>0</v>
      </c>
      <c r="F21" s="2">
        <f>SUM(
    COUNTIFS('Form responses 1'!$C$2:$C1001, A21, 'Form responses 1'!$A$2:$A1001, "&gt;=2023-04-01", 'Form responses 1'!$A$2:$A1001, "&lt;=2023-06-30"),
    COUNTIFS('Form responses 1'!$B$2:$B1001, A21, 'Form responses 1'!$A$2:$A1001, "&gt;=2023-04-01", 'Form responses 1'!$A$2:$A1001, "&lt;=2023-06-30"),
    COUNTIFS('Form responses 1'!$D$2:$D1001, A21, 'Form responses 1'!$A$2:$A1001, "&gt;=2023-04-01", 'Form responses 1'!$A$2:$A1001, "&lt;=2023-06-30"),
    COUNTIFS('Form responses 1'!$E$2:$E1001, A21, 'Form responses 1'!$A$2:$A1001, "&gt;=2023-04-01", 'Form responses 1'!$A$2:$A1001, "&lt;=2023-06-30"),
    COUNTIFS('Form responses 1'!$F$2:$F1001, A21, 'Form responses 1'!$A$2:$A1001, "&gt;=2023-04-01", 'Form responses 1'!$A$2:$A1001, "&lt;=2023-06-30"),
    COUNTIFS('Form responses 1'!$G$2:$G1001, A21, 'Form responses 1'!$A$2:$A1001, "&gt;=2023-04-01", 'Form responses 1'!$A$2:$A1001, "&lt;=2023-06-30")
)
</f>
        <v>0</v>
      </c>
      <c r="G21" s="2">
        <f>SUM(
    COUNTIFS('Form responses 1'!$C$2:$C1001, A21, 'Form responses 1'!$A$2:$A1001, "&gt;=2023-07-01", 'Form responses 1'!$A$2:$A1001, "&lt;=2023-09-30"),
    COUNTIFS('Form responses 1'!$B$2:$B1001, A21, 'Form responses 1'!$A$2:$A1001, "&gt;=2023-07-01", 'Form responses 1'!$A$2:$A1001, "&lt;=2023-09-30"),
    COUNTIFS('Form responses 1'!$D$2:$D1001, A21, 'Form responses 1'!$A$2:$A1001, "&gt;=2023-07-01", 'Form responses 1'!$A$2:$A1001, "&lt;=2023-09-30"),
    COUNTIFS('Form responses 1'!$E$2:$E1001, A21, 'Form responses 1'!$A$2:$A1001, "&gt;=2023-07-01", 'Form responses 1'!$A$2:$A1001, "&lt;=2023-09-30"),
    COUNTIFS('Form responses 1'!$F$2:$F1001, A21, 'Form responses 1'!$A$2:$A1001, "&gt;=2023-07-01", 'Form responses 1'!$A$2:$A1001, "&lt;=2023-09-30"),
    COUNTIFS('Form responses 1'!$G$2:$G1001, A21, 'Form responses 1'!$A$2:$A1001, "&gt;=2023-07-01", 'Form responses 1'!$A$2:$A1001, "&lt;=2023-09-30")
)
</f>
        <v>16</v>
      </c>
      <c r="H21" s="2">
        <f>SUM(
    COUNTIFS('Form responses 1'!$C$2:$C1001, A21, 'Form responses 1'!$A$2:$A1001, "&gt;=2023-10-01", 'Form responses 1'!$A$2:$A1001, "&lt;=2023-12-31"),
    COUNTIFS('Form responses 1'!$B$2:$B1001, A21, 'Form responses 1'!$A$2:$A1001, "&gt;=2023-10-01", 'Form responses 1'!$A$2:$A1001, "&lt;=2023-12-31"),
    COUNTIFS('Form responses 1'!$D$2:$D1001, A21, 'Form responses 1'!$A$2:$A1001, "&gt;=2023-10-01", 'Form responses 1'!$A$2:$A1001, "&lt;=2023-12-31"),
    COUNTIFS('Form responses 1'!$E$2:$E1001, A21, 'Form responses 1'!$A$2:$A1001, "&gt;=2023-10-01", 'Form responses 1'!$A$2:$A1001, "&lt;=2023-12-31"),
    COUNTIFS('Form responses 1'!$F$2:$F1001, A21, 'Form responses 1'!$A$2:$A1001, "&gt;=2023-10-01", 'Form responses 1'!$A$2:$A1001, "&lt;=2023-12-31"),
    COUNTIFS('Form responses 1'!$G$2:$G1001, A21, 'Form responses 1'!$A$2:$A1001, "&gt;=2023-10-01", 'Form responses 1'!$A$2:$A1001, "&lt;=2023-12-31")
)
</f>
        <v>15</v>
      </c>
      <c r="I21" s="2">
        <f>SUM(
    COUNTIFS('Form responses 1'!$C$2:$C1001, A21, 'Form responses 1'!$A$2:$A1001, "&gt;=2024-01-01", 'Form responses 1'!$A$2:$A1001, "&lt;=2024-03-31"),
    COUNTIFS('Form responses 1'!$B$2:$B1001, A21, 'Form responses 1'!$A$2:$A1001, "&gt;=2024-01-01", 'Form responses 1'!$A$2:$A1001, "&lt;=2024-03-31"),
    COUNTIFS('Form responses 1'!$D$2:$D1001, A21, 'Form responses 1'!$A$2:$A1001, "&gt;=2024-01-01", 'Form responses 1'!$A$2:$A1001, "&lt;=2024-03-31"),
    COUNTIFS('Form responses 1'!$E$2:$E1001, A21, 'Form responses 1'!$A$2:$A1001, "&gt;=2024-01-01", 'Form responses 1'!$A$2:$A1001, "&lt;=2024-03-31"),
    COUNTIFS('Form responses 1'!$F$2:$F1001, A21, 'Form responses 1'!$A$2:$A1001, "&gt;=2024-01-01", 'Form responses 1'!$A$2:$A1001, "&lt;=2024-03-31"),
    COUNTIFS('Form responses 1'!$G$2:$G1001, A21, 'Form responses 1'!$A$2:$A1001, "&gt;=2024-01-01", 'Form responses 1'!$A$2:$A1001, "&lt;=2024-03-31")
)
</f>
        <v>17</v>
      </c>
      <c r="J21" s="2">
        <f>SUM(
    COUNTIFS('Form responses 1'!$C$2:$C1001, A21, 'Form responses 1'!$A$2:$A1001, "&gt;=2024-04-01", 'Form responses 1'!$A$2:$A1001, "&lt;=2024-06-30"),
    COUNTIFS('Form responses 1'!$B$2:$B1001, A21, 'Form responses 1'!$A$2:$A1001, "&gt;=2024-04-01", 'Form responses 1'!$A$2:$A1001, "&lt;=2024-06-30"),
    COUNTIFS('Form responses 1'!$D$2:$D1001, A21, 'Form responses 1'!$A$2:$A1001, "&gt;=2024-04-01", 'Form responses 1'!$A$2:$A1001, "&lt;=2024-06-30"),
    COUNTIFS('Form responses 1'!$E$2:$E1001, A21, 'Form responses 1'!$A$2:$A1001, "&gt;=2024-04-01", 'Form responses 1'!$A$2:$A1001, "&lt;=2024-06-30"),
    COUNTIFS('Form responses 1'!$F$2:$F1001, A21, 'Form responses 1'!$A$2:$A1001, "&gt;=2024-04-01", 'Form responses 1'!$A$2:$A1001, "&lt;=2024-06-30"),
    COUNTIFS('Form responses 1'!$G$2:$G1001, A21, 'Form responses 1'!$A$2:$A1001, "&gt;=2024-04-01", 'Form responses 1'!$A$2:$A1001, "&lt;=2024-06-30")
)
</f>
        <v>5</v>
      </c>
      <c r="K21" s="2">
        <f>SUM(
    COUNTIFS('Form responses 1'!$C$2:$C1001, A21, 'Form responses 1'!$A$2:$A1001, "&gt;=2024-07-01", 'Form responses 1'!$A$2:$A1001, "&lt;=2024-09-30"),
    COUNTIFS('Form responses 1'!$B$2:$B1001, A21, 'Form responses 1'!$A$2:$A1001, "&gt;=2024-07-01", 'Form responses 1'!$A$2:$A1001, "&lt;=2024-09-30"),
    COUNTIFS('Form responses 1'!$D$2:$D1001, A21, 'Form responses 1'!$A$2:$A1001, "&gt;=2024-07-01", 'Form responses 1'!$A$2:$A1001, "&lt;=2024-09-30"),
    COUNTIFS('Form responses 1'!$E$2:$E1001, A21, 'Form responses 1'!$A$2:$A1001, "&gt;=2024-07-01", 'Form responses 1'!$A$2:$A1001, "&lt;=2024-09-30"),
    COUNTIFS('Form responses 1'!$F$2:$F1001, A21, 'Form responses 1'!$A$2:$A1001, "&gt;=2024-07-01", 'Form responses 1'!$A$2:$A1001, "&lt;=2024-09-30"),
    COUNTIFS('Form responses 1'!$G$2:$G1001, A21, 'Form responses 1'!$A$2:$A1001, "&gt;=2024-07-01", 'Form responses 1'!$A$2:$A1001, "&lt;=2024-09-30")
)
</f>
        <v>12</v>
      </c>
      <c r="L21" s="2">
        <f>SUM(
    COUNTIFS('Form responses 1'!$C$2:$C1001, A21, 'Form responses 1'!$A$2:$A1001, "&gt;=2024-10-01", 'Form responses 1'!$A$2:$A1001, "&lt;=2024-12-31"),
    COUNTIFS('Form responses 1'!$B$2:$B1001, A21, 'Form responses 1'!$A$2:$A1001, "&gt;=2024-10-01", 'Form responses 1'!$A$2:$A1001, "&lt;=2024-12-31"),
    COUNTIFS('Form responses 1'!$D$2:$D1001, A21, 'Form responses 1'!$A$2:$A1001, "&gt;=2024-10-01", 'Form responses 1'!$A$2:$A1001, "&lt;=2024-12-31"),
    COUNTIFS('Form responses 1'!$E$2:$E1001, A21, 'Form responses 1'!$A$2:$A1001, "&gt;=2024-10-01", 'Form responses 1'!$A$2:$A1001, "&lt;=2024-12-31"),
    COUNTIFS('Form responses 1'!$F$2:$F1001, A21, 'Form responses 1'!$A$2:$A1001, "&gt;=2024-10-01", 'Form responses 1'!$A$2:$A1001, "&lt;=2024-12-31"),
    COUNTIFS('Form responses 1'!$G$2:$G1001, A21, 'Form responses 1'!$A$2:$A1001, "&gt;=2024-10-01", 'Form responses 1'!$A$2:$A1001, "&lt;=2024-12-31")
)
</f>
        <v>15</v>
      </c>
      <c r="M21" s="2">
        <f>SUM(
    COUNTIFS('Form responses 1'!$C$2:$C1001, A21, 'Form responses 1'!$A$2:$A1001, "&gt;=2025-01-01", 'Form responses 1'!$A$2:$A1001, "&lt;=2025-03-31"),
    COUNTIFS('Form responses 1'!$B$2:$B1001, A21, 'Form responses 1'!$A$2:$A1001, "&gt;=2025-01-01", 'Form responses 1'!$A$2:$A1001, "&lt;=2025-03-31"),
    COUNTIFS('Form responses 1'!$D$2:$D1001, A21, 'Form responses 1'!$A$2:$A1001, "&gt;=2025-01-01", 'Form responses 1'!$A$2:$A1001, "&lt;=2025-03-31"),
    COUNTIFS('Form responses 1'!$E$2:$E1001, A21, 'Form responses 1'!$A$2:$A1001, "&gt;=2025-01-01", 'Form responses 1'!$A$2:$A1001, "&lt;=2025-03-31"),
    COUNTIFS('Form responses 1'!$F$2:$F1001, A21, 'Form responses 1'!$A$2:$A1001, "&gt;=2025-01-01", 'Form responses 1'!$A$2:$A1001, "&lt;=2025-03-31"),
    COUNTIFS('Form responses 1'!$G$2:$G1001, A21, 'Form responses 1'!$A$2:$A1001, "&gt;=2025-01-01", 'Form responses 1'!$A$2:$A1001, "&lt;=2025-03-31")
)
</f>
        <v>14</v>
      </c>
      <c r="N21" s="2">
        <f>SUM(
    COUNTIFS('Form responses 1'!$C$2:$C1001, A21, 'Form responses 1'!$A$2:$A1001, "&gt;=2025-04-01", 'Form responses 1'!$A$2:$A1001, "&lt;2025-07-01"),
    COUNTIFS('Form responses 1'!$B$2:$B1001, A21, 'Form responses 1'!$A$2:$A1001, "&gt;=2025-04-01", 'Form responses 1'!$A$2:$A1001, "&lt;2025-07-01"),
    COUNTIFS('Form responses 1'!$D$2:$D1001, A21, 'Form responses 1'!$A$2:$A1001, "&gt;=2025-04-01", 'Form responses 1'!$A$2:$A1001, "&lt;2025-07-01"),
    COUNTIFS('Form responses 1'!$E$2:$E1001, A21, 'Form responses 1'!$A$2:$A1001, "&gt;=2025-04-01", 'Form responses 1'!$A$2:$A1001, "&lt;2025-07-01"),
    COUNTIFS('Form responses 1'!$F$2:$F1001, A21, 'Form responses 1'!$A$2:$A1001, "&gt;=2025-04-01", 'Form responses 1'!$A$2:$A1001, "&lt;2025-07-01"),
    COUNTIFS('Form responses 1'!$G$2:$G1001, A21, 'Form responses 1'!$A$2:$A1001, "&gt;=2025-04-01", 'Form responses 1'!$A$2:$A1001, "&lt;2025-07-01")
)
</f>
        <v>25</v>
      </c>
      <c r="O21" s="2">
        <f>SUM(
    COUNTIFS('Form responses 1'!$C$2:$C1001, A21, 'Form responses 1'!$A$2:$A1001, "&gt;=2025-07-01", 'Form responses 1'!$A$2:$A1001, "&lt;=2025-09-30"),
    COUNTIFS('Form responses 1'!$B$2:$B1001, A21, 'Form responses 1'!$A$2:$A1001, "&gt;=2025-07-01", 'Form responses 1'!$A$2:$A1001, "&lt;=2025-09-30"),
    COUNTIFS('Form responses 1'!$D$2:$D1001, A21, 'Form responses 1'!$A$2:$A1001, "&gt;=2025-07-01", 'Form responses 1'!$A$2:$A1001, "&lt;=2025-09-30"),
    COUNTIFS('Form responses 1'!$E$2:$E1001, A21, 'Form responses 1'!$A$2:$A1001, "&gt;=2025-07-01", 'Form responses 1'!$A$2:$A1001, "&lt;=2025-09-30"),
    COUNTIFS('Form responses 1'!$F$2:$F1001, A21, 'Form responses 1'!$A$2:$A1001, "&gt;=2025-07-01", 'Form responses 1'!$A$2:$A1001, "&lt;=2025-09-30"),
    COUNTIFS('Form responses 1'!$G$2:$G1001, A21, 'Form responses 1'!$A$2:$A1001, "&gt;=2025-07-01", 'Form responses 1'!$A$2:$A1001, "&lt;=2025-09-30")
)
</f>
        <v>21</v>
      </c>
      <c r="P21" s="2">
        <f>SUM(
    COUNTIFS('Form responses 1'!$C$2:$C1001, A21, 'Form responses 1'!$A$2:$A1001, "&gt;=2025-10-01", 'Form responses 1'!$A$2:$A1001, "&lt;=2025-12-31"),
    COUNTIFS('Form responses 1'!$B$2:$B1001, A21, 'Form responses 1'!$A$2:$A1001, "&gt;=2025-10-01", 'Form responses 1'!$A$2:$A1001, "&lt;=2025-12-31"),
    COUNTIFS('Form responses 1'!$D$2:$D1001, A21, 'Form responses 1'!$A$2:$A1001, "&gt;=2025-10-01", 'Form responses 1'!$A$2:$A1001, "&lt;=2025-12-31"),
    COUNTIFS('Form responses 1'!$E$2:$E1001, A21, 'Form responses 1'!$A$2:$A1001, "&gt;=2025-10-01", 'Form responses 1'!$A$2:$A1001, "&lt;=2025-12-31"),
    COUNTIFS('Form responses 1'!$F$2:$F1001, A21, 'Form responses 1'!$A$2:$A1001, "&gt;=2025-10-01", 'Form responses 1'!$A$2:$A1001, "&lt;=2025-12-31"),
    COUNTIFS('Form responses 1'!$G$2:$G1001, A21, 'Form responses 1'!$A$2:$A1001, "&gt;=2025-10-01", 'Form responses 1'!$A$2:$A1001, "&lt;=2025-12-31")
)
</f>
        <v>44</v>
      </c>
    </row>
    <row r="22">
      <c r="A22" s="6" t="str">
        <f>IFERROR(__xludf.DUMMYFUNCTION("""COMPUTED_VALUE"""),"Wit Fila t-shirt")</f>
        <v>Wit Fila t-shirt</v>
      </c>
      <c r="B22" s="2">
        <f>SUM(
    COUNTIFS('Form responses 1'!$C$2:$C1001, A22, 'Form responses 1'!$A$2:$A1001, "&gt;=2022-04-01", 'Form responses 1'!$A$2:$A1001, "&lt;=2022-06-30"),
    COUNTIFS('Form responses 1'!$B$2:$B1001, A22, 'Form responses 1'!$A$2:$A1001, "&gt;=2022-04-01", 'Form responses 1'!$A$2:$A1001, "&lt;=2022-06-30"),
    COUNTIFS('Form responses 1'!$D$2:$D1001, A22, 'Form responses 1'!$A$2:$A1001, "&gt;=2022-04-01", 'Form responses 1'!$A$2:$A1001, "&lt;=2022-06-30"),
    COUNTIFS('Form responses 1'!$E$2:$E1001, A22, 'Form responses 1'!$A$2:$A1001, "&gt;=2022-04-01", 'Form responses 1'!$A$2:$A1001, "&lt;=2022-06-30"),
    COUNTIFS('Form responses 1'!$F$2:$F1001, A22, 'Form responses 1'!$A$2:$A1001, "&gt;=2022-04-01", 'Form responses 1'!$A$2:$A1001, "&lt;=2022-06-30"),
    COUNTIFS('Form responses 1'!$G$2:$G1001, A22, 'Form responses 1'!$A$2:$A1001, "&gt;=2022-04-01", 'Form responses 1'!$A$2:$A1001, "&lt;=2022-06-30")
)
</f>
        <v>6</v>
      </c>
      <c r="C22" s="2">
        <f>SUM(
    COUNTIFS('Form responses 1'!$C$2:$C1001, A22, 'Form responses 1'!$A$2:$A1001, "&gt;=2022-07-01", 'Form responses 1'!$A$2:$A1001, "&lt;=2022-09-30"),
    COUNTIFS('Form responses 1'!$B$2:$B1001, A22, 'Form responses 1'!$A$2:$A1001, "&gt;=2022-07-01", 'Form responses 1'!$A$2:$A1001, "&lt;=2022-09-30"),
    COUNTIFS('Form responses 1'!$D$2:$D1001, A22, 'Form responses 1'!$A$2:$A1001, "&gt;=2022-07-01", 'Form responses 1'!$A$2:$A1001, "&lt;=2022-09-30"),
    COUNTIFS('Form responses 1'!$E$2:$E1001, A22, 'Form responses 1'!$A$2:$A1001, "&gt;=2022-07-01", 'Form responses 1'!$A$2:$A1001, "&lt;=2022-09-30"),
    COUNTIFS('Form responses 1'!$F$2:$F1001, A22, 'Form responses 1'!$A$2:$A1001, "&gt;=2022-07-01", 'Form responses 1'!$A$2:$A1001, "&lt;=2022-09-30"),
    COUNTIFS('Form responses 1'!$G$2:$G1001, A22, 'Form responses 1'!$A$2:$A1001, "&gt;=2022-07-01", 'Form responses 1'!$A$2:$A1001, "&lt;=2022-09-30")
)
</f>
        <v>12</v>
      </c>
      <c r="D22" s="2">
        <f>SUM(
    COUNTIFS('Form responses 1'!$C$2:$C1001, A22, 'Form responses 1'!$A$2:$A1001, "&gt;=2022-10-01", 'Form responses 1'!$A$2:$A1001, "&lt;=2022-12-31"),
    COUNTIFS('Form responses 1'!$B$2:$B1001, A22, 'Form responses 1'!$A$2:$A1001, "&gt;=2022-10-01", 'Form responses 1'!$A$2:$A1001, "&lt;=2022-12-31"),
    COUNTIFS('Form responses 1'!$D$2:$D1001, A22, 'Form responses 1'!$A$2:$A1001, "&gt;=2022-10-01", 'Form responses 1'!$A$2:$A1001, "&lt;=2022-12-31"),
    COUNTIFS('Form responses 1'!$E$2:$E1001, A22, 'Form responses 1'!$A$2:$A1001, "&gt;=2022-10-01", 'Form responses 1'!$A$2:$A1001, "&lt;=2022-12-31"),
    COUNTIFS('Form responses 1'!$F$2:$F1001, A22, 'Form responses 1'!$A$2:$A1001, "&gt;=2022-10-01", 'Form responses 1'!$A$2:$A1001, "&lt;=2022-12-31"),
    COUNTIFS('Form responses 1'!$G$2:$G1001, A22, 'Form responses 1'!$A$2:$A1001, "&gt;=2022-10-01", 'Form responses 1'!$A$2:$A1001, "&lt;=2022-12-31")
)
</f>
        <v>8</v>
      </c>
      <c r="E22" s="2">
        <f>SUM(
    COUNTIFS('Form responses 1'!$C$2:$C1001, A22, 'Form responses 1'!$A$2:$A1001, "&gt;=2023-01-01", 'Form responses 1'!$A$2:$A1001, "&lt;=2023-03-31"),
    COUNTIFS('Form responses 1'!$B$2:$B1001, A22, 'Form responses 1'!$A$2:$A1001, "&gt;=2023-01-01", 'Form responses 1'!$A$2:$A1001, "&lt;=2023-03-31"),
    COUNTIFS('Form responses 1'!$D$2:$D1001, A22, 'Form responses 1'!$A$2:$A1001, "&gt;=2023-01-01", 'Form responses 1'!$A$2:$A1001, "&lt;=2023-03-31"),
    COUNTIFS('Form responses 1'!$E$2:$E1001, A22, 'Form responses 1'!$A$2:$A1001, "&gt;=2023-01-01", 'Form responses 1'!$A$2:$A1001, "&lt;=2023-03-31"),
    COUNTIFS('Form responses 1'!$F$2:$F1001, A22, 'Form responses 1'!$A$2:$A1001, "&gt;=2023-01-01", 'Form responses 1'!$A$2:$A1001, "&lt;=2023-03-31"),
    COUNTIFS('Form responses 1'!$G$2:$G1001, A22, 'Form responses 1'!$A$2:$A1001, "&gt;=2023-01-01", 'Form responses 1'!$A$2:$A1001, "&lt;=2023-03-31")
)
</f>
        <v>4</v>
      </c>
      <c r="F22" s="2">
        <f>SUM(
    COUNTIFS('Form responses 1'!$C$2:$C1001, A22, 'Form responses 1'!$A$2:$A1001, "&gt;=2023-04-01", 'Form responses 1'!$A$2:$A1001, "&lt;=2023-06-30"),
    COUNTIFS('Form responses 1'!$B$2:$B1001, A22, 'Form responses 1'!$A$2:$A1001, "&gt;=2023-04-01", 'Form responses 1'!$A$2:$A1001, "&lt;=2023-06-30"),
    COUNTIFS('Form responses 1'!$D$2:$D1001, A22, 'Form responses 1'!$A$2:$A1001, "&gt;=2023-04-01", 'Form responses 1'!$A$2:$A1001, "&lt;=2023-06-30"),
    COUNTIFS('Form responses 1'!$E$2:$E1001, A22, 'Form responses 1'!$A$2:$A1001, "&gt;=2023-04-01", 'Form responses 1'!$A$2:$A1001, "&lt;=2023-06-30"),
    COUNTIFS('Form responses 1'!$F$2:$F1001, A22, 'Form responses 1'!$A$2:$A1001, "&gt;=2023-04-01", 'Form responses 1'!$A$2:$A1001, "&lt;=2023-06-30"),
    COUNTIFS('Form responses 1'!$G$2:$G1001, A22, 'Form responses 1'!$A$2:$A1001, "&gt;=2023-04-01", 'Form responses 1'!$A$2:$A1001, "&lt;=2023-06-30")
)
</f>
        <v>13</v>
      </c>
      <c r="G22" s="2">
        <f>SUM(
    COUNTIFS('Form responses 1'!$C$2:$C1001, A22, 'Form responses 1'!$A$2:$A1001, "&gt;=2023-07-01", 'Form responses 1'!$A$2:$A1001, "&lt;=2023-09-30"),
    COUNTIFS('Form responses 1'!$B$2:$B1001, A22, 'Form responses 1'!$A$2:$A1001, "&gt;=2023-07-01", 'Form responses 1'!$A$2:$A1001, "&lt;=2023-09-30"),
    COUNTIFS('Form responses 1'!$D$2:$D1001, A22, 'Form responses 1'!$A$2:$A1001, "&gt;=2023-07-01", 'Form responses 1'!$A$2:$A1001, "&lt;=2023-09-30"),
    COUNTIFS('Form responses 1'!$E$2:$E1001, A22, 'Form responses 1'!$A$2:$A1001, "&gt;=2023-07-01", 'Form responses 1'!$A$2:$A1001, "&lt;=2023-09-30"),
    COUNTIFS('Form responses 1'!$F$2:$F1001, A22, 'Form responses 1'!$A$2:$A1001, "&gt;=2023-07-01", 'Form responses 1'!$A$2:$A1001, "&lt;=2023-09-30"),
    COUNTIFS('Form responses 1'!$G$2:$G1001, A22, 'Form responses 1'!$A$2:$A1001, "&gt;=2023-07-01", 'Form responses 1'!$A$2:$A1001, "&lt;=2023-09-30")
)
</f>
        <v>6</v>
      </c>
      <c r="H22" s="2">
        <f>SUM(
    COUNTIFS('Form responses 1'!$C$2:$C1001, A22, 'Form responses 1'!$A$2:$A1001, "&gt;=2023-10-01", 'Form responses 1'!$A$2:$A1001, "&lt;=2023-12-31"),
    COUNTIFS('Form responses 1'!$B$2:$B1001, A22, 'Form responses 1'!$A$2:$A1001, "&gt;=2023-10-01", 'Form responses 1'!$A$2:$A1001, "&lt;=2023-12-31"),
    COUNTIFS('Form responses 1'!$D$2:$D1001, A22, 'Form responses 1'!$A$2:$A1001, "&gt;=2023-10-01", 'Form responses 1'!$A$2:$A1001, "&lt;=2023-12-31"),
    COUNTIFS('Form responses 1'!$E$2:$E1001, A22, 'Form responses 1'!$A$2:$A1001, "&gt;=2023-10-01", 'Form responses 1'!$A$2:$A1001, "&lt;=2023-12-31"),
    COUNTIFS('Form responses 1'!$F$2:$F1001, A22, 'Form responses 1'!$A$2:$A1001, "&gt;=2023-10-01", 'Form responses 1'!$A$2:$A1001, "&lt;=2023-12-31"),
    COUNTIFS('Form responses 1'!$G$2:$G1001, A22, 'Form responses 1'!$A$2:$A1001, "&gt;=2023-10-01", 'Form responses 1'!$A$2:$A1001, "&lt;=2023-12-31")
)
</f>
        <v>0</v>
      </c>
      <c r="I22" s="2">
        <f>SUM(
    COUNTIFS('Form responses 1'!$C$2:$C1001, A22, 'Form responses 1'!$A$2:$A1001, "&gt;=2024-01-01", 'Form responses 1'!$A$2:$A1001, "&lt;=2024-03-31"),
    COUNTIFS('Form responses 1'!$B$2:$B1001, A22, 'Form responses 1'!$A$2:$A1001, "&gt;=2024-01-01", 'Form responses 1'!$A$2:$A1001, "&lt;=2024-03-31"),
    COUNTIFS('Form responses 1'!$D$2:$D1001, A22, 'Form responses 1'!$A$2:$A1001, "&gt;=2024-01-01", 'Form responses 1'!$A$2:$A1001, "&lt;=2024-03-31"),
    COUNTIFS('Form responses 1'!$E$2:$E1001, A22, 'Form responses 1'!$A$2:$A1001, "&gt;=2024-01-01", 'Form responses 1'!$A$2:$A1001, "&lt;=2024-03-31"),
    COUNTIFS('Form responses 1'!$F$2:$F1001, A22, 'Form responses 1'!$A$2:$A1001, "&gt;=2024-01-01", 'Form responses 1'!$A$2:$A1001, "&lt;=2024-03-31"),
    COUNTIFS('Form responses 1'!$G$2:$G1001, A22, 'Form responses 1'!$A$2:$A1001, "&gt;=2024-01-01", 'Form responses 1'!$A$2:$A1001, "&lt;=2024-03-31")
)
</f>
        <v>0</v>
      </c>
      <c r="J22" s="2">
        <f>SUM(
    COUNTIFS('Form responses 1'!$C$2:$C1001, A22, 'Form responses 1'!$A$2:$A1001, "&gt;=2024-04-01", 'Form responses 1'!$A$2:$A1001, "&lt;=2024-06-30"),
    COUNTIFS('Form responses 1'!$B$2:$B1001, A22, 'Form responses 1'!$A$2:$A1001, "&gt;=2024-04-01", 'Form responses 1'!$A$2:$A1001, "&lt;=2024-06-30"),
    COUNTIFS('Form responses 1'!$D$2:$D1001, A22, 'Form responses 1'!$A$2:$A1001, "&gt;=2024-04-01", 'Form responses 1'!$A$2:$A1001, "&lt;=2024-06-30"),
    COUNTIFS('Form responses 1'!$E$2:$E1001, A22, 'Form responses 1'!$A$2:$A1001, "&gt;=2024-04-01", 'Form responses 1'!$A$2:$A1001, "&lt;=2024-06-30"),
    COUNTIFS('Form responses 1'!$F$2:$F1001, A22, 'Form responses 1'!$A$2:$A1001, "&gt;=2024-04-01", 'Form responses 1'!$A$2:$A1001, "&lt;=2024-06-30"),
    COUNTIFS('Form responses 1'!$G$2:$G1001, A22, 'Form responses 1'!$A$2:$A1001, "&gt;=2024-04-01", 'Form responses 1'!$A$2:$A1001, "&lt;=2024-06-30")
)
</f>
        <v>0</v>
      </c>
      <c r="K22" s="2">
        <f>SUM(
    COUNTIFS('Form responses 1'!$C$2:$C1001, A22, 'Form responses 1'!$A$2:$A1001, "&gt;=2024-07-01", 'Form responses 1'!$A$2:$A1001, "&lt;=2024-09-30"),
    COUNTIFS('Form responses 1'!$B$2:$B1001, A22, 'Form responses 1'!$A$2:$A1001, "&gt;=2024-07-01", 'Form responses 1'!$A$2:$A1001, "&lt;=2024-09-30"),
    COUNTIFS('Form responses 1'!$D$2:$D1001, A22, 'Form responses 1'!$A$2:$A1001, "&gt;=2024-07-01", 'Form responses 1'!$A$2:$A1001, "&lt;=2024-09-30"),
    COUNTIFS('Form responses 1'!$E$2:$E1001, A22, 'Form responses 1'!$A$2:$A1001, "&gt;=2024-07-01", 'Form responses 1'!$A$2:$A1001, "&lt;=2024-09-30"),
    COUNTIFS('Form responses 1'!$F$2:$F1001, A22, 'Form responses 1'!$A$2:$A1001, "&gt;=2024-07-01", 'Form responses 1'!$A$2:$A1001, "&lt;=2024-09-30"),
    COUNTIFS('Form responses 1'!$G$2:$G1001, A22, 'Form responses 1'!$A$2:$A1001, "&gt;=2024-07-01", 'Form responses 1'!$A$2:$A1001, "&lt;=2024-09-30")
)
</f>
        <v>7</v>
      </c>
      <c r="L22" s="2">
        <f>SUM(
    COUNTIFS('Form responses 1'!$C$2:$C1001, A22, 'Form responses 1'!$A$2:$A1001, "&gt;=2024-10-01", 'Form responses 1'!$A$2:$A1001, "&lt;=2024-12-31"),
    COUNTIFS('Form responses 1'!$B$2:$B1001, A22, 'Form responses 1'!$A$2:$A1001, "&gt;=2024-10-01", 'Form responses 1'!$A$2:$A1001, "&lt;=2024-12-31"),
    COUNTIFS('Form responses 1'!$D$2:$D1001, A22, 'Form responses 1'!$A$2:$A1001, "&gt;=2024-10-01", 'Form responses 1'!$A$2:$A1001, "&lt;=2024-12-31"),
    COUNTIFS('Form responses 1'!$E$2:$E1001, A22, 'Form responses 1'!$A$2:$A1001, "&gt;=2024-10-01", 'Form responses 1'!$A$2:$A1001, "&lt;=2024-12-31"),
    COUNTIFS('Form responses 1'!$F$2:$F1001, A22, 'Form responses 1'!$A$2:$A1001, "&gt;=2024-10-01", 'Form responses 1'!$A$2:$A1001, "&lt;=2024-12-31"),
    COUNTIFS('Form responses 1'!$G$2:$G1001, A22, 'Form responses 1'!$A$2:$A1001, "&gt;=2024-10-01", 'Form responses 1'!$A$2:$A1001, "&lt;=2024-12-31")
)
</f>
        <v>9</v>
      </c>
      <c r="M22" s="2">
        <f>SUM(
    COUNTIFS('Form responses 1'!$C$2:$C1001, A22, 'Form responses 1'!$A$2:$A1001, "&gt;=2025-01-01", 'Form responses 1'!$A$2:$A1001, "&lt;=2025-03-31"),
    COUNTIFS('Form responses 1'!$B$2:$B1001, A22, 'Form responses 1'!$A$2:$A1001, "&gt;=2025-01-01", 'Form responses 1'!$A$2:$A1001, "&lt;=2025-03-31"),
    COUNTIFS('Form responses 1'!$D$2:$D1001, A22, 'Form responses 1'!$A$2:$A1001, "&gt;=2025-01-01", 'Form responses 1'!$A$2:$A1001, "&lt;=2025-03-31"),
    COUNTIFS('Form responses 1'!$E$2:$E1001, A22, 'Form responses 1'!$A$2:$A1001, "&gt;=2025-01-01", 'Form responses 1'!$A$2:$A1001, "&lt;=2025-03-31"),
    COUNTIFS('Form responses 1'!$F$2:$F1001, A22, 'Form responses 1'!$A$2:$A1001, "&gt;=2025-01-01", 'Form responses 1'!$A$2:$A1001, "&lt;=2025-03-31"),
    COUNTIFS('Form responses 1'!$G$2:$G1001, A22, 'Form responses 1'!$A$2:$A1001, "&gt;=2025-01-01", 'Form responses 1'!$A$2:$A1001, "&lt;=2025-03-31")
)
</f>
        <v>9</v>
      </c>
      <c r="N22" s="2">
        <f>SUM(
    COUNTIFS('Form responses 1'!$C$2:$C1001, A22, 'Form responses 1'!$A$2:$A1001, "&gt;=2025-04-01", 'Form responses 1'!$A$2:$A1001, "&lt;2025-07-01"),
    COUNTIFS('Form responses 1'!$B$2:$B1001, A22, 'Form responses 1'!$A$2:$A1001, "&gt;=2025-04-01", 'Form responses 1'!$A$2:$A1001, "&lt;2025-07-01"),
    COUNTIFS('Form responses 1'!$D$2:$D1001, A22, 'Form responses 1'!$A$2:$A1001, "&gt;=2025-04-01", 'Form responses 1'!$A$2:$A1001, "&lt;2025-07-01"),
    COUNTIFS('Form responses 1'!$E$2:$E1001, A22, 'Form responses 1'!$A$2:$A1001, "&gt;=2025-04-01", 'Form responses 1'!$A$2:$A1001, "&lt;2025-07-01"),
    COUNTIFS('Form responses 1'!$F$2:$F1001, A22, 'Form responses 1'!$A$2:$A1001, "&gt;=2025-04-01", 'Form responses 1'!$A$2:$A1001, "&lt;2025-07-01"),
    COUNTIFS('Form responses 1'!$G$2:$G1001, A22, 'Form responses 1'!$A$2:$A1001, "&gt;=2025-04-01", 'Form responses 1'!$A$2:$A1001, "&lt;2025-07-01")
)
</f>
        <v>3</v>
      </c>
      <c r="O22" s="2">
        <f>SUM(
    COUNTIFS('Form responses 1'!$C$2:$C1001, A22, 'Form responses 1'!$A$2:$A1001, "&gt;=2025-07-01", 'Form responses 1'!$A$2:$A1001, "&lt;=2025-09-30"),
    COUNTIFS('Form responses 1'!$B$2:$B1001, A22, 'Form responses 1'!$A$2:$A1001, "&gt;=2025-07-01", 'Form responses 1'!$A$2:$A1001, "&lt;=2025-09-30"),
    COUNTIFS('Form responses 1'!$D$2:$D1001, A22, 'Form responses 1'!$A$2:$A1001, "&gt;=2025-07-01", 'Form responses 1'!$A$2:$A1001, "&lt;=2025-09-30"),
    COUNTIFS('Form responses 1'!$E$2:$E1001, A22, 'Form responses 1'!$A$2:$A1001, "&gt;=2025-07-01", 'Form responses 1'!$A$2:$A1001, "&lt;=2025-09-30"),
    COUNTIFS('Form responses 1'!$F$2:$F1001, A22, 'Form responses 1'!$A$2:$A1001, "&gt;=2025-07-01", 'Form responses 1'!$A$2:$A1001, "&lt;=2025-09-30"),
    COUNTIFS('Form responses 1'!$G$2:$G1001, A22, 'Form responses 1'!$A$2:$A1001, "&gt;=2025-07-01", 'Form responses 1'!$A$2:$A1001, "&lt;=2025-09-30")
)
</f>
        <v>1</v>
      </c>
      <c r="P22" s="2">
        <f>SUM(
    COUNTIFS('Form responses 1'!$C$2:$C1001, A22, 'Form responses 1'!$A$2:$A1001, "&gt;=2025-10-01", 'Form responses 1'!$A$2:$A1001, "&lt;=2025-12-31"),
    COUNTIFS('Form responses 1'!$B$2:$B1001, A22, 'Form responses 1'!$A$2:$A1001, "&gt;=2025-10-01", 'Form responses 1'!$A$2:$A1001, "&lt;=2025-12-31"),
    COUNTIFS('Form responses 1'!$D$2:$D1001, A22, 'Form responses 1'!$A$2:$A1001, "&gt;=2025-10-01", 'Form responses 1'!$A$2:$A1001, "&lt;=2025-12-31"),
    COUNTIFS('Form responses 1'!$E$2:$E1001, A22, 'Form responses 1'!$A$2:$A1001, "&gt;=2025-10-01", 'Form responses 1'!$A$2:$A1001, "&lt;=2025-12-31"),
    COUNTIFS('Form responses 1'!$F$2:$F1001, A22, 'Form responses 1'!$A$2:$A1001, "&gt;=2025-10-01", 'Form responses 1'!$A$2:$A1001, "&lt;=2025-12-31"),
    COUNTIFS('Form responses 1'!$G$2:$G1001, A22, 'Form responses 1'!$A$2:$A1001, "&gt;=2025-10-01", 'Form responses 1'!$A$2:$A1001, "&lt;=2025-12-31")
)
</f>
        <v>0</v>
      </c>
    </row>
    <row r="23">
      <c r="A23" s="6" t="str">
        <f>IFERROR(__xludf.DUMMYFUNCTION("""COMPUTED_VALUE"""),"Wit Nike t-shirt")</f>
        <v>Wit Nike t-shirt</v>
      </c>
      <c r="B23" s="2">
        <f>SUM(
    COUNTIFS('Form responses 1'!$C$2:$C1001, A23, 'Form responses 1'!$A$2:$A1001, "&gt;=2022-04-01", 'Form responses 1'!$A$2:$A1001, "&lt;=2022-06-30"),
    COUNTIFS('Form responses 1'!$B$2:$B1001, A23, 'Form responses 1'!$A$2:$A1001, "&gt;=2022-04-01", 'Form responses 1'!$A$2:$A1001, "&lt;=2022-06-30"),
    COUNTIFS('Form responses 1'!$D$2:$D1001, A23, 'Form responses 1'!$A$2:$A1001, "&gt;=2022-04-01", 'Form responses 1'!$A$2:$A1001, "&lt;=2022-06-30"),
    COUNTIFS('Form responses 1'!$E$2:$E1001, A23, 'Form responses 1'!$A$2:$A1001, "&gt;=2022-04-01", 'Form responses 1'!$A$2:$A1001, "&lt;=2022-06-30"),
    COUNTIFS('Form responses 1'!$F$2:$F1001, A23, 'Form responses 1'!$A$2:$A1001, "&gt;=2022-04-01", 'Form responses 1'!$A$2:$A1001, "&lt;=2022-06-30"),
    COUNTIFS('Form responses 1'!$G$2:$G1001, A23, 'Form responses 1'!$A$2:$A1001, "&gt;=2022-04-01", 'Form responses 1'!$A$2:$A1001, "&lt;=2022-06-30")
)
</f>
        <v>9</v>
      </c>
      <c r="C23" s="2">
        <f>SUM(
    COUNTIFS('Form responses 1'!$C$2:$C1001, A23, 'Form responses 1'!$A$2:$A1001, "&gt;=2022-07-01", 'Form responses 1'!$A$2:$A1001, "&lt;=2022-09-30"),
    COUNTIFS('Form responses 1'!$B$2:$B1001, A23, 'Form responses 1'!$A$2:$A1001, "&gt;=2022-07-01", 'Form responses 1'!$A$2:$A1001, "&lt;=2022-09-30"),
    COUNTIFS('Form responses 1'!$D$2:$D1001, A23, 'Form responses 1'!$A$2:$A1001, "&gt;=2022-07-01", 'Form responses 1'!$A$2:$A1001, "&lt;=2022-09-30"),
    COUNTIFS('Form responses 1'!$E$2:$E1001, A23, 'Form responses 1'!$A$2:$A1001, "&gt;=2022-07-01", 'Form responses 1'!$A$2:$A1001, "&lt;=2022-09-30"),
    COUNTIFS('Form responses 1'!$F$2:$F1001, A23, 'Form responses 1'!$A$2:$A1001, "&gt;=2022-07-01", 'Form responses 1'!$A$2:$A1001, "&lt;=2022-09-30"),
    COUNTIFS('Form responses 1'!$G$2:$G1001, A23, 'Form responses 1'!$A$2:$A1001, "&gt;=2022-07-01", 'Form responses 1'!$A$2:$A1001, "&lt;=2022-09-30")
)
</f>
        <v>22</v>
      </c>
      <c r="D23" s="2">
        <f>SUM(
    COUNTIFS('Form responses 1'!$C$2:$C1001, A23, 'Form responses 1'!$A$2:$A1001, "&gt;=2022-10-01", 'Form responses 1'!$A$2:$A1001, "&lt;=2022-12-31"),
    COUNTIFS('Form responses 1'!$B$2:$B1001, A23, 'Form responses 1'!$A$2:$A1001, "&gt;=2022-10-01", 'Form responses 1'!$A$2:$A1001, "&lt;=2022-12-31"),
    COUNTIFS('Form responses 1'!$D$2:$D1001, A23, 'Form responses 1'!$A$2:$A1001, "&gt;=2022-10-01", 'Form responses 1'!$A$2:$A1001, "&lt;=2022-12-31"),
    COUNTIFS('Form responses 1'!$E$2:$E1001, A23, 'Form responses 1'!$A$2:$A1001, "&gt;=2022-10-01", 'Form responses 1'!$A$2:$A1001, "&lt;=2022-12-31"),
    COUNTIFS('Form responses 1'!$F$2:$F1001, A23, 'Form responses 1'!$A$2:$A1001, "&gt;=2022-10-01", 'Form responses 1'!$A$2:$A1001, "&lt;=2022-12-31"),
    COUNTIFS('Form responses 1'!$G$2:$G1001, A23, 'Form responses 1'!$A$2:$A1001, "&gt;=2022-10-01", 'Form responses 1'!$A$2:$A1001, "&lt;=2022-12-31")
)
</f>
        <v>19</v>
      </c>
      <c r="E23" s="2">
        <f>SUM(
    COUNTIFS('Form responses 1'!$C$2:$C1001, A23, 'Form responses 1'!$A$2:$A1001, "&gt;=2023-01-01", 'Form responses 1'!$A$2:$A1001, "&lt;=2023-03-31"),
    COUNTIFS('Form responses 1'!$B$2:$B1001, A23, 'Form responses 1'!$A$2:$A1001, "&gt;=2023-01-01", 'Form responses 1'!$A$2:$A1001, "&lt;=2023-03-31"),
    COUNTIFS('Form responses 1'!$D$2:$D1001, A23, 'Form responses 1'!$A$2:$A1001, "&gt;=2023-01-01", 'Form responses 1'!$A$2:$A1001, "&lt;=2023-03-31"),
    COUNTIFS('Form responses 1'!$E$2:$E1001, A23, 'Form responses 1'!$A$2:$A1001, "&gt;=2023-01-01", 'Form responses 1'!$A$2:$A1001, "&lt;=2023-03-31"),
    COUNTIFS('Form responses 1'!$F$2:$F1001, A23, 'Form responses 1'!$A$2:$A1001, "&gt;=2023-01-01", 'Form responses 1'!$A$2:$A1001, "&lt;=2023-03-31"),
    COUNTIFS('Form responses 1'!$G$2:$G1001, A23, 'Form responses 1'!$A$2:$A1001, "&gt;=2023-01-01", 'Form responses 1'!$A$2:$A1001, "&lt;=2023-03-31")
)
</f>
        <v>14</v>
      </c>
      <c r="F23" s="2">
        <f>SUM(
    COUNTIFS('Form responses 1'!$C$2:$C1001, A23, 'Form responses 1'!$A$2:$A1001, "&gt;=2023-04-01", 'Form responses 1'!$A$2:$A1001, "&lt;=2023-06-30"),
    COUNTIFS('Form responses 1'!$B$2:$B1001, A23, 'Form responses 1'!$A$2:$A1001, "&gt;=2023-04-01", 'Form responses 1'!$A$2:$A1001, "&lt;=2023-06-30"),
    COUNTIFS('Form responses 1'!$D$2:$D1001, A23, 'Form responses 1'!$A$2:$A1001, "&gt;=2023-04-01", 'Form responses 1'!$A$2:$A1001, "&lt;=2023-06-30"),
    COUNTIFS('Form responses 1'!$E$2:$E1001, A23, 'Form responses 1'!$A$2:$A1001, "&gt;=2023-04-01", 'Form responses 1'!$A$2:$A1001, "&lt;=2023-06-30"),
    COUNTIFS('Form responses 1'!$F$2:$F1001, A23, 'Form responses 1'!$A$2:$A1001, "&gt;=2023-04-01", 'Form responses 1'!$A$2:$A1001, "&lt;=2023-06-30"),
    COUNTIFS('Form responses 1'!$G$2:$G1001, A23, 'Form responses 1'!$A$2:$A1001, "&gt;=2023-04-01", 'Form responses 1'!$A$2:$A1001, "&lt;=2023-06-30")
)
</f>
        <v>14</v>
      </c>
      <c r="G23" s="2">
        <f>SUM(
    COUNTIFS('Form responses 1'!$C$2:$C1001, A23, 'Form responses 1'!$A$2:$A1001, "&gt;=2023-07-01", 'Form responses 1'!$A$2:$A1001, "&lt;=2023-09-30"),
    COUNTIFS('Form responses 1'!$B$2:$B1001, A23, 'Form responses 1'!$A$2:$A1001, "&gt;=2023-07-01", 'Form responses 1'!$A$2:$A1001, "&lt;=2023-09-30"),
    COUNTIFS('Form responses 1'!$D$2:$D1001, A23, 'Form responses 1'!$A$2:$A1001, "&gt;=2023-07-01", 'Form responses 1'!$A$2:$A1001, "&lt;=2023-09-30"),
    COUNTIFS('Form responses 1'!$E$2:$E1001, A23, 'Form responses 1'!$A$2:$A1001, "&gt;=2023-07-01", 'Form responses 1'!$A$2:$A1001, "&lt;=2023-09-30"),
    COUNTIFS('Form responses 1'!$F$2:$F1001, A23, 'Form responses 1'!$A$2:$A1001, "&gt;=2023-07-01", 'Form responses 1'!$A$2:$A1001, "&lt;=2023-09-30"),
    COUNTIFS('Form responses 1'!$G$2:$G1001, A23, 'Form responses 1'!$A$2:$A1001, "&gt;=2023-07-01", 'Form responses 1'!$A$2:$A1001, "&lt;=2023-09-30")
)
</f>
        <v>15</v>
      </c>
      <c r="H23" s="2">
        <f>SUM(
    COUNTIFS('Form responses 1'!$C$2:$C1001, A23, 'Form responses 1'!$A$2:$A1001, "&gt;=2023-10-01", 'Form responses 1'!$A$2:$A1001, "&lt;=2023-12-31"),
    COUNTIFS('Form responses 1'!$B$2:$B1001, A23, 'Form responses 1'!$A$2:$A1001, "&gt;=2023-10-01", 'Form responses 1'!$A$2:$A1001, "&lt;=2023-12-31"),
    COUNTIFS('Form responses 1'!$D$2:$D1001, A23, 'Form responses 1'!$A$2:$A1001, "&gt;=2023-10-01", 'Form responses 1'!$A$2:$A1001, "&lt;=2023-12-31"),
    COUNTIFS('Form responses 1'!$E$2:$E1001, A23, 'Form responses 1'!$A$2:$A1001, "&gt;=2023-10-01", 'Form responses 1'!$A$2:$A1001, "&lt;=2023-12-31"),
    COUNTIFS('Form responses 1'!$F$2:$F1001, A23, 'Form responses 1'!$A$2:$A1001, "&gt;=2023-10-01", 'Form responses 1'!$A$2:$A1001, "&lt;=2023-12-31"),
    COUNTIFS('Form responses 1'!$G$2:$G1001, A23, 'Form responses 1'!$A$2:$A1001, "&gt;=2023-10-01", 'Form responses 1'!$A$2:$A1001, "&lt;=2023-12-31")
)
</f>
        <v>5</v>
      </c>
      <c r="I23" s="2">
        <f>SUM(
    COUNTIFS('Form responses 1'!$C$2:$C1001, A23, 'Form responses 1'!$A$2:$A1001, "&gt;=2024-01-01", 'Form responses 1'!$A$2:$A1001, "&lt;=2024-03-31"),
    COUNTIFS('Form responses 1'!$B$2:$B1001, A23, 'Form responses 1'!$A$2:$A1001, "&gt;=2024-01-01", 'Form responses 1'!$A$2:$A1001, "&lt;=2024-03-31"),
    COUNTIFS('Form responses 1'!$D$2:$D1001, A23, 'Form responses 1'!$A$2:$A1001, "&gt;=2024-01-01", 'Form responses 1'!$A$2:$A1001, "&lt;=2024-03-31"),
    COUNTIFS('Form responses 1'!$E$2:$E1001, A23, 'Form responses 1'!$A$2:$A1001, "&gt;=2024-01-01", 'Form responses 1'!$A$2:$A1001, "&lt;=2024-03-31"),
    COUNTIFS('Form responses 1'!$F$2:$F1001, A23, 'Form responses 1'!$A$2:$A1001, "&gt;=2024-01-01", 'Form responses 1'!$A$2:$A1001, "&lt;=2024-03-31"),
    COUNTIFS('Form responses 1'!$G$2:$G1001, A23, 'Form responses 1'!$A$2:$A1001, "&gt;=2024-01-01", 'Form responses 1'!$A$2:$A1001, "&lt;=2024-03-31")
)
</f>
        <v>8</v>
      </c>
      <c r="J23" s="2">
        <f>SUM(
    COUNTIFS('Form responses 1'!$C$2:$C1001, A23, 'Form responses 1'!$A$2:$A1001, "&gt;=2024-04-01", 'Form responses 1'!$A$2:$A1001, "&lt;=2024-06-30"),
    COUNTIFS('Form responses 1'!$B$2:$B1001, A23, 'Form responses 1'!$A$2:$A1001, "&gt;=2024-04-01", 'Form responses 1'!$A$2:$A1001, "&lt;=2024-06-30"),
    COUNTIFS('Form responses 1'!$D$2:$D1001, A23, 'Form responses 1'!$A$2:$A1001, "&gt;=2024-04-01", 'Form responses 1'!$A$2:$A1001, "&lt;=2024-06-30"),
    COUNTIFS('Form responses 1'!$E$2:$E1001, A23, 'Form responses 1'!$A$2:$A1001, "&gt;=2024-04-01", 'Form responses 1'!$A$2:$A1001, "&lt;=2024-06-30"),
    COUNTIFS('Form responses 1'!$F$2:$F1001, A23, 'Form responses 1'!$A$2:$A1001, "&gt;=2024-04-01", 'Form responses 1'!$A$2:$A1001, "&lt;=2024-06-30"),
    COUNTIFS('Form responses 1'!$G$2:$G1001, A23, 'Form responses 1'!$A$2:$A1001, "&gt;=2024-04-01", 'Form responses 1'!$A$2:$A1001, "&lt;=2024-06-30")
)
</f>
        <v>1</v>
      </c>
      <c r="K23" s="2">
        <f>SUM(
    COUNTIFS('Form responses 1'!$C$2:$C1001, A23, 'Form responses 1'!$A$2:$A1001, "&gt;=2024-07-01", 'Form responses 1'!$A$2:$A1001, "&lt;=2024-09-30"),
    COUNTIFS('Form responses 1'!$B$2:$B1001, A23, 'Form responses 1'!$A$2:$A1001, "&gt;=2024-07-01", 'Form responses 1'!$A$2:$A1001, "&lt;=2024-09-30"),
    COUNTIFS('Form responses 1'!$D$2:$D1001, A23, 'Form responses 1'!$A$2:$A1001, "&gt;=2024-07-01", 'Form responses 1'!$A$2:$A1001, "&lt;=2024-09-30"),
    COUNTIFS('Form responses 1'!$E$2:$E1001, A23, 'Form responses 1'!$A$2:$A1001, "&gt;=2024-07-01", 'Form responses 1'!$A$2:$A1001, "&lt;=2024-09-30"),
    COUNTIFS('Form responses 1'!$F$2:$F1001, A23, 'Form responses 1'!$A$2:$A1001, "&gt;=2024-07-01", 'Form responses 1'!$A$2:$A1001, "&lt;=2024-09-30"),
    COUNTIFS('Form responses 1'!$G$2:$G1001, A23, 'Form responses 1'!$A$2:$A1001, "&gt;=2024-07-01", 'Form responses 1'!$A$2:$A1001, "&lt;=2024-09-30")
)
</f>
        <v>22</v>
      </c>
      <c r="L23" s="2">
        <f>SUM(
    COUNTIFS('Form responses 1'!$C$2:$C1001, A23, 'Form responses 1'!$A$2:$A1001, "&gt;=2024-10-01", 'Form responses 1'!$A$2:$A1001, "&lt;=2024-12-31"),
    COUNTIFS('Form responses 1'!$B$2:$B1001, A23, 'Form responses 1'!$A$2:$A1001, "&gt;=2024-10-01", 'Form responses 1'!$A$2:$A1001, "&lt;=2024-12-31"),
    COUNTIFS('Form responses 1'!$D$2:$D1001, A23, 'Form responses 1'!$A$2:$A1001, "&gt;=2024-10-01", 'Form responses 1'!$A$2:$A1001, "&lt;=2024-12-31"),
    COUNTIFS('Form responses 1'!$E$2:$E1001, A23, 'Form responses 1'!$A$2:$A1001, "&gt;=2024-10-01", 'Form responses 1'!$A$2:$A1001, "&lt;=2024-12-31"),
    COUNTIFS('Form responses 1'!$F$2:$F1001, A23, 'Form responses 1'!$A$2:$A1001, "&gt;=2024-10-01", 'Form responses 1'!$A$2:$A1001, "&lt;=2024-12-31"),
    COUNTIFS('Form responses 1'!$G$2:$G1001, A23, 'Form responses 1'!$A$2:$A1001, "&gt;=2024-10-01", 'Form responses 1'!$A$2:$A1001, "&lt;=2024-12-31")
)
</f>
        <v>8</v>
      </c>
      <c r="M23" s="2">
        <f>SUM(
    COUNTIFS('Form responses 1'!$C$2:$C1001, A23, 'Form responses 1'!$A$2:$A1001, "&gt;=2025-01-01", 'Form responses 1'!$A$2:$A1001, "&lt;=2025-03-31"),
    COUNTIFS('Form responses 1'!$B$2:$B1001, A23, 'Form responses 1'!$A$2:$A1001, "&gt;=2025-01-01", 'Form responses 1'!$A$2:$A1001, "&lt;=2025-03-31"),
    COUNTIFS('Form responses 1'!$D$2:$D1001, A23, 'Form responses 1'!$A$2:$A1001, "&gt;=2025-01-01", 'Form responses 1'!$A$2:$A1001, "&lt;=2025-03-31"),
    COUNTIFS('Form responses 1'!$E$2:$E1001, A23, 'Form responses 1'!$A$2:$A1001, "&gt;=2025-01-01", 'Form responses 1'!$A$2:$A1001, "&lt;=2025-03-31"),
    COUNTIFS('Form responses 1'!$F$2:$F1001, A23, 'Form responses 1'!$A$2:$A1001, "&gt;=2025-01-01", 'Form responses 1'!$A$2:$A1001, "&lt;=2025-03-31"),
    COUNTIFS('Form responses 1'!$G$2:$G1001, A23, 'Form responses 1'!$A$2:$A1001, "&gt;=2025-01-01", 'Form responses 1'!$A$2:$A1001, "&lt;=2025-03-31")
)
</f>
        <v>15</v>
      </c>
      <c r="N23" s="2">
        <f>SUM(
    COUNTIFS('Form responses 1'!$C$2:$C1001, A23, 'Form responses 1'!$A$2:$A1001, "&gt;=2025-04-01", 'Form responses 1'!$A$2:$A1001, "&lt;2025-07-01"),
    COUNTIFS('Form responses 1'!$B$2:$B1001, A23, 'Form responses 1'!$A$2:$A1001, "&gt;=2025-04-01", 'Form responses 1'!$A$2:$A1001, "&lt;2025-07-01"),
    COUNTIFS('Form responses 1'!$D$2:$D1001, A23, 'Form responses 1'!$A$2:$A1001, "&gt;=2025-04-01", 'Form responses 1'!$A$2:$A1001, "&lt;2025-07-01"),
    COUNTIFS('Form responses 1'!$E$2:$E1001, A23, 'Form responses 1'!$A$2:$A1001, "&gt;=2025-04-01", 'Form responses 1'!$A$2:$A1001, "&lt;2025-07-01"),
    COUNTIFS('Form responses 1'!$F$2:$F1001, A23, 'Form responses 1'!$A$2:$A1001, "&gt;=2025-04-01", 'Form responses 1'!$A$2:$A1001, "&lt;2025-07-01"),
    COUNTIFS('Form responses 1'!$G$2:$G1001, A23, 'Form responses 1'!$A$2:$A1001, "&gt;=2025-04-01", 'Form responses 1'!$A$2:$A1001, "&lt;2025-07-01")
)
</f>
        <v>13</v>
      </c>
      <c r="O23" s="2">
        <f>SUM(
    COUNTIFS('Form responses 1'!$C$2:$C1001, A23, 'Form responses 1'!$A$2:$A1001, "&gt;=2025-07-01", 'Form responses 1'!$A$2:$A1001, "&lt;=2025-09-30"),
    COUNTIFS('Form responses 1'!$B$2:$B1001, A23, 'Form responses 1'!$A$2:$A1001, "&gt;=2025-07-01", 'Form responses 1'!$A$2:$A1001, "&lt;=2025-09-30"),
    COUNTIFS('Form responses 1'!$D$2:$D1001, A23, 'Form responses 1'!$A$2:$A1001, "&gt;=2025-07-01", 'Form responses 1'!$A$2:$A1001, "&lt;=2025-09-30"),
    COUNTIFS('Form responses 1'!$E$2:$E1001, A23, 'Form responses 1'!$A$2:$A1001, "&gt;=2025-07-01", 'Form responses 1'!$A$2:$A1001, "&lt;=2025-09-30"),
    COUNTIFS('Form responses 1'!$F$2:$F1001, A23, 'Form responses 1'!$A$2:$A1001, "&gt;=2025-07-01", 'Form responses 1'!$A$2:$A1001, "&lt;=2025-09-30"),
    COUNTIFS('Form responses 1'!$G$2:$G1001, A23, 'Form responses 1'!$A$2:$A1001, "&gt;=2025-07-01", 'Form responses 1'!$A$2:$A1001, "&lt;=2025-09-30")
)
</f>
        <v>18</v>
      </c>
      <c r="P23" s="2">
        <f>SUM(
    COUNTIFS('Form responses 1'!$C$2:$C1001, A23, 'Form responses 1'!$A$2:$A1001, "&gt;=2025-10-01", 'Form responses 1'!$A$2:$A1001, "&lt;=2025-12-31"),
    COUNTIFS('Form responses 1'!$B$2:$B1001, A23, 'Form responses 1'!$A$2:$A1001, "&gt;=2025-10-01", 'Form responses 1'!$A$2:$A1001, "&lt;=2025-12-31"),
    COUNTIFS('Form responses 1'!$D$2:$D1001, A23, 'Form responses 1'!$A$2:$A1001, "&gt;=2025-10-01", 'Form responses 1'!$A$2:$A1001, "&lt;=2025-12-31"),
    COUNTIFS('Form responses 1'!$E$2:$E1001, A23, 'Form responses 1'!$A$2:$A1001, "&gt;=2025-10-01", 'Form responses 1'!$A$2:$A1001, "&lt;=2025-12-31"),
    COUNTIFS('Form responses 1'!$F$2:$F1001, A23, 'Form responses 1'!$A$2:$A1001, "&gt;=2025-10-01", 'Form responses 1'!$A$2:$A1001, "&lt;=2025-12-31"),
    COUNTIFS('Form responses 1'!$G$2:$G1001, A23, 'Form responses 1'!$A$2:$A1001, "&gt;=2025-10-01", 'Form responses 1'!$A$2:$A1001, "&lt;=2025-12-31")
)
</f>
        <v>11</v>
      </c>
    </row>
    <row r="24">
      <c r="A24" s="6" t="str">
        <f>IFERROR(__xludf.DUMMYFUNCTION("""COMPUTED_VALUE"""),"Wit Lost minds Athl. Track")</f>
        <v>Wit Lost minds Athl. Track</v>
      </c>
      <c r="B24" s="2">
        <f>SUM(
    COUNTIFS('Form responses 1'!$C$2:$C1001, A24, 'Form responses 1'!$A$2:$A1001, "&gt;=2022-04-01", 'Form responses 1'!$A$2:$A1001, "&lt;=2022-06-30"),
    COUNTIFS('Form responses 1'!$B$2:$B1001, A24, 'Form responses 1'!$A$2:$A1001, "&gt;=2022-04-01", 'Form responses 1'!$A$2:$A1001, "&lt;=2022-06-30"),
    COUNTIFS('Form responses 1'!$D$2:$D1001, A24, 'Form responses 1'!$A$2:$A1001, "&gt;=2022-04-01", 'Form responses 1'!$A$2:$A1001, "&lt;=2022-06-30"),
    COUNTIFS('Form responses 1'!$E$2:$E1001, A24, 'Form responses 1'!$A$2:$A1001, "&gt;=2022-04-01", 'Form responses 1'!$A$2:$A1001, "&lt;=2022-06-30"),
    COUNTIFS('Form responses 1'!$F$2:$F1001, A24, 'Form responses 1'!$A$2:$A1001, "&gt;=2022-04-01", 'Form responses 1'!$A$2:$A1001, "&lt;=2022-06-30"),
    COUNTIFS('Form responses 1'!$G$2:$G1001, A24, 'Form responses 1'!$A$2:$A1001, "&gt;=2022-04-01", 'Form responses 1'!$A$2:$A1001, "&lt;=2022-06-30")
)
</f>
        <v>9</v>
      </c>
      <c r="C24" s="2">
        <f>SUM(
    COUNTIFS('Form responses 1'!$C$2:$C1001, A24, 'Form responses 1'!$A$2:$A1001, "&gt;=2022-07-01", 'Form responses 1'!$A$2:$A1001, "&lt;=2022-09-30"),
    COUNTIFS('Form responses 1'!$B$2:$B1001, A24, 'Form responses 1'!$A$2:$A1001, "&gt;=2022-07-01", 'Form responses 1'!$A$2:$A1001, "&lt;=2022-09-30"),
    COUNTIFS('Form responses 1'!$D$2:$D1001, A24, 'Form responses 1'!$A$2:$A1001, "&gt;=2022-07-01", 'Form responses 1'!$A$2:$A1001, "&lt;=2022-09-30"),
    COUNTIFS('Form responses 1'!$E$2:$E1001, A24, 'Form responses 1'!$A$2:$A1001, "&gt;=2022-07-01", 'Form responses 1'!$A$2:$A1001, "&lt;=2022-09-30"),
    COUNTIFS('Form responses 1'!$F$2:$F1001, A24, 'Form responses 1'!$A$2:$A1001, "&gt;=2022-07-01", 'Form responses 1'!$A$2:$A1001, "&lt;=2022-09-30"),
    COUNTIFS('Form responses 1'!$G$2:$G1001, A24, 'Form responses 1'!$A$2:$A1001, "&gt;=2022-07-01", 'Form responses 1'!$A$2:$A1001, "&lt;=2022-09-30")
)
</f>
        <v>11</v>
      </c>
      <c r="D24" s="2">
        <f>SUM(
    COUNTIFS('Form responses 1'!$C$2:$C1001, A24, 'Form responses 1'!$A$2:$A1001, "&gt;=2022-10-01", 'Form responses 1'!$A$2:$A1001, "&lt;=2022-12-31"),
    COUNTIFS('Form responses 1'!$B$2:$B1001, A24, 'Form responses 1'!$A$2:$A1001, "&gt;=2022-10-01", 'Form responses 1'!$A$2:$A1001, "&lt;=2022-12-31"),
    COUNTIFS('Form responses 1'!$D$2:$D1001, A24, 'Form responses 1'!$A$2:$A1001, "&gt;=2022-10-01", 'Form responses 1'!$A$2:$A1001, "&lt;=2022-12-31"),
    COUNTIFS('Form responses 1'!$E$2:$E1001, A24, 'Form responses 1'!$A$2:$A1001, "&gt;=2022-10-01", 'Form responses 1'!$A$2:$A1001, "&lt;=2022-12-31"),
    COUNTIFS('Form responses 1'!$F$2:$F1001, A24, 'Form responses 1'!$A$2:$A1001, "&gt;=2022-10-01", 'Form responses 1'!$A$2:$A1001, "&lt;=2022-12-31"),
    COUNTIFS('Form responses 1'!$G$2:$G1001, A24, 'Form responses 1'!$A$2:$A1001, "&gt;=2022-10-01", 'Form responses 1'!$A$2:$A1001, "&lt;=2022-12-31")
)
</f>
        <v>8</v>
      </c>
      <c r="E24" s="2">
        <f>SUM(
    COUNTIFS('Form responses 1'!$C$2:$C1001, A24, 'Form responses 1'!$A$2:$A1001, "&gt;=2023-01-01", 'Form responses 1'!$A$2:$A1001, "&lt;=2023-03-31"),
    COUNTIFS('Form responses 1'!$B$2:$B1001, A24, 'Form responses 1'!$A$2:$A1001, "&gt;=2023-01-01", 'Form responses 1'!$A$2:$A1001, "&lt;=2023-03-31"),
    COUNTIFS('Form responses 1'!$D$2:$D1001, A24, 'Form responses 1'!$A$2:$A1001, "&gt;=2023-01-01", 'Form responses 1'!$A$2:$A1001, "&lt;=2023-03-31"),
    COUNTIFS('Form responses 1'!$E$2:$E1001, A24, 'Form responses 1'!$A$2:$A1001, "&gt;=2023-01-01", 'Form responses 1'!$A$2:$A1001, "&lt;=2023-03-31"),
    COUNTIFS('Form responses 1'!$F$2:$F1001, A24, 'Form responses 1'!$A$2:$A1001, "&gt;=2023-01-01", 'Form responses 1'!$A$2:$A1001, "&lt;=2023-03-31"),
    COUNTIFS('Form responses 1'!$G$2:$G1001, A24, 'Form responses 1'!$A$2:$A1001, "&gt;=2023-01-01", 'Form responses 1'!$A$2:$A1001, "&lt;=2023-03-31")
)
</f>
        <v>0</v>
      </c>
      <c r="F24" s="2">
        <f>SUM(
    COUNTIFS('Form responses 1'!$C$2:$C1001, A24, 'Form responses 1'!$A$2:$A1001, "&gt;=2023-04-01", 'Form responses 1'!$A$2:$A1001, "&lt;=2023-06-30"),
    COUNTIFS('Form responses 1'!$B$2:$B1001, A24, 'Form responses 1'!$A$2:$A1001, "&gt;=2023-04-01", 'Form responses 1'!$A$2:$A1001, "&lt;=2023-06-30"),
    COUNTIFS('Form responses 1'!$D$2:$D1001, A24, 'Form responses 1'!$A$2:$A1001, "&gt;=2023-04-01", 'Form responses 1'!$A$2:$A1001, "&lt;=2023-06-30"),
    COUNTIFS('Form responses 1'!$E$2:$E1001, A24, 'Form responses 1'!$A$2:$A1001, "&gt;=2023-04-01", 'Form responses 1'!$A$2:$A1001, "&lt;=2023-06-30"),
    COUNTIFS('Form responses 1'!$F$2:$F1001, A24, 'Form responses 1'!$A$2:$A1001, "&gt;=2023-04-01", 'Form responses 1'!$A$2:$A1001, "&lt;=2023-06-30"),
    COUNTIFS('Form responses 1'!$G$2:$G1001, A24, 'Form responses 1'!$A$2:$A1001, "&gt;=2023-04-01", 'Form responses 1'!$A$2:$A1001, "&lt;=2023-06-30")
)
</f>
        <v>9</v>
      </c>
      <c r="G24" s="2">
        <f>SUM(
    COUNTIFS('Form responses 1'!$C$2:$C1001, A24, 'Form responses 1'!$A$2:$A1001, "&gt;=2023-07-01", 'Form responses 1'!$A$2:$A1001, "&lt;=2023-09-30"),
    COUNTIFS('Form responses 1'!$B$2:$B1001, A24, 'Form responses 1'!$A$2:$A1001, "&gt;=2023-07-01", 'Form responses 1'!$A$2:$A1001, "&lt;=2023-09-30"),
    COUNTIFS('Form responses 1'!$D$2:$D1001, A24, 'Form responses 1'!$A$2:$A1001, "&gt;=2023-07-01", 'Form responses 1'!$A$2:$A1001, "&lt;=2023-09-30"),
    COUNTIFS('Form responses 1'!$E$2:$E1001, A24, 'Form responses 1'!$A$2:$A1001, "&gt;=2023-07-01", 'Form responses 1'!$A$2:$A1001, "&lt;=2023-09-30"),
    COUNTIFS('Form responses 1'!$F$2:$F1001, A24, 'Form responses 1'!$A$2:$A1001, "&gt;=2023-07-01", 'Form responses 1'!$A$2:$A1001, "&lt;=2023-09-30"),
    COUNTIFS('Form responses 1'!$G$2:$G1001, A24, 'Form responses 1'!$A$2:$A1001, "&gt;=2023-07-01", 'Form responses 1'!$A$2:$A1001, "&lt;=2023-09-30")
)
</f>
        <v>13</v>
      </c>
      <c r="H24" s="2">
        <f>SUM(
    COUNTIFS('Form responses 1'!$C$2:$C1001, A24, 'Form responses 1'!$A$2:$A1001, "&gt;=2023-10-01", 'Form responses 1'!$A$2:$A1001, "&lt;=2023-12-31"),
    COUNTIFS('Form responses 1'!$B$2:$B1001, A24, 'Form responses 1'!$A$2:$A1001, "&gt;=2023-10-01", 'Form responses 1'!$A$2:$A1001, "&lt;=2023-12-31"),
    COUNTIFS('Form responses 1'!$D$2:$D1001, A24, 'Form responses 1'!$A$2:$A1001, "&gt;=2023-10-01", 'Form responses 1'!$A$2:$A1001, "&lt;=2023-12-31"),
    COUNTIFS('Form responses 1'!$E$2:$E1001, A24, 'Form responses 1'!$A$2:$A1001, "&gt;=2023-10-01", 'Form responses 1'!$A$2:$A1001, "&lt;=2023-12-31"),
    COUNTIFS('Form responses 1'!$F$2:$F1001, A24, 'Form responses 1'!$A$2:$A1001, "&gt;=2023-10-01", 'Form responses 1'!$A$2:$A1001, "&lt;=2023-12-31"),
    COUNTIFS('Form responses 1'!$G$2:$G1001, A24, 'Form responses 1'!$A$2:$A1001, "&gt;=2023-10-01", 'Form responses 1'!$A$2:$A1001, "&lt;=2023-12-31")
)
</f>
        <v>0</v>
      </c>
      <c r="I24" s="2">
        <f>SUM(
    COUNTIFS('Form responses 1'!$C$2:$C1001, A24, 'Form responses 1'!$A$2:$A1001, "&gt;=2024-01-01", 'Form responses 1'!$A$2:$A1001, "&lt;=2024-03-31"),
    COUNTIFS('Form responses 1'!$B$2:$B1001, A24, 'Form responses 1'!$A$2:$A1001, "&gt;=2024-01-01", 'Form responses 1'!$A$2:$A1001, "&lt;=2024-03-31"),
    COUNTIFS('Form responses 1'!$D$2:$D1001, A24, 'Form responses 1'!$A$2:$A1001, "&gt;=2024-01-01", 'Form responses 1'!$A$2:$A1001, "&lt;=2024-03-31"),
    COUNTIFS('Form responses 1'!$E$2:$E1001, A24, 'Form responses 1'!$A$2:$A1001, "&gt;=2024-01-01", 'Form responses 1'!$A$2:$A1001, "&lt;=2024-03-31"),
    COUNTIFS('Form responses 1'!$F$2:$F1001, A24, 'Form responses 1'!$A$2:$A1001, "&gt;=2024-01-01", 'Form responses 1'!$A$2:$A1001, "&lt;=2024-03-31"),
    COUNTIFS('Form responses 1'!$G$2:$G1001, A24, 'Form responses 1'!$A$2:$A1001, "&gt;=2024-01-01", 'Form responses 1'!$A$2:$A1001, "&lt;=2024-03-31")
)
</f>
        <v>0</v>
      </c>
      <c r="J24" s="2">
        <f>SUM(
    COUNTIFS('Form responses 1'!$C$2:$C1001, A24, 'Form responses 1'!$A$2:$A1001, "&gt;=2024-04-01", 'Form responses 1'!$A$2:$A1001, "&lt;=2024-06-30"),
    COUNTIFS('Form responses 1'!$B$2:$B1001, A24, 'Form responses 1'!$A$2:$A1001, "&gt;=2024-04-01", 'Form responses 1'!$A$2:$A1001, "&lt;=2024-06-30"),
    COUNTIFS('Form responses 1'!$D$2:$D1001, A24, 'Form responses 1'!$A$2:$A1001, "&gt;=2024-04-01", 'Form responses 1'!$A$2:$A1001, "&lt;=2024-06-30"),
    COUNTIFS('Form responses 1'!$E$2:$E1001, A24, 'Form responses 1'!$A$2:$A1001, "&gt;=2024-04-01", 'Form responses 1'!$A$2:$A1001, "&lt;=2024-06-30"),
    COUNTIFS('Form responses 1'!$F$2:$F1001, A24, 'Form responses 1'!$A$2:$A1001, "&gt;=2024-04-01", 'Form responses 1'!$A$2:$A1001, "&lt;=2024-06-30"),
    COUNTIFS('Form responses 1'!$G$2:$G1001, A24, 'Form responses 1'!$A$2:$A1001, "&gt;=2024-04-01", 'Form responses 1'!$A$2:$A1001, "&lt;=2024-06-30")
)
</f>
        <v>3</v>
      </c>
      <c r="K24" s="2">
        <f>SUM(
    COUNTIFS('Form responses 1'!$C$2:$C1001, A24, 'Form responses 1'!$A$2:$A1001, "&gt;=2024-07-01", 'Form responses 1'!$A$2:$A1001, "&lt;=2024-09-30"),
    COUNTIFS('Form responses 1'!$B$2:$B1001, A24, 'Form responses 1'!$A$2:$A1001, "&gt;=2024-07-01", 'Form responses 1'!$A$2:$A1001, "&lt;=2024-09-30"),
    COUNTIFS('Form responses 1'!$D$2:$D1001, A24, 'Form responses 1'!$A$2:$A1001, "&gt;=2024-07-01", 'Form responses 1'!$A$2:$A1001, "&lt;=2024-09-30"),
    COUNTIFS('Form responses 1'!$E$2:$E1001, A24, 'Form responses 1'!$A$2:$A1001, "&gt;=2024-07-01", 'Form responses 1'!$A$2:$A1001, "&lt;=2024-09-30"),
    COUNTIFS('Form responses 1'!$F$2:$F1001, A24, 'Form responses 1'!$A$2:$A1001, "&gt;=2024-07-01", 'Form responses 1'!$A$2:$A1001, "&lt;=2024-09-30"),
    COUNTIFS('Form responses 1'!$G$2:$G1001, A24, 'Form responses 1'!$A$2:$A1001, "&gt;=2024-07-01", 'Form responses 1'!$A$2:$A1001, "&lt;=2024-09-30")
)
</f>
        <v>8</v>
      </c>
      <c r="L24" s="2">
        <f>SUM(
    COUNTIFS('Form responses 1'!$C$2:$C1001, A24, 'Form responses 1'!$A$2:$A1001, "&gt;=2024-10-01", 'Form responses 1'!$A$2:$A1001, "&lt;=2024-12-31"),
    COUNTIFS('Form responses 1'!$B$2:$B1001, A24, 'Form responses 1'!$A$2:$A1001, "&gt;=2024-10-01", 'Form responses 1'!$A$2:$A1001, "&lt;=2024-12-31"),
    COUNTIFS('Form responses 1'!$D$2:$D1001, A24, 'Form responses 1'!$A$2:$A1001, "&gt;=2024-10-01", 'Form responses 1'!$A$2:$A1001, "&lt;=2024-12-31"),
    COUNTIFS('Form responses 1'!$E$2:$E1001, A24, 'Form responses 1'!$A$2:$A1001, "&gt;=2024-10-01", 'Form responses 1'!$A$2:$A1001, "&lt;=2024-12-31"),
    COUNTIFS('Form responses 1'!$F$2:$F1001, A24, 'Form responses 1'!$A$2:$A1001, "&gt;=2024-10-01", 'Form responses 1'!$A$2:$A1001, "&lt;=2024-12-31"),
    COUNTIFS('Form responses 1'!$G$2:$G1001, A24, 'Form responses 1'!$A$2:$A1001, "&gt;=2024-10-01", 'Form responses 1'!$A$2:$A1001, "&lt;=2024-12-31")
)
</f>
        <v>3</v>
      </c>
      <c r="M24" s="2">
        <f>SUM(
    COUNTIFS('Form responses 1'!$C$2:$C1001, A24, 'Form responses 1'!$A$2:$A1001, "&gt;=2025-01-01", 'Form responses 1'!$A$2:$A1001, "&lt;=2025-03-31"),
    COUNTIFS('Form responses 1'!$B$2:$B1001, A24, 'Form responses 1'!$A$2:$A1001, "&gt;=2025-01-01", 'Form responses 1'!$A$2:$A1001, "&lt;=2025-03-31"),
    COUNTIFS('Form responses 1'!$D$2:$D1001, A24, 'Form responses 1'!$A$2:$A1001, "&gt;=2025-01-01", 'Form responses 1'!$A$2:$A1001, "&lt;=2025-03-31"),
    COUNTIFS('Form responses 1'!$E$2:$E1001, A24, 'Form responses 1'!$A$2:$A1001, "&gt;=2025-01-01", 'Form responses 1'!$A$2:$A1001, "&lt;=2025-03-31"),
    COUNTIFS('Form responses 1'!$F$2:$F1001, A24, 'Form responses 1'!$A$2:$A1001, "&gt;=2025-01-01", 'Form responses 1'!$A$2:$A1001, "&lt;=2025-03-31"),
    COUNTIFS('Form responses 1'!$G$2:$G1001, A24, 'Form responses 1'!$A$2:$A1001, "&gt;=2025-01-01", 'Form responses 1'!$A$2:$A1001, "&lt;=2025-03-31")
)
</f>
        <v>0</v>
      </c>
      <c r="N24" s="2">
        <f>SUM(
    COUNTIFS('Form responses 1'!$C$2:$C1001, A24, 'Form responses 1'!$A$2:$A1001, "&gt;=2025-04-01", 'Form responses 1'!$A$2:$A1001, "&lt;2025-07-01"),
    COUNTIFS('Form responses 1'!$B$2:$B1001, A24, 'Form responses 1'!$A$2:$A1001, "&gt;=2025-04-01", 'Form responses 1'!$A$2:$A1001, "&lt;2025-07-01"),
    COUNTIFS('Form responses 1'!$D$2:$D1001, A24, 'Form responses 1'!$A$2:$A1001, "&gt;=2025-04-01", 'Form responses 1'!$A$2:$A1001, "&lt;2025-07-01"),
    COUNTIFS('Form responses 1'!$E$2:$E1001, A24, 'Form responses 1'!$A$2:$A1001, "&gt;=2025-04-01", 'Form responses 1'!$A$2:$A1001, "&lt;2025-07-01"),
    COUNTIFS('Form responses 1'!$F$2:$F1001, A24, 'Form responses 1'!$A$2:$A1001, "&gt;=2025-04-01", 'Form responses 1'!$A$2:$A1001, "&lt;2025-07-01"),
    COUNTIFS('Form responses 1'!$G$2:$G1001, A24, 'Form responses 1'!$A$2:$A1001, "&gt;=2025-04-01", 'Form responses 1'!$A$2:$A1001, "&lt;2025-07-01")
)
</f>
        <v>3</v>
      </c>
      <c r="O24" s="2">
        <f>SUM(
    COUNTIFS('Form responses 1'!$C$2:$C1001, A24, 'Form responses 1'!$A$2:$A1001, "&gt;=2025-07-01", 'Form responses 1'!$A$2:$A1001, "&lt;=2025-09-30"),
    COUNTIFS('Form responses 1'!$B$2:$B1001, A24, 'Form responses 1'!$A$2:$A1001, "&gt;=2025-07-01", 'Form responses 1'!$A$2:$A1001, "&lt;=2025-09-30"),
    COUNTIFS('Form responses 1'!$D$2:$D1001, A24, 'Form responses 1'!$A$2:$A1001, "&gt;=2025-07-01", 'Form responses 1'!$A$2:$A1001, "&lt;=2025-09-30"),
    COUNTIFS('Form responses 1'!$E$2:$E1001, A24, 'Form responses 1'!$A$2:$A1001, "&gt;=2025-07-01", 'Form responses 1'!$A$2:$A1001, "&lt;=2025-09-30"),
    COUNTIFS('Form responses 1'!$F$2:$F1001, A24, 'Form responses 1'!$A$2:$A1001, "&gt;=2025-07-01", 'Form responses 1'!$A$2:$A1001, "&lt;=2025-09-30"),
    COUNTIFS('Form responses 1'!$G$2:$G1001, A24, 'Form responses 1'!$A$2:$A1001, "&gt;=2025-07-01", 'Form responses 1'!$A$2:$A1001, "&lt;=2025-09-30")
)
</f>
        <v>5</v>
      </c>
      <c r="P24" s="2">
        <f>SUM(
    COUNTIFS('Form responses 1'!$C$2:$C1001, A24, 'Form responses 1'!$A$2:$A1001, "&gt;=2025-10-01", 'Form responses 1'!$A$2:$A1001, "&lt;=2025-12-31"),
    COUNTIFS('Form responses 1'!$B$2:$B1001, A24, 'Form responses 1'!$A$2:$A1001, "&gt;=2025-10-01", 'Form responses 1'!$A$2:$A1001, "&lt;=2025-12-31"),
    COUNTIFS('Form responses 1'!$D$2:$D1001, A24, 'Form responses 1'!$A$2:$A1001, "&gt;=2025-10-01", 'Form responses 1'!$A$2:$A1001, "&lt;=2025-12-31"),
    COUNTIFS('Form responses 1'!$E$2:$E1001, A24, 'Form responses 1'!$A$2:$A1001, "&gt;=2025-10-01", 'Form responses 1'!$A$2:$A1001, "&lt;=2025-12-31"),
    COUNTIFS('Form responses 1'!$F$2:$F1001, A24, 'Form responses 1'!$A$2:$A1001, "&gt;=2025-10-01", 'Form responses 1'!$A$2:$A1001, "&lt;=2025-12-31"),
    COUNTIFS('Form responses 1'!$G$2:$G1001, A24, 'Form responses 1'!$A$2:$A1001, "&gt;=2025-10-01", 'Form responses 1'!$A$2:$A1001, "&lt;=2025-12-31")
)
</f>
        <v>0</v>
      </c>
    </row>
    <row r="25">
      <c r="A25" s="3" t="str">
        <f>IFERROR(__xludf.DUMMYFUNCTION("""COMPUTED_VALUE"""),"Daily Aesthetikz t-shirt")</f>
        <v>Daily Aesthetikz t-shirt</v>
      </c>
      <c r="B25" s="2">
        <f>SUM(
    COUNTIFS('Form responses 1'!$C$2:$C1001, A25, 'Form responses 1'!$A$2:$A1001, "&gt;=2022-04-01", 'Form responses 1'!$A$2:$A1001, "&lt;=2022-06-30"),
    COUNTIFS('Form responses 1'!$B$2:$B1001, A25, 'Form responses 1'!$A$2:$A1001, "&gt;=2022-04-01", 'Form responses 1'!$A$2:$A1001, "&lt;=2022-06-30"),
    COUNTIFS('Form responses 1'!$D$2:$D1001, A25, 'Form responses 1'!$A$2:$A1001, "&gt;=2022-04-01", 'Form responses 1'!$A$2:$A1001, "&lt;=2022-06-30"),
    COUNTIFS('Form responses 1'!$E$2:$E1001, A25, 'Form responses 1'!$A$2:$A1001, "&gt;=2022-04-01", 'Form responses 1'!$A$2:$A1001, "&lt;=2022-06-30"),
    COUNTIFS('Form responses 1'!$F$2:$F1001, A25, 'Form responses 1'!$A$2:$A1001, "&gt;=2022-04-01", 'Form responses 1'!$A$2:$A1001, "&lt;=2022-06-30"),
    COUNTIFS('Form responses 1'!$G$2:$G1001, A25, 'Form responses 1'!$A$2:$A1001, "&gt;=2022-04-01", 'Form responses 1'!$A$2:$A1001, "&lt;=2022-06-30")
)
</f>
        <v>0</v>
      </c>
      <c r="C25" s="2">
        <f>SUM(
    COUNTIFS('Form responses 1'!$C$2:$C1001, A25, 'Form responses 1'!$A$2:$A1001, "&gt;=2022-07-01", 'Form responses 1'!$A$2:$A1001, "&lt;=2022-09-30"),
    COUNTIFS('Form responses 1'!$B$2:$B1001, A25, 'Form responses 1'!$A$2:$A1001, "&gt;=2022-07-01", 'Form responses 1'!$A$2:$A1001, "&lt;=2022-09-30"),
    COUNTIFS('Form responses 1'!$D$2:$D1001, A25, 'Form responses 1'!$A$2:$A1001, "&gt;=2022-07-01", 'Form responses 1'!$A$2:$A1001, "&lt;=2022-09-30"),
    COUNTIFS('Form responses 1'!$E$2:$E1001, A25, 'Form responses 1'!$A$2:$A1001, "&gt;=2022-07-01", 'Form responses 1'!$A$2:$A1001, "&lt;=2022-09-30"),
    COUNTIFS('Form responses 1'!$F$2:$F1001, A25, 'Form responses 1'!$A$2:$A1001, "&gt;=2022-07-01", 'Form responses 1'!$A$2:$A1001, "&lt;=2022-09-30"),
    COUNTIFS('Form responses 1'!$G$2:$G1001, A25, 'Form responses 1'!$A$2:$A1001, "&gt;=2022-07-01", 'Form responses 1'!$A$2:$A1001, "&lt;=2022-09-30")
)
</f>
        <v>11</v>
      </c>
      <c r="D25" s="2">
        <f>SUM(
    COUNTIFS('Form responses 1'!$C$2:$C1001, A25, 'Form responses 1'!$A$2:$A1001, "&gt;=2022-10-01", 'Form responses 1'!$A$2:$A1001, "&lt;=2022-12-31"),
    COUNTIFS('Form responses 1'!$B$2:$B1001, A25, 'Form responses 1'!$A$2:$A1001, "&gt;=2022-10-01", 'Form responses 1'!$A$2:$A1001, "&lt;=2022-12-31"),
    COUNTIFS('Form responses 1'!$D$2:$D1001, A25, 'Form responses 1'!$A$2:$A1001, "&gt;=2022-10-01", 'Form responses 1'!$A$2:$A1001, "&lt;=2022-12-31"),
    COUNTIFS('Form responses 1'!$E$2:$E1001, A25, 'Form responses 1'!$A$2:$A1001, "&gt;=2022-10-01", 'Form responses 1'!$A$2:$A1001, "&lt;=2022-12-31"),
    COUNTIFS('Form responses 1'!$F$2:$F1001, A25, 'Form responses 1'!$A$2:$A1001, "&gt;=2022-10-01", 'Form responses 1'!$A$2:$A1001, "&lt;=2022-12-31"),
    COUNTIFS('Form responses 1'!$G$2:$G1001, A25, 'Form responses 1'!$A$2:$A1001, "&gt;=2022-10-01", 'Form responses 1'!$A$2:$A1001, "&lt;=2022-12-31")
)
</f>
        <v>0</v>
      </c>
      <c r="E25" s="2">
        <f>SUM(
    COUNTIFS('Form responses 1'!$C$2:$C1001, A25, 'Form responses 1'!$A$2:$A1001, "&gt;=2023-01-01", 'Form responses 1'!$A$2:$A1001, "&lt;=2023-03-31"),
    COUNTIFS('Form responses 1'!$B$2:$B1001, A25, 'Form responses 1'!$A$2:$A1001, "&gt;=2023-01-01", 'Form responses 1'!$A$2:$A1001, "&lt;=2023-03-31"),
    COUNTIFS('Form responses 1'!$D$2:$D1001, A25, 'Form responses 1'!$A$2:$A1001, "&gt;=2023-01-01", 'Form responses 1'!$A$2:$A1001, "&lt;=2023-03-31"),
    COUNTIFS('Form responses 1'!$E$2:$E1001, A25, 'Form responses 1'!$A$2:$A1001, "&gt;=2023-01-01", 'Form responses 1'!$A$2:$A1001, "&lt;=2023-03-31"),
    COUNTIFS('Form responses 1'!$F$2:$F1001, A25, 'Form responses 1'!$A$2:$A1001, "&gt;=2023-01-01", 'Form responses 1'!$A$2:$A1001, "&lt;=2023-03-31"),
    COUNTIFS('Form responses 1'!$G$2:$G1001, A25, 'Form responses 1'!$A$2:$A1001, "&gt;=2023-01-01", 'Form responses 1'!$A$2:$A1001, "&lt;=2023-03-31")
)
</f>
        <v>0</v>
      </c>
      <c r="F25" s="2">
        <f>SUM(
    COUNTIFS('Form responses 1'!$C$2:$C1001, A25, 'Form responses 1'!$A$2:$A1001, "&gt;=2023-04-01", 'Form responses 1'!$A$2:$A1001, "&lt;=2023-06-30"),
    COUNTIFS('Form responses 1'!$B$2:$B1001, A25, 'Form responses 1'!$A$2:$A1001, "&gt;=2023-04-01", 'Form responses 1'!$A$2:$A1001, "&lt;=2023-06-30"),
    COUNTIFS('Form responses 1'!$D$2:$D1001, A25, 'Form responses 1'!$A$2:$A1001, "&gt;=2023-04-01", 'Form responses 1'!$A$2:$A1001, "&lt;=2023-06-30"),
    COUNTIFS('Form responses 1'!$E$2:$E1001, A25, 'Form responses 1'!$A$2:$A1001, "&gt;=2023-04-01", 'Form responses 1'!$A$2:$A1001, "&lt;=2023-06-30"),
    COUNTIFS('Form responses 1'!$F$2:$F1001, A25, 'Form responses 1'!$A$2:$A1001, "&gt;=2023-04-01", 'Form responses 1'!$A$2:$A1001, "&lt;=2023-06-30"),
    COUNTIFS('Form responses 1'!$G$2:$G1001, A25, 'Form responses 1'!$A$2:$A1001, "&gt;=2023-04-01", 'Form responses 1'!$A$2:$A1001, "&lt;=2023-06-30")
)
</f>
        <v>5</v>
      </c>
      <c r="G25" s="2">
        <f>SUM(
    COUNTIFS('Form responses 1'!$C$2:$C1001, A25, 'Form responses 1'!$A$2:$A1001, "&gt;=2023-07-01", 'Form responses 1'!$A$2:$A1001, "&lt;=2023-09-30"),
    COUNTIFS('Form responses 1'!$B$2:$B1001, A25, 'Form responses 1'!$A$2:$A1001, "&gt;=2023-07-01", 'Form responses 1'!$A$2:$A1001, "&lt;=2023-09-30"),
    COUNTIFS('Form responses 1'!$D$2:$D1001, A25, 'Form responses 1'!$A$2:$A1001, "&gt;=2023-07-01", 'Form responses 1'!$A$2:$A1001, "&lt;=2023-09-30"),
    COUNTIFS('Form responses 1'!$E$2:$E1001, A25, 'Form responses 1'!$A$2:$A1001, "&gt;=2023-07-01", 'Form responses 1'!$A$2:$A1001, "&lt;=2023-09-30"),
    COUNTIFS('Form responses 1'!$F$2:$F1001, A25, 'Form responses 1'!$A$2:$A1001, "&gt;=2023-07-01", 'Form responses 1'!$A$2:$A1001, "&lt;=2023-09-30"),
    COUNTIFS('Form responses 1'!$G$2:$G1001, A25, 'Form responses 1'!$A$2:$A1001, "&gt;=2023-07-01", 'Form responses 1'!$A$2:$A1001, "&lt;=2023-09-30")
)
</f>
        <v>8</v>
      </c>
      <c r="H25" s="2">
        <f>SUM(
    COUNTIFS('Form responses 1'!$C$2:$C1001, A25, 'Form responses 1'!$A$2:$A1001, "&gt;=2023-10-01", 'Form responses 1'!$A$2:$A1001, "&lt;=2023-12-31"),
    COUNTIFS('Form responses 1'!$B$2:$B1001, A25, 'Form responses 1'!$A$2:$A1001, "&gt;=2023-10-01", 'Form responses 1'!$A$2:$A1001, "&lt;=2023-12-31"),
    COUNTIFS('Form responses 1'!$D$2:$D1001, A25, 'Form responses 1'!$A$2:$A1001, "&gt;=2023-10-01", 'Form responses 1'!$A$2:$A1001, "&lt;=2023-12-31"),
    COUNTIFS('Form responses 1'!$E$2:$E1001, A25, 'Form responses 1'!$A$2:$A1001, "&gt;=2023-10-01", 'Form responses 1'!$A$2:$A1001, "&lt;=2023-12-31"),
    COUNTIFS('Form responses 1'!$F$2:$F1001, A25, 'Form responses 1'!$A$2:$A1001, "&gt;=2023-10-01", 'Form responses 1'!$A$2:$A1001, "&lt;=2023-12-31"),
    COUNTIFS('Form responses 1'!$G$2:$G1001, A25, 'Form responses 1'!$A$2:$A1001, "&gt;=2023-10-01", 'Form responses 1'!$A$2:$A1001, "&lt;=2023-12-31")
)
</f>
        <v>0</v>
      </c>
      <c r="I25" s="2">
        <f>SUM(
    COUNTIFS('Form responses 1'!$C$2:$C1001, A25, 'Form responses 1'!$A$2:$A1001, "&gt;=2024-01-01", 'Form responses 1'!$A$2:$A1001, "&lt;=2024-03-31"),
    COUNTIFS('Form responses 1'!$B$2:$B1001, A25, 'Form responses 1'!$A$2:$A1001, "&gt;=2024-01-01", 'Form responses 1'!$A$2:$A1001, "&lt;=2024-03-31"),
    COUNTIFS('Form responses 1'!$D$2:$D1001, A25, 'Form responses 1'!$A$2:$A1001, "&gt;=2024-01-01", 'Form responses 1'!$A$2:$A1001, "&lt;=2024-03-31"),
    COUNTIFS('Form responses 1'!$E$2:$E1001, A25, 'Form responses 1'!$A$2:$A1001, "&gt;=2024-01-01", 'Form responses 1'!$A$2:$A1001, "&lt;=2024-03-31"),
    COUNTIFS('Form responses 1'!$F$2:$F1001, A25, 'Form responses 1'!$A$2:$A1001, "&gt;=2024-01-01", 'Form responses 1'!$A$2:$A1001, "&lt;=2024-03-31"),
    COUNTIFS('Form responses 1'!$G$2:$G1001, A25, 'Form responses 1'!$A$2:$A1001, "&gt;=2024-01-01", 'Form responses 1'!$A$2:$A1001, "&lt;=2024-03-31")
)
</f>
        <v>0</v>
      </c>
      <c r="J25" s="2">
        <f>SUM(
    COUNTIFS('Form responses 1'!$C$2:$C1001, A25, 'Form responses 1'!$A$2:$A1001, "&gt;=2024-04-01", 'Form responses 1'!$A$2:$A1001, "&lt;=2024-06-30"),
    COUNTIFS('Form responses 1'!$B$2:$B1001, A25, 'Form responses 1'!$A$2:$A1001, "&gt;=2024-04-01", 'Form responses 1'!$A$2:$A1001, "&lt;=2024-06-30"),
    COUNTIFS('Form responses 1'!$D$2:$D1001, A25, 'Form responses 1'!$A$2:$A1001, "&gt;=2024-04-01", 'Form responses 1'!$A$2:$A1001, "&lt;=2024-06-30"),
    COUNTIFS('Form responses 1'!$E$2:$E1001, A25, 'Form responses 1'!$A$2:$A1001, "&gt;=2024-04-01", 'Form responses 1'!$A$2:$A1001, "&lt;=2024-06-30"),
    COUNTIFS('Form responses 1'!$F$2:$F1001, A25, 'Form responses 1'!$A$2:$A1001, "&gt;=2024-04-01", 'Form responses 1'!$A$2:$A1001, "&lt;=2024-06-30"),
    COUNTIFS('Form responses 1'!$G$2:$G1001, A25, 'Form responses 1'!$A$2:$A1001, "&gt;=2024-04-01", 'Form responses 1'!$A$2:$A1001, "&lt;=2024-06-30")
)
</f>
        <v>0</v>
      </c>
      <c r="K25" s="2">
        <f>SUM(
    COUNTIFS('Form responses 1'!$C$2:$C1001, A25, 'Form responses 1'!$A$2:$A1001, "&gt;=2024-07-01", 'Form responses 1'!$A$2:$A1001, "&lt;=2024-09-30"),
    COUNTIFS('Form responses 1'!$B$2:$B1001, A25, 'Form responses 1'!$A$2:$A1001, "&gt;=2024-07-01", 'Form responses 1'!$A$2:$A1001, "&lt;=2024-09-30"),
    COUNTIFS('Form responses 1'!$D$2:$D1001, A25, 'Form responses 1'!$A$2:$A1001, "&gt;=2024-07-01", 'Form responses 1'!$A$2:$A1001, "&lt;=2024-09-30"),
    COUNTIFS('Form responses 1'!$E$2:$E1001, A25, 'Form responses 1'!$A$2:$A1001, "&gt;=2024-07-01", 'Form responses 1'!$A$2:$A1001, "&lt;=2024-09-30"),
    COUNTIFS('Form responses 1'!$F$2:$F1001, A25, 'Form responses 1'!$A$2:$A1001, "&gt;=2024-07-01", 'Form responses 1'!$A$2:$A1001, "&lt;=2024-09-30"),
    COUNTIFS('Form responses 1'!$G$2:$G1001, A25, 'Form responses 1'!$A$2:$A1001, "&gt;=2024-07-01", 'Form responses 1'!$A$2:$A1001, "&lt;=2024-09-30")
)
</f>
        <v>3</v>
      </c>
      <c r="L25" s="2">
        <f>SUM(
    COUNTIFS('Form responses 1'!$C$2:$C1001, A25, 'Form responses 1'!$A$2:$A1001, "&gt;=2024-10-01", 'Form responses 1'!$A$2:$A1001, "&lt;=2024-12-31"),
    COUNTIFS('Form responses 1'!$B$2:$B1001, A25, 'Form responses 1'!$A$2:$A1001, "&gt;=2024-10-01", 'Form responses 1'!$A$2:$A1001, "&lt;=2024-12-31"),
    COUNTIFS('Form responses 1'!$D$2:$D1001, A25, 'Form responses 1'!$A$2:$A1001, "&gt;=2024-10-01", 'Form responses 1'!$A$2:$A1001, "&lt;=2024-12-31"),
    COUNTIFS('Form responses 1'!$E$2:$E1001, A25, 'Form responses 1'!$A$2:$A1001, "&gt;=2024-10-01", 'Form responses 1'!$A$2:$A1001, "&lt;=2024-12-31"),
    COUNTIFS('Form responses 1'!$F$2:$F1001, A25, 'Form responses 1'!$A$2:$A1001, "&gt;=2024-10-01", 'Form responses 1'!$A$2:$A1001, "&lt;=2024-12-31"),
    COUNTIFS('Form responses 1'!$G$2:$G1001, A25, 'Form responses 1'!$A$2:$A1001, "&gt;=2024-10-01", 'Form responses 1'!$A$2:$A1001, "&lt;=2024-12-31")
)
</f>
        <v>0</v>
      </c>
      <c r="M25" s="2">
        <f>SUM(
    COUNTIFS('Form responses 1'!$C$2:$C1001, A25, 'Form responses 1'!$A$2:$A1001, "&gt;=2025-01-01", 'Form responses 1'!$A$2:$A1001, "&lt;=2025-03-31"),
    COUNTIFS('Form responses 1'!$B$2:$B1001, A25, 'Form responses 1'!$A$2:$A1001, "&gt;=2025-01-01", 'Form responses 1'!$A$2:$A1001, "&lt;=2025-03-31"),
    COUNTIFS('Form responses 1'!$D$2:$D1001, A25, 'Form responses 1'!$A$2:$A1001, "&gt;=2025-01-01", 'Form responses 1'!$A$2:$A1001, "&lt;=2025-03-31"),
    COUNTIFS('Form responses 1'!$E$2:$E1001, A25, 'Form responses 1'!$A$2:$A1001, "&gt;=2025-01-01", 'Form responses 1'!$A$2:$A1001, "&lt;=2025-03-31"),
    COUNTIFS('Form responses 1'!$F$2:$F1001, A25, 'Form responses 1'!$A$2:$A1001, "&gt;=2025-01-01", 'Form responses 1'!$A$2:$A1001, "&lt;=2025-03-31"),
    COUNTIFS('Form responses 1'!$G$2:$G1001, A25, 'Form responses 1'!$A$2:$A1001, "&gt;=2025-01-01", 'Form responses 1'!$A$2:$A1001, "&lt;=2025-03-31")
)
</f>
        <v>0</v>
      </c>
      <c r="N25" s="2">
        <f>SUM(
    COUNTIFS('Form responses 1'!$C$2:$C1001, A25, 'Form responses 1'!$A$2:$A1001, "&gt;=2025-04-01", 'Form responses 1'!$A$2:$A1001, "&lt;2025-07-01"),
    COUNTIFS('Form responses 1'!$B$2:$B1001, A25, 'Form responses 1'!$A$2:$A1001, "&gt;=2025-04-01", 'Form responses 1'!$A$2:$A1001, "&lt;2025-07-01"),
    COUNTIFS('Form responses 1'!$D$2:$D1001, A25, 'Form responses 1'!$A$2:$A1001, "&gt;=2025-04-01", 'Form responses 1'!$A$2:$A1001, "&lt;2025-07-01"),
    COUNTIFS('Form responses 1'!$E$2:$E1001, A25, 'Form responses 1'!$A$2:$A1001, "&gt;=2025-04-01", 'Form responses 1'!$A$2:$A1001, "&lt;2025-07-01"),
    COUNTIFS('Form responses 1'!$F$2:$F1001, A25, 'Form responses 1'!$A$2:$A1001, "&gt;=2025-04-01", 'Form responses 1'!$A$2:$A1001, "&lt;2025-07-01"),
    COUNTIFS('Form responses 1'!$G$2:$G1001, A25, 'Form responses 1'!$A$2:$A1001, "&gt;=2025-04-01", 'Form responses 1'!$A$2:$A1001, "&lt;2025-07-01")
)
</f>
        <v>1</v>
      </c>
      <c r="O25" s="2">
        <f>SUM(
    COUNTIFS('Form responses 1'!$C$2:$C1001, A25, 'Form responses 1'!$A$2:$A1001, "&gt;=2025-07-01", 'Form responses 1'!$A$2:$A1001, "&lt;=2025-09-30"),
    COUNTIFS('Form responses 1'!$B$2:$B1001, A25, 'Form responses 1'!$A$2:$A1001, "&gt;=2025-07-01", 'Form responses 1'!$A$2:$A1001, "&lt;=2025-09-30"),
    COUNTIFS('Form responses 1'!$D$2:$D1001, A25, 'Form responses 1'!$A$2:$A1001, "&gt;=2025-07-01", 'Form responses 1'!$A$2:$A1001, "&lt;=2025-09-30"),
    COUNTIFS('Form responses 1'!$E$2:$E1001, A25, 'Form responses 1'!$A$2:$A1001, "&gt;=2025-07-01", 'Form responses 1'!$A$2:$A1001, "&lt;=2025-09-30"),
    COUNTIFS('Form responses 1'!$F$2:$F1001, A25, 'Form responses 1'!$A$2:$A1001, "&gt;=2025-07-01", 'Form responses 1'!$A$2:$A1001, "&lt;=2025-09-30"),
    COUNTIFS('Form responses 1'!$G$2:$G1001, A25, 'Form responses 1'!$A$2:$A1001, "&gt;=2025-07-01", 'Form responses 1'!$A$2:$A1001, "&lt;=2025-09-30")
)
</f>
        <v>6</v>
      </c>
      <c r="P25" s="2">
        <f>SUM(
    COUNTIFS('Form responses 1'!$C$2:$C1001, A25, 'Form responses 1'!$A$2:$A1001, "&gt;=2025-10-01", 'Form responses 1'!$A$2:$A1001, "&lt;=2025-12-31"),
    COUNTIFS('Form responses 1'!$B$2:$B1001, A25, 'Form responses 1'!$A$2:$A1001, "&gt;=2025-10-01", 'Form responses 1'!$A$2:$A1001, "&lt;=2025-12-31"),
    COUNTIFS('Form responses 1'!$D$2:$D1001, A25, 'Form responses 1'!$A$2:$A1001, "&gt;=2025-10-01", 'Form responses 1'!$A$2:$A1001, "&lt;=2025-12-31"),
    COUNTIFS('Form responses 1'!$E$2:$E1001, A25, 'Form responses 1'!$A$2:$A1001, "&gt;=2025-10-01", 'Form responses 1'!$A$2:$A1001, "&lt;=2025-12-31"),
    COUNTIFS('Form responses 1'!$F$2:$F1001, A25, 'Form responses 1'!$A$2:$A1001, "&gt;=2025-10-01", 'Form responses 1'!$A$2:$A1001, "&lt;=2025-12-31"),
    COUNTIFS('Form responses 1'!$G$2:$G1001, A25, 'Form responses 1'!$A$2:$A1001, "&gt;=2025-10-01", 'Form responses 1'!$A$2:$A1001, "&lt;=2025-12-31")
)
</f>
        <v>0</v>
      </c>
    </row>
    <row r="26">
      <c r="A26" s="3" t="str">
        <f>IFERROR(__xludf.DUMMYFUNCTION("""COMPUTED_VALUE"""),"The Good Life t-shirt")</f>
        <v>The Good Life t-shirt</v>
      </c>
      <c r="B26" s="2">
        <f>SUM(
    COUNTIFS('Form responses 1'!$C$2:$C1001, A26, 'Form responses 1'!$A$2:$A1001, "&gt;=2022-04-01", 'Form responses 1'!$A$2:$A1001, "&lt;=2022-06-30"),
    COUNTIFS('Form responses 1'!$B$2:$B1001, A26, 'Form responses 1'!$A$2:$A1001, "&gt;=2022-04-01", 'Form responses 1'!$A$2:$A1001, "&lt;=2022-06-30"),
    COUNTIFS('Form responses 1'!$D$2:$D1001, A26, 'Form responses 1'!$A$2:$A1001, "&gt;=2022-04-01", 'Form responses 1'!$A$2:$A1001, "&lt;=2022-06-30"),
    COUNTIFS('Form responses 1'!$E$2:$E1001, A26, 'Form responses 1'!$A$2:$A1001, "&gt;=2022-04-01", 'Form responses 1'!$A$2:$A1001, "&lt;=2022-06-30"),
    COUNTIFS('Form responses 1'!$F$2:$F1001, A26, 'Form responses 1'!$A$2:$A1001, "&gt;=2022-04-01", 'Form responses 1'!$A$2:$A1001, "&lt;=2022-06-30"),
    COUNTIFS('Form responses 1'!$G$2:$G1001, A26, 'Form responses 1'!$A$2:$A1001, "&gt;=2022-04-01", 'Form responses 1'!$A$2:$A1001, "&lt;=2022-06-30")
)
</f>
        <v>0</v>
      </c>
      <c r="C26" s="2">
        <f>SUM(
    COUNTIFS('Form responses 1'!$C$2:$C1001, A26, 'Form responses 1'!$A$2:$A1001, "&gt;=2022-07-01", 'Form responses 1'!$A$2:$A1001, "&lt;=2022-09-30"),
    COUNTIFS('Form responses 1'!$B$2:$B1001, A26, 'Form responses 1'!$A$2:$A1001, "&gt;=2022-07-01", 'Form responses 1'!$A$2:$A1001, "&lt;=2022-09-30"),
    COUNTIFS('Form responses 1'!$D$2:$D1001, A26, 'Form responses 1'!$A$2:$A1001, "&gt;=2022-07-01", 'Form responses 1'!$A$2:$A1001, "&lt;=2022-09-30"),
    COUNTIFS('Form responses 1'!$E$2:$E1001, A26, 'Form responses 1'!$A$2:$A1001, "&gt;=2022-07-01", 'Form responses 1'!$A$2:$A1001, "&lt;=2022-09-30"),
    COUNTIFS('Form responses 1'!$F$2:$F1001, A26, 'Form responses 1'!$A$2:$A1001, "&gt;=2022-07-01", 'Form responses 1'!$A$2:$A1001, "&lt;=2022-09-30"),
    COUNTIFS('Form responses 1'!$G$2:$G1001, A26, 'Form responses 1'!$A$2:$A1001, "&gt;=2022-07-01", 'Form responses 1'!$A$2:$A1001, "&lt;=2022-09-30")
)
</f>
        <v>11</v>
      </c>
      <c r="D26" s="2">
        <f>SUM(
    COUNTIFS('Form responses 1'!$C$2:$C1001, A26, 'Form responses 1'!$A$2:$A1001, "&gt;=2022-10-01", 'Form responses 1'!$A$2:$A1001, "&lt;=2022-12-31"),
    COUNTIFS('Form responses 1'!$B$2:$B1001, A26, 'Form responses 1'!$A$2:$A1001, "&gt;=2022-10-01", 'Form responses 1'!$A$2:$A1001, "&lt;=2022-12-31"),
    COUNTIFS('Form responses 1'!$D$2:$D1001, A26, 'Form responses 1'!$A$2:$A1001, "&gt;=2022-10-01", 'Form responses 1'!$A$2:$A1001, "&lt;=2022-12-31"),
    COUNTIFS('Form responses 1'!$E$2:$E1001, A26, 'Form responses 1'!$A$2:$A1001, "&gt;=2022-10-01", 'Form responses 1'!$A$2:$A1001, "&lt;=2022-12-31"),
    COUNTIFS('Form responses 1'!$F$2:$F1001, A26, 'Form responses 1'!$A$2:$A1001, "&gt;=2022-10-01", 'Form responses 1'!$A$2:$A1001, "&lt;=2022-12-31"),
    COUNTIFS('Form responses 1'!$G$2:$G1001, A26, 'Form responses 1'!$A$2:$A1001, "&gt;=2022-10-01", 'Form responses 1'!$A$2:$A1001, "&lt;=2022-12-31")
)
</f>
        <v>0</v>
      </c>
      <c r="E26" s="2">
        <f>SUM(
    COUNTIFS('Form responses 1'!$C$2:$C1001, A26, 'Form responses 1'!$A$2:$A1001, "&gt;=2023-01-01", 'Form responses 1'!$A$2:$A1001, "&lt;=2023-03-31"),
    COUNTIFS('Form responses 1'!$B$2:$B1001, A26, 'Form responses 1'!$A$2:$A1001, "&gt;=2023-01-01", 'Form responses 1'!$A$2:$A1001, "&lt;=2023-03-31"),
    COUNTIFS('Form responses 1'!$D$2:$D1001, A26, 'Form responses 1'!$A$2:$A1001, "&gt;=2023-01-01", 'Form responses 1'!$A$2:$A1001, "&lt;=2023-03-31"),
    COUNTIFS('Form responses 1'!$E$2:$E1001, A26, 'Form responses 1'!$A$2:$A1001, "&gt;=2023-01-01", 'Form responses 1'!$A$2:$A1001, "&lt;=2023-03-31"),
    COUNTIFS('Form responses 1'!$F$2:$F1001, A26, 'Form responses 1'!$A$2:$A1001, "&gt;=2023-01-01", 'Form responses 1'!$A$2:$A1001, "&lt;=2023-03-31"),
    COUNTIFS('Form responses 1'!$G$2:$G1001, A26, 'Form responses 1'!$A$2:$A1001, "&gt;=2023-01-01", 'Form responses 1'!$A$2:$A1001, "&lt;=2023-03-31")
)
</f>
        <v>0</v>
      </c>
      <c r="F26" s="2">
        <f>SUM(
    COUNTIFS('Form responses 1'!$C$2:$C1001, A26, 'Form responses 1'!$A$2:$A1001, "&gt;=2023-04-01", 'Form responses 1'!$A$2:$A1001, "&lt;=2023-06-30"),
    COUNTIFS('Form responses 1'!$B$2:$B1001, A26, 'Form responses 1'!$A$2:$A1001, "&gt;=2023-04-01", 'Form responses 1'!$A$2:$A1001, "&lt;=2023-06-30"),
    COUNTIFS('Form responses 1'!$D$2:$D1001, A26, 'Form responses 1'!$A$2:$A1001, "&gt;=2023-04-01", 'Form responses 1'!$A$2:$A1001, "&lt;=2023-06-30"),
    COUNTIFS('Form responses 1'!$E$2:$E1001, A26, 'Form responses 1'!$A$2:$A1001, "&gt;=2023-04-01", 'Form responses 1'!$A$2:$A1001, "&lt;=2023-06-30"),
    COUNTIFS('Form responses 1'!$F$2:$F1001, A26, 'Form responses 1'!$A$2:$A1001, "&gt;=2023-04-01", 'Form responses 1'!$A$2:$A1001, "&lt;=2023-06-30"),
    COUNTIFS('Form responses 1'!$G$2:$G1001, A26, 'Form responses 1'!$A$2:$A1001, "&gt;=2023-04-01", 'Form responses 1'!$A$2:$A1001, "&lt;=2023-06-30")
)
</f>
        <v>5</v>
      </c>
      <c r="G26" s="2">
        <f>SUM(
    COUNTIFS('Form responses 1'!$C$2:$C1001, A26, 'Form responses 1'!$A$2:$A1001, "&gt;=2023-07-01", 'Form responses 1'!$A$2:$A1001, "&lt;=2023-09-30"),
    COUNTIFS('Form responses 1'!$B$2:$B1001, A26, 'Form responses 1'!$A$2:$A1001, "&gt;=2023-07-01", 'Form responses 1'!$A$2:$A1001, "&lt;=2023-09-30"),
    COUNTIFS('Form responses 1'!$D$2:$D1001, A26, 'Form responses 1'!$A$2:$A1001, "&gt;=2023-07-01", 'Form responses 1'!$A$2:$A1001, "&lt;=2023-09-30"),
    COUNTIFS('Form responses 1'!$E$2:$E1001, A26, 'Form responses 1'!$A$2:$A1001, "&gt;=2023-07-01", 'Form responses 1'!$A$2:$A1001, "&lt;=2023-09-30"),
    COUNTIFS('Form responses 1'!$F$2:$F1001, A26, 'Form responses 1'!$A$2:$A1001, "&gt;=2023-07-01", 'Form responses 1'!$A$2:$A1001, "&lt;=2023-09-30"),
    COUNTIFS('Form responses 1'!$G$2:$G1001, A26, 'Form responses 1'!$A$2:$A1001, "&gt;=2023-07-01", 'Form responses 1'!$A$2:$A1001, "&lt;=2023-09-30")
)
</f>
        <v>9</v>
      </c>
      <c r="H26" s="2">
        <f>SUM(
    COUNTIFS('Form responses 1'!$C$2:$C1001, A26, 'Form responses 1'!$A$2:$A1001, "&gt;=2023-10-01", 'Form responses 1'!$A$2:$A1001, "&lt;=2023-12-31"),
    COUNTIFS('Form responses 1'!$B$2:$B1001, A26, 'Form responses 1'!$A$2:$A1001, "&gt;=2023-10-01", 'Form responses 1'!$A$2:$A1001, "&lt;=2023-12-31"),
    COUNTIFS('Form responses 1'!$D$2:$D1001, A26, 'Form responses 1'!$A$2:$A1001, "&gt;=2023-10-01", 'Form responses 1'!$A$2:$A1001, "&lt;=2023-12-31"),
    COUNTIFS('Form responses 1'!$E$2:$E1001, A26, 'Form responses 1'!$A$2:$A1001, "&gt;=2023-10-01", 'Form responses 1'!$A$2:$A1001, "&lt;=2023-12-31"),
    COUNTIFS('Form responses 1'!$F$2:$F1001, A26, 'Form responses 1'!$A$2:$A1001, "&gt;=2023-10-01", 'Form responses 1'!$A$2:$A1001, "&lt;=2023-12-31"),
    COUNTIFS('Form responses 1'!$G$2:$G1001, A26, 'Form responses 1'!$A$2:$A1001, "&gt;=2023-10-01", 'Form responses 1'!$A$2:$A1001, "&lt;=2023-12-31")
)
</f>
        <v>0</v>
      </c>
      <c r="I26" s="2">
        <f>SUM(
    COUNTIFS('Form responses 1'!$C$2:$C1001, A26, 'Form responses 1'!$A$2:$A1001, "&gt;=2024-01-01", 'Form responses 1'!$A$2:$A1001, "&lt;=2024-03-31"),
    COUNTIFS('Form responses 1'!$B$2:$B1001, A26, 'Form responses 1'!$A$2:$A1001, "&gt;=2024-01-01", 'Form responses 1'!$A$2:$A1001, "&lt;=2024-03-31"),
    COUNTIFS('Form responses 1'!$D$2:$D1001, A26, 'Form responses 1'!$A$2:$A1001, "&gt;=2024-01-01", 'Form responses 1'!$A$2:$A1001, "&lt;=2024-03-31"),
    COUNTIFS('Form responses 1'!$E$2:$E1001, A26, 'Form responses 1'!$A$2:$A1001, "&gt;=2024-01-01", 'Form responses 1'!$A$2:$A1001, "&lt;=2024-03-31"),
    COUNTIFS('Form responses 1'!$F$2:$F1001, A26, 'Form responses 1'!$A$2:$A1001, "&gt;=2024-01-01", 'Form responses 1'!$A$2:$A1001, "&lt;=2024-03-31"),
    COUNTIFS('Form responses 1'!$G$2:$G1001, A26, 'Form responses 1'!$A$2:$A1001, "&gt;=2024-01-01", 'Form responses 1'!$A$2:$A1001, "&lt;=2024-03-31")
)
</f>
        <v>0</v>
      </c>
      <c r="J26" s="2">
        <f>SUM(
    COUNTIFS('Form responses 1'!$C$2:$C1001, A26, 'Form responses 1'!$A$2:$A1001, "&gt;=2024-04-01", 'Form responses 1'!$A$2:$A1001, "&lt;=2024-06-30"),
    COUNTIFS('Form responses 1'!$B$2:$B1001, A26, 'Form responses 1'!$A$2:$A1001, "&gt;=2024-04-01", 'Form responses 1'!$A$2:$A1001, "&lt;=2024-06-30"),
    COUNTIFS('Form responses 1'!$D$2:$D1001, A26, 'Form responses 1'!$A$2:$A1001, "&gt;=2024-04-01", 'Form responses 1'!$A$2:$A1001, "&lt;=2024-06-30"),
    COUNTIFS('Form responses 1'!$E$2:$E1001, A26, 'Form responses 1'!$A$2:$A1001, "&gt;=2024-04-01", 'Form responses 1'!$A$2:$A1001, "&lt;=2024-06-30"),
    COUNTIFS('Form responses 1'!$F$2:$F1001, A26, 'Form responses 1'!$A$2:$A1001, "&gt;=2024-04-01", 'Form responses 1'!$A$2:$A1001, "&lt;=2024-06-30"),
    COUNTIFS('Form responses 1'!$G$2:$G1001, A26, 'Form responses 1'!$A$2:$A1001, "&gt;=2024-04-01", 'Form responses 1'!$A$2:$A1001, "&lt;=2024-06-30")
)
</f>
        <v>0</v>
      </c>
      <c r="K26" s="2">
        <f>SUM(
    COUNTIFS('Form responses 1'!$C$2:$C1001, A26, 'Form responses 1'!$A$2:$A1001, "&gt;=2024-07-01", 'Form responses 1'!$A$2:$A1001, "&lt;=2024-09-30"),
    COUNTIFS('Form responses 1'!$B$2:$B1001, A26, 'Form responses 1'!$A$2:$A1001, "&gt;=2024-07-01", 'Form responses 1'!$A$2:$A1001, "&lt;=2024-09-30"),
    COUNTIFS('Form responses 1'!$D$2:$D1001, A26, 'Form responses 1'!$A$2:$A1001, "&gt;=2024-07-01", 'Form responses 1'!$A$2:$A1001, "&lt;=2024-09-30"),
    COUNTIFS('Form responses 1'!$E$2:$E1001, A26, 'Form responses 1'!$A$2:$A1001, "&gt;=2024-07-01", 'Form responses 1'!$A$2:$A1001, "&lt;=2024-09-30"),
    COUNTIFS('Form responses 1'!$F$2:$F1001, A26, 'Form responses 1'!$A$2:$A1001, "&gt;=2024-07-01", 'Form responses 1'!$A$2:$A1001, "&lt;=2024-09-30"),
    COUNTIFS('Form responses 1'!$G$2:$G1001, A26, 'Form responses 1'!$A$2:$A1001, "&gt;=2024-07-01", 'Form responses 1'!$A$2:$A1001, "&lt;=2024-09-30")
)
</f>
        <v>6</v>
      </c>
      <c r="L26" s="2">
        <f>SUM(
    COUNTIFS('Form responses 1'!$C$2:$C1001, A26, 'Form responses 1'!$A$2:$A1001, "&gt;=2024-10-01", 'Form responses 1'!$A$2:$A1001, "&lt;=2024-12-31"),
    COUNTIFS('Form responses 1'!$B$2:$B1001, A26, 'Form responses 1'!$A$2:$A1001, "&gt;=2024-10-01", 'Form responses 1'!$A$2:$A1001, "&lt;=2024-12-31"),
    COUNTIFS('Form responses 1'!$D$2:$D1001, A26, 'Form responses 1'!$A$2:$A1001, "&gt;=2024-10-01", 'Form responses 1'!$A$2:$A1001, "&lt;=2024-12-31"),
    COUNTIFS('Form responses 1'!$E$2:$E1001, A26, 'Form responses 1'!$A$2:$A1001, "&gt;=2024-10-01", 'Form responses 1'!$A$2:$A1001, "&lt;=2024-12-31"),
    COUNTIFS('Form responses 1'!$F$2:$F1001, A26, 'Form responses 1'!$A$2:$A1001, "&gt;=2024-10-01", 'Form responses 1'!$A$2:$A1001, "&lt;=2024-12-31"),
    COUNTIFS('Form responses 1'!$G$2:$G1001, A26, 'Form responses 1'!$A$2:$A1001, "&gt;=2024-10-01", 'Form responses 1'!$A$2:$A1001, "&lt;=2024-12-31")
)
</f>
        <v>0</v>
      </c>
      <c r="M26" s="2">
        <f>SUM(
    COUNTIFS('Form responses 1'!$C$2:$C1001, A26, 'Form responses 1'!$A$2:$A1001, "&gt;=2025-01-01", 'Form responses 1'!$A$2:$A1001, "&lt;=2025-03-31"),
    COUNTIFS('Form responses 1'!$B$2:$B1001, A26, 'Form responses 1'!$A$2:$A1001, "&gt;=2025-01-01", 'Form responses 1'!$A$2:$A1001, "&lt;=2025-03-31"),
    COUNTIFS('Form responses 1'!$D$2:$D1001, A26, 'Form responses 1'!$A$2:$A1001, "&gt;=2025-01-01", 'Form responses 1'!$A$2:$A1001, "&lt;=2025-03-31"),
    COUNTIFS('Form responses 1'!$E$2:$E1001, A26, 'Form responses 1'!$A$2:$A1001, "&gt;=2025-01-01", 'Form responses 1'!$A$2:$A1001, "&lt;=2025-03-31"),
    COUNTIFS('Form responses 1'!$F$2:$F1001, A26, 'Form responses 1'!$A$2:$A1001, "&gt;=2025-01-01", 'Form responses 1'!$A$2:$A1001, "&lt;=2025-03-31"),
    COUNTIFS('Form responses 1'!$G$2:$G1001, A26, 'Form responses 1'!$A$2:$A1001, "&gt;=2025-01-01", 'Form responses 1'!$A$2:$A1001, "&lt;=2025-03-31")
)
</f>
        <v>0</v>
      </c>
      <c r="N26" s="2">
        <f>SUM(
    COUNTIFS('Form responses 1'!$C$2:$C1001, A26, 'Form responses 1'!$A$2:$A1001, "&gt;=2025-04-01", 'Form responses 1'!$A$2:$A1001, "&lt;2025-07-01"),
    COUNTIFS('Form responses 1'!$B$2:$B1001, A26, 'Form responses 1'!$A$2:$A1001, "&gt;=2025-04-01", 'Form responses 1'!$A$2:$A1001, "&lt;2025-07-01"),
    COUNTIFS('Form responses 1'!$D$2:$D1001, A26, 'Form responses 1'!$A$2:$A1001, "&gt;=2025-04-01", 'Form responses 1'!$A$2:$A1001, "&lt;2025-07-01"),
    COUNTIFS('Form responses 1'!$E$2:$E1001, A26, 'Form responses 1'!$A$2:$A1001, "&gt;=2025-04-01", 'Form responses 1'!$A$2:$A1001, "&lt;2025-07-01"),
    COUNTIFS('Form responses 1'!$F$2:$F1001, A26, 'Form responses 1'!$A$2:$A1001, "&gt;=2025-04-01", 'Form responses 1'!$A$2:$A1001, "&lt;2025-07-01"),
    COUNTIFS('Form responses 1'!$G$2:$G1001, A26, 'Form responses 1'!$A$2:$A1001, "&gt;=2025-04-01", 'Form responses 1'!$A$2:$A1001, "&lt;2025-07-01")
)
</f>
        <v>2</v>
      </c>
      <c r="O26" s="2">
        <f>SUM(
    COUNTIFS('Form responses 1'!$C$2:$C1001, A26, 'Form responses 1'!$A$2:$A1001, "&gt;=2025-07-01", 'Form responses 1'!$A$2:$A1001, "&lt;=2025-09-30"),
    COUNTIFS('Form responses 1'!$B$2:$B1001, A26, 'Form responses 1'!$A$2:$A1001, "&gt;=2025-07-01", 'Form responses 1'!$A$2:$A1001, "&lt;=2025-09-30"),
    COUNTIFS('Form responses 1'!$D$2:$D1001, A26, 'Form responses 1'!$A$2:$A1001, "&gt;=2025-07-01", 'Form responses 1'!$A$2:$A1001, "&lt;=2025-09-30"),
    COUNTIFS('Form responses 1'!$E$2:$E1001, A26, 'Form responses 1'!$A$2:$A1001, "&gt;=2025-07-01", 'Form responses 1'!$A$2:$A1001, "&lt;=2025-09-30"),
    COUNTIFS('Form responses 1'!$F$2:$F1001, A26, 'Form responses 1'!$A$2:$A1001, "&gt;=2025-07-01", 'Form responses 1'!$A$2:$A1001, "&lt;=2025-09-30"),
    COUNTIFS('Form responses 1'!$G$2:$G1001, A26, 'Form responses 1'!$A$2:$A1001, "&gt;=2025-07-01", 'Form responses 1'!$A$2:$A1001, "&lt;=2025-09-30")
)
</f>
        <v>5</v>
      </c>
      <c r="P26" s="2">
        <f>SUM(
    COUNTIFS('Form responses 1'!$C$2:$C1001, A26, 'Form responses 1'!$A$2:$A1001, "&gt;=2025-10-01", 'Form responses 1'!$A$2:$A1001, "&lt;=2025-12-31"),
    COUNTIFS('Form responses 1'!$B$2:$B1001, A26, 'Form responses 1'!$A$2:$A1001, "&gt;=2025-10-01", 'Form responses 1'!$A$2:$A1001, "&lt;=2025-12-31"),
    COUNTIFS('Form responses 1'!$D$2:$D1001, A26, 'Form responses 1'!$A$2:$A1001, "&gt;=2025-10-01", 'Form responses 1'!$A$2:$A1001, "&lt;=2025-12-31"),
    COUNTIFS('Form responses 1'!$E$2:$E1001, A26, 'Form responses 1'!$A$2:$A1001, "&gt;=2025-10-01", 'Form responses 1'!$A$2:$A1001, "&lt;=2025-12-31"),
    COUNTIFS('Form responses 1'!$F$2:$F1001, A26, 'Form responses 1'!$A$2:$A1001, "&gt;=2025-10-01", 'Form responses 1'!$A$2:$A1001, "&lt;=2025-12-31"),
    COUNTIFS('Form responses 1'!$G$2:$G1001, A26, 'Form responses 1'!$A$2:$A1001, "&gt;=2025-10-01", 'Form responses 1'!$A$2:$A1001, "&lt;=2025-12-31")
)
</f>
        <v>0</v>
      </c>
    </row>
    <row r="27">
      <c r="A27" s="6" t="str">
        <f>IFERROR(__xludf.DUMMYFUNCTION("""COMPUTED_VALUE"""),"Mclaren t-shirt")</f>
        <v>Mclaren t-shirt</v>
      </c>
      <c r="B27" s="2">
        <f>SUM(
    COUNTIFS('Form responses 1'!$C$2:$C1001, A27, 'Form responses 1'!$A$2:$A1001, "&gt;=2022-04-01", 'Form responses 1'!$A$2:$A1001, "&lt;=2022-06-30"),
    COUNTIFS('Form responses 1'!$B$2:$B1001, A27, 'Form responses 1'!$A$2:$A1001, "&gt;=2022-04-01", 'Form responses 1'!$A$2:$A1001, "&lt;=2022-06-30"),
    COUNTIFS('Form responses 1'!$D$2:$D1001, A27, 'Form responses 1'!$A$2:$A1001, "&gt;=2022-04-01", 'Form responses 1'!$A$2:$A1001, "&lt;=2022-06-30"),
    COUNTIFS('Form responses 1'!$E$2:$E1001, A27, 'Form responses 1'!$A$2:$A1001, "&gt;=2022-04-01", 'Form responses 1'!$A$2:$A1001, "&lt;=2022-06-30"),
    COUNTIFS('Form responses 1'!$F$2:$F1001, A27, 'Form responses 1'!$A$2:$A1001, "&gt;=2022-04-01", 'Form responses 1'!$A$2:$A1001, "&lt;=2022-06-30"),
    COUNTIFS('Form responses 1'!$G$2:$G1001, A27, 'Form responses 1'!$A$2:$A1001, "&gt;=2022-04-01", 'Form responses 1'!$A$2:$A1001, "&lt;=2022-06-30")
)
</f>
        <v>0</v>
      </c>
      <c r="C27" s="2">
        <f>SUM(
    COUNTIFS('Form responses 1'!$C$2:$C1001, A27, 'Form responses 1'!$A$2:$A1001, "&gt;=2022-07-01", 'Form responses 1'!$A$2:$A1001, "&lt;=2022-09-30"),
    COUNTIFS('Form responses 1'!$B$2:$B1001, A27, 'Form responses 1'!$A$2:$A1001, "&gt;=2022-07-01", 'Form responses 1'!$A$2:$A1001, "&lt;=2022-09-30"),
    COUNTIFS('Form responses 1'!$D$2:$D1001, A27, 'Form responses 1'!$A$2:$A1001, "&gt;=2022-07-01", 'Form responses 1'!$A$2:$A1001, "&lt;=2022-09-30"),
    COUNTIFS('Form responses 1'!$E$2:$E1001, A27, 'Form responses 1'!$A$2:$A1001, "&gt;=2022-07-01", 'Form responses 1'!$A$2:$A1001, "&lt;=2022-09-30"),
    COUNTIFS('Form responses 1'!$F$2:$F1001, A27, 'Form responses 1'!$A$2:$A1001, "&gt;=2022-07-01", 'Form responses 1'!$A$2:$A1001, "&lt;=2022-09-30"),
    COUNTIFS('Form responses 1'!$G$2:$G1001, A27, 'Form responses 1'!$A$2:$A1001, "&gt;=2022-07-01", 'Form responses 1'!$A$2:$A1001, "&lt;=2022-09-30")
)
</f>
        <v>0</v>
      </c>
      <c r="D27" s="2">
        <f>SUM(
    COUNTIFS('Form responses 1'!$C$2:$C1001, A27, 'Form responses 1'!$A$2:$A1001, "&gt;=2022-10-01", 'Form responses 1'!$A$2:$A1001, "&lt;=2022-12-31"),
    COUNTIFS('Form responses 1'!$B$2:$B1001, A27, 'Form responses 1'!$A$2:$A1001, "&gt;=2022-10-01", 'Form responses 1'!$A$2:$A1001, "&lt;=2022-12-31"),
    COUNTIFS('Form responses 1'!$D$2:$D1001, A27, 'Form responses 1'!$A$2:$A1001, "&gt;=2022-10-01", 'Form responses 1'!$A$2:$A1001, "&lt;=2022-12-31"),
    COUNTIFS('Form responses 1'!$E$2:$E1001, A27, 'Form responses 1'!$A$2:$A1001, "&gt;=2022-10-01", 'Form responses 1'!$A$2:$A1001, "&lt;=2022-12-31"),
    COUNTIFS('Form responses 1'!$F$2:$F1001, A27, 'Form responses 1'!$A$2:$A1001, "&gt;=2022-10-01", 'Form responses 1'!$A$2:$A1001, "&lt;=2022-12-31"),
    COUNTIFS('Form responses 1'!$G$2:$G1001, A27, 'Form responses 1'!$A$2:$A1001, "&gt;=2022-10-01", 'Form responses 1'!$A$2:$A1001, "&lt;=2022-12-31")
)
</f>
        <v>0</v>
      </c>
      <c r="E27" s="2">
        <f>SUM(
    COUNTIFS('Form responses 1'!$C$2:$C1001, A27, 'Form responses 1'!$A$2:$A1001, "&gt;=2023-01-01", 'Form responses 1'!$A$2:$A1001, "&lt;=2023-03-31"),
    COUNTIFS('Form responses 1'!$B$2:$B1001, A27, 'Form responses 1'!$A$2:$A1001, "&gt;=2023-01-01", 'Form responses 1'!$A$2:$A1001, "&lt;=2023-03-31"),
    COUNTIFS('Form responses 1'!$D$2:$D1001, A27, 'Form responses 1'!$A$2:$A1001, "&gt;=2023-01-01", 'Form responses 1'!$A$2:$A1001, "&lt;=2023-03-31"),
    COUNTIFS('Form responses 1'!$E$2:$E1001, A27, 'Form responses 1'!$A$2:$A1001, "&gt;=2023-01-01", 'Form responses 1'!$A$2:$A1001, "&lt;=2023-03-31"),
    COUNTIFS('Form responses 1'!$F$2:$F1001, A27, 'Form responses 1'!$A$2:$A1001, "&gt;=2023-01-01", 'Form responses 1'!$A$2:$A1001, "&lt;=2023-03-31"),
    COUNTIFS('Form responses 1'!$G$2:$G1001, A27, 'Form responses 1'!$A$2:$A1001, "&gt;=2023-01-01", 'Form responses 1'!$A$2:$A1001, "&lt;=2023-03-31")
)
</f>
        <v>0</v>
      </c>
      <c r="F27" s="2">
        <f>SUM(
    COUNTIFS('Form responses 1'!$C$2:$C1001, A27, 'Form responses 1'!$A$2:$A1001, "&gt;=2023-04-01", 'Form responses 1'!$A$2:$A1001, "&lt;=2023-06-30"),
    COUNTIFS('Form responses 1'!$B$2:$B1001, A27, 'Form responses 1'!$A$2:$A1001, "&gt;=2023-04-01", 'Form responses 1'!$A$2:$A1001, "&lt;=2023-06-30"),
    COUNTIFS('Form responses 1'!$D$2:$D1001, A27, 'Form responses 1'!$A$2:$A1001, "&gt;=2023-04-01", 'Form responses 1'!$A$2:$A1001, "&lt;=2023-06-30"),
    COUNTIFS('Form responses 1'!$E$2:$E1001, A27, 'Form responses 1'!$A$2:$A1001, "&gt;=2023-04-01", 'Form responses 1'!$A$2:$A1001, "&lt;=2023-06-30"),
    COUNTIFS('Form responses 1'!$F$2:$F1001, A27, 'Form responses 1'!$A$2:$A1001, "&gt;=2023-04-01", 'Form responses 1'!$A$2:$A1001, "&lt;=2023-06-30"),
    COUNTIFS('Form responses 1'!$G$2:$G1001, A27, 'Form responses 1'!$A$2:$A1001, "&gt;=2023-04-01", 'Form responses 1'!$A$2:$A1001, "&lt;=2023-06-30")
)
</f>
        <v>0</v>
      </c>
      <c r="G27" s="2">
        <f>SUM(
    COUNTIFS('Form responses 1'!$C$2:$C1001, A27, 'Form responses 1'!$A$2:$A1001, "&gt;=2023-07-01", 'Form responses 1'!$A$2:$A1001, "&lt;=2023-09-30"),
    COUNTIFS('Form responses 1'!$B$2:$B1001, A27, 'Form responses 1'!$A$2:$A1001, "&gt;=2023-07-01", 'Form responses 1'!$A$2:$A1001, "&lt;=2023-09-30"),
    COUNTIFS('Form responses 1'!$D$2:$D1001, A27, 'Form responses 1'!$A$2:$A1001, "&gt;=2023-07-01", 'Form responses 1'!$A$2:$A1001, "&lt;=2023-09-30"),
    COUNTIFS('Form responses 1'!$E$2:$E1001, A27, 'Form responses 1'!$A$2:$A1001, "&gt;=2023-07-01", 'Form responses 1'!$A$2:$A1001, "&lt;=2023-09-30"),
    COUNTIFS('Form responses 1'!$F$2:$F1001, A27, 'Form responses 1'!$A$2:$A1001, "&gt;=2023-07-01", 'Form responses 1'!$A$2:$A1001, "&lt;=2023-09-30"),
    COUNTIFS('Form responses 1'!$G$2:$G1001, A27, 'Form responses 1'!$A$2:$A1001, "&gt;=2023-07-01", 'Form responses 1'!$A$2:$A1001, "&lt;=2023-09-30")
)
</f>
        <v>0</v>
      </c>
      <c r="H27" s="2">
        <f>SUM(
    COUNTIFS('Form responses 1'!$C$2:$C1001, A27, 'Form responses 1'!$A$2:$A1001, "&gt;=2023-10-01", 'Form responses 1'!$A$2:$A1001, "&lt;=2023-12-31"),
    COUNTIFS('Form responses 1'!$B$2:$B1001, A27, 'Form responses 1'!$A$2:$A1001, "&gt;=2023-10-01", 'Form responses 1'!$A$2:$A1001, "&lt;=2023-12-31"),
    COUNTIFS('Form responses 1'!$D$2:$D1001, A27, 'Form responses 1'!$A$2:$A1001, "&gt;=2023-10-01", 'Form responses 1'!$A$2:$A1001, "&lt;=2023-12-31"),
    COUNTIFS('Form responses 1'!$E$2:$E1001, A27, 'Form responses 1'!$A$2:$A1001, "&gt;=2023-10-01", 'Form responses 1'!$A$2:$A1001, "&lt;=2023-12-31"),
    COUNTIFS('Form responses 1'!$F$2:$F1001, A27, 'Form responses 1'!$A$2:$A1001, "&gt;=2023-10-01", 'Form responses 1'!$A$2:$A1001, "&lt;=2023-12-31"),
    COUNTIFS('Form responses 1'!$G$2:$G1001, A27, 'Form responses 1'!$A$2:$A1001, "&gt;=2023-10-01", 'Form responses 1'!$A$2:$A1001, "&lt;=2023-12-31")
)
</f>
        <v>0</v>
      </c>
      <c r="I27" s="2">
        <f>SUM(
    COUNTIFS('Form responses 1'!$C$2:$C1001, A27, 'Form responses 1'!$A$2:$A1001, "&gt;=2024-01-01", 'Form responses 1'!$A$2:$A1001, "&lt;=2024-03-31"),
    COUNTIFS('Form responses 1'!$B$2:$B1001, A27, 'Form responses 1'!$A$2:$A1001, "&gt;=2024-01-01", 'Form responses 1'!$A$2:$A1001, "&lt;=2024-03-31"),
    COUNTIFS('Form responses 1'!$D$2:$D1001, A27, 'Form responses 1'!$A$2:$A1001, "&gt;=2024-01-01", 'Form responses 1'!$A$2:$A1001, "&lt;=2024-03-31"),
    COUNTIFS('Form responses 1'!$E$2:$E1001, A27, 'Form responses 1'!$A$2:$A1001, "&gt;=2024-01-01", 'Form responses 1'!$A$2:$A1001, "&lt;=2024-03-31"),
    COUNTIFS('Form responses 1'!$F$2:$F1001, A27, 'Form responses 1'!$A$2:$A1001, "&gt;=2024-01-01", 'Form responses 1'!$A$2:$A1001, "&lt;=2024-03-31"),
    COUNTIFS('Form responses 1'!$G$2:$G1001, A27, 'Form responses 1'!$A$2:$A1001, "&gt;=2024-01-01", 'Form responses 1'!$A$2:$A1001, "&lt;=2024-03-31")
)
</f>
        <v>0</v>
      </c>
      <c r="J27" s="2">
        <f>SUM(
    COUNTIFS('Form responses 1'!$C$2:$C1001, A27, 'Form responses 1'!$A$2:$A1001, "&gt;=2024-04-01", 'Form responses 1'!$A$2:$A1001, "&lt;=2024-06-30"),
    COUNTIFS('Form responses 1'!$B$2:$B1001, A27, 'Form responses 1'!$A$2:$A1001, "&gt;=2024-04-01", 'Form responses 1'!$A$2:$A1001, "&lt;=2024-06-30"),
    COUNTIFS('Form responses 1'!$D$2:$D1001, A27, 'Form responses 1'!$A$2:$A1001, "&gt;=2024-04-01", 'Form responses 1'!$A$2:$A1001, "&lt;=2024-06-30"),
    COUNTIFS('Form responses 1'!$E$2:$E1001, A27, 'Form responses 1'!$A$2:$A1001, "&gt;=2024-04-01", 'Form responses 1'!$A$2:$A1001, "&lt;=2024-06-30"),
    COUNTIFS('Form responses 1'!$F$2:$F1001, A27, 'Form responses 1'!$A$2:$A1001, "&gt;=2024-04-01", 'Form responses 1'!$A$2:$A1001, "&lt;=2024-06-30"),
    COUNTIFS('Form responses 1'!$G$2:$G1001, A27, 'Form responses 1'!$A$2:$A1001, "&gt;=2024-04-01", 'Form responses 1'!$A$2:$A1001, "&lt;=2024-06-30")
)
</f>
        <v>0</v>
      </c>
      <c r="K27" s="2">
        <f>SUM(
    COUNTIFS('Form responses 1'!$C$2:$C1001, A27, 'Form responses 1'!$A$2:$A1001, "&gt;=2024-07-01", 'Form responses 1'!$A$2:$A1001, "&lt;=2024-09-30"),
    COUNTIFS('Form responses 1'!$B$2:$B1001, A27, 'Form responses 1'!$A$2:$A1001, "&gt;=2024-07-01", 'Form responses 1'!$A$2:$A1001, "&lt;=2024-09-30"),
    COUNTIFS('Form responses 1'!$D$2:$D1001, A27, 'Form responses 1'!$A$2:$A1001, "&gt;=2024-07-01", 'Form responses 1'!$A$2:$A1001, "&lt;=2024-09-30"),
    COUNTIFS('Form responses 1'!$E$2:$E1001, A27, 'Form responses 1'!$A$2:$A1001, "&gt;=2024-07-01", 'Form responses 1'!$A$2:$A1001, "&lt;=2024-09-30"),
    COUNTIFS('Form responses 1'!$F$2:$F1001, A27, 'Form responses 1'!$A$2:$A1001, "&gt;=2024-07-01", 'Form responses 1'!$A$2:$A1001, "&lt;=2024-09-30"),
    COUNTIFS('Form responses 1'!$G$2:$G1001, A27, 'Form responses 1'!$A$2:$A1001, "&gt;=2024-07-01", 'Form responses 1'!$A$2:$A1001, "&lt;=2024-09-30")
)
</f>
        <v>5</v>
      </c>
      <c r="L27" s="2">
        <f>SUM(
    COUNTIFS('Form responses 1'!$C$2:$C1001, A27, 'Form responses 1'!$A$2:$A1001, "&gt;=2024-10-01", 'Form responses 1'!$A$2:$A1001, "&lt;=2024-12-31"),
    COUNTIFS('Form responses 1'!$B$2:$B1001, A27, 'Form responses 1'!$A$2:$A1001, "&gt;=2024-10-01", 'Form responses 1'!$A$2:$A1001, "&lt;=2024-12-31"),
    COUNTIFS('Form responses 1'!$D$2:$D1001, A27, 'Form responses 1'!$A$2:$A1001, "&gt;=2024-10-01", 'Form responses 1'!$A$2:$A1001, "&lt;=2024-12-31"),
    COUNTIFS('Form responses 1'!$E$2:$E1001, A27, 'Form responses 1'!$A$2:$A1001, "&gt;=2024-10-01", 'Form responses 1'!$A$2:$A1001, "&lt;=2024-12-31"),
    COUNTIFS('Form responses 1'!$F$2:$F1001, A27, 'Form responses 1'!$A$2:$A1001, "&gt;=2024-10-01", 'Form responses 1'!$A$2:$A1001, "&lt;=2024-12-31"),
    COUNTIFS('Form responses 1'!$G$2:$G1001, A27, 'Form responses 1'!$A$2:$A1001, "&gt;=2024-10-01", 'Form responses 1'!$A$2:$A1001, "&lt;=2024-12-31")
)
</f>
        <v>2</v>
      </c>
      <c r="M27" s="2">
        <f>SUM(
    COUNTIFS('Form responses 1'!$C$2:$C1001, A27, 'Form responses 1'!$A$2:$A1001, "&gt;=2025-01-01", 'Form responses 1'!$A$2:$A1001, "&lt;=2025-03-31"),
    COUNTIFS('Form responses 1'!$B$2:$B1001, A27, 'Form responses 1'!$A$2:$A1001, "&gt;=2025-01-01", 'Form responses 1'!$A$2:$A1001, "&lt;=2025-03-31"),
    COUNTIFS('Form responses 1'!$D$2:$D1001, A27, 'Form responses 1'!$A$2:$A1001, "&gt;=2025-01-01", 'Form responses 1'!$A$2:$A1001, "&lt;=2025-03-31"),
    COUNTIFS('Form responses 1'!$E$2:$E1001, A27, 'Form responses 1'!$A$2:$A1001, "&gt;=2025-01-01", 'Form responses 1'!$A$2:$A1001, "&lt;=2025-03-31"),
    COUNTIFS('Form responses 1'!$F$2:$F1001, A27, 'Form responses 1'!$A$2:$A1001, "&gt;=2025-01-01", 'Form responses 1'!$A$2:$A1001, "&lt;=2025-03-31"),
    COUNTIFS('Form responses 1'!$G$2:$G1001, A27, 'Form responses 1'!$A$2:$A1001, "&gt;=2025-01-01", 'Form responses 1'!$A$2:$A1001, "&lt;=2025-03-31")
)
</f>
        <v>0</v>
      </c>
      <c r="N27" s="2">
        <f>SUM(
    COUNTIFS('Form responses 1'!$C$2:$C1001, A27, 'Form responses 1'!$A$2:$A1001, "&gt;=2025-04-01", 'Form responses 1'!$A$2:$A1001, "&lt;2025-07-01"),
    COUNTIFS('Form responses 1'!$B$2:$B1001, A27, 'Form responses 1'!$A$2:$A1001, "&gt;=2025-04-01", 'Form responses 1'!$A$2:$A1001, "&lt;2025-07-01"),
    COUNTIFS('Form responses 1'!$D$2:$D1001, A27, 'Form responses 1'!$A$2:$A1001, "&gt;=2025-04-01", 'Form responses 1'!$A$2:$A1001, "&lt;2025-07-01"),
    COUNTIFS('Form responses 1'!$E$2:$E1001, A27, 'Form responses 1'!$A$2:$A1001, "&gt;=2025-04-01", 'Form responses 1'!$A$2:$A1001, "&lt;2025-07-01"),
    COUNTIFS('Form responses 1'!$F$2:$F1001, A27, 'Form responses 1'!$A$2:$A1001, "&gt;=2025-04-01", 'Form responses 1'!$A$2:$A1001, "&lt;2025-07-01"),
    COUNTIFS('Form responses 1'!$G$2:$G1001, A27, 'Form responses 1'!$A$2:$A1001, "&gt;=2025-04-01", 'Form responses 1'!$A$2:$A1001, "&lt;2025-07-01")
)
</f>
        <v>7</v>
      </c>
      <c r="O27" s="2">
        <f>SUM(
    COUNTIFS('Form responses 1'!$C$2:$C1001, A27, 'Form responses 1'!$A$2:$A1001, "&gt;=2025-07-01", 'Form responses 1'!$A$2:$A1001, "&lt;=2025-09-30"),
    COUNTIFS('Form responses 1'!$B$2:$B1001, A27, 'Form responses 1'!$A$2:$A1001, "&gt;=2025-07-01", 'Form responses 1'!$A$2:$A1001, "&lt;=2025-09-30"),
    COUNTIFS('Form responses 1'!$D$2:$D1001, A27, 'Form responses 1'!$A$2:$A1001, "&gt;=2025-07-01", 'Form responses 1'!$A$2:$A1001, "&lt;=2025-09-30"),
    COUNTIFS('Form responses 1'!$E$2:$E1001, A27, 'Form responses 1'!$A$2:$A1001, "&gt;=2025-07-01", 'Form responses 1'!$A$2:$A1001, "&lt;=2025-09-30"),
    COUNTIFS('Form responses 1'!$F$2:$F1001, A27, 'Form responses 1'!$A$2:$A1001, "&gt;=2025-07-01", 'Form responses 1'!$A$2:$A1001, "&lt;=2025-09-30"),
    COUNTIFS('Form responses 1'!$G$2:$G1001, A27, 'Form responses 1'!$A$2:$A1001, "&gt;=2025-07-01", 'Form responses 1'!$A$2:$A1001, "&lt;=2025-09-30")
)
</f>
        <v>5</v>
      </c>
      <c r="P27" s="2">
        <f>SUM(
    COUNTIFS('Form responses 1'!$C$2:$C1001, A27, 'Form responses 1'!$A$2:$A1001, "&gt;=2025-10-01", 'Form responses 1'!$A$2:$A1001, "&lt;=2025-12-31"),
    COUNTIFS('Form responses 1'!$B$2:$B1001, A27, 'Form responses 1'!$A$2:$A1001, "&gt;=2025-10-01", 'Form responses 1'!$A$2:$A1001, "&lt;=2025-12-31"),
    COUNTIFS('Form responses 1'!$D$2:$D1001, A27, 'Form responses 1'!$A$2:$A1001, "&gt;=2025-10-01", 'Form responses 1'!$A$2:$A1001, "&lt;=2025-12-31"),
    COUNTIFS('Form responses 1'!$E$2:$E1001, A27, 'Form responses 1'!$A$2:$A1001, "&gt;=2025-10-01", 'Form responses 1'!$A$2:$A1001, "&lt;=2025-12-31"),
    COUNTIFS('Form responses 1'!$F$2:$F1001, A27, 'Form responses 1'!$A$2:$A1001, "&gt;=2025-10-01", 'Form responses 1'!$A$2:$A1001, "&lt;=2025-12-31"),
    COUNTIFS('Form responses 1'!$G$2:$G1001, A27, 'Form responses 1'!$A$2:$A1001, "&gt;=2025-10-01", 'Form responses 1'!$A$2:$A1001, "&lt;=2025-12-31")
)
</f>
        <v>0</v>
      </c>
    </row>
    <row r="28">
      <c r="A28" s="3" t="str">
        <f>IFERROR(__xludf.DUMMYFUNCTION("""COMPUTED_VALUE"""),"Utah t-shirt")</f>
        <v>Utah t-shirt</v>
      </c>
      <c r="B28" s="2">
        <f>SUM(
    COUNTIFS('Form responses 1'!$C$2:$C1001, A28, 'Form responses 1'!$A$2:$A1001, "&gt;=2022-04-01", 'Form responses 1'!$A$2:$A1001, "&lt;=2022-06-30"),
    COUNTIFS('Form responses 1'!$B$2:$B1001, A28, 'Form responses 1'!$A$2:$A1001, "&gt;=2022-04-01", 'Form responses 1'!$A$2:$A1001, "&lt;=2022-06-30"),
    COUNTIFS('Form responses 1'!$D$2:$D1001, A28, 'Form responses 1'!$A$2:$A1001, "&gt;=2022-04-01", 'Form responses 1'!$A$2:$A1001, "&lt;=2022-06-30"),
    COUNTIFS('Form responses 1'!$E$2:$E1001, A28, 'Form responses 1'!$A$2:$A1001, "&gt;=2022-04-01", 'Form responses 1'!$A$2:$A1001, "&lt;=2022-06-30"),
    COUNTIFS('Form responses 1'!$F$2:$F1001, A28, 'Form responses 1'!$A$2:$A1001, "&gt;=2022-04-01", 'Form responses 1'!$A$2:$A1001, "&lt;=2022-06-30"),
    COUNTIFS('Form responses 1'!$G$2:$G1001, A28, 'Form responses 1'!$A$2:$A1001, "&gt;=2022-04-01", 'Form responses 1'!$A$2:$A1001, "&lt;=2022-06-30")
)
</f>
        <v>0</v>
      </c>
      <c r="C28" s="2">
        <f>SUM(
    COUNTIFS('Form responses 1'!$C$2:$C1001, A28, 'Form responses 1'!$A$2:$A1001, "&gt;=2022-07-01", 'Form responses 1'!$A$2:$A1001, "&lt;=2022-09-30"),
    COUNTIFS('Form responses 1'!$B$2:$B1001, A28, 'Form responses 1'!$A$2:$A1001, "&gt;=2022-07-01", 'Form responses 1'!$A$2:$A1001, "&lt;=2022-09-30"),
    COUNTIFS('Form responses 1'!$D$2:$D1001, A28, 'Form responses 1'!$A$2:$A1001, "&gt;=2022-07-01", 'Form responses 1'!$A$2:$A1001, "&lt;=2022-09-30"),
    COUNTIFS('Form responses 1'!$E$2:$E1001, A28, 'Form responses 1'!$A$2:$A1001, "&gt;=2022-07-01", 'Form responses 1'!$A$2:$A1001, "&lt;=2022-09-30"),
    COUNTIFS('Form responses 1'!$F$2:$F1001, A28, 'Form responses 1'!$A$2:$A1001, "&gt;=2022-07-01", 'Form responses 1'!$A$2:$A1001, "&lt;=2022-09-30"),
    COUNTIFS('Form responses 1'!$G$2:$G1001, A28, 'Form responses 1'!$A$2:$A1001, "&gt;=2022-07-01", 'Form responses 1'!$A$2:$A1001, "&lt;=2022-09-30")
)
</f>
        <v>0</v>
      </c>
      <c r="D28" s="2">
        <f>SUM(
    COUNTIFS('Form responses 1'!$C$2:$C1001, A28, 'Form responses 1'!$A$2:$A1001, "&gt;=2022-10-01", 'Form responses 1'!$A$2:$A1001, "&lt;=2022-12-31"),
    COUNTIFS('Form responses 1'!$B$2:$B1001, A28, 'Form responses 1'!$A$2:$A1001, "&gt;=2022-10-01", 'Form responses 1'!$A$2:$A1001, "&lt;=2022-12-31"),
    COUNTIFS('Form responses 1'!$D$2:$D1001, A28, 'Form responses 1'!$A$2:$A1001, "&gt;=2022-10-01", 'Form responses 1'!$A$2:$A1001, "&lt;=2022-12-31"),
    COUNTIFS('Form responses 1'!$E$2:$E1001, A28, 'Form responses 1'!$A$2:$A1001, "&gt;=2022-10-01", 'Form responses 1'!$A$2:$A1001, "&lt;=2022-12-31"),
    COUNTIFS('Form responses 1'!$F$2:$F1001, A28, 'Form responses 1'!$A$2:$A1001, "&gt;=2022-10-01", 'Form responses 1'!$A$2:$A1001, "&lt;=2022-12-31"),
    COUNTIFS('Form responses 1'!$G$2:$G1001, A28, 'Form responses 1'!$A$2:$A1001, "&gt;=2022-10-01", 'Form responses 1'!$A$2:$A1001, "&lt;=2022-12-31")
)
</f>
        <v>0</v>
      </c>
      <c r="E28" s="2">
        <f>SUM(
    COUNTIFS('Form responses 1'!$C$2:$C1001, A28, 'Form responses 1'!$A$2:$A1001, "&gt;=2023-01-01", 'Form responses 1'!$A$2:$A1001, "&lt;=2023-03-31"),
    COUNTIFS('Form responses 1'!$B$2:$B1001, A28, 'Form responses 1'!$A$2:$A1001, "&gt;=2023-01-01", 'Form responses 1'!$A$2:$A1001, "&lt;=2023-03-31"),
    COUNTIFS('Form responses 1'!$D$2:$D1001, A28, 'Form responses 1'!$A$2:$A1001, "&gt;=2023-01-01", 'Form responses 1'!$A$2:$A1001, "&lt;=2023-03-31"),
    COUNTIFS('Form responses 1'!$E$2:$E1001, A28, 'Form responses 1'!$A$2:$A1001, "&gt;=2023-01-01", 'Form responses 1'!$A$2:$A1001, "&lt;=2023-03-31"),
    COUNTIFS('Form responses 1'!$F$2:$F1001, A28, 'Form responses 1'!$A$2:$A1001, "&gt;=2023-01-01", 'Form responses 1'!$A$2:$A1001, "&lt;=2023-03-31"),
    COUNTIFS('Form responses 1'!$G$2:$G1001, A28, 'Form responses 1'!$A$2:$A1001, "&gt;=2023-01-01", 'Form responses 1'!$A$2:$A1001, "&lt;=2023-03-31")
)
</f>
        <v>0</v>
      </c>
      <c r="F28" s="2">
        <f>SUM(
    COUNTIFS('Form responses 1'!$C$2:$C1001, A28, 'Form responses 1'!$A$2:$A1001, "&gt;=2023-04-01", 'Form responses 1'!$A$2:$A1001, "&lt;=2023-06-30"),
    COUNTIFS('Form responses 1'!$B$2:$B1001, A28, 'Form responses 1'!$A$2:$A1001, "&gt;=2023-04-01", 'Form responses 1'!$A$2:$A1001, "&lt;=2023-06-30"),
    COUNTIFS('Form responses 1'!$D$2:$D1001, A28, 'Form responses 1'!$A$2:$A1001, "&gt;=2023-04-01", 'Form responses 1'!$A$2:$A1001, "&lt;=2023-06-30"),
    COUNTIFS('Form responses 1'!$E$2:$E1001, A28, 'Form responses 1'!$A$2:$A1001, "&gt;=2023-04-01", 'Form responses 1'!$A$2:$A1001, "&lt;=2023-06-30"),
    COUNTIFS('Form responses 1'!$F$2:$F1001, A28, 'Form responses 1'!$A$2:$A1001, "&gt;=2023-04-01", 'Form responses 1'!$A$2:$A1001, "&lt;=2023-06-30"),
    COUNTIFS('Form responses 1'!$G$2:$G1001, A28, 'Form responses 1'!$A$2:$A1001, "&gt;=2023-04-01", 'Form responses 1'!$A$2:$A1001, "&lt;=2023-06-30")
)
</f>
        <v>0</v>
      </c>
      <c r="G28" s="2">
        <f>SUM(
    COUNTIFS('Form responses 1'!$C$2:$C1001, A28, 'Form responses 1'!$A$2:$A1001, "&gt;=2023-07-01", 'Form responses 1'!$A$2:$A1001, "&lt;=2023-09-30"),
    COUNTIFS('Form responses 1'!$B$2:$B1001, A28, 'Form responses 1'!$A$2:$A1001, "&gt;=2023-07-01", 'Form responses 1'!$A$2:$A1001, "&lt;=2023-09-30"),
    COUNTIFS('Form responses 1'!$D$2:$D1001, A28, 'Form responses 1'!$A$2:$A1001, "&gt;=2023-07-01", 'Form responses 1'!$A$2:$A1001, "&lt;=2023-09-30"),
    COUNTIFS('Form responses 1'!$E$2:$E1001, A28, 'Form responses 1'!$A$2:$A1001, "&gt;=2023-07-01", 'Form responses 1'!$A$2:$A1001, "&lt;=2023-09-30"),
    COUNTIFS('Form responses 1'!$F$2:$F1001, A28, 'Form responses 1'!$A$2:$A1001, "&gt;=2023-07-01", 'Form responses 1'!$A$2:$A1001, "&lt;=2023-09-30"),
    COUNTIFS('Form responses 1'!$G$2:$G1001, A28, 'Form responses 1'!$A$2:$A1001, "&gt;=2023-07-01", 'Form responses 1'!$A$2:$A1001, "&lt;=2023-09-30")
)
</f>
        <v>0</v>
      </c>
      <c r="H28" s="2">
        <f>SUM(
    COUNTIFS('Form responses 1'!$C$2:$C1001, A28, 'Form responses 1'!$A$2:$A1001, "&gt;=2023-10-01", 'Form responses 1'!$A$2:$A1001, "&lt;=2023-12-31"),
    COUNTIFS('Form responses 1'!$B$2:$B1001, A28, 'Form responses 1'!$A$2:$A1001, "&gt;=2023-10-01", 'Form responses 1'!$A$2:$A1001, "&lt;=2023-12-31"),
    COUNTIFS('Form responses 1'!$D$2:$D1001, A28, 'Form responses 1'!$A$2:$A1001, "&gt;=2023-10-01", 'Form responses 1'!$A$2:$A1001, "&lt;=2023-12-31"),
    COUNTIFS('Form responses 1'!$E$2:$E1001, A28, 'Form responses 1'!$A$2:$A1001, "&gt;=2023-10-01", 'Form responses 1'!$A$2:$A1001, "&lt;=2023-12-31"),
    COUNTIFS('Form responses 1'!$F$2:$F1001, A28, 'Form responses 1'!$A$2:$A1001, "&gt;=2023-10-01", 'Form responses 1'!$A$2:$A1001, "&lt;=2023-12-31"),
    COUNTIFS('Form responses 1'!$G$2:$G1001, A28, 'Form responses 1'!$A$2:$A1001, "&gt;=2023-10-01", 'Form responses 1'!$A$2:$A1001, "&lt;=2023-12-31")
)
</f>
        <v>0</v>
      </c>
      <c r="I28" s="2">
        <f>SUM(
    COUNTIFS('Form responses 1'!$C$2:$C1001, A28, 'Form responses 1'!$A$2:$A1001, "&gt;=2024-01-01", 'Form responses 1'!$A$2:$A1001, "&lt;=2024-03-31"),
    COUNTIFS('Form responses 1'!$B$2:$B1001, A28, 'Form responses 1'!$A$2:$A1001, "&gt;=2024-01-01", 'Form responses 1'!$A$2:$A1001, "&lt;=2024-03-31"),
    COUNTIFS('Form responses 1'!$D$2:$D1001, A28, 'Form responses 1'!$A$2:$A1001, "&gt;=2024-01-01", 'Form responses 1'!$A$2:$A1001, "&lt;=2024-03-31"),
    COUNTIFS('Form responses 1'!$E$2:$E1001, A28, 'Form responses 1'!$A$2:$A1001, "&gt;=2024-01-01", 'Form responses 1'!$A$2:$A1001, "&lt;=2024-03-31"),
    COUNTIFS('Form responses 1'!$F$2:$F1001, A28, 'Form responses 1'!$A$2:$A1001, "&gt;=2024-01-01", 'Form responses 1'!$A$2:$A1001, "&lt;=2024-03-31"),
    COUNTIFS('Form responses 1'!$G$2:$G1001, A28, 'Form responses 1'!$A$2:$A1001, "&gt;=2024-01-01", 'Form responses 1'!$A$2:$A1001, "&lt;=2024-03-31")
)
</f>
        <v>0</v>
      </c>
      <c r="J28" s="2">
        <f>SUM(
    COUNTIFS('Form responses 1'!$C$2:$C1001, A28, 'Form responses 1'!$A$2:$A1001, "&gt;=2024-04-01", 'Form responses 1'!$A$2:$A1001, "&lt;=2024-06-30"),
    COUNTIFS('Form responses 1'!$B$2:$B1001, A28, 'Form responses 1'!$A$2:$A1001, "&gt;=2024-04-01", 'Form responses 1'!$A$2:$A1001, "&lt;=2024-06-30"),
    COUNTIFS('Form responses 1'!$D$2:$D1001, A28, 'Form responses 1'!$A$2:$A1001, "&gt;=2024-04-01", 'Form responses 1'!$A$2:$A1001, "&lt;=2024-06-30"),
    COUNTIFS('Form responses 1'!$E$2:$E1001, A28, 'Form responses 1'!$A$2:$A1001, "&gt;=2024-04-01", 'Form responses 1'!$A$2:$A1001, "&lt;=2024-06-30"),
    COUNTIFS('Form responses 1'!$F$2:$F1001, A28, 'Form responses 1'!$A$2:$A1001, "&gt;=2024-04-01", 'Form responses 1'!$A$2:$A1001, "&lt;=2024-06-30"),
    COUNTIFS('Form responses 1'!$G$2:$G1001, A28, 'Form responses 1'!$A$2:$A1001, "&gt;=2024-04-01", 'Form responses 1'!$A$2:$A1001, "&lt;=2024-06-30")
)
</f>
        <v>4</v>
      </c>
      <c r="K28" s="2">
        <f>SUM(
    COUNTIFS('Form responses 1'!$C$2:$C1001, A28, 'Form responses 1'!$A$2:$A1001, "&gt;=2024-07-01", 'Form responses 1'!$A$2:$A1001, "&lt;=2024-09-30"),
    COUNTIFS('Form responses 1'!$B$2:$B1001, A28, 'Form responses 1'!$A$2:$A1001, "&gt;=2024-07-01", 'Form responses 1'!$A$2:$A1001, "&lt;=2024-09-30"),
    COUNTIFS('Form responses 1'!$D$2:$D1001, A28, 'Form responses 1'!$A$2:$A1001, "&gt;=2024-07-01", 'Form responses 1'!$A$2:$A1001, "&lt;=2024-09-30"),
    COUNTIFS('Form responses 1'!$E$2:$E1001, A28, 'Form responses 1'!$A$2:$A1001, "&gt;=2024-07-01", 'Form responses 1'!$A$2:$A1001, "&lt;=2024-09-30"),
    COUNTIFS('Form responses 1'!$F$2:$F1001, A28, 'Form responses 1'!$A$2:$A1001, "&gt;=2024-07-01", 'Form responses 1'!$A$2:$A1001, "&lt;=2024-09-30"),
    COUNTIFS('Form responses 1'!$G$2:$G1001, A28, 'Form responses 1'!$A$2:$A1001, "&gt;=2024-07-01", 'Form responses 1'!$A$2:$A1001, "&lt;=2024-09-30")
)
</f>
        <v>8</v>
      </c>
      <c r="L28" s="2">
        <f>SUM(
    COUNTIFS('Form responses 1'!$C$2:$C1001, A28, 'Form responses 1'!$A$2:$A1001, "&gt;=2024-10-01", 'Form responses 1'!$A$2:$A1001, "&lt;=2024-12-31"),
    COUNTIFS('Form responses 1'!$B$2:$B1001, A28, 'Form responses 1'!$A$2:$A1001, "&gt;=2024-10-01", 'Form responses 1'!$A$2:$A1001, "&lt;=2024-12-31"),
    COUNTIFS('Form responses 1'!$D$2:$D1001, A28, 'Form responses 1'!$A$2:$A1001, "&gt;=2024-10-01", 'Form responses 1'!$A$2:$A1001, "&lt;=2024-12-31"),
    COUNTIFS('Form responses 1'!$E$2:$E1001, A28, 'Form responses 1'!$A$2:$A1001, "&gt;=2024-10-01", 'Form responses 1'!$A$2:$A1001, "&lt;=2024-12-31"),
    COUNTIFS('Form responses 1'!$F$2:$F1001, A28, 'Form responses 1'!$A$2:$A1001, "&gt;=2024-10-01", 'Form responses 1'!$A$2:$A1001, "&lt;=2024-12-31"),
    COUNTIFS('Form responses 1'!$G$2:$G1001, A28, 'Form responses 1'!$A$2:$A1001, "&gt;=2024-10-01", 'Form responses 1'!$A$2:$A1001, "&lt;=2024-12-31")
)
</f>
        <v>1</v>
      </c>
      <c r="M28" s="2">
        <f>SUM(
    COUNTIFS('Form responses 1'!$C$2:$C1001, A28, 'Form responses 1'!$A$2:$A1001, "&gt;=2025-01-01", 'Form responses 1'!$A$2:$A1001, "&lt;=2025-03-31"),
    COUNTIFS('Form responses 1'!$B$2:$B1001, A28, 'Form responses 1'!$A$2:$A1001, "&gt;=2025-01-01", 'Form responses 1'!$A$2:$A1001, "&lt;=2025-03-31"),
    COUNTIFS('Form responses 1'!$D$2:$D1001, A28, 'Form responses 1'!$A$2:$A1001, "&gt;=2025-01-01", 'Form responses 1'!$A$2:$A1001, "&lt;=2025-03-31"),
    COUNTIFS('Form responses 1'!$E$2:$E1001, A28, 'Form responses 1'!$A$2:$A1001, "&gt;=2025-01-01", 'Form responses 1'!$A$2:$A1001, "&lt;=2025-03-31"),
    COUNTIFS('Form responses 1'!$F$2:$F1001, A28, 'Form responses 1'!$A$2:$A1001, "&gt;=2025-01-01", 'Form responses 1'!$A$2:$A1001, "&lt;=2025-03-31"),
    COUNTIFS('Form responses 1'!$G$2:$G1001, A28, 'Form responses 1'!$A$2:$A1001, "&gt;=2025-01-01", 'Form responses 1'!$A$2:$A1001, "&lt;=2025-03-31")
)
</f>
        <v>0</v>
      </c>
      <c r="N28" s="2">
        <f>SUM(
    COUNTIFS('Form responses 1'!$C$2:$C1001, A28, 'Form responses 1'!$A$2:$A1001, "&gt;=2025-04-01", 'Form responses 1'!$A$2:$A1001, "&lt;2025-07-01"),
    COUNTIFS('Form responses 1'!$B$2:$B1001, A28, 'Form responses 1'!$A$2:$A1001, "&gt;=2025-04-01", 'Form responses 1'!$A$2:$A1001, "&lt;2025-07-01"),
    COUNTIFS('Form responses 1'!$D$2:$D1001, A28, 'Form responses 1'!$A$2:$A1001, "&gt;=2025-04-01", 'Form responses 1'!$A$2:$A1001, "&lt;2025-07-01"),
    COUNTIFS('Form responses 1'!$E$2:$E1001, A28, 'Form responses 1'!$A$2:$A1001, "&gt;=2025-04-01", 'Form responses 1'!$A$2:$A1001, "&lt;2025-07-01"),
    COUNTIFS('Form responses 1'!$F$2:$F1001, A28, 'Form responses 1'!$A$2:$A1001, "&gt;=2025-04-01", 'Form responses 1'!$A$2:$A1001, "&lt;2025-07-01"),
    COUNTIFS('Form responses 1'!$G$2:$G1001, A28, 'Form responses 1'!$A$2:$A1001, "&gt;=2025-04-01", 'Form responses 1'!$A$2:$A1001, "&lt;2025-07-01")
)
</f>
        <v>7</v>
      </c>
      <c r="O28" s="2">
        <f>SUM(
    COUNTIFS('Form responses 1'!$C$2:$C1001, A28, 'Form responses 1'!$A$2:$A1001, "&gt;=2025-07-01", 'Form responses 1'!$A$2:$A1001, "&lt;=2025-09-30"),
    COUNTIFS('Form responses 1'!$B$2:$B1001, A28, 'Form responses 1'!$A$2:$A1001, "&gt;=2025-07-01", 'Form responses 1'!$A$2:$A1001, "&lt;=2025-09-30"),
    COUNTIFS('Form responses 1'!$D$2:$D1001, A28, 'Form responses 1'!$A$2:$A1001, "&gt;=2025-07-01", 'Form responses 1'!$A$2:$A1001, "&lt;=2025-09-30"),
    COUNTIFS('Form responses 1'!$E$2:$E1001, A28, 'Form responses 1'!$A$2:$A1001, "&gt;=2025-07-01", 'Form responses 1'!$A$2:$A1001, "&lt;=2025-09-30"),
    COUNTIFS('Form responses 1'!$F$2:$F1001, A28, 'Form responses 1'!$A$2:$A1001, "&gt;=2025-07-01", 'Form responses 1'!$A$2:$A1001, "&lt;=2025-09-30"),
    COUNTIFS('Form responses 1'!$G$2:$G1001, A28, 'Form responses 1'!$A$2:$A1001, "&gt;=2025-07-01", 'Form responses 1'!$A$2:$A1001, "&lt;=2025-09-30")
)
</f>
        <v>0</v>
      </c>
      <c r="P28" s="2">
        <f>SUM(
    COUNTIFS('Form responses 1'!$C$2:$C1001, A28, 'Form responses 1'!$A$2:$A1001, "&gt;=2025-10-01", 'Form responses 1'!$A$2:$A1001, "&lt;=2025-12-31"),
    COUNTIFS('Form responses 1'!$B$2:$B1001, A28, 'Form responses 1'!$A$2:$A1001, "&gt;=2025-10-01", 'Form responses 1'!$A$2:$A1001, "&lt;=2025-12-31"),
    COUNTIFS('Form responses 1'!$D$2:$D1001, A28, 'Form responses 1'!$A$2:$A1001, "&gt;=2025-10-01", 'Form responses 1'!$A$2:$A1001, "&lt;=2025-12-31"),
    COUNTIFS('Form responses 1'!$E$2:$E1001, A28, 'Form responses 1'!$A$2:$A1001, "&gt;=2025-10-01", 'Form responses 1'!$A$2:$A1001, "&lt;=2025-12-31"),
    COUNTIFS('Form responses 1'!$F$2:$F1001, A28, 'Form responses 1'!$A$2:$A1001, "&gt;=2025-10-01", 'Form responses 1'!$A$2:$A1001, "&lt;=2025-12-31"),
    COUNTIFS('Form responses 1'!$G$2:$G1001, A28, 'Form responses 1'!$A$2:$A1001, "&gt;=2025-10-01", 'Form responses 1'!$A$2:$A1001, "&lt;=2025-12-31")
)
</f>
        <v>0</v>
      </c>
    </row>
    <row r="29">
      <c r="A29" s="6" t="str">
        <f>IFERROR(__xludf.DUMMYFUNCTION("""COMPUTED_VALUE"""),"Bruin t-shirt")</f>
        <v>Bruin t-shirt</v>
      </c>
      <c r="B29" s="2">
        <f>SUM(
    COUNTIFS('Form responses 1'!$C$2:$C1001, A29, 'Form responses 1'!$A$2:$A1001, "&gt;=2022-04-01", 'Form responses 1'!$A$2:$A1001, "&lt;=2022-06-30"),
    COUNTIFS('Form responses 1'!$B$2:$B1001, A29, 'Form responses 1'!$A$2:$A1001, "&gt;=2022-04-01", 'Form responses 1'!$A$2:$A1001, "&lt;=2022-06-30"),
    COUNTIFS('Form responses 1'!$D$2:$D1001, A29, 'Form responses 1'!$A$2:$A1001, "&gt;=2022-04-01", 'Form responses 1'!$A$2:$A1001, "&lt;=2022-06-30"),
    COUNTIFS('Form responses 1'!$E$2:$E1001, A29, 'Form responses 1'!$A$2:$A1001, "&gt;=2022-04-01", 'Form responses 1'!$A$2:$A1001, "&lt;=2022-06-30"),
    COUNTIFS('Form responses 1'!$F$2:$F1001, A29, 'Form responses 1'!$A$2:$A1001, "&gt;=2022-04-01", 'Form responses 1'!$A$2:$A1001, "&lt;=2022-06-30"),
    COUNTIFS('Form responses 1'!$G$2:$G1001, A29, 'Form responses 1'!$A$2:$A1001, "&gt;=2022-04-01", 'Form responses 1'!$A$2:$A1001, "&lt;=2022-06-30")
)
</f>
        <v>5</v>
      </c>
      <c r="C29" s="2">
        <f>SUM(
    COUNTIFS('Form responses 1'!$C$2:$C1001, A29, 'Form responses 1'!$A$2:$A1001, "&gt;=2022-07-01", 'Form responses 1'!$A$2:$A1001, "&lt;=2022-09-30"),
    COUNTIFS('Form responses 1'!$B$2:$B1001, A29, 'Form responses 1'!$A$2:$A1001, "&gt;=2022-07-01", 'Form responses 1'!$A$2:$A1001, "&lt;=2022-09-30"),
    COUNTIFS('Form responses 1'!$D$2:$D1001, A29, 'Form responses 1'!$A$2:$A1001, "&gt;=2022-07-01", 'Form responses 1'!$A$2:$A1001, "&lt;=2022-09-30"),
    COUNTIFS('Form responses 1'!$E$2:$E1001, A29, 'Form responses 1'!$A$2:$A1001, "&gt;=2022-07-01", 'Form responses 1'!$A$2:$A1001, "&lt;=2022-09-30"),
    COUNTIFS('Form responses 1'!$F$2:$F1001, A29, 'Form responses 1'!$A$2:$A1001, "&gt;=2022-07-01", 'Form responses 1'!$A$2:$A1001, "&lt;=2022-09-30"),
    COUNTIFS('Form responses 1'!$G$2:$G1001, A29, 'Form responses 1'!$A$2:$A1001, "&gt;=2022-07-01", 'Form responses 1'!$A$2:$A1001, "&lt;=2022-09-30")
)
</f>
        <v>8</v>
      </c>
      <c r="D29" s="2">
        <f>SUM(
    COUNTIFS('Form responses 1'!$C$2:$C1001, A29, 'Form responses 1'!$A$2:$A1001, "&gt;=2022-10-01", 'Form responses 1'!$A$2:$A1001, "&lt;=2022-12-31"),
    COUNTIFS('Form responses 1'!$B$2:$B1001, A29, 'Form responses 1'!$A$2:$A1001, "&gt;=2022-10-01", 'Form responses 1'!$A$2:$A1001, "&lt;=2022-12-31"),
    COUNTIFS('Form responses 1'!$D$2:$D1001, A29, 'Form responses 1'!$A$2:$A1001, "&gt;=2022-10-01", 'Form responses 1'!$A$2:$A1001, "&lt;=2022-12-31"),
    COUNTIFS('Form responses 1'!$E$2:$E1001, A29, 'Form responses 1'!$A$2:$A1001, "&gt;=2022-10-01", 'Form responses 1'!$A$2:$A1001, "&lt;=2022-12-31"),
    COUNTIFS('Form responses 1'!$F$2:$F1001, A29, 'Form responses 1'!$A$2:$A1001, "&gt;=2022-10-01", 'Form responses 1'!$A$2:$A1001, "&lt;=2022-12-31"),
    COUNTIFS('Form responses 1'!$G$2:$G1001, A29, 'Form responses 1'!$A$2:$A1001, "&gt;=2022-10-01", 'Form responses 1'!$A$2:$A1001, "&lt;=2022-12-31")
)
</f>
        <v>10</v>
      </c>
      <c r="E29" s="2">
        <f>SUM(
    COUNTIFS('Form responses 1'!$C$2:$C1001, A29, 'Form responses 1'!$A$2:$A1001, "&gt;=2023-01-01", 'Form responses 1'!$A$2:$A1001, "&lt;=2023-03-31"),
    COUNTIFS('Form responses 1'!$B$2:$B1001, A29, 'Form responses 1'!$A$2:$A1001, "&gt;=2023-01-01", 'Form responses 1'!$A$2:$A1001, "&lt;=2023-03-31"),
    COUNTIFS('Form responses 1'!$D$2:$D1001, A29, 'Form responses 1'!$A$2:$A1001, "&gt;=2023-01-01", 'Form responses 1'!$A$2:$A1001, "&lt;=2023-03-31"),
    COUNTIFS('Form responses 1'!$E$2:$E1001, A29, 'Form responses 1'!$A$2:$A1001, "&gt;=2023-01-01", 'Form responses 1'!$A$2:$A1001, "&lt;=2023-03-31"),
    COUNTIFS('Form responses 1'!$F$2:$F1001, A29, 'Form responses 1'!$A$2:$A1001, "&gt;=2023-01-01", 'Form responses 1'!$A$2:$A1001, "&lt;=2023-03-31"),
    COUNTIFS('Form responses 1'!$G$2:$G1001, A29, 'Form responses 1'!$A$2:$A1001, "&gt;=2023-01-01", 'Form responses 1'!$A$2:$A1001, "&lt;=2023-03-31")
)
</f>
        <v>5</v>
      </c>
      <c r="F29" s="2">
        <f>SUM(
    COUNTIFS('Form responses 1'!$C$2:$C1001, A29, 'Form responses 1'!$A$2:$A1001, "&gt;=2023-04-01", 'Form responses 1'!$A$2:$A1001, "&lt;=2023-06-30"),
    COUNTIFS('Form responses 1'!$B$2:$B1001, A29, 'Form responses 1'!$A$2:$A1001, "&gt;=2023-04-01", 'Form responses 1'!$A$2:$A1001, "&lt;=2023-06-30"),
    COUNTIFS('Form responses 1'!$D$2:$D1001, A29, 'Form responses 1'!$A$2:$A1001, "&gt;=2023-04-01", 'Form responses 1'!$A$2:$A1001, "&lt;=2023-06-30"),
    COUNTIFS('Form responses 1'!$E$2:$E1001, A29, 'Form responses 1'!$A$2:$A1001, "&gt;=2023-04-01", 'Form responses 1'!$A$2:$A1001, "&lt;=2023-06-30"),
    COUNTIFS('Form responses 1'!$F$2:$F1001, A29, 'Form responses 1'!$A$2:$A1001, "&gt;=2023-04-01", 'Form responses 1'!$A$2:$A1001, "&lt;=2023-06-30"),
    COUNTIFS('Form responses 1'!$G$2:$G1001, A29, 'Form responses 1'!$A$2:$A1001, "&gt;=2023-04-01", 'Form responses 1'!$A$2:$A1001, "&lt;=2023-06-30")
)
</f>
        <v>0</v>
      </c>
      <c r="G29" s="2">
        <f>SUM(
    COUNTIFS('Form responses 1'!$C$2:$C1001, A29, 'Form responses 1'!$A$2:$A1001, "&gt;=2023-07-01", 'Form responses 1'!$A$2:$A1001, "&lt;=2023-09-30"),
    COUNTIFS('Form responses 1'!$B$2:$B1001, A29, 'Form responses 1'!$A$2:$A1001, "&gt;=2023-07-01", 'Form responses 1'!$A$2:$A1001, "&lt;=2023-09-30"),
    COUNTIFS('Form responses 1'!$D$2:$D1001, A29, 'Form responses 1'!$A$2:$A1001, "&gt;=2023-07-01", 'Form responses 1'!$A$2:$A1001, "&lt;=2023-09-30"),
    COUNTIFS('Form responses 1'!$E$2:$E1001, A29, 'Form responses 1'!$A$2:$A1001, "&gt;=2023-07-01", 'Form responses 1'!$A$2:$A1001, "&lt;=2023-09-30"),
    COUNTIFS('Form responses 1'!$F$2:$F1001, A29, 'Form responses 1'!$A$2:$A1001, "&gt;=2023-07-01", 'Form responses 1'!$A$2:$A1001, "&lt;=2023-09-30"),
    COUNTIFS('Form responses 1'!$G$2:$G1001, A29, 'Form responses 1'!$A$2:$A1001, "&gt;=2023-07-01", 'Form responses 1'!$A$2:$A1001, "&lt;=2023-09-30")
)
</f>
        <v>1</v>
      </c>
      <c r="H29" s="2">
        <f>SUM(
    COUNTIFS('Form responses 1'!$C$2:$C1001, A29, 'Form responses 1'!$A$2:$A1001, "&gt;=2023-10-01", 'Form responses 1'!$A$2:$A1001, "&lt;=2023-12-31"),
    COUNTIFS('Form responses 1'!$B$2:$B1001, A29, 'Form responses 1'!$A$2:$A1001, "&gt;=2023-10-01", 'Form responses 1'!$A$2:$A1001, "&lt;=2023-12-31"),
    COUNTIFS('Form responses 1'!$D$2:$D1001, A29, 'Form responses 1'!$A$2:$A1001, "&gt;=2023-10-01", 'Form responses 1'!$A$2:$A1001, "&lt;=2023-12-31"),
    COUNTIFS('Form responses 1'!$E$2:$E1001, A29, 'Form responses 1'!$A$2:$A1001, "&gt;=2023-10-01", 'Form responses 1'!$A$2:$A1001, "&lt;=2023-12-31"),
    COUNTIFS('Form responses 1'!$F$2:$F1001, A29, 'Form responses 1'!$A$2:$A1001, "&gt;=2023-10-01", 'Form responses 1'!$A$2:$A1001, "&lt;=2023-12-31"),
    COUNTIFS('Form responses 1'!$G$2:$G1001, A29, 'Form responses 1'!$A$2:$A1001, "&gt;=2023-10-01", 'Form responses 1'!$A$2:$A1001, "&lt;=2023-12-31")
)
</f>
        <v>1</v>
      </c>
      <c r="I29" s="2">
        <f>SUM(
    COUNTIFS('Form responses 1'!$C$2:$C1001, A29, 'Form responses 1'!$A$2:$A1001, "&gt;=2024-01-01", 'Form responses 1'!$A$2:$A1001, "&lt;=2024-03-31"),
    COUNTIFS('Form responses 1'!$B$2:$B1001, A29, 'Form responses 1'!$A$2:$A1001, "&gt;=2024-01-01", 'Form responses 1'!$A$2:$A1001, "&lt;=2024-03-31"),
    COUNTIFS('Form responses 1'!$D$2:$D1001, A29, 'Form responses 1'!$A$2:$A1001, "&gt;=2024-01-01", 'Form responses 1'!$A$2:$A1001, "&lt;=2024-03-31"),
    COUNTIFS('Form responses 1'!$E$2:$E1001, A29, 'Form responses 1'!$A$2:$A1001, "&gt;=2024-01-01", 'Form responses 1'!$A$2:$A1001, "&lt;=2024-03-31"),
    COUNTIFS('Form responses 1'!$F$2:$F1001, A29, 'Form responses 1'!$A$2:$A1001, "&gt;=2024-01-01", 'Form responses 1'!$A$2:$A1001, "&lt;=2024-03-31"),
    COUNTIFS('Form responses 1'!$G$2:$G1001, A29, 'Form responses 1'!$A$2:$A1001, "&gt;=2024-01-01", 'Form responses 1'!$A$2:$A1001, "&lt;=2024-03-31")
)
</f>
        <v>4</v>
      </c>
      <c r="J29" s="2">
        <f>SUM(
    COUNTIFS('Form responses 1'!$C$2:$C1001, A29, 'Form responses 1'!$A$2:$A1001, "&gt;=2024-04-01", 'Form responses 1'!$A$2:$A1001, "&lt;=2024-06-30"),
    COUNTIFS('Form responses 1'!$B$2:$B1001, A29, 'Form responses 1'!$A$2:$A1001, "&gt;=2024-04-01", 'Form responses 1'!$A$2:$A1001, "&lt;=2024-06-30"),
    COUNTIFS('Form responses 1'!$D$2:$D1001, A29, 'Form responses 1'!$A$2:$A1001, "&gt;=2024-04-01", 'Form responses 1'!$A$2:$A1001, "&lt;=2024-06-30"),
    COUNTIFS('Form responses 1'!$E$2:$E1001, A29, 'Form responses 1'!$A$2:$A1001, "&gt;=2024-04-01", 'Form responses 1'!$A$2:$A1001, "&lt;=2024-06-30"),
    COUNTIFS('Form responses 1'!$F$2:$F1001, A29, 'Form responses 1'!$A$2:$A1001, "&gt;=2024-04-01", 'Form responses 1'!$A$2:$A1001, "&lt;=2024-06-30"),
    COUNTIFS('Form responses 1'!$G$2:$G1001, A29, 'Form responses 1'!$A$2:$A1001, "&gt;=2024-04-01", 'Form responses 1'!$A$2:$A1001, "&lt;=2024-06-30")
)
</f>
        <v>0</v>
      </c>
      <c r="K29" s="2">
        <f>SUM(
    COUNTIFS('Form responses 1'!$C$2:$C1001, A29, 'Form responses 1'!$A$2:$A1001, "&gt;=2024-07-01", 'Form responses 1'!$A$2:$A1001, "&lt;=2024-09-30"),
    COUNTIFS('Form responses 1'!$B$2:$B1001, A29, 'Form responses 1'!$A$2:$A1001, "&gt;=2024-07-01", 'Form responses 1'!$A$2:$A1001, "&lt;=2024-09-30"),
    COUNTIFS('Form responses 1'!$D$2:$D1001, A29, 'Form responses 1'!$A$2:$A1001, "&gt;=2024-07-01", 'Form responses 1'!$A$2:$A1001, "&lt;=2024-09-30"),
    COUNTIFS('Form responses 1'!$E$2:$E1001, A29, 'Form responses 1'!$A$2:$A1001, "&gt;=2024-07-01", 'Form responses 1'!$A$2:$A1001, "&lt;=2024-09-30"),
    COUNTIFS('Form responses 1'!$F$2:$F1001, A29, 'Form responses 1'!$A$2:$A1001, "&gt;=2024-07-01", 'Form responses 1'!$A$2:$A1001, "&lt;=2024-09-30"),
    COUNTIFS('Form responses 1'!$G$2:$G1001, A29, 'Form responses 1'!$A$2:$A1001, "&gt;=2024-07-01", 'Form responses 1'!$A$2:$A1001, "&lt;=2024-09-30")
)
</f>
        <v>2</v>
      </c>
      <c r="L29" s="2">
        <f>SUM(
    COUNTIFS('Form responses 1'!$C$2:$C1001, A29, 'Form responses 1'!$A$2:$A1001, "&gt;=2024-10-01", 'Form responses 1'!$A$2:$A1001, "&lt;=2024-12-31"),
    COUNTIFS('Form responses 1'!$B$2:$B1001, A29, 'Form responses 1'!$A$2:$A1001, "&gt;=2024-10-01", 'Form responses 1'!$A$2:$A1001, "&lt;=2024-12-31"),
    COUNTIFS('Form responses 1'!$D$2:$D1001, A29, 'Form responses 1'!$A$2:$A1001, "&gt;=2024-10-01", 'Form responses 1'!$A$2:$A1001, "&lt;=2024-12-31"),
    COUNTIFS('Form responses 1'!$E$2:$E1001, A29, 'Form responses 1'!$A$2:$A1001, "&gt;=2024-10-01", 'Form responses 1'!$A$2:$A1001, "&lt;=2024-12-31"),
    COUNTIFS('Form responses 1'!$F$2:$F1001, A29, 'Form responses 1'!$A$2:$A1001, "&gt;=2024-10-01", 'Form responses 1'!$A$2:$A1001, "&lt;=2024-12-31"),
    COUNTIFS('Form responses 1'!$G$2:$G1001, A29, 'Form responses 1'!$A$2:$A1001, "&gt;=2024-10-01", 'Form responses 1'!$A$2:$A1001, "&lt;=2024-12-31")
)
</f>
        <v>0</v>
      </c>
      <c r="M29" s="2">
        <f>SUM(
    COUNTIFS('Form responses 1'!$C$2:$C1001, A29, 'Form responses 1'!$A$2:$A1001, "&gt;=2025-01-01", 'Form responses 1'!$A$2:$A1001, "&lt;=2025-03-31"),
    COUNTIFS('Form responses 1'!$B$2:$B1001, A29, 'Form responses 1'!$A$2:$A1001, "&gt;=2025-01-01", 'Form responses 1'!$A$2:$A1001, "&lt;=2025-03-31"),
    COUNTIFS('Form responses 1'!$D$2:$D1001, A29, 'Form responses 1'!$A$2:$A1001, "&gt;=2025-01-01", 'Form responses 1'!$A$2:$A1001, "&lt;=2025-03-31"),
    COUNTIFS('Form responses 1'!$E$2:$E1001, A29, 'Form responses 1'!$A$2:$A1001, "&gt;=2025-01-01", 'Form responses 1'!$A$2:$A1001, "&lt;=2025-03-31"),
    COUNTIFS('Form responses 1'!$F$2:$F1001, A29, 'Form responses 1'!$A$2:$A1001, "&gt;=2025-01-01", 'Form responses 1'!$A$2:$A1001, "&lt;=2025-03-31"),
    COUNTIFS('Form responses 1'!$G$2:$G1001, A29, 'Form responses 1'!$A$2:$A1001, "&gt;=2025-01-01", 'Form responses 1'!$A$2:$A1001, "&lt;=2025-03-31")
)
</f>
        <v>0</v>
      </c>
      <c r="N29" s="2">
        <f>SUM(
    COUNTIFS('Form responses 1'!$C$2:$C1001, A29, 'Form responses 1'!$A$2:$A1001, "&gt;=2025-04-01", 'Form responses 1'!$A$2:$A1001, "&lt;2025-07-01"),
    COUNTIFS('Form responses 1'!$B$2:$B1001, A29, 'Form responses 1'!$A$2:$A1001, "&gt;=2025-04-01", 'Form responses 1'!$A$2:$A1001, "&lt;2025-07-01"),
    COUNTIFS('Form responses 1'!$D$2:$D1001, A29, 'Form responses 1'!$A$2:$A1001, "&gt;=2025-04-01", 'Form responses 1'!$A$2:$A1001, "&lt;2025-07-01"),
    COUNTIFS('Form responses 1'!$E$2:$E1001, A29, 'Form responses 1'!$A$2:$A1001, "&gt;=2025-04-01", 'Form responses 1'!$A$2:$A1001, "&lt;2025-07-01"),
    COUNTIFS('Form responses 1'!$F$2:$F1001, A29, 'Form responses 1'!$A$2:$A1001, "&gt;=2025-04-01", 'Form responses 1'!$A$2:$A1001, "&lt;2025-07-01"),
    COUNTIFS('Form responses 1'!$G$2:$G1001, A29, 'Form responses 1'!$A$2:$A1001, "&gt;=2025-04-01", 'Form responses 1'!$A$2:$A1001, "&lt;2025-07-01")
)
</f>
        <v>0</v>
      </c>
      <c r="O29" s="2">
        <f>SUM(
    COUNTIFS('Form responses 1'!$C$2:$C1001, A29, 'Form responses 1'!$A$2:$A1001, "&gt;=2025-07-01", 'Form responses 1'!$A$2:$A1001, "&lt;=2025-09-30"),
    COUNTIFS('Form responses 1'!$B$2:$B1001, A29, 'Form responses 1'!$A$2:$A1001, "&gt;=2025-07-01", 'Form responses 1'!$A$2:$A1001, "&lt;=2025-09-30"),
    COUNTIFS('Form responses 1'!$D$2:$D1001, A29, 'Form responses 1'!$A$2:$A1001, "&gt;=2025-07-01", 'Form responses 1'!$A$2:$A1001, "&lt;=2025-09-30"),
    COUNTIFS('Form responses 1'!$E$2:$E1001, A29, 'Form responses 1'!$A$2:$A1001, "&gt;=2025-07-01", 'Form responses 1'!$A$2:$A1001, "&lt;=2025-09-30"),
    COUNTIFS('Form responses 1'!$F$2:$F1001, A29, 'Form responses 1'!$A$2:$A1001, "&gt;=2025-07-01", 'Form responses 1'!$A$2:$A1001, "&lt;=2025-09-30"),
    COUNTIFS('Form responses 1'!$G$2:$G1001, A29, 'Form responses 1'!$A$2:$A1001, "&gt;=2025-07-01", 'Form responses 1'!$A$2:$A1001, "&lt;=2025-09-30")
)
</f>
        <v>0</v>
      </c>
      <c r="P29" s="2">
        <f>SUM(
    COUNTIFS('Form responses 1'!$C$2:$C1001, A29, 'Form responses 1'!$A$2:$A1001, "&gt;=2025-10-01", 'Form responses 1'!$A$2:$A1001, "&lt;=2025-12-31"),
    COUNTIFS('Form responses 1'!$B$2:$B1001, A29, 'Form responses 1'!$A$2:$A1001, "&gt;=2025-10-01", 'Form responses 1'!$A$2:$A1001, "&lt;=2025-12-31"),
    COUNTIFS('Form responses 1'!$D$2:$D1001, A29, 'Form responses 1'!$A$2:$A1001, "&gt;=2025-10-01", 'Form responses 1'!$A$2:$A1001, "&lt;=2025-12-31"),
    COUNTIFS('Form responses 1'!$E$2:$E1001, A29, 'Form responses 1'!$A$2:$A1001, "&gt;=2025-10-01", 'Form responses 1'!$A$2:$A1001, "&lt;=2025-12-31"),
    COUNTIFS('Form responses 1'!$F$2:$F1001, A29, 'Form responses 1'!$A$2:$A1001, "&gt;=2025-10-01", 'Form responses 1'!$A$2:$A1001, "&lt;=2025-12-31"),
    COUNTIFS('Form responses 1'!$G$2:$G1001, A29, 'Form responses 1'!$A$2:$A1001, "&gt;=2025-10-01", 'Form responses 1'!$A$2:$A1001, "&lt;=2025-12-31")
)
</f>
        <v>0</v>
      </c>
    </row>
    <row r="30">
      <c r="A30" s="6" t="str">
        <f>IFERROR(__xludf.DUMMYFUNCTION("""COMPUTED_VALUE"""),"Bruin vis t-shirt")</f>
        <v>Bruin vis t-shirt</v>
      </c>
      <c r="B30" s="2">
        <f>SUM(
    COUNTIFS('Form responses 1'!$C$2:$C1001, A30, 'Form responses 1'!$A$2:$A1001, "&gt;=2022-04-01", 'Form responses 1'!$A$2:$A1001, "&lt;=2022-06-30"),
    COUNTIFS('Form responses 1'!$B$2:$B1001, A30, 'Form responses 1'!$A$2:$A1001, "&gt;=2022-04-01", 'Form responses 1'!$A$2:$A1001, "&lt;=2022-06-30"),
    COUNTIFS('Form responses 1'!$D$2:$D1001, A30, 'Form responses 1'!$A$2:$A1001, "&gt;=2022-04-01", 'Form responses 1'!$A$2:$A1001, "&lt;=2022-06-30"),
    COUNTIFS('Form responses 1'!$E$2:$E1001, A30, 'Form responses 1'!$A$2:$A1001, "&gt;=2022-04-01", 'Form responses 1'!$A$2:$A1001, "&lt;=2022-06-30"),
    COUNTIFS('Form responses 1'!$F$2:$F1001, A30, 'Form responses 1'!$A$2:$A1001, "&gt;=2022-04-01", 'Form responses 1'!$A$2:$A1001, "&lt;=2022-06-30"),
    COUNTIFS('Form responses 1'!$G$2:$G1001, A30, 'Form responses 1'!$A$2:$A1001, "&gt;=2022-04-01", 'Form responses 1'!$A$2:$A1001, "&lt;=2022-06-30")
)
</f>
        <v>0</v>
      </c>
      <c r="C30" s="2">
        <f>SUM(
    COUNTIFS('Form responses 1'!$C$2:$C1001, A30, 'Form responses 1'!$A$2:$A1001, "&gt;=2022-07-01", 'Form responses 1'!$A$2:$A1001, "&lt;=2022-09-30"),
    COUNTIFS('Form responses 1'!$B$2:$B1001, A30, 'Form responses 1'!$A$2:$A1001, "&gt;=2022-07-01", 'Form responses 1'!$A$2:$A1001, "&lt;=2022-09-30"),
    COUNTIFS('Form responses 1'!$D$2:$D1001, A30, 'Form responses 1'!$A$2:$A1001, "&gt;=2022-07-01", 'Form responses 1'!$A$2:$A1001, "&lt;=2022-09-30"),
    COUNTIFS('Form responses 1'!$E$2:$E1001, A30, 'Form responses 1'!$A$2:$A1001, "&gt;=2022-07-01", 'Form responses 1'!$A$2:$A1001, "&lt;=2022-09-30"),
    COUNTIFS('Form responses 1'!$F$2:$F1001, A30, 'Form responses 1'!$A$2:$A1001, "&gt;=2022-07-01", 'Form responses 1'!$A$2:$A1001, "&lt;=2022-09-30"),
    COUNTIFS('Form responses 1'!$G$2:$G1001, A30, 'Form responses 1'!$A$2:$A1001, "&gt;=2022-07-01", 'Form responses 1'!$A$2:$A1001, "&lt;=2022-09-30")
)
</f>
        <v>0</v>
      </c>
      <c r="D30" s="2">
        <f>SUM(
    COUNTIFS('Form responses 1'!$C$2:$C1001, A30, 'Form responses 1'!$A$2:$A1001, "&gt;=2022-10-01", 'Form responses 1'!$A$2:$A1001, "&lt;=2022-12-31"),
    COUNTIFS('Form responses 1'!$B$2:$B1001, A30, 'Form responses 1'!$A$2:$A1001, "&gt;=2022-10-01", 'Form responses 1'!$A$2:$A1001, "&lt;=2022-12-31"),
    COUNTIFS('Form responses 1'!$D$2:$D1001, A30, 'Form responses 1'!$A$2:$A1001, "&gt;=2022-10-01", 'Form responses 1'!$A$2:$A1001, "&lt;=2022-12-31"),
    COUNTIFS('Form responses 1'!$E$2:$E1001, A30, 'Form responses 1'!$A$2:$A1001, "&gt;=2022-10-01", 'Form responses 1'!$A$2:$A1001, "&lt;=2022-12-31"),
    COUNTIFS('Form responses 1'!$F$2:$F1001, A30, 'Form responses 1'!$A$2:$A1001, "&gt;=2022-10-01", 'Form responses 1'!$A$2:$A1001, "&lt;=2022-12-31"),
    COUNTIFS('Form responses 1'!$G$2:$G1001, A30, 'Form responses 1'!$A$2:$A1001, "&gt;=2022-10-01", 'Form responses 1'!$A$2:$A1001, "&lt;=2022-12-31")
)
</f>
        <v>0</v>
      </c>
      <c r="E30" s="2">
        <f>SUM(
    COUNTIFS('Form responses 1'!$C$2:$C1001, A30, 'Form responses 1'!$A$2:$A1001, "&gt;=2023-01-01", 'Form responses 1'!$A$2:$A1001, "&lt;=2023-03-31"),
    COUNTIFS('Form responses 1'!$B$2:$B1001, A30, 'Form responses 1'!$A$2:$A1001, "&gt;=2023-01-01", 'Form responses 1'!$A$2:$A1001, "&lt;=2023-03-31"),
    COUNTIFS('Form responses 1'!$D$2:$D1001, A30, 'Form responses 1'!$A$2:$A1001, "&gt;=2023-01-01", 'Form responses 1'!$A$2:$A1001, "&lt;=2023-03-31"),
    COUNTIFS('Form responses 1'!$E$2:$E1001, A30, 'Form responses 1'!$A$2:$A1001, "&gt;=2023-01-01", 'Form responses 1'!$A$2:$A1001, "&lt;=2023-03-31"),
    COUNTIFS('Form responses 1'!$F$2:$F1001, A30, 'Form responses 1'!$A$2:$A1001, "&gt;=2023-01-01", 'Form responses 1'!$A$2:$A1001, "&lt;=2023-03-31"),
    COUNTIFS('Form responses 1'!$G$2:$G1001, A30, 'Form responses 1'!$A$2:$A1001, "&gt;=2023-01-01", 'Form responses 1'!$A$2:$A1001, "&lt;=2023-03-31")
)
</f>
        <v>0</v>
      </c>
      <c r="F30" s="2">
        <f>SUM(
    COUNTIFS('Form responses 1'!$C$2:$C1001, A30, 'Form responses 1'!$A$2:$A1001, "&gt;=2023-04-01", 'Form responses 1'!$A$2:$A1001, "&lt;=2023-06-30"),
    COUNTIFS('Form responses 1'!$B$2:$B1001, A30, 'Form responses 1'!$A$2:$A1001, "&gt;=2023-04-01", 'Form responses 1'!$A$2:$A1001, "&lt;=2023-06-30"),
    COUNTIFS('Form responses 1'!$D$2:$D1001, A30, 'Form responses 1'!$A$2:$A1001, "&gt;=2023-04-01", 'Form responses 1'!$A$2:$A1001, "&lt;=2023-06-30"),
    COUNTIFS('Form responses 1'!$E$2:$E1001, A30, 'Form responses 1'!$A$2:$A1001, "&gt;=2023-04-01", 'Form responses 1'!$A$2:$A1001, "&lt;=2023-06-30"),
    COUNTIFS('Form responses 1'!$F$2:$F1001, A30, 'Form responses 1'!$A$2:$A1001, "&gt;=2023-04-01", 'Form responses 1'!$A$2:$A1001, "&lt;=2023-06-30"),
    COUNTIFS('Form responses 1'!$G$2:$G1001, A30, 'Form responses 1'!$A$2:$A1001, "&gt;=2023-04-01", 'Form responses 1'!$A$2:$A1001, "&lt;=2023-06-30")
)
</f>
        <v>0</v>
      </c>
      <c r="G30" s="2">
        <f>SUM(
    COUNTIFS('Form responses 1'!$C$2:$C1001, A30, 'Form responses 1'!$A$2:$A1001, "&gt;=2023-07-01", 'Form responses 1'!$A$2:$A1001, "&lt;=2023-09-30"),
    COUNTIFS('Form responses 1'!$B$2:$B1001, A30, 'Form responses 1'!$A$2:$A1001, "&gt;=2023-07-01", 'Form responses 1'!$A$2:$A1001, "&lt;=2023-09-30"),
    COUNTIFS('Form responses 1'!$D$2:$D1001, A30, 'Form responses 1'!$A$2:$A1001, "&gt;=2023-07-01", 'Form responses 1'!$A$2:$A1001, "&lt;=2023-09-30"),
    COUNTIFS('Form responses 1'!$E$2:$E1001, A30, 'Form responses 1'!$A$2:$A1001, "&gt;=2023-07-01", 'Form responses 1'!$A$2:$A1001, "&lt;=2023-09-30"),
    COUNTIFS('Form responses 1'!$F$2:$F1001, A30, 'Form responses 1'!$A$2:$A1001, "&gt;=2023-07-01", 'Form responses 1'!$A$2:$A1001, "&lt;=2023-09-30"),
    COUNTIFS('Form responses 1'!$G$2:$G1001, A30, 'Form responses 1'!$A$2:$A1001, "&gt;=2023-07-01", 'Form responses 1'!$A$2:$A1001, "&lt;=2023-09-30")
)
</f>
        <v>2</v>
      </c>
      <c r="H30" s="2">
        <f>SUM(
    COUNTIFS('Form responses 1'!$C$2:$C1001, A30, 'Form responses 1'!$A$2:$A1001, "&gt;=2023-10-01", 'Form responses 1'!$A$2:$A1001, "&lt;=2023-12-31"),
    COUNTIFS('Form responses 1'!$B$2:$B1001, A30, 'Form responses 1'!$A$2:$A1001, "&gt;=2023-10-01", 'Form responses 1'!$A$2:$A1001, "&lt;=2023-12-31"),
    COUNTIFS('Form responses 1'!$D$2:$D1001, A30, 'Form responses 1'!$A$2:$A1001, "&gt;=2023-10-01", 'Form responses 1'!$A$2:$A1001, "&lt;=2023-12-31"),
    COUNTIFS('Form responses 1'!$E$2:$E1001, A30, 'Form responses 1'!$A$2:$A1001, "&gt;=2023-10-01", 'Form responses 1'!$A$2:$A1001, "&lt;=2023-12-31"),
    COUNTIFS('Form responses 1'!$F$2:$F1001, A30, 'Form responses 1'!$A$2:$A1001, "&gt;=2023-10-01", 'Form responses 1'!$A$2:$A1001, "&lt;=2023-12-31"),
    COUNTIFS('Form responses 1'!$G$2:$G1001, A30, 'Form responses 1'!$A$2:$A1001, "&gt;=2023-10-01", 'Form responses 1'!$A$2:$A1001, "&lt;=2023-12-31")
)
</f>
        <v>0</v>
      </c>
      <c r="I30" s="2">
        <f>SUM(
    COUNTIFS('Form responses 1'!$C$2:$C1001, A30, 'Form responses 1'!$A$2:$A1001, "&gt;=2024-01-01", 'Form responses 1'!$A$2:$A1001, "&lt;=2024-03-31"),
    COUNTIFS('Form responses 1'!$B$2:$B1001, A30, 'Form responses 1'!$A$2:$A1001, "&gt;=2024-01-01", 'Form responses 1'!$A$2:$A1001, "&lt;=2024-03-31"),
    COUNTIFS('Form responses 1'!$D$2:$D1001, A30, 'Form responses 1'!$A$2:$A1001, "&gt;=2024-01-01", 'Form responses 1'!$A$2:$A1001, "&lt;=2024-03-31"),
    COUNTIFS('Form responses 1'!$E$2:$E1001, A30, 'Form responses 1'!$A$2:$A1001, "&gt;=2024-01-01", 'Form responses 1'!$A$2:$A1001, "&lt;=2024-03-31"),
    COUNTIFS('Form responses 1'!$F$2:$F1001, A30, 'Form responses 1'!$A$2:$A1001, "&gt;=2024-01-01", 'Form responses 1'!$A$2:$A1001, "&lt;=2024-03-31"),
    COUNTIFS('Form responses 1'!$G$2:$G1001, A30, 'Form responses 1'!$A$2:$A1001, "&gt;=2024-01-01", 'Form responses 1'!$A$2:$A1001, "&lt;=2024-03-31")
)
</f>
        <v>0</v>
      </c>
      <c r="J30" s="2">
        <f>SUM(
    COUNTIFS('Form responses 1'!$C$2:$C1001, A30, 'Form responses 1'!$A$2:$A1001, "&gt;=2024-04-01", 'Form responses 1'!$A$2:$A1001, "&lt;=2024-06-30"),
    COUNTIFS('Form responses 1'!$B$2:$B1001, A30, 'Form responses 1'!$A$2:$A1001, "&gt;=2024-04-01", 'Form responses 1'!$A$2:$A1001, "&lt;=2024-06-30"),
    COUNTIFS('Form responses 1'!$D$2:$D1001, A30, 'Form responses 1'!$A$2:$A1001, "&gt;=2024-04-01", 'Form responses 1'!$A$2:$A1001, "&lt;=2024-06-30"),
    COUNTIFS('Form responses 1'!$E$2:$E1001, A30, 'Form responses 1'!$A$2:$A1001, "&gt;=2024-04-01", 'Form responses 1'!$A$2:$A1001, "&lt;=2024-06-30"),
    COUNTIFS('Form responses 1'!$F$2:$F1001, A30, 'Form responses 1'!$A$2:$A1001, "&gt;=2024-04-01", 'Form responses 1'!$A$2:$A1001, "&lt;=2024-06-30"),
    COUNTIFS('Form responses 1'!$G$2:$G1001, A30, 'Form responses 1'!$A$2:$A1001, "&gt;=2024-04-01", 'Form responses 1'!$A$2:$A1001, "&lt;=2024-06-30")
)
</f>
        <v>0</v>
      </c>
      <c r="K30" s="2">
        <f>SUM(
    COUNTIFS('Form responses 1'!$C$2:$C1001, A30, 'Form responses 1'!$A$2:$A1001, "&gt;=2024-07-01", 'Form responses 1'!$A$2:$A1001, "&lt;=2024-09-30"),
    COUNTIFS('Form responses 1'!$B$2:$B1001, A30, 'Form responses 1'!$A$2:$A1001, "&gt;=2024-07-01", 'Form responses 1'!$A$2:$A1001, "&lt;=2024-09-30"),
    COUNTIFS('Form responses 1'!$D$2:$D1001, A30, 'Form responses 1'!$A$2:$A1001, "&gt;=2024-07-01", 'Form responses 1'!$A$2:$A1001, "&lt;=2024-09-30"),
    COUNTIFS('Form responses 1'!$E$2:$E1001, A30, 'Form responses 1'!$A$2:$A1001, "&gt;=2024-07-01", 'Form responses 1'!$A$2:$A1001, "&lt;=2024-09-30"),
    COUNTIFS('Form responses 1'!$F$2:$F1001, A30, 'Form responses 1'!$A$2:$A1001, "&gt;=2024-07-01", 'Form responses 1'!$A$2:$A1001, "&lt;=2024-09-30"),
    COUNTIFS('Form responses 1'!$G$2:$G1001, A30, 'Form responses 1'!$A$2:$A1001, "&gt;=2024-07-01", 'Form responses 1'!$A$2:$A1001, "&lt;=2024-09-30")
)
</f>
        <v>2</v>
      </c>
      <c r="L30" s="2">
        <f>SUM(
    COUNTIFS('Form responses 1'!$C$2:$C1001, A30, 'Form responses 1'!$A$2:$A1001, "&gt;=2024-10-01", 'Form responses 1'!$A$2:$A1001, "&lt;=2024-12-31"),
    COUNTIFS('Form responses 1'!$B$2:$B1001, A30, 'Form responses 1'!$A$2:$A1001, "&gt;=2024-10-01", 'Form responses 1'!$A$2:$A1001, "&lt;=2024-12-31"),
    COUNTIFS('Form responses 1'!$D$2:$D1001, A30, 'Form responses 1'!$A$2:$A1001, "&gt;=2024-10-01", 'Form responses 1'!$A$2:$A1001, "&lt;=2024-12-31"),
    COUNTIFS('Form responses 1'!$E$2:$E1001, A30, 'Form responses 1'!$A$2:$A1001, "&gt;=2024-10-01", 'Form responses 1'!$A$2:$A1001, "&lt;=2024-12-31"),
    COUNTIFS('Form responses 1'!$F$2:$F1001, A30, 'Form responses 1'!$A$2:$A1001, "&gt;=2024-10-01", 'Form responses 1'!$A$2:$A1001, "&lt;=2024-12-31"),
    COUNTIFS('Form responses 1'!$G$2:$G1001, A30, 'Form responses 1'!$A$2:$A1001, "&gt;=2024-10-01", 'Form responses 1'!$A$2:$A1001, "&lt;=2024-12-31")
)
</f>
        <v>0</v>
      </c>
      <c r="M30" s="2">
        <f>SUM(
    COUNTIFS('Form responses 1'!$C$2:$C1001, A30, 'Form responses 1'!$A$2:$A1001, "&gt;=2025-01-01", 'Form responses 1'!$A$2:$A1001, "&lt;=2025-03-31"),
    COUNTIFS('Form responses 1'!$B$2:$B1001, A30, 'Form responses 1'!$A$2:$A1001, "&gt;=2025-01-01", 'Form responses 1'!$A$2:$A1001, "&lt;=2025-03-31"),
    COUNTIFS('Form responses 1'!$D$2:$D1001, A30, 'Form responses 1'!$A$2:$A1001, "&gt;=2025-01-01", 'Form responses 1'!$A$2:$A1001, "&lt;=2025-03-31"),
    COUNTIFS('Form responses 1'!$E$2:$E1001, A30, 'Form responses 1'!$A$2:$A1001, "&gt;=2025-01-01", 'Form responses 1'!$A$2:$A1001, "&lt;=2025-03-31"),
    COUNTIFS('Form responses 1'!$F$2:$F1001, A30, 'Form responses 1'!$A$2:$A1001, "&gt;=2025-01-01", 'Form responses 1'!$A$2:$A1001, "&lt;=2025-03-31"),
    COUNTIFS('Form responses 1'!$G$2:$G1001, A30, 'Form responses 1'!$A$2:$A1001, "&gt;=2025-01-01", 'Form responses 1'!$A$2:$A1001, "&lt;=2025-03-31")
)
</f>
        <v>0</v>
      </c>
      <c r="N30" s="2">
        <f>SUM(
    COUNTIFS('Form responses 1'!$C$2:$C1001, A30, 'Form responses 1'!$A$2:$A1001, "&gt;=2025-04-01", 'Form responses 1'!$A$2:$A1001, "&lt;2025-07-01"),
    COUNTIFS('Form responses 1'!$B$2:$B1001, A30, 'Form responses 1'!$A$2:$A1001, "&gt;=2025-04-01", 'Form responses 1'!$A$2:$A1001, "&lt;2025-07-01"),
    COUNTIFS('Form responses 1'!$D$2:$D1001, A30, 'Form responses 1'!$A$2:$A1001, "&gt;=2025-04-01", 'Form responses 1'!$A$2:$A1001, "&lt;2025-07-01"),
    COUNTIFS('Form responses 1'!$E$2:$E1001, A30, 'Form responses 1'!$A$2:$A1001, "&gt;=2025-04-01", 'Form responses 1'!$A$2:$A1001, "&lt;2025-07-01"),
    COUNTIFS('Form responses 1'!$F$2:$F1001, A30, 'Form responses 1'!$A$2:$A1001, "&gt;=2025-04-01", 'Form responses 1'!$A$2:$A1001, "&lt;2025-07-01"),
    COUNTIFS('Form responses 1'!$G$2:$G1001, A30, 'Form responses 1'!$A$2:$A1001, "&gt;=2025-04-01", 'Form responses 1'!$A$2:$A1001, "&lt;2025-07-01")
)
</f>
        <v>0</v>
      </c>
      <c r="O30" s="2">
        <f>SUM(
    COUNTIFS('Form responses 1'!$C$2:$C1001, A30, 'Form responses 1'!$A$2:$A1001, "&gt;=2025-07-01", 'Form responses 1'!$A$2:$A1001, "&lt;=2025-09-30"),
    COUNTIFS('Form responses 1'!$B$2:$B1001, A30, 'Form responses 1'!$A$2:$A1001, "&gt;=2025-07-01", 'Form responses 1'!$A$2:$A1001, "&lt;=2025-09-30"),
    COUNTIFS('Form responses 1'!$D$2:$D1001, A30, 'Form responses 1'!$A$2:$A1001, "&gt;=2025-07-01", 'Form responses 1'!$A$2:$A1001, "&lt;=2025-09-30"),
    COUNTIFS('Form responses 1'!$E$2:$E1001, A30, 'Form responses 1'!$A$2:$A1001, "&gt;=2025-07-01", 'Form responses 1'!$A$2:$A1001, "&lt;=2025-09-30"),
    COUNTIFS('Form responses 1'!$F$2:$F1001, A30, 'Form responses 1'!$A$2:$A1001, "&gt;=2025-07-01", 'Form responses 1'!$A$2:$A1001, "&lt;=2025-09-30"),
    COUNTIFS('Form responses 1'!$G$2:$G1001, A30, 'Form responses 1'!$A$2:$A1001, "&gt;=2025-07-01", 'Form responses 1'!$A$2:$A1001, "&lt;=2025-09-30")
)
</f>
        <v>0</v>
      </c>
      <c r="P30" s="2">
        <f>SUM(
    COUNTIFS('Form responses 1'!$C$2:$C1001, A30, 'Form responses 1'!$A$2:$A1001, "&gt;=2025-10-01", 'Form responses 1'!$A$2:$A1001, "&lt;=2025-12-31"),
    COUNTIFS('Form responses 1'!$B$2:$B1001, A30, 'Form responses 1'!$A$2:$A1001, "&gt;=2025-10-01", 'Form responses 1'!$A$2:$A1001, "&lt;=2025-12-31"),
    COUNTIFS('Form responses 1'!$D$2:$D1001, A30, 'Form responses 1'!$A$2:$A1001, "&gt;=2025-10-01", 'Form responses 1'!$A$2:$A1001, "&lt;=2025-12-31"),
    COUNTIFS('Form responses 1'!$E$2:$E1001, A30, 'Form responses 1'!$A$2:$A1001, "&gt;=2025-10-01", 'Form responses 1'!$A$2:$A1001, "&lt;=2025-12-31"),
    COUNTIFS('Form responses 1'!$F$2:$F1001, A30, 'Form responses 1'!$A$2:$A1001, "&gt;=2025-10-01", 'Form responses 1'!$A$2:$A1001, "&lt;=2025-12-31"),
    COUNTIFS('Form responses 1'!$G$2:$G1001, A30, 'Form responses 1'!$A$2:$A1001, "&gt;=2025-10-01", 'Form responses 1'!$A$2:$A1001, "&lt;=2025-12-31")
)
</f>
        <v>0</v>
      </c>
    </row>
    <row r="31">
      <c r="A31" s="6" t="str">
        <f>IFERROR(__xludf.DUMMYFUNCTION("""COMPUTED_VALUE"""),"Groen t-shirt")</f>
        <v>Groen t-shirt</v>
      </c>
      <c r="B31" s="2">
        <f>SUM(
    COUNTIFS('Form responses 1'!$C$2:$C1001, A31, 'Form responses 1'!$A$2:$A1001, "&gt;=2022-04-01", 'Form responses 1'!$A$2:$A1001, "&lt;=2022-06-30"),
    COUNTIFS('Form responses 1'!$B$2:$B1001, A31, 'Form responses 1'!$A$2:$A1001, "&gt;=2022-04-01", 'Form responses 1'!$A$2:$A1001, "&lt;=2022-06-30"),
    COUNTIFS('Form responses 1'!$D$2:$D1001, A31, 'Form responses 1'!$A$2:$A1001, "&gt;=2022-04-01", 'Form responses 1'!$A$2:$A1001, "&lt;=2022-06-30"),
    COUNTIFS('Form responses 1'!$E$2:$E1001, A31, 'Form responses 1'!$A$2:$A1001, "&gt;=2022-04-01", 'Form responses 1'!$A$2:$A1001, "&lt;=2022-06-30"),
    COUNTIFS('Form responses 1'!$F$2:$F1001, A31, 'Form responses 1'!$A$2:$A1001, "&gt;=2022-04-01", 'Form responses 1'!$A$2:$A1001, "&lt;=2022-06-30"),
    COUNTIFS('Form responses 1'!$G$2:$G1001, A31, 'Form responses 1'!$A$2:$A1001, "&gt;=2022-04-01", 'Form responses 1'!$A$2:$A1001, "&lt;=2022-06-30")
)
</f>
        <v>4</v>
      </c>
      <c r="C31" s="2">
        <f>SUM(
    COUNTIFS('Form responses 1'!$C$2:$C1001, A31, 'Form responses 1'!$A$2:$A1001, "&gt;=2022-07-01", 'Form responses 1'!$A$2:$A1001, "&lt;=2022-09-30"),
    COUNTIFS('Form responses 1'!$B$2:$B1001, A31, 'Form responses 1'!$A$2:$A1001, "&gt;=2022-07-01", 'Form responses 1'!$A$2:$A1001, "&lt;=2022-09-30"),
    COUNTIFS('Form responses 1'!$D$2:$D1001, A31, 'Form responses 1'!$A$2:$A1001, "&gt;=2022-07-01", 'Form responses 1'!$A$2:$A1001, "&lt;=2022-09-30"),
    COUNTIFS('Form responses 1'!$E$2:$E1001, A31, 'Form responses 1'!$A$2:$A1001, "&gt;=2022-07-01", 'Form responses 1'!$A$2:$A1001, "&lt;=2022-09-30"),
    COUNTIFS('Form responses 1'!$F$2:$F1001, A31, 'Form responses 1'!$A$2:$A1001, "&gt;=2022-07-01", 'Form responses 1'!$A$2:$A1001, "&lt;=2022-09-30"),
    COUNTIFS('Form responses 1'!$G$2:$G1001, A31, 'Form responses 1'!$A$2:$A1001, "&gt;=2022-07-01", 'Form responses 1'!$A$2:$A1001, "&lt;=2022-09-30")
)
</f>
        <v>5</v>
      </c>
      <c r="D31" s="2">
        <f>SUM(
    COUNTIFS('Form responses 1'!$C$2:$C1001, A31, 'Form responses 1'!$A$2:$A1001, "&gt;=2022-10-01", 'Form responses 1'!$A$2:$A1001, "&lt;=2022-12-31"),
    COUNTIFS('Form responses 1'!$B$2:$B1001, A31, 'Form responses 1'!$A$2:$A1001, "&gt;=2022-10-01", 'Form responses 1'!$A$2:$A1001, "&lt;=2022-12-31"),
    COUNTIFS('Form responses 1'!$D$2:$D1001, A31, 'Form responses 1'!$A$2:$A1001, "&gt;=2022-10-01", 'Form responses 1'!$A$2:$A1001, "&lt;=2022-12-31"),
    COUNTIFS('Form responses 1'!$E$2:$E1001, A31, 'Form responses 1'!$A$2:$A1001, "&gt;=2022-10-01", 'Form responses 1'!$A$2:$A1001, "&lt;=2022-12-31"),
    COUNTIFS('Form responses 1'!$F$2:$F1001, A31, 'Form responses 1'!$A$2:$A1001, "&gt;=2022-10-01", 'Form responses 1'!$A$2:$A1001, "&lt;=2022-12-31"),
    COUNTIFS('Form responses 1'!$G$2:$G1001, A31, 'Form responses 1'!$A$2:$A1001, "&gt;=2022-10-01", 'Form responses 1'!$A$2:$A1001, "&lt;=2022-12-31")
)
</f>
        <v>1</v>
      </c>
      <c r="E31" s="2">
        <f>SUM(
    COUNTIFS('Form responses 1'!$C$2:$C1001, A31, 'Form responses 1'!$A$2:$A1001, "&gt;=2023-01-01", 'Form responses 1'!$A$2:$A1001, "&lt;=2023-03-31"),
    COUNTIFS('Form responses 1'!$B$2:$B1001, A31, 'Form responses 1'!$A$2:$A1001, "&gt;=2023-01-01", 'Form responses 1'!$A$2:$A1001, "&lt;=2023-03-31"),
    COUNTIFS('Form responses 1'!$D$2:$D1001, A31, 'Form responses 1'!$A$2:$A1001, "&gt;=2023-01-01", 'Form responses 1'!$A$2:$A1001, "&lt;=2023-03-31"),
    COUNTIFS('Form responses 1'!$E$2:$E1001, A31, 'Form responses 1'!$A$2:$A1001, "&gt;=2023-01-01", 'Form responses 1'!$A$2:$A1001, "&lt;=2023-03-31"),
    COUNTIFS('Form responses 1'!$F$2:$F1001, A31, 'Form responses 1'!$A$2:$A1001, "&gt;=2023-01-01", 'Form responses 1'!$A$2:$A1001, "&lt;=2023-03-31"),
    COUNTIFS('Form responses 1'!$G$2:$G1001, A31, 'Form responses 1'!$A$2:$A1001, "&gt;=2023-01-01", 'Form responses 1'!$A$2:$A1001, "&lt;=2023-03-31")
)
</f>
        <v>6</v>
      </c>
      <c r="F31" s="2">
        <f>SUM(
    COUNTIFS('Form responses 1'!$C$2:$C1001, A31, 'Form responses 1'!$A$2:$A1001, "&gt;=2023-04-01", 'Form responses 1'!$A$2:$A1001, "&lt;=2023-06-30"),
    COUNTIFS('Form responses 1'!$B$2:$B1001, A31, 'Form responses 1'!$A$2:$A1001, "&gt;=2023-04-01", 'Form responses 1'!$A$2:$A1001, "&lt;=2023-06-30"),
    COUNTIFS('Form responses 1'!$D$2:$D1001, A31, 'Form responses 1'!$A$2:$A1001, "&gt;=2023-04-01", 'Form responses 1'!$A$2:$A1001, "&lt;=2023-06-30"),
    COUNTIFS('Form responses 1'!$E$2:$E1001, A31, 'Form responses 1'!$A$2:$A1001, "&gt;=2023-04-01", 'Form responses 1'!$A$2:$A1001, "&lt;=2023-06-30"),
    COUNTIFS('Form responses 1'!$F$2:$F1001, A31, 'Form responses 1'!$A$2:$A1001, "&gt;=2023-04-01", 'Form responses 1'!$A$2:$A1001, "&lt;=2023-06-30"),
    COUNTIFS('Form responses 1'!$G$2:$G1001, A31, 'Form responses 1'!$A$2:$A1001, "&gt;=2023-04-01", 'Form responses 1'!$A$2:$A1001, "&lt;=2023-06-30")
)
</f>
        <v>0</v>
      </c>
      <c r="G31" s="2">
        <f>SUM(
    COUNTIFS('Form responses 1'!$C$2:$C1001, A31, 'Form responses 1'!$A$2:$A1001, "&gt;=2023-07-01", 'Form responses 1'!$A$2:$A1001, "&lt;=2023-09-30"),
    COUNTIFS('Form responses 1'!$B$2:$B1001, A31, 'Form responses 1'!$A$2:$A1001, "&gt;=2023-07-01", 'Form responses 1'!$A$2:$A1001, "&lt;=2023-09-30"),
    COUNTIFS('Form responses 1'!$D$2:$D1001, A31, 'Form responses 1'!$A$2:$A1001, "&gt;=2023-07-01", 'Form responses 1'!$A$2:$A1001, "&lt;=2023-09-30"),
    COUNTIFS('Form responses 1'!$E$2:$E1001, A31, 'Form responses 1'!$A$2:$A1001, "&gt;=2023-07-01", 'Form responses 1'!$A$2:$A1001, "&lt;=2023-09-30"),
    COUNTIFS('Form responses 1'!$F$2:$F1001, A31, 'Form responses 1'!$A$2:$A1001, "&gt;=2023-07-01", 'Form responses 1'!$A$2:$A1001, "&lt;=2023-09-30"),
    COUNTIFS('Form responses 1'!$G$2:$G1001, A31, 'Form responses 1'!$A$2:$A1001, "&gt;=2023-07-01", 'Form responses 1'!$A$2:$A1001, "&lt;=2023-09-30")
)
</f>
        <v>0</v>
      </c>
      <c r="H31" s="2">
        <f>SUM(
    COUNTIFS('Form responses 1'!$C$2:$C1001, A31, 'Form responses 1'!$A$2:$A1001, "&gt;=2023-10-01", 'Form responses 1'!$A$2:$A1001, "&lt;=2023-12-31"),
    COUNTIFS('Form responses 1'!$B$2:$B1001, A31, 'Form responses 1'!$A$2:$A1001, "&gt;=2023-10-01", 'Form responses 1'!$A$2:$A1001, "&lt;=2023-12-31"),
    COUNTIFS('Form responses 1'!$D$2:$D1001, A31, 'Form responses 1'!$A$2:$A1001, "&gt;=2023-10-01", 'Form responses 1'!$A$2:$A1001, "&lt;=2023-12-31"),
    COUNTIFS('Form responses 1'!$E$2:$E1001, A31, 'Form responses 1'!$A$2:$A1001, "&gt;=2023-10-01", 'Form responses 1'!$A$2:$A1001, "&lt;=2023-12-31"),
    COUNTIFS('Form responses 1'!$F$2:$F1001, A31, 'Form responses 1'!$A$2:$A1001, "&gt;=2023-10-01", 'Form responses 1'!$A$2:$A1001, "&lt;=2023-12-31"),
    COUNTIFS('Form responses 1'!$G$2:$G1001, A31, 'Form responses 1'!$A$2:$A1001, "&gt;=2023-10-01", 'Form responses 1'!$A$2:$A1001, "&lt;=2023-12-31")
)
</f>
        <v>1</v>
      </c>
      <c r="I31" s="2">
        <f>SUM(
    COUNTIFS('Form responses 1'!$C$2:$C1001, A31, 'Form responses 1'!$A$2:$A1001, "&gt;=2024-01-01", 'Form responses 1'!$A$2:$A1001, "&lt;=2024-03-31"),
    COUNTIFS('Form responses 1'!$B$2:$B1001, A31, 'Form responses 1'!$A$2:$A1001, "&gt;=2024-01-01", 'Form responses 1'!$A$2:$A1001, "&lt;=2024-03-31"),
    COUNTIFS('Form responses 1'!$D$2:$D1001, A31, 'Form responses 1'!$A$2:$A1001, "&gt;=2024-01-01", 'Form responses 1'!$A$2:$A1001, "&lt;=2024-03-31"),
    COUNTIFS('Form responses 1'!$E$2:$E1001, A31, 'Form responses 1'!$A$2:$A1001, "&gt;=2024-01-01", 'Form responses 1'!$A$2:$A1001, "&lt;=2024-03-31"),
    COUNTIFS('Form responses 1'!$F$2:$F1001, A31, 'Form responses 1'!$A$2:$A1001, "&gt;=2024-01-01", 'Form responses 1'!$A$2:$A1001, "&lt;=2024-03-31"),
    COUNTIFS('Form responses 1'!$G$2:$G1001, A31, 'Form responses 1'!$A$2:$A1001, "&gt;=2024-01-01", 'Form responses 1'!$A$2:$A1001, "&lt;=2024-03-31")
)
</f>
        <v>0</v>
      </c>
      <c r="J31" s="2">
        <f>SUM(
    COUNTIFS('Form responses 1'!$C$2:$C1001, A31, 'Form responses 1'!$A$2:$A1001, "&gt;=2024-04-01", 'Form responses 1'!$A$2:$A1001, "&lt;=2024-06-30"),
    COUNTIFS('Form responses 1'!$B$2:$B1001, A31, 'Form responses 1'!$A$2:$A1001, "&gt;=2024-04-01", 'Form responses 1'!$A$2:$A1001, "&lt;=2024-06-30"),
    COUNTIFS('Form responses 1'!$D$2:$D1001, A31, 'Form responses 1'!$A$2:$A1001, "&gt;=2024-04-01", 'Form responses 1'!$A$2:$A1001, "&lt;=2024-06-30"),
    COUNTIFS('Form responses 1'!$E$2:$E1001, A31, 'Form responses 1'!$A$2:$A1001, "&gt;=2024-04-01", 'Form responses 1'!$A$2:$A1001, "&lt;=2024-06-30"),
    COUNTIFS('Form responses 1'!$F$2:$F1001, A31, 'Form responses 1'!$A$2:$A1001, "&gt;=2024-04-01", 'Form responses 1'!$A$2:$A1001, "&lt;=2024-06-30"),
    COUNTIFS('Form responses 1'!$G$2:$G1001, A31, 'Form responses 1'!$A$2:$A1001, "&gt;=2024-04-01", 'Form responses 1'!$A$2:$A1001, "&lt;=2024-06-30")
)
</f>
        <v>0</v>
      </c>
      <c r="K31" s="2">
        <f>SUM(
    COUNTIFS('Form responses 1'!$C$2:$C1001, A31, 'Form responses 1'!$A$2:$A1001, "&gt;=2024-07-01", 'Form responses 1'!$A$2:$A1001, "&lt;=2024-09-30"),
    COUNTIFS('Form responses 1'!$B$2:$B1001, A31, 'Form responses 1'!$A$2:$A1001, "&gt;=2024-07-01", 'Form responses 1'!$A$2:$A1001, "&lt;=2024-09-30"),
    COUNTIFS('Form responses 1'!$D$2:$D1001, A31, 'Form responses 1'!$A$2:$A1001, "&gt;=2024-07-01", 'Form responses 1'!$A$2:$A1001, "&lt;=2024-09-30"),
    COUNTIFS('Form responses 1'!$E$2:$E1001, A31, 'Form responses 1'!$A$2:$A1001, "&gt;=2024-07-01", 'Form responses 1'!$A$2:$A1001, "&lt;=2024-09-30"),
    COUNTIFS('Form responses 1'!$F$2:$F1001, A31, 'Form responses 1'!$A$2:$A1001, "&gt;=2024-07-01", 'Form responses 1'!$A$2:$A1001, "&lt;=2024-09-30"),
    COUNTIFS('Form responses 1'!$G$2:$G1001, A31, 'Form responses 1'!$A$2:$A1001, "&gt;=2024-07-01", 'Form responses 1'!$A$2:$A1001, "&lt;=2024-09-30")
)
</f>
        <v>0</v>
      </c>
      <c r="L31" s="2">
        <f>SUM(
    COUNTIFS('Form responses 1'!$C$2:$C1001, A31, 'Form responses 1'!$A$2:$A1001, "&gt;=2024-10-01", 'Form responses 1'!$A$2:$A1001, "&lt;=2024-12-31"),
    COUNTIFS('Form responses 1'!$B$2:$B1001, A31, 'Form responses 1'!$A$2:$A1001, "&gt;=2024-10-01", 'Form responses 1'!$A$2:$A1001, "&lt;=2024-12-31"),
    COUNTIFS('Form responses 1'!$D$2:$D1001, A31, 'Form responses 1'!$A$2:$A1001, "&gt;=2024-10-01", 'Form responses 1'!$A$2:$A1001, "&lt;=2024-12-31"),
    COUNTIFS('Form responses 1'!$E$2:$E1001, A31, 'Form responses 1'!$A$2:$A1001, "&gt;=2024-10-01", 'Form responses 1'!$A$2:$A1001, "&lt;=2024-12-31"),
    COUNTIFS('Form responses 1'!$F$2:$F1001, A31, 'Form responses 1'!$A$2:$A1001, "&gt;=2024-10-01", 'Form responses 1'!$A$2:$A1001, "&lt;=2024-12-31"),
    COUNTIFS('Form responses 1'!$G$2:$G1001, A31, 'Form responses 1'!$A$2:$A1001, "&gt;=2024-10-01", 'Form responses 1'!$A$2:$A1001, "&lt;=2024-12-31")
)
</f>
        <v>0</v>
      </c>
      <c r="M31" s="2">
        <f>SUM(
    COUNTIFS('Form responses 1'!$C$2:$C1001, A31, 'Form responses 1'!$A$2:$A1001, "&gt;=2025-01-01", 'Form responses 1'!$A$2:$A1001, "&lt;=2025-03-31"),
    COUNTIFS('Form responses 1'!$B$2:$B1001, A31, 'Form responses 1'!$A$2:$A1001, "&gt;=2025-01-01", 'Form responses 1'!$A$2:$A1001, "&lt;=2025-03-31"),
    COUNTIFS('Form responses 1'!$D$2:$D1001, A31, 'Form responses 1'!$A$2:$A1001, "&gt;=2025-01-01", 'Form responses 1'!$A$2:$A1001, "&lt;=2025-03-31"),
    COUNTIFS('Form responses 1'!$E$2:$E1001, A31, 'Form responses 1'!$A$2:$A1001, "&gt;=2025-01-01", 'Form responses 1'!$A$2:$A1001, "&lt;=2025-03-31"),
    COUNTIFS('Form responses 1'!$F$2:$F1001, A31, 'Form responses 1'!$A$2:$A1001, "&gt;=2025-01-01", 'Form responses 1'!$A$2:$A1001, "&lt;=2025-03-31"),
    COUNTIFS('Form responses 1'!$G$2:$G1001, A31, 'Form responses 1'!$A$2:$A1001, "&gt;=2025-01-01", 'Form responses 1'!$A$2:$A1001, "&lt;=2025-03-31")
)
</f>
        <v>0</v>
      </c>
      <c r="N31" s="2">
        <f>SUM(
    COUNTIFS('Form responses 1'!$C$2:$C1001, A31, 'Form responses 1'!$A$2:$A1001, "&gt;=2025-04-01", 'Form responses 1'!$A$2:$A1001, "&lt;2025-07-01"),
    COUNTIFS('Form responses 1'!$B$2:$B1001, A31, 'Form responses 1'!$A$2:$A1001, "&gt;=2025-04-01", 'Form responses 1'!$A$2:$A1001, "&lt;2025-07-01"),
    COUNTIFS('Form responses 1'!$D$2:$D1001, A31, 'Form responses 1'!$A$2:$A1001, "&gt;=2025-04-01", 'Form responses 1'!$A$2:$A1001, "&lt;2025-07-01"),
    COUNTIFS('Form responses 1'!$E$2:$E1001, A31, 'Form responses 1'!$A$2:$A1001, "&gt;=2025-04-01", 'Form responses 1'!$A$2:$A1001, "&lt;2025-07-01"),
    COUNTIFS('Form responses 1'!$F$2:$F1001, A31, 'Form responses 1'!$A$2:$A1001, "&gt;=2025-04-01", 'Form responses 1'!$A$2:$A1001, "&lt;2025-07-01"),
    COUNTIFS('Form responses 1'!$G$2:$G1001, A31, 'Form responses 1'!$A$2:$A1001, "&gt;=2025-04-01", 'Form responses 1'!$A$2:$A1001, "&lt;2025-07-01")
)
</f>
        <v>0</v>
      </c>
      <c r="O31" s="2">
        <f>SUM(
    COUNTIFS('Form responses 1'!$C$2:$C1001, A31, 'Form responses 1'!$A$2:$A1001, "&gt;=2025-07-01", 'Form responses 1'!$A$2:$A1001, "&lt;=2025-09-30"),
    COUNTIFS('Form responses 1'!$B$2:$B1001, A31, 'Form responses 1'!$A$2:$A1001, "&gt;=2025-07-01", 'Form responses 1'!$A$2:$A1001, "&lt;=2025-09-30"),
    COUNTIFS('Form responses 1'!$D$2:$D1001, A31, 'Form responses 1'!$A$2:$A1001, "&gt;=2025-07-01", 'Form responses 1'!$A$2:$A1001, "&lt;=2025-09-30"),
    COUNTIFS('Form responses 1'!$E$2:$E1001, A31, 'Form responses 1'!$A$2:$A1001, "&gt;=2025-07-01", 'Form responses 1'!$A$2:$A1001, "&lt;=2025-09-30"),
    COUNTIFS('Form responses 1'!$F$2:$F1001, A31, 'Form responses 1'!$A$2:$A1001, "&gt;=2025-07-01", 'Form responses 1'!$A$2:$A1001, "&lt;=2025-09-30"),
    COUNTIFS('Form responses 1'!$G$2:$G1001, A31, 'Form responses 1'!$A$2:$A1001, "&gt;=2025-07-01", 'Form responses 1'!$A$2:$A1001, "&lt;=2025-09-30")
)
</f>
        <v>0</v>
      </c>
      <c r="P31" s="2">
        <f>SUM(
    COUNTIFS('Form responses 1'!$C$2:$C1001, A31, 'Form responses 1'!$A$2:$A1001, "&gt;=2025-10-01", 'Form responses 1'!$A$2:$A1001, "&lt;=2025-12-31"),
    COUNTIFS('Form responses 1'!$B$2:$B1001, A31, 'Form responses 1'!$A$2:$A1001, "&gt;=2025-10-01", 'Form responses 1'!$A$2:$A1001, "&lt;=2025-12-31"),
    COUNTIFS('Form responses 1'!$D$2:$D1001, A31, 'Form responses 1'!$A$2:$A1001, "&gt;=2025-10-01", 'Form responses 1'!$A$2:$A1001, "&lt;=2025-12-31"),
    COUNTIFS('Form responses 1'!$E$2:$E1001, A31, 'Form responses 1'!$A$2:$A1001, "&gt;=2025-10-01", 'Form responses 1'!$A$2:$A1001, "&lt;=2025-12-31"),
    COUNTIFS('Form responses 1'!$F$2:$F1001, A31, 'Form responses 1'!$A$2:$A1001, "&gt;=2025-10-01", 'Form responses 1'!$A$2:$A1001, "&lt;=2025-12-31"),
    COUNTIFS('Form responses 1'!$G$2:$G1001, A31, 'Form responses 1'!$A$2:$A1001, "&gt;=2025-10-01", 'Form responses 1'!$A$2:$A1001, "&lt;=2025-12-31")
)
</f>
        <v>0</v>
      </c>
    </row>
    <row r="32">
      <c r="A32" s="6" t="str">
        <f>IFERROR(__xludf.DUMMYFUNCTION("""COMPUTED_VALUE"""),"Rood t-shirt")</f>
        <v>Rood t-shirt</v>
      </c>
      <c r="B32" s="2">
        <f>SUM(
    COUNTIFS('Form responses 1'!$C$2:$C1001, A32, 'Form responses 1'!$A$2:$A1001, "&gt;=2022-04-01", 'Form responses 1'!$A$2:$A1001, "&lt;=2022-06-30"),
    COUNTIFS('Form responses 1'!$B$2:$B1001, A32, 'Form responses 1'!$A$2:$A1001, "&gt;=2022-04-01", 'Form responses 1'!$A$2:$A1001, "&lt;=2022-06-30"),
    COUNTIFS('Form responses 1'!$D$2:$D1001, A32, 'Form responses 1'!$A$2:$A1001, "&gt;=2022-04-01", 'Form responses 1'!$A$2:$A1001, "&lt;=2022-06-30"),
    COUNTIFS('Form responses 1'!$E$2:$E1001, A32, 'Form responses 1'!$A$2:$A1001, "&gt;=2022-04-01", 'Form responses 1'!$A$2:$A1001, "&lt;=2022-06-30"),
    COUNTIFS('Form responses 1'!$F$2:$F1001, A32, 'Form responses 1'!$A$2:$A1001, "&gt;=2022-04-01", 'Form responses 1'!$A$2:$A1001, "&lt;=2022-06-30"),
    COUNTIFS('Form responses 1'!$G$2:$G1001, A32, 'Form responses 1'!$A$2:$A1001, "&gt;=2022-04-01", 'Form responses 1'!$A$2:$A1001, "&lt;=2022-06-30")
)
</f>
        <v>0</v>
      </c>
      <c r="C32" s="2">
        <f>SUM(
    COUNTIFS('Form responses 1'!$C$2:$C1001, A32, 'Form responses 1'!$A$2:$A1001, "&gt;=2022-07-01", 'Form responses 1'!$A$2:$A1001, "&lt;=2022-09-30"),
    COUNTIFS('Form responses 1'!$B$2:$B1001, A32, 'Form responses 1'!$A$2:$A1001, "&gt;=2022-07-01", 'Form responses 1'!$A$2:$A1001, "&lt;=2022-09-30"),
    COUNTIFS('Form responses 1'!$D$2:$D1001, A32, 'Form responses 1'!$A$2:$A1001, "&gt;=2022-07-01", 'Form responses 1'!$A$2:$A1001, "&lt;=2022-09-30"),
    COUNTIFS('Form responses 1'!$E$2:$E1001, A32, 'Form responses 1'!$A$2:$A1001, "&gt;=2022-07-01", 'Form responses 1'!$A$2:$A1001, "&lt;=2022-09-30"),
    COUNTIFS('Form responses 1'!$F$2:$F1001, A32, 'Form responses 1'!$A$2:$A1001, "&gt;=2022-07-01", 'Form responses 1'!$A$2:$A1001, "&lt;=2022-09-30"),
    COUNTIFS('Form responses 1'!$G$2:$G1001, A32, 'Form responses 1'!$A$2:$A1001, "&gt;=2022-07-01", 'Form responses 1'!$A$2:$A1001, "&lt;=2022-09-30")
)
</f>
        <v>0</v>
      </c>
      <c r="D32" s="2">
        <f>SUM(
    COUNTIFS('Form responses 1'!$C$2:$C1001, A32, 'Form responses 1'!$A$2:$A1001, "&gt;=2022-10-01", 'Form responses 1'!$A$2:$A1001, "&lt;=2022-12-31"),
    COUNTIFS('Form responses 1'!$B$2:$B1001, A32, 'Form responses 1'!$A$2:$A1001, "&gt;=2022-10-01", 'Form responses 1'!$A$2:$A1001, "&lt;=2022-12-31"),
    COUNTIFS('Form responses 1'!$D$2:$D1001, A32, 'Form responses 1'!$A$2:$A1001, "&gt;=2022-10-01", 'Form responses 1'!$A$2:$A1001, "&lt;=2022-12-31"),
    COUNTIFS('Form responses 1'!$E$2:$E1001, A32, 'Form responses 1'!$A$2:$A1001, "&gt;=2022-10-01", 'Form responses 1'!$A$2:$A1001, "&lt;=2022-12-31"),
    COUNTIFS('Form responses 1'!$F$2:$F1001, A32, 'Form responses 1'!$A$2:$A1001, "&gt;=2022-10-01", 'Form responses 1'!$A$2:$A1001, "&lt;=2022-12-31"),
    COUNTIFS('Form responses 1'!$G$2:$G1001, A32, 'Form responses 1'!$A$2:$A1001, "&gt;=2022-10-01", 'Form responses 1'!$A$2:$A1001, "&lt;=2022-12-31")
)
</f>
        <v>2</v>
      </c>
      <c r="E32" s="2">
        <f>SUM(
    COUNTIFS('Form responses 1'!$C$2:$C1001, A32, 'Form responses 1'!$A$2:$A1001, "&gt;=2023-01-01", 'Form responses 1'!$A$2:$A1001, "&lt;=2023-03-31"),
    COUNTIFS('Form responses 1'!$B$2:$B1001, A32, 'Form responses 1'!$A$2:$A1001, "&gt;=2023-01-01", 'Form responses 1'!$A$2:$A1001, "&lt;=2023-03-31"),
    COUNTIFS('Form responses 1'!$D$2:$D1001, A32, 'Form responses 1'!$A$2:$A1001, "&gt;=2023-01-01", 'Form responses 1'!$A$2:$A1001, "&lt;=2023-03-31"),
    COUNTIFS('Form responses 1'!$E$2:$E1001, A32, 'Form responses 1'!$A$2:$A1001, "&gt;=2023-01-01", 'Form responses 1'!$A$2:$A1001, "&lt;=2023-03-31"),
    COUNTIFS('Form responses 1'!$F$2:$F1001, A32, 'Form responses 1'!$A$2:$A1001, "&gt;=2023-01-01", 'Form responses 1'!$A$2:$A1001, "&lt;=2023-03-31"),
    COUNTIFS('Form responses 1'!$G$2:$G1001, A32, 'Form responses 1'!$A$2:$A1001, "&gt;=2023-01-01", 'Form responses 1'!$A$2:$A1001, "&lt;=2023-03-31")
)
</f>
        <v>0</v>
      </c>
      <c r="F32" s="2">
        <f>SUM(
    COUNTIFS('Form responses 1'!$C$2:$C1001, A32, 'Form responses 1'!$A$2:$A1001, "&gt;=2023-04-01", 'Form responses 1'!$A$2:$A1001, "&lt;=2023-06-30"),
    COUNTIFS('Form responses 1'!$B$2:$B1001, A32, 'Form responses 1'!$A$2:$A1001, "&gt;=2023-04-01", 'Form responses 1'!$A$2:$A1001, "&lt;=2023-06-30"),
    COUNTIFS('Form responses 1'!$D$2:$D1001, A32, 'Form responses 1'!$A$2:$A1001, "&gt;=2023-04-01", 'Form responses 1'!$A$2:$A1001, "&lt;=2023-06-30"),
    COUNTIFS('Form responses 1'!$E$2:$E1001, A32, 'Form responses 1'!$A$2:$A1001, "&gt;=2023-04-01", 'Form responses 1'!$A$2:$A1001, "&lt;=2023-06-30"),
    COUNTIFS('Form responses 1'!$F$2:$F1001, A32, 'Form responses 1'!$A$2:$A1001, "&gt;=2023-04-01", 'Form responses 1'!$A$2:$A1001, "&lt;=2023-06-30"),
    COUNTIFS('Form responses 1'!$G$2:$G1001, A32, 'Form responses 1'!$A$2:$A1001, "&gt;=2023-04-01", 'Form responses 1'!$A$2:$A1001, "&lt;=2023-06-30")
)
</f>
        <v>0</v>
      </c>
      <c r="G32" s="2">
        <f>SUM(
    COUNTIFS('Form responses 1'!$C$2:$C1001, A32, 'Form responses 1'!$A$2:$A1001, "&gt;=2023-07-01", 'Form responses 1'!$A$2:$A1001, "&lt;=2023-09-30"),
    COUNTIFS('Form responses 1'!$B$2:$B1001, A32, 'Form responses 1'!$A$2:$A1001, "&gt;=2023-07-01", 'Form responses 1'!$A$2:$A1001, "&lt;=2023-09-30"),
    COUNTIFS('Form responses 1'!$D$2:$D1001, A32, 'Form responses 1'!$A$2:$A1001, "&gt;=2023-07-01", 'Form responses 1'!$A$2:$A1001, "&lt;=2023-09-30"),
    COUNTIFS('Form responses 1'!$E$2:$E1001, A32, 'Form responses 1'!$A$2:$A1001, "&gt;=2023-07-01", 'Form responses 1'!$A$2:$A1001, "&lt;=2023-09-30"),
    COUNTIFS('Form responses 1'!$F$2:$F1001, A32, 'Form responses 1'!$A$2:$A1001, "&gt;=2023-07-01", 'Form responses 1'!$A$2:$A1001, "&lt;=2023-09-30"),
    COUNTIFS('Form responses 1'!$G$2:$G1001, A32, 'Form responses 1'!$A$2:$A1001, "&gt;=2023-07-01", 'Form responses 1'!$A$2:$A1001, "&lt;=2023-09-30")
)
</f>
        <v>0</v>
      </c>
      <c r="H32" s="2">
        <f>SUM(
    COUNTIFS('Form responses 1'!$C$2:$C1001, A32, 'Form responses 1'!$A$2:$A1001, "&gt;=2023-10-01", 'Form responses 1'!$A$2:$A1001, "&lt;=2023-12-31"),
    COUNTIFS('Form responses 1'!$B$2:$B1001, A32, 'Form responses 1'!$A$2:$A1001, "&gt;=2023-10-01", 'Form responses 1'!$A$2:$A1001, "&lt;=2023-12-31"),
    COUNTIFS('Form responses 1'!$D$2:$D1001, A32, 'Form responses 1'!$A$2:$A1001, "&gt;=2023-10-01", 'Form responses 1'!$A$2:$A1001, "&lt;=2023-12-31"),
    COUNTIFS('Form responses 1'!$E$2:$E1001, A32, 'Form responses 1'!$A$2:$A1001, "&gt;=2023-10-01", 'Form responses 1'!$A$2:$A1001, "&lt;=2023-12-31"),
    COUNTIFS('Form responses 1'!$F$2:$F1001, A32, 'Form responses 1'!$A$2:$A1001, "&gt;=2023-10-01", 'Form responses 1'!$A$2:$A1001, "&lt;=2023-12-31"),
    COUNTIFS('Form responses 1'!$G$2:$G1001, A32, 'Form responses 1'!$A$2:$A1001, "&gt;=2023-10-01", 'Form responses 1'!$A$2:$A1001, "&lt;=2023-12-31")
)
</f>
        <v>0</v>
      </c>
      <c r="I32" s="2">
        <f>SUM(
    COUNTIFS('Form responses 1'!$C$2:$C1001, A32, 'Form responses 1'!$A$2:$A1001, "&gt;=2024-01-01", 'Form responses 1'!$A$2:$A1001, "&lt;=2024-03-31"),
    COUNTIFS('Form responses 1'!$B$2:$B1001, A32, 'Form responses 1'!$A$2:$A1001, "&gt;=2024-01-01", 'Form responses 1'!$A$2:$A1001, "&lt;=2024-03-31"),
    COUNTIFS('Form responses 1'!$D$2:$D1001, A32, 'Form responses 1'!$A$2:$A1001, "&gt;=2024-01-01", 'Form responses 1'!$A$2:$A1001, "&lt;=2024-03-31"),
    COUNTIFS('Form responses 1'!$E$2:$E1001, A32, 'Form responses 1'!$A$2:$A1001, "&gt;=2024-01-01", 'Form responses 1'!$A$2:$A1001, "&lt;=2024-03-31"),
    COUNTIFS('Form responses 1'!$F$2:$F1001, A32, 'Form responses 1'!$A$2:$A1001, "&gt;=2024-01-01", 'Form responses 1'!$A$2:$A1001, "&lt;=2024-03-31"),
    COUNTIFS('Form responses 1'!$G$2:$G1001, A32, 'Form responses 1'!$A$2:$A1001, "&gt;=2024-01-01", 'Form responses 1'!$A$2:$A1001, "&lt;=2024-03-31")
)
</f>
        <v>0</v>
      </c>
      <c r="J32" s="2">
        <f>SUM(
    COUNTIFS('Form responses 1'!$C$2:$C1001, A32, 'Form responses 1'!$A$2:$A1001, "&gt;=2024-04-01", 'Form responses 1'!$A$2:$A1001, "&lt;=2024-06-30"),
    COUNTIFS('Form responses 1'!$B$2:$B1001, A32, 'Form responses 1'!$A$2:$A1001, "&gt;=2024-04-01", 'Form responses 1'!$A$2:$A1001, "&lt;=2024-06-30"),
    COUNTIFS('Form responses 1'!$D$2:$D1001, A32, 'Form responses 1'!$A$2:$A1001, "&gt;=2024-04-01", 'Form responses 1'!$A$2:$A1001, "&lt;=2024-06-30"),
    COUNTIFS('Form responses 1'!$E$2:$E1001, A32, 'Form responses 1'!$A$2:$A1001, "&gt;=2024-04-01", 'Form responses 1'!$A$2:$A1001, "&lt;=2024-06-30"),
    COUNTIFS('Form responses 1'!$F$2:$F1001, A32, 'Form responses 1'!$A$2:$A1001, "&gt;=2024-04-01", 'Form responses 1'!$A$2:$A1001, "&lt;=2024-06-30"),
    COUNTIFS('Form responses 1'!$G$2:$G1001, A32, 'Form responses 1'!$A$2:$A1001, "&gt;=2024-04-01", 'Form responses 1'!$A$2:$A1001, "&lt;=2024-06-30")
)
</f>
        <v>0</v>
      </c>
      <c r="K32" s="2">
        <f>SUM(
    COUNTIFS('Form responses 1'!$C$2:$C1001, A32, 'Form responses 1'!$A$2:$A1001, "&gt;=2024-07-01", 'Form responses 1'!$A$2:$A1001, "&lt;=2024-09-30"),
    COUNTIFS('Form responses 1'!$B$2:$B1001, A32, 'Form responses 1'!$A$2:$A1001, "&gt;=2024-07-01", 'Form responses 1'!$A$2:$A1001, "&lt;=2024-09-30"),
    COUNTIFS('Form responses 1'!$D$2:$D1001, A32, 'Form responses 1'!$A$2:$A1001, "&gt;=2024-07-01", 'Form responses 1'!$A$2:$A1001, "&lt;=2024-09-30"),
    COUNTIFS('Form responses 1'!$E$2:$E1001, A32, 'Form responses 1'!$A$2:$A1001, "&gt;=2024-07-01", 'Form responses 1'!$A$2:$A1001, "&lt;=2024-09-30"),
    COUNTIFS('Form responses 1'!$F$2:$F1001, A32, 'Form responses 1'!$A$2:$A1001, "&gt;=2024-07-01", 'Form responses 1'!$A$2:$A1001, "&lt;=2024-09-30"),
    COUNTIFS('Form responses 1'!$G$2:$G1001, A32, 'Form responses 1'!$A$2:$A1001, "&gt;=2024-07-01", 'Form responses 1'!$A$2:$A1001, "&lt;=2024-09-30")
)
</f>
        <v>0</v>
      </c>
      <c r="L32" s="2">
        <f>SUM(
    COUNTIFS('Form responses 1'!$C$2:$C1001, A32, 'Form responses 1'!$A$2:$A1001, "&gt;=2024-10-01", 'Form responses 1'!$A$2:$A1001, "&lt;=2024-12-31"),
    COUNTIFS('Form responses 1'!$B$2:$B1001, A32, 'Form responses 1'!$A$2:$A1001, "&gt;=2024-10-01", 'Form responses 1'!$A$2:$A1001, "&lt;=2024-12-31"),
    COUNTIFS('Form responses 1'!$D$2:$D1001, A32, 'Form responses 1'!$A$2:$A1001, "&gt;=2024-10-01", 'Form responses 1'!$A$2:$A1001, "&lt;=2024-12-31"),
    COUNTIFS('Form responses 1'!$E$2:$E1001, A32, 'Form responses 1'!$A$2:$A1001, "&gt;=2024-10-01", 'Form responses 1'!$A$2:$A1001, "&lt;=2024-12-31"),
    COUNTIFS('Form responses 1'!$F$2:$F1001, A32, 'Form responses 1'!$A$2:$A1001, "&gt;=2024-10-01", 'Form responses 1'!$A$2:$A1001, "&lt;=2024-12-31"),
    COUNTIFS('Form responses 1'!$G$2:$G1001, A32, 'Form responses 1'!$A$2:$A1001, "&gt;=2024-10-01", 'Form responses 1'!$A$2:$A1001, "&lt;=2024-12-31")
)
</f>
        <v>0</v>
      </c>
      <c r="M32" s="2">
        <f>SUM(
    COUNTIFS('Form responses 1'!$C$2:$C1001, A32, 'Form responses 1'!$A$2:$A1001, "&gt;=2025-01-01", 'Form responses 1'!$A$2:$A1001, "&lt;=2025-03-31"),
    COUNTIFS('Form responses 1'!$B$2:$B1001, A32, 'Form responses 1'!$A$2:$A1001, "&gt;=2025-01-01", 'Form responses 1'!$A$2:$A1001, "&lt;=2025-03-31"),
    COUNTIFS('Form responses 1'!$D$2:$D1001, A32, 'Form responses 1'!$A$2:$A1001, "&gt;=2025-01-01", 'Form responses 1'!$A$2:$A1001, "&lt;=2025-03-31"),
    COUNTIFS('Form responses 1'!$E$2:$E1001, A32, 'Form responses 1'!$A$2:$A1001, "&gt;=2025-01-01", 'Form responses 1'!$A$2:$A1001, "&lt;=2025-03-31"),
    COUNTIFS('Form responses 1'!$F$2:$F1001, A32, 'Form responses 1'!$A$2:$A1001, "&gt;=2025-01-01", 'Form responses 1'!$A$2:$A1001, "&lt;=2025-03-31"),
    COUNTIFS('Form responses 1'!$G$2:$G1001, A32, 'Form responses 1'!$A$2:$A1001, "&gt;=2025-01-01", 'Form responses 1'!$A$2:$A1001, "&lt;=2025-03-31")
)
</f>
        <v>0</v>
      </c>
      <c r="N32" s="2">
        <f>SUM(
    COUNTIFS('Form responses 1'!$C$2:$C1001, A32, 'Form responses 1'!$A$2:$A1001, "&gt;=2025-04-01", 'Form responses 1'!$A$2:$A1001, "&lt;2025-07-01"),
    COUNTIFS('Form responses 1'!$B$2:$B1001, A32, 'Form responses 1'!$A$2:$A1001, "&gt;=2025-04-01", 'Form responses 1'!$A$2:$A1001, "&lt;2025-07-01"),
    COUNTIFS('Form responses 1'!$D$2:$D1001, A32, 'Form responses 1'!$A$2:$A1001, "&gt;=2025-04-01", 'Form responses 1'!$A$2:$A1001, "&lt;2025-07-01"),
    COUNTIFS('Form responses 1'!$E$2:$E1001, A32, 'Form responses 1'!$A$2:$A1001, "&gt;=2025-04-01", 'Form responses 1'!$A$2:$A1001, "&lt;2025-07-01"),
    COUNTIFS('Form responses 1'!$F$2:$F1001, A32, 'Form responses 1'!$A$2:$A1001, "&gt;=2025-04-01", 'Form responses 1'!$A$2:$A1001, "&lt;2025-07-01"),
    COUNTIFS('Form responses 1'!$G$2:$G1001, A32, 'Form responses 1'!$A$2:$A1001, "&gt;=2025-04-01", 'Form responses 1'!$A$2:$A1001, "&lt;2025-07-01")
)
</f>
        <v>0</v>
      </c>
      <c r="O32" s="2">
        <f>SUM(
    COUNTIFS('Form responses 1'!$C$2:$C1001, A32, 'Form responses 1'!$A$2:$A1001, "&gt;=2025-07-01", 'Form responses 1'!$A$2:$A1001, "&lt;=2025-09-30"),
    COUNTIFS('Form responses 1'!$B$2:$B1001, A32, 'Form responses 1'!$A$2:$A1001, "&gt;=2025-07-01", 'Form responses 1'!$A$2:$A1001, "&lt;=2025-09-30"),
    COUNTIFS('Form responses 1'!$D$2:$D1001, A32, 'Form responses 1'!$A$2:$A1001, "&gt;=2025-07-01", 'Form responses 1'!$A$2:$A1001, "&lt;=2025-09-30"),
    COUNTIFS('Form responses 1'!$E$2:$E1001, A32, 'Form responses 1'!$A$2:$A1001, "&gt;=2025-07-01", 'Form responses 1'!$A$2:$A1001, "&lt;=2025-09-30"),
    COUNTIFS('Form responses 1'!$F$2:$F1001, A32, 'Form responses 1'!$A$2:$A1001, "&gt;=2025-07-01", 'Form responses 1'!$A$2:$A1001, "&lt;=2025-09-30"),
    COUNTIFS('Form responses 1'!$G$2:$G1001, A32, 'Form responses 1'!$A$2:$A1001, "&gt;=2025-07-01", 'Form responses 1'!$A$2:$A1001, "&lt;=2025-09-30")
)
</f>
        <v>0</v>
      </c>
      <c r="P32" s="2">
        <f>SUM(
    COUNTIFS('Form responses 1'!$C$2:$C1001, A32, 'Form responses 1'!$A$2:$A1001, "&gt;=2025-10-01", 'Form responses 1'!$A$2:$A1001, "&lt;=2025-12-31"),
    COUNTIFS('Form responses 1'!$B$2:$B1001, A32, 'Form responses 1'!$A$2:$A1001, "&gt;=2025-10-01", 'Form responses 1'!$A$2:$A1001, "&lt;=2025-12-31"),
    COUNTIFS('Form responses 1'!$D$2:$D1001, A32, 'Form responses 1'!$A$2:$A1001, "&gt;=2025-10-01", 'Form responses 1'!$A$2:$A1001, "&lt;=2025-12-31"),
    COUNTIFS('Form responses 1'!$E$2:$E1001, A32, 'Form responses 1'!$A$2:$A1001, "&gt;=2025-10-01", 'Form responses 1'!$A$2:$A1001, "&lt;=2025-12-31"),
    COUNTIFS('Form responses 1'!$F$2:$F1001, A32, 'Form responses 1'!$A$2:$A1001, "&gt;=2025-10-01", 'Form responses 1'!$A$2:$A1001, "&lt;=2025-12-31"),
    COUNTIFS('Form responses 1'!$G$2:$G1001, A32, 'Form responses 1'!$A$2:$A1001, "&gt;=2025-10-01", 'Form responses 1'!$A$2:$A1001, "&lt;=2025-12-31")
)
</f>
        <v>0</v>
      </c>
    </row>
    <row r="33">
      <c r="A33" s="6" t="str">
        <f>IFERROR(__xludf.DUMMYFUNCTION("""COMPUTED_VALUE"""),"Grijs t-shirt")</f>
        <v>Grijs t-shirt</v>
      </c>
      <c r="B33" s="2">
        <f>SUM(
    COUNTIFS('Form responses 1'!$C$2:$C1001, A33, 'Form responses 1'!$A$2:$A1001, "&gt;=2022-04-01", 'Form responses 1'!$A$2:$A1001, "&lt;=2022-06-30"),
    COUNTIFS('Form responses 1'!$B$2:$B1001, A33, 'Form responses 1'!$A$2:$A1001, "&gt;=2022-04-01", 'Form responses 1'!$A$2:$A1001, "&lt;=2022-06-30"),
    COUNTIFS('Form responses 1'!$D$2:$D1001, A33, 'Form responses 1'!$A$2:$A1001, "&gt;=2022-04-01", 'Form responses 1'!$A$2:$A1001, "&lt;=2022-06-30"),
    COUNTIFS('Form responses 1'!$E$2:$E1001, A33, 'Form responses 1'!$A$2:$A1001, "&gt;=2022-04-01", 'Form responses 1'!$A$2:$A1001, "&lt;=2022-06-30"),
    COUNTIFS('Form responses 1'!$F$2:$F1001, A33, 'Form responses 1'!$A$2:$A1001, "&gt;=2022-04-01", 'Form responses 1'!$A$2:$A1001, "&lt;=2022-06-30"),
    COUNTIFS('Form responses 1'!$G$2:$G1001, A33, 'Form responses 1'!$A$2:$A1001, "&gt;=2022-04-01", 'Form responses 1'!$A$2:$A1001, "&lt;=2022-06-30")
)
</f>
        <v>5</v>
      </c>
      <c r="C33" s="2">
        <f>SUM(
    COUNTIFS('Form responses 1'!$C$2:$C1001, A33, 'Form responses 1'!$A$2:$A1001, "&gt;=2022-07-01", 'Form responses 1'!$A$2:$A1001, "&lt;=2022-09-30"),
    COUNTIFS('Form responses 1'!$B$2:$B1001, A33, 'Form responses 1'!$A$2:$A1001, "&gt;=2022-07-01", 'Form responses 1'!$A$2:$A1001, "&lt;=2022-09-30"),
    COUNTIFS('Form responses 1'!$D$2:$D1001, A33, 'Form responses 1'!$A$2:$A1001, "&gt;=2022-07-01", 'Form responses 1'!$A$2:$A1001, "&lt;=2022-09-30"),
    COUNTIFS('Form responses 1'!$E$2:$E1001, A33, 'Form responses 1'!$A$2:$A1001, "&gt;=2022-07-01", 'Form responses 1'!$A$2:$A1001, "&lt;=2022-09-30"),
    COUNTIFS('Form responses 1'!$F$2:$F1001, A33, 'Form responses 1'!$A$2:$A1001, "&gt;=2022-07-01", 'Form responses 1'!$A$2:$A1001, "&lt;=2022-09-30"),
    COUNTIFS('Form responses 1'!$G$2:$G1001, A33, 'Form responses 1'!$A$2:$A1001, "&gt;=2022-07-01", 'Form responses 1'!$A$2:$A1001, "&lt;=2022-09-30")
)
</f>
        <v>3</v>
      </c>
      <c r="D33" s="2">
        <f>SUM(
    COUNTIFS('Form responses 1'!$C$2:$C1001, A33, 'Form responses 1'!$A$2:$A1001, "&gt;=2022-10-01", 'Form responses 1'!$A$2:$A1001, "&lt;=2022-12-31"),
    COUNTIFS('Form responses 1'!$B$2:$B1001, A33, 'Form responses 1'!$A$2:$A1001, "&gt;=2022-10-01", 'Form responses 1'!$A$2:$A1001, "&lt;=2022-12-31"),
    COUNTIFS('Form responses 1'!$D$2:$D1001, A33, 'Form responses 1'!$A$2:$A1001, "&gt;=2022-10-01", 'Form responses 1'!$A$2:$A1001, "&lt;=2022-12-31"),
    COUNTIFS('Form responses 1'!$E$2:$E1001, A33, 'Form responses 1'!$A$2:$A1001, "&gt;=2022-10-01", 'Form responses 1'!$A$2:$A1001, "&lt;=2022-12-31"),
    COUNTIFS('Form responses 1'!$F$2:$F1001, A33, 'Form responses 1'!$A$2:$A1001, "&gt;=2022-10-01", 'Form responses 1'!$A$2:$A1001, "&lt;=2022-12-31"),
    COUNTIFS('Form responses 1'!$G$2:$G1001, A33, 'Form responses 1'!$A$2:$A1001, "&gt;=2022-10-01", 'Form responses 1'!$A$2:$A1001, "&lt;=2022-12-31")
)
</f>
        <v>0</v>
      </c>
      <c r="E33" s="2">
        <f>SUM(
    COUNTIFS('Form responses 1'!$C$2:$C1001, A33, 'Form responses 1'!$A$2:$A1001, "&gt;=2023-01-01", 'Form responses 1'!$A$2:$A1001, "&lt;=2023-03-31"),
    COUNTIFS('Form responses 1'!$B$2:$B1001, A33, 'Form responses 1'!$A$2:$A1001, "&gt;=2023-01-01", 'Form responses 1'!$A$2:$A1001, "&lt;=2023-03-31"),
    COUNTIFS('Form responses 1'!$D$2:$D1001, A33, 'Form responses 1'!$A$2:$A1001, "&gt;=2023-01-01", 'Form responses 1'!$A$2:$A1001, "&lt;=2023-03-31"),
    COUNTIFS('Form responses 1'!$E$2:$E1001, A33, 'Form responses 1'!$A$2:$A1001, "&gt;=2023-01-01", 'Form responses 1'!$A$2:$A1001, "&lt;=2023-03-31"),
    COUNTIFS('Form responses 1'!$F$2:$F1001, A33, 'Form responses 1'!$A$2:$A1001, "&gt;=2023-01-01", 'Form responses 1'!$A$2:$A1001, "&lt;=2023-03-31"),
    COUNTIFS('Form responses 1'!$G$2:$G1001, A33, 'Form responses 1'!$A$2:$A1001, "&gt;=2023-01-01", 'Form responses 1'!$A$2:$A1001, "&lt;=2023-03-31")
)
</f>
        <v>0</v>
      </c>
      <c r="F33" s="2">
        <f>SUM(
    COUNTIFS('Form responses 1'!$C$2:$C1001, A33, 'Form responses 1'!$A$2:$A1001, "&gt;=2023-04-01", 'Form responses 1'!$A$2:$A1001, "&lt;=2023-06-30"),
    COUNTIFS('Form responses 1'!$B$2:$B1001, A33, 'Form responses 1'!$A$2:$A1001, "&gt;=2023-04-01", 'Form responses 1'!$A$2:$A1001, "&lt;=2023-06-30"),
    COUNTIFS('Form responses 1'!$D$2:$D1001, A33, 'Form responses 1'!$A$2:$A1001, "&gt;=2023-04-01", 'Form responses 1'!$A$2:$A1001, "&lt;=2023-06-30"),
    COUNTIFS('Form responses 1'!$E$2:$E1001, A33, 'Form responses 1'!$A$2:$A1001, "&gt;=2023-04-01", 'Form responses 1'!$A$2:$A1001, "&lt;=2023-06-30"),
    COUNTIFS('Form responses 1'!$F$2:$F1001, A33, 'Form responses 1'!$A$2:$A1001, "&gt;=2023-04-01", 'Form responses 1'!$A$2:$A1001, "&lt;=2023-06-30"),
    COUNTIFS('Form responses 1'!$G$2:$G1001, A33, 'Form responses 1'!$A$2:$A1001, "&gt;=2023-04-01", 'Form responses 1'!$A$2:$A1001, "&lt;=2023-06-30")
)
</f>
        <v>0</v>
      </c>
      <c r="G33" s="2">
        <f>SUM(
    COUNTIFS('Form responses 1'!$C$2:$C1001, A33, 'Form responses 1'!$A$2:$A1001, "&gt;=2023-07-01", 'Form responses 1'!$A$2:$A1001, "&lt;=2023-09-30"),
    COUNTIFS('Form responses 1'!$B$2:$B1001, A33, 'Form responses 1'!$A$2:$A1001, "&gt;=2023-07-01", 'Form responses 1'!$A$2:$A1001, "&lt;=2023-09-30"),
    COUNTIFS('Form responses 1'!$D$2:$D1001, A33, 'Form responses 1'!$A$2:$A1001, "&gt;=2023-07-01", 'Form responses 1'!$A$2:$A1001, "&lt;=2023-09-30"),
    COUNTIFS('Form responses 1'!$E$2:$E1001, A33, 'Form responses 1'!$A$2:$A1001, "&gt;=2023-07-01", 'Form responses 1'!$A$2:$A1001, "&lt;=2023-09-30"),
    COUNTIFS('Form responses 1'!$F$2:$F1001, A33, 'Form responses 1'!$A$2:$A1001, "&gt;=2023-07-01", 'Form responses 1'!$A$2:$A1001, "&lt;=2023-09-30"),
    COUNTIFS('Form responses 1'!$G$2:$G1001, A33, 'Form responses 1'!$A$2:$A1001, "&gt;=2023-07-01", 'Form responses 1'!$A$2:$A1001, "&lt;=2023-09-30")
)
</f>
        <v>1</v>
      </c>
      <c r="H33" s="2">
        <f>SUM(
    COUNTIFS('Form responses 1'!$C$2:$C1001, A33, 'Form responses 1'!$A$2:$A1001, "&gt;=2023-10-01", 'Form responses 1'!$A$2:$A1001, "&lt;=2023-12-31"),
    COUNTIFS('Form responses 1'!$B$2:$B1001, A33, 'Form responses 1'!$A$2:$A1001, "&gt;=2023-10-01", 'Form responses 1'!$A$2:$A1001, "&lt;=2023-12-31"),
    COUNTIFS('Form responses 1'!$D$2:$D1001, A33, 'Form responses 1'!$A$2:$A1001, "&gt;=2023-10-01", 'Form responses 1'!$A$2:$A1001, "&lt;=2023-12-31"),
    COUNTIFS('Form responses 1'!$E$2:$E1001, A33, 'Form responses 1'!$A$2:$A1001, "&gt;=2023-10-01", 'Form responses 1'!$A$2:$A1001, "&lt;=2023-12-31"),
    COUNTIFS('Form responses 1'!$F$2:$F1001, A33, 'Form responses 1'!$A$2:$A1001, "&gt;=2023-10-01", 'Form responses 1'!$A$2:$A1001, "&lt;=2023-12-31"),
    COUNTIFS('Form responses 1'!$G$2:$G1001, A33, 'Form responses 1'!$A$2:$A1001, "&gt;=2023-10-01", 'Form responses 1'!$A$2:$A1001, "&lt;=2023-12-31")
)
</f>
        <v>1</v>
      </c>
      <c r="I33" s="2">
        <f>SUM(
    COUNTIFS('Form responses 1'!$C$2:$C1001, A33, 'Form responses 1'!$A$2:$A1001, "&gt;=2024-01-01", 'Form responses 1'!$A$2:$A1001, "&lt;=2024-03-31"),
    COUNTIFS('Form responses 1'!$B$2:$B1001, A33, 'Form responses 1'!$A$2:$A1001, "&gt;=2024-01-01", 'Form responses 1'!$A$2:$A1001, "&lt;=2024-03-31"),
    COUNTIFS('Form responses 1'!$D$2:$D1001, A33, 'Form responses 1'!$A$2:$A1001, "&gt;=2024-01-01", 'Form responses 1'!$A$2:$A1001, "&lt;=2024-03-31"),
    COUNTIFS('Form responses 1'!$E$2:$E1001, A33, 'Form responses 1'!$A$2:$A1001, "&gt;=2024-01-01", 'Form responses 1'!$A$2:$A1001, "&lt;=2024-03-31"),
    COUNTIFS('Form responses 1'!$F$2:$F1001, A33, 'Form responses 1'!$A$2:$A1001, "&gt;=2024-01-01", 'Form responses 1'!$A$2:$A1001, "&lt;=2024-03-31"),
    COUNTIFS('Form responses 1'!$G$2:$G1001, A33, 'Form responses 1'!$A$2:$A1001, "&gt;=2024-01-01", 'Form responses 1'!$A$2:$A1001, "&lt;=2024-03-31")
)
</f>
        <v>0</v>
      </c>
      <c r="J33" s="2">
        <f>SUM(
    COUNTIFS('Form responses 1'!$C$2:$C1001, A33, 'Form responses 1'!$A$2:$A1001, "&gt;=2024-04-01", 'Form responses 1'!$A$2:$A1001, "&lt;=2024-06-30"),
    COUNTIFS('Form responses 1'!$B$2:$B1001, A33, 'Form responses 1'!$A$2:$A1001, "&gt;=2024-04-01", 'Form responses 1'!$A$2:$A1001, "&lt;=2024-06-30"),
    COUNTIFS('Form responses 1'!$D$2:$D1001, A33, 'Form responses 1'!$A$2:$A1001, "&gt;=2024-04-01", 'Form responses 1'!$A$2:$A1001, "&lt;=2024-06-30"),
    COUNTIFS('Form responses 1'!$E$2:$E1001, A33, 'Form responses 1'!$A$2:$A1001, "&gt;=2024-04-01", 'Form responses 1'!$A$2:$A1001, "&lt;=2024-06-30"),
    COUNTIFS('Form responses 1'!$F$2:$F1001, A33, 'Form responses 1'!$A$2:$A1001, "&gt;=2024-04-01", 'Form responses 1'!$A$2:$A1001, "&lt;=2024-06-30"),
    COUNTIFS('Form responses 1'!$G$2:$G1001, A33, 'Form responses 1'!$A$2:$A1001, "&gt;=2024-04-01", 'Form responses 1'!$A$2:$A1001, "&lt;=2024-06-30")
)
</f>
        <v>0</v>
      </c>
      <c r="K33" s="2">
        <f>SUM(
    COUNTIFS('Form responses 1'!$C$2:$C1001, A33, 'Form responses 1'!$A$2:$A1001, "&gt;=2024-07-01", 'Form responses 1'!$A$2:$A1001, "&lt;=2024-09-30"),
    COUNTIFS('Form responses 1'!$B$2:$B1001, A33, 'Form responses 1'!$A$2:$A1001, "&gt;=2024-07-01", 'Form responses 1'!$A$2:$A1001, "&lt;=2024-09-30"),
    COUNTIFS('Form responses 1'!$D$2:$D1001, A33, 'Form responses 1'!$A$2:$A1001, "&gt;=2024-07-01", 'Form responses 1'!$A$2:$A1001, "&lt;=2024-09-30"),
    COUNTIFS('Form responses 1'!$E$2:$E1001, A33, 'Form responses 1'!$A$2:$A1001, "&gt;=2024-07-01", 'Form responses 1'!$A$2:$A1001, "&lt;=2024-09-30"),
    COUNTIFS('Form responses 1'!$F$2:$F1001, A33, 'Form responses 1'!$A$2:$A1001, "&gt;=2024-07-01", 'Form responses 1'!$A$2:$A1001, "&lt;=2024-09-30"),
    COUNTIFS('Form responses 1'!$G$2:$G1001, A33, 'Form responses 1'!$A$2:$A1001, "&gt;=2024-07-01", 'Form responses 1'!$A$2:$A1001, "&lt;=2024-09-30")
)
</f>
        <v>1</v>
      </c>
      <c r="L33" s="2">
        <f>SUM(
    COUNTIFS('Form responses 1'!$C$2:$C1001, A33, 'Form responses 1'!$A$2:$A1001, "&gt;=2024-10-01", 'Form responses 1'!$A$2:$A1001, "&lt;=2024-12-31"),
    COUNTIFS('Form responses 1'!$B$2:$B1001, A33, 'Form responses 1'!$A$2:$A1001, "&gt;=2024-10-01", 'Form responses 1'!$A$2:$A1001, "&lt;=2024-12-31"),
    COUNTIFS('Form responses 1'!$D$2:$D1001, A33, 'Form responses 1'!$A$2:$A1001, "&gt;=2024-10-01", 'Form responses 1'!$A$2:$A1001, "&lt;=2024-12-31"),
    COUNTIFS('Form responses 1'!$E$2:$E1001, A33, 'Form responses 1'!$A$2:$A1001, "&gt;=2024-10-01", 'Form responses 1'!$A$2:$A1001, "&lt;=2024-12-31"),
    COUNTIFS('Form responses 1'!$F$2:$F1001, A33, 'Form responses 1'!$A$2:$A1001, "&gt;=2024-10-01", 'Form responses 1'!$A$2:$A1001, "&lt;=2024-12-31"),
    COUNTIFS('Form responses 1'!$G$2:$G1001, A33, 'Form responses 1'!$A$2:$A1001, "&gt;=2024-10-01", 'Form responses 1'!$A$2:$A1001, "&lt;=2024-12-31")
)
</f>
        <v>0</v>
      </c>
      <c r="M33" s="2">
        <f>SUM(
    COUNTIFS('Form responses 1'!$C$2:$C1001, A33, 'Form responses 1'!$A$2:$A1001, "&gt;=2025-01-01", 'Form responses 1'!$A$2:$A1001, "&lt;=2025-03-31"),
    COUNTIFS('Form responses 1'!$B$2:$B1001, A33, 'Form responses 1'!$A$2:$A1001, "&gt;=2025-01-01", 'Form responses 1'!$A$2:$A1001, "&lt;=2025-03-31"),
    COUNTIFS('Form responses 1'!$D$2:$D1001, A33, 'Form responses 1'!$A$2:$A1001, "&gt;=2025-01-01", 'Form responses 1'!$A$2:$A1001, "&lt;=2025-03-31"),
    COUNTIFS('Form responses 1'!$E$2:$E1001, A33, 'Form responses 1'!$A$2:$A1001, "&gt;=2025-01-01", 'Form responses 1'!$A$2:$A1001, "&lt;=2025-03-31"),
    COUNTIFS('Form responses 1'!$F$2:$F1001, A33, 'Form responses 1'!$A$2:$A1001, "&gt;=2025-01-01", 'Form responses 1'!$A$2:$A1001, "&lt;=2025-03-31"),
    COUNTIFS('Form responses 1'!$G$2:$G1001, A33, 'Form responses 1'!$A$2:$A1001, "&gt;=2025-01-01", 'Form responses 1'!$A$2:$A1001, "&lt;=2025-03-31")
)
</f>
        <v>0</v>
      </c>
      <c r="N33" s="2">
        <f>SUM(
    COUNTIFS('Form responses 1'!$C$2:$C1001, A33, 'Form responses 1'!$A$2:$A1001, "&gt;=2025-04-01", 'Form responses 1'!$A$2:$A1001, "&lt;2025-07-01"),
    COUNTIFS('Form responses 1'!$B$2:$B1001, A33, 'Form responses 1'!$A$2:$A1001, "&gt;=2025-04-01", 'Form responses 1'!$A$2:$A1001, "&lt;2025-07-01"),
    COUNTIFS('Form responses 1'!$D$2:$D1001, A33, 'Form responses 1'!$A$2:$A1001, "&gt;=2025-04-01", 'Form responses 1'!$A$2:$A1001, "&lt;2025-07-01"),
    COUNTIFS('Form responses 1'!$E$2:$E1001, A33, 'Form responses 1'!$A$2:$A1001, "&gt;=2025-04-01", 'Form responses 1'!$A$2:$A1001, "&lt;2025-07-01"),
    COUNTIFS('Form responses 1'!$F$2:$F1001, A33, 'Form responses 1'!$A$2:$A1001, "&gt;=2025-04-01", 'Form responses 1'!$A$2:$A1001, "&lt;2025-07-01"),
    COUNTIFS('Form responses 1'!$G$2:$G1001, A33, 'Form responses 1'!$A$2:$A1001, "&gt;=2025-04-01", 'Form responses 1'!$A$2:$A1001, "&lt;2025-07-01")
)
</f>
        <v>0</v>
      </c>
      <c r="O33" s="2">
        <f>SUM(
    COUNTIFS('Form responses 1'!$C$2:$C1001, A33, 'Form responses 1'!$A$2:$A1001, "&gt;=2025-07-01", 'Form responses 1'!$A$2:$A1001, "&lt;=2025-09-30"),
    COUNTIFS('Form responses 1'!$B$2:$B1001, A33, 'Form responses 1'!$A$2:$A1001, "&gt;=2025-07-01", 'Form responses 1'!$A$2:$A1001, "&lt;=2025-09-30"),
    COUNTIFS('Form responses 1'!$D$2:$D1001, A33, 'Form responses 1'!$A$2:$A1001, "&gt;=2025-07-01", 'Form responses 1'!$A$2:$A1001, "&lt;=2025-09-30"),
    COUNTIFS('Form responses 1'!$E$2:$E1001, A33, 'Form responses 1'!$A$2:$A1001, "&gt;=2025-07-01", 'Form responses 1'!$A$2:$A1001, "&lt;=2025-09-30"),
    COUNTIFS('Form responses 1'!$F$2:$F1001, A33, 'Form responses 1'!$A$2:$A1001, "&gt;=2025-07-01", 'Form responses 1'!$A$2:$A1001, "&lt;=2025-09-30"),
    COUNTIFS('Form responses 1'!$G$2:$G1001, A33, 'Form responses 1'!$A$2:$A1001, "&gt;=2025-07-01", 'Form responses 1'!$A$2:$A1001, "&lt;=2025-09-30")
)
</f>
        <v>0</v>
      </c>
      <c r="P33" s="2">
        <f>SUM(
    COUNTIFS('Form responses 1'!$C$2:$C1001, A33, 'Form responses 1'!$A$2:$A1001, "&gt;=2025-10-01", 'Form responses 1'!$A$2:$A1001, "&lt;=2025-12-31"),
    COUNTIFS('Form responses 1'!$B$2:$B1001, A33, 'Form responses 1'!$A$2:$A1001, "&gt;=2025-10-01", 'Form responses 1'!$A$2:$A1001, "&lt;=2025-12-31"),
    COUNTIFS('Form responses 1'!$D$2:$D1001, A33, 'Form responses 1'!$A$2:$A1001, "&gt;=2025-10-01", 'Form responses 1'!$A$2:$A1001, "&lt;=2025-12-31"),
    COUNTIFS('Form responses 1'!$E$2:$E1001, A33, 'Form responses 1'!$A$2:$A1001, "&gt;=2025-10-01", 'Form responses 1'!$A$2:$A1001, "&lt;=2025-12-31"),
    COUNTIFS('Form responses 1'!$F$2:$F1001, A33, 'Form responses 1'!$A$2:$A1001, "&gt;=2025-10-01", 'Form responses 1'!$A$2:$A1001, "&lt;=2025-12-31"),
    COUNTIFS('Form responses 1'!$G$2:$G1001, A33, 'Form responses 1'!$A$2:$A1001, "&gt;=2025-10-01", 'Form responses 1'!$A$2:$A1001, "&lt;=2025-12-31")
)
</f>
        <v>0</v>
      </c>
    </row>
    <row r="34">
      <c r="A34" s="6" t="str">
        <f>IFERROR(__xludf.DUMMYFUNCTION("""COMPUTED_VALUE"""),"Groene trui knitted")</f>
        <v>Groene trui knitted</v>
      </c>
      <c r="B34" s="2">
        <f>SUM(
    COUNTIFS('Form responses 1'!$C$2:$C1001, A34, 'Form responses 1'!$A$2:$A1001, "&gt;=2022-04-01", 'Form responses 1'!$A$2:$A1001, "&lt;=2022-06-30"),
    COUNTIFS('Form responses 1'!$B$2:$B1001, A34, 'Form responses 1'!$A$2:$A1001, "&gt;=2022-04-01", 'Form responses 1'!$A$2:$A1001, "&lt;=2022-06-30"),
    COUNTIFS('Form responses 1'!$D$2:$D1001, A34, 'Form responses 1'!$A$2:$A1001, "&gt;=2022-04-01", 'Form responses 1'!$A$2:$A1001, "&lt;=2022-06-30"),
    COUNTIFS('Form responses 1'!$E$2:$E1001, A34, 'Form responses 1'!$A$2:$A1001, "&gt;=2022-04-01", 'Form responses 1'!$A$2:$A1001, "&lt;=2022-06-30"),
    COUNTIFS('Form responses 1'!$F$2:$F1001, A34, 'Form responses 1'!$A$2:$A1001, "&gt;=2022-04-01", 'Form responses 1'!$A$2:$A1001, "&lt;=2022-06-30"),
    COUNTIFS('Form responses 1'!$G$2:$G1001, A34, 'Form responses 1'!$A$2:$A1001, "&gt;=2022-04-01", 'Form responses 1'!$A$2:$A1001, "&lt;=2022-06-30")
)
</f>
        <v>7</v>
      </c>
      <c r="C34" s="2">
        <f>SUM(
    COUNTIFS('Form responses 1'!$C$2:$C1001, A34, 'Form responses 1'!$A$2:$A1001, "&gt;=2022-07-01", 'Form responses 1'!$A$2:$A1001, "&lt;=2022-09-30"),
    COUNTIFS('Form responses 1'!$B$2:$B1001, A34, 'Form responses 1'!$A$2:$A1001, "&gt;=2022-07-01", 'Form responses 1'!$A$2:$A1001, "&lt;=2022-09-30"),
    COUNTIFS('Form responses 1'!$D$2:$D1001, A34, 'Form responses 1'!$A$2:$A1001, "&gt;=2022-07-01", 'Form responses 1'!$A$2:$A1001, "&lt;=2022-09-30"),
    COUNTIFS('Form responses 1'!$E$2:$E1001, A34, 'Form responses 1'!$A$2:$A1001, "&gt;=2022-07-01", 'Form responses 1'!$A$2:$A1001, "&lt;=2022-09-30"),
    COUNTIFS('Form responses 1'!$F$2:$F1001, A34, 'Form responses 1'!$A$2:$A1001, "&gt;=2022-07-01", 'Form responses 1'!$A$2:$A1001, "&lt;=2022-09-30"),
    COUNTIFS('Form responses 1'!$G$2:$G1001, A34, 'Form responses 1'!$A$2:$A1001, "&gt;=2022-07-01", 'Form responses 1'!$A$2:$A1001, "&lt;=2022-09-30")
)
</f>
        <v>0</v>
      </c>
      <c r="D34" s="2">
        <f>SUM(
    COUNTIFS('Form responses 1'!$C$2:$C1001, A34, 'Form responses 1'!$A$2:$A1001, "&gt;=2022-10-01", 'Form responses 1'!$A$2:$A1001, "&lt;=2022-12-31"),
    COUNTIFS('Form responses 1'!$B$2:$B1001, A34, 'Form responses 1'!$A$2:$A1001, "&gt;=2022-10-01", 'Form responses 1'!$A$2:$A1001, "&lt;=2022-12-31"),
    COUNTIFS('Form responses 1'!$D$2:$D1001, A34, 'Form responses 1'!$A$2:$A1001, "&gt;=2022-10-01", 'Form responses 1'!$A$2:$A1001, "&lt;=2022-12-31"),
    COUNTIFS('Form responses 1'!$E$2:$E1001, A34, 'Form responses 1'!$A$2:$A1001, "&gt;=2022-10-01", 'Form responses 1'!$A$2:$A1001, "&lt;=2022-12-31"),
    COUNTIFS('Form responses 1'!$F$2:$F1001, A34, 'Form responses 1'!$A$2:$A1001, "&gt;=2022-10-01", 'Form responses 1'!$A$2:$A1001, "&lt;=2022-12-31"),
    COUNTIFS('Form responses 1'!$G$2:$G1001, A34, 'Form responses 1'!$A$2:$A1001, "&gt;=2022-10-01", 'Form responses 1'!$A$2:$A1001, "&lt;=2022-12-31")
)
</f>
        <v>16</v>
      </c>
      <c r="E34" s="2">
        <f>SUM(
    COUNTIFS('Form responses 1'!$C$2:$C1001, A34, 'Form responses 1'!$A$2:$A1001, "&gt;=2023-01-01", 'Form responses 1'!$A$2:$A1001, "&lt;=2023-03-31"),
    COUNTIFS('Form responses 1'!$B$2:$B1001, A34, 'Form responses 1'!$A$2:$A1001, "&gt;=2023-01-01", 'Form responses 1'!$A$2:$A1001, "&lt;=2023-03-31"),
    COUNTIFS('Form responses 1'!$D$2:$D1001, A34, 'Form responses 1'!$A$2:$A1001, "&gt;=2023-01-01", 'Form responses 1'!$A$2:$A1001, "&lt;=2023-03-31"),
    COUNTIFS('Form responses 1'!$E$2:$E1001, A34, 'Form responses 1'!$A$2:$A1001, "&gt;=2023-01-01", 'Form responses 1'!$A$2:$A1001, "&lt;=2023-03-31"),
    COUNTIFS('Form responses 1'!$F$2:$F1001, A34, 'Form responses 1'!$A$2:$A1001, "&gt;=2023-01-01", 'Form responses 1'!$A$2:$A1001, "&lt;=2023-03-31"),
    COUNTIFS('Form responses 1'!$G$2:$G1001, A34, 'Form responses 1'!$A$2:$A1001, "&gt;=2023-01-01", 'Form responses 1'!$A$2:$A1001, "&lt;=2023-03-31")
)
</f>
        <v>10</v>
      </c>
      <c r="F34" s="2">
        <f>SUM(
    COUNTIFS('Form responses 1'!$C$2:$C1001, A34, 'Form responses 1'!$A$2:$A1001, "&gt;=2023-04-01", 'Form responses 1'!$A$2:$A1001, "&lt;=2023-06-30"),
    COUNTIFS('Form responses 1'!$B$2:$B1001, A34, 'Form responses 1'!$A$2:$A1001, "&gt;=2023-04-01", 'Form responses 1'!$A$2:$A1001, "&lt;=2023-06-30"),
    COUNTIFS('Form responses 1'!$D$2:$D1001, A34, 'Form responses 1'!$A$2:$A1001, "&gt;=2023-04-01", 'Form responses 1'!$A$2:$A1001, "&lt;=2023-06-30"),
    COUNTIFS('Form responses 1'!$E$2:$E1001, A34, 'Form responses 1'!$A$2:$A1001, "&gt;=2023-04-01", 'Form responses 1'!$A$2:$A1001, "&lt;=2023-06-30"),
    COUNTIFS('Form responses 1'!$F$2:$F1001, A34, 'Form responses 1'!$A$2:$A1001, "&gt;=2023-04-01", 'Form responses 1'!$A$2:$A1001, "&lt;=2023-06-30"),
    COUNTIFS('Form responses 1'!$G$2:$G1001, A34, 'Form responses 1'!$A$2:$A1001, "&gt;=2023-04-01", 'Form responses 1'!$A$2:$A1001, "&lt;=2023-06-30")
)
</f>
        <v>5</v>
      </c>
      <c r="G34" s="2">
        <f>SUM(
    COUNTIFS('Form responses 1'!$C$2:$C1001, A34, 'Form responses 1'!$A$2:$A1001, "&gt;=2023-07-01", 'Form responses 1'!$A$2:$A1001, "&lt;=2023-09-30"),
    COUNTIFS('Form responses 1'!$B$2:$B1001, A34, 'Form responses 1'!$A$2:$A1001, "&gt;=2023-07-01", 'Form responses 1'!$A$2:$A1001, "&lt;=2023-09-30"),
    COUNTIFS('Form responses 1'!$D$2:$D1001, A34, 'Form responses 1'!$A$2:$A1001, "&gt;=2023-07-01", 'Form responses 1'!$A$2:$A1001, "&lt;=2023-09-30"),
    COUNTIFS('Form responses 1'!$E$2:$E1001, A34, 'Form responses 1'!$A$2:$A1001, "&gt;=2023-07-01", 'Form responses 1'!$A$2:$A1001, "&lt;=2023-09-30"),
    COUNTIFS('Form responses 1'!$F$2:$F1001, A34, 'Form responses 1'!$A$2:$A1001, "&gt;=2023-07-01", 'Form responses 1'!$A$2:$A1001, "&lt;=2023-09-30"),
    COUNTIFS('Form responses 1'!$G$2:$G1001, A34, 'Form responses 1'!$A$2:$A1001, "&gt;=2023-07-01", 'Form responses 1'!$A$2:$A1001, "&lt;=2023-09-30")
)
</f>
        <v>0</v>
      </c>
      <c r="H34" s="2">
        <f>SUM(
    COUNTIFS('Form responses 1'!$C$2:$C1001, A34, 'Form responses 1'!$A$2:$A1001, "&gt;=2023-10-01", 'Form responses 1'!$A$2:$A1001, "&lt;=2023-12-31"),
    COUNTIFS('Form responses 1'!$B$2:$B1001, A34, 'Form responses 1'!$A$2:$A1001, "&gt;=2023-10-01", 'Form responses 1'!$A$2:$A1001, "&lt;=2023-12-31"),
    COUNTIFS('Form responses 1'!$D$2:$D1001, A34, 'Form responses 1'!$A$2:$A1001, "&gt;=2023-10-01", 'Form responses 1'!$A$2:$A1001, "&lt;=2023-12-31"),
    COUNTIFS('Form responses 1'!$E$2:$E1001, A34, 'Form responses 1'!$A$2:$A1001, "&gt;=2023-10-01", 'Form responses 1'!$A$2:$A1001, "&lt;=2023-12-31"),
    COUNTIFS('Form responses 1'!$F$2:$F1001, A34, 'Form responses 1'!$A$2:$A1001, "&gt;=2023-10-01", 'Form responses 1'!$A$2:$A1001, "&lt;=2023-12-31"),
    COUNTIFS('Form responses 1'!$G$2:$G1001, A34, 'Form responses 1'!$A$2:$A1001, "&gt;=2023-10-01", 'Form responses 1'!$A$2:$A1001, "&lt;=2023-12-31")
)
</f>
        <v>4</v>
      </c>
      <c r="I34" s="2">
        <f>SUM(
    COUNTIFS('Form responses 1'!$C$2:$C1001, A34, 'Form responses 1'!$A$2:$A1001, "&gt;=2024-01-01", 'Form responses 1'!$A$2:$A1001, "&lt;=2024-03-31"),
    COUNTIFS('Form responses 1'!$B$2:$B1001, A34, 'Form responses 1'!$A$2:$A1001, "&gt;=2024-01-01", 'Form responses 1'!$A$2:$A1001, "&lt;=2024-03-31"),
    COUNTIFS('Form responses 1'!$D$2:$D1001, A34, 'Form responses 1'!$A$2:$A1001, "&gt;=2024-01-01", 'Form responses 1'!$A$2:$A1001, "&lt;=2024-03-31"),
    COUNTIFS('Form responses 1'!$E$2:$E1001, A34, 'Form responses 1'!$A$2:$A1001, "&gt;=2024-01-01", 'Form responses 1'!$A$2:$A1001, "&lt;=2024-03-31"),
    COUNTIFS('Form responses 1'!$F$2:$F1001, A34, 'Form responses 1'!$A$2:$A1001, "&gt;=2024-01-01", 'Form responses 1'!$A$2:$A1001, "&lt;=2024-03-31"),
    COUNTIFS('Form responses 1'!$G$2:$G1001, A34, 'Form responses 1'!$A$2:$A1001, "&gt;=2024-01-01", 'Form responses 1'!$A$2:$A1001, "&lt;=2024-03-31")
)
</f>
        <v>1</v>
      </c>
      <c r="J34" s="2">
        <f>SUM(
    COUNTIFS('Form responses 1'!$C$2:$C1001, A34, 'Form responses 1'!$A$2:$A1001, "&gt;=2024-04-01", 'Form responses 1'!$A$2:$A1001, "&lt;=2024-06-30"),
    COUNTIFS('Form responses 1'!$B$2:$B1001, A34, 'Form responses 1'!$A$2:$A1001, "&gt;=2024-04-01", 'Form responses 1'!$A$2:$A1001, "&lt;=2024-06-30"),
    COUNTIFS('Form responses 1'!$D$2:$D1001, A34, 'Form responses 1'!$A$2:$A1001, "&gt;=2024-04-01", 'Form responses 1'!$A$2:$A1001, "&lt;=2024-06-30"),
    COUNTIFS('Form responses 1'!$E$2:$E1001, A34, 'Form responses 1'!$A$2:$A1001, "&gt;=2024-04-01", 'Form responses 1'!$A$2:$A1001, "&lt;=2024-06-30"),
    COUNTIFS('Form responses 1'!$F$2:$F1001, A34, 'Form responses 1'!$A$2:$A1001, "&gt;=2024-04-01", 'Form responses 1'!$A$2:$A1001, "&lt;=2024-06-30"),
    COUNTIFS('Form responses 1'!$G$2:$G1001, A34, 'Form responses 1'!$A$2:$A1001, "&gt;=2024-04-01", 'Form responses 1'!$A$2:$A1001, "&lt;=2024-06-30")
)
</f>
        <v>3</v>
      </c>
      <c r="K34" s="2">
        <f>SUM(
    COUNTIFS('Form responses 1'!$C$2:$C1001, A34, 'Form responses 1'!$A$2:$A1001, "&gt;=2024-07-01", 'Form responses 1'!$A$2:$A1001, "&lt;=2024-09-30"),
    COUNTIFS('Form responses 1'!$B$2:$B1001, A34, 'Form responses 1'!$A$2:$A1001, "&gt;=2024-07-01", 'Form responses 1'!$A$2:$A1001, "&lt;=2024-09-30"),
    COUNTIFS('Form responses 1'!$D$2:$D1001, A34, 'Form responses 1'!$A$2:$A1001, "&gt;=2024-07-01", 'Form responses 1'!$A$2:$A1001, "&lt;=2024-09-30"),
    COUNTIFS('Form responses 1'!$E$2:$E1001, A34, 'Form responses 1'!$A$2:$A1001, "&gt;=2024-07-01", 'Form responses 1'!$A$2:$A1001, "&lt;=2024-09-30"),
    COUNTIFS('Form responses 1'!$F$2:$F1001, A34, 'Form responses 1'!$A$2:$A1001, "&gt;=2024-07-01", 'Form responses 1'!$A$2:$A1001, "&lt;=2024-09-30"),
    COUNTIFS('Form responses 1'!$G$2:$G1001, A34, 'Form responses 1'!$A$2:$A1001, "&gt;=2024-07-01", 'Form responses 1'!$A$2:$A1001, "&lt;=2024-09-30")
)
</f>
        <v>0</v>
      </c>
      <c r="L34" s="2">
        <f>SUM(
    COUNTIFS('Form responses 1'!$C$2:$C1001, A34, 'Form responses 1'!$A$2:$A1001, "&gt;=2024-10-01", 'Form responses 1'!$A$2:$A1001, "&lt;=2024-12-31"),
    COUNTIFS('Form responses 1'!$B$2:$B1001, A34, 'Form responses 1'!$A$2:$A1001, "&gt;=2024-10-01", 'Form responses 1'!$A$2:$A1001, "&lt;=2024-12-31"),
    COUNTIFS('Form responses 1'!$D$2:$D1001, A34, 'Form responses 1'!$A$2:$A1001, "&gt;=2024-10-01", 'Form responses 1'!$A$2:$A1001, "&lt;=2024-12-31"),
    COUNTIFS('Form responses 1'!$E$2:$E1001, A34, 'Form responses 1'!$A$2:$A1001, "&gt;=2024-10-01", 'Form responses 1'!$A$2:$A1001, "&lt;=2024-12-31"),
    COUNTIFS('Form responses 1'!$F$2:$F1001, A34, 'Form responses 1'!$A$2:$A1001, "&gt;=2024-10-01", 'Form responses 1'!$A$2:$A1001, "&lt;=2024-12-31"),
    COUNTIFS('Form responses 1'!$G$2:$G1001, A34, 'Form responses 1'!$A$2:$A1001, "&gt;=2024-10-01", 'Form responses 1'!$A$2:$A1001, "&lt;=2024-12-31")
)
</f>
        <v>0</v>
      </c>
      <c r="M34" s="2">
        <f>SUM(
    COUNTIFS('Form responses 1'!$C$2:$C1001, A34, 'Form responses 1'!$A$2:$A1001, "&gt;=2025-01-01", 'Form responses 1'!$A$2:$A1001, "&lt;=2025-03-31"),
    COUNTIFS('Form responses 1'!$B$2:$B1001, A34, 'Form responses 1'!$A$2:$A1001, "&gt;=2025-01-01", 'Form responses 1'!$A$2:$A1001, "&lt;=2025-03-31"),
    COUNTIFS('Form responses 1'!$D$2:$D1001, A34, 'Form responses 1'!$A$2:$A1001, "&gt;=2025-01-01", 'Form responses 1'!$A$2:$A1001, "&lt;=2025-03-31"),
    COUNTIFS('Form responses 1'!$E$2:$E1001, A34, 'Form responses 1'!$A$2:$A1001, "&gt;=2025-01-01", 'Form responses 1'!$A$2:$A1001, "&lt;=2025-03-31"),
    COUNTIFS('Form responses 1'!$F$2:$F1001, A34, 'Form responses 1'!$A$2:$A1001, "&gt;=2025-01-01", 'Form responses 1'!$A$2:$A1001, "&lt;=2025-03-31"),
    COUNTIFS('Form responses 1'!$G$2:$G1001, A34, 'Form responses 1'!$A$2:$A1001, "&gt;=2025-01-01", 'Form responses 1'!$A$2:$A1001, "&lt;=2025-03-31")
)
</f>
        <v>0</v>
      </c>
      <c r="N34" s="2">
        <f>SUM(
    COUNTIFS('Form responses 1'!$C$2:$C1001, A34, 'Form responses 1'!$A$2:$A1001, "&gt;=2025-04-01", 'Form responses 1'!$A$2:$A1001, "&lt;2025-07-01"),
    COUNTIFS('Form responses 1'!$B$2:$B1001, A34, 'Form responses 1'!$A$2:$A1001, "&gt;=2025-04-01", 'Form responses 1'!$A$2:$A1001, "&lt;2025-07-01"),
    COUNTIFS('Form responses 1'!$D$2:$D1001, A34, 'Form responses 1'!$A$2:$A1001, "&gt;=2025-04-01", 'Form responses 1'!$A$2:$A1001, "&lt;2025-07-01"),
    COUNTIFS('Form responses 1'!$E$2:$E1001, A34, 'Form responses 1'!$A$2:$A1001, "&gt;=2025-04-01", 'Form responses 1'!$A$2:$A1001, "&lt;2025-07-01"),
    COUNTIFS('Form responses 1'!$F$2:$F1001, A34, 'Form responses 1'!$A$2:$A1001, "&gt;=2025-04-01", 'Form responses 1'!$A$2:$A1001, "&lt;2025-07-01"),
    COUNTIFS('Form responses 1'!$G$2:$G1001, A34, 'Form responses 1'!$A$2:$A1001, "&gt;=2025-04-01", 'Form responses 1'!$A$2:$A1001, "&lt;2025-07-01")
)
</f>
        <v>0</v>
      </c>
      <c r="O34" s="2">
        <f>SUM(
    COUNTIFS('Form responses 1'!$C$2:$C1001, A34, 'Form responses 1'!$A$2:$A1001, "&gt;=2025-07-01", 'Form responses 1'!$A$2:$A1001, "&lt;=2025-09-30"),
    COUNTIFS('Form responses 1'!$B$2:$B1001, A34, 'Form responses 1'!$A$2:$A1001, "&gt;=2025-07-01", 'Form responses 1'!$A$2:$A1001, "&lt;=2025-09-30"),
    COUNTIFS('Form responses 1'!$D$2:$D1001, A34, 'Form responses 1'!$A$2:$A1001, "&gt;=2025-07-01", 'Form responses 1'!$A$2:$A1001, "&lt;=2025-09-30"),
    COUNTIFS('Form responses 1'!$E$2:$E1001, A34, 'Form responses 1'!$A$2:$A1001, "&gt;=2025-07-01", 'Form responses 1'!$A$2:$A1001, "&lt;=2025-09-30"),
    COUNTIFS('Form responses 1'!$F$2:$F1001, A34, 'Form responses 1'!$A$2:$A1001, "&gt;=2025-07-01", 'Form responses 1'!$A$2:$A1001, "&lt;=2025-09-30"),
    COUNTIFS('Form responses 1'!$G$2:$G1001, A34, 'Form responses 1'!$A$2:$A1001, "&gt;=2025-07-01", 'Form responses 1'!$A$2:$A1001, "&lt;=2025-09-30")
)
</f>
        <v>0</v>
      </c>
      <c r="P34" s="2">
        <f>SUM(
    COUNTIFS('Form responses 1'!$C$2:$C1001, A34, 'Form responses 1'!$A$2:$A1001, "&gt;=2025-10-01", 'Form responses 1'!$A$2:$A1001, "&lt;=2025-12-31"),
    COUNTIFS('Form responses 1'!$B$2:$B1001, A34, 'Form responses 1'!$A$2:$A1001, "&gt;=2025-10-01", 'Form responses 1'!$A$2:$A1001, "&lt;=2025-12-31"),
    COUNTIFS('Form responses 1'!$D$2:$D1001, A34, 'Form responses 1'!$A$2:$A1001, "&gt;=2025-10-01", 'Form responses 1'!$A$2:$A1001, "&lt;=2025-12-31"),
    COUNTIFS('Form responses 1'!$E$2:$E1001, A34, 'Form responses 1'!$A$2:$A1001, "&gt;=2025-10-01", 'Form responses 1'!$A$2:$A1001, "&lt;=2025-12-31"),
    COUNTIFS('Form responses 1'!$F$2:$F1001, A34, 'Form responses 1'!$A$2:$A1001, "&gt;=2025-10-01", 'Form responses 1'!$A$2:$A1001, "&lt;=2025-12-31"),
    COUNTIFS('Form responses 1'!$G$2:$G1001, A34, 'Form responses 1'!$A$2:$A1001, "&gt;=2025-10-01", 'Form responses 1'!$A$2:$A1001, "&lt;=2025-12-31")
)
</f>
        <v>0</v>
      </c>
    </row>
    <row r="35">
      <c r="A35" s="6" t="str">
        <f>IFERROR(__xludf.DUMMYFUNCTION("""COMPUTED_VALUE"""),"Witte trui knitted")</f>
        <v>Witte trui knitted</v>
      </c>
      <c r="B35" s="2">
        <f>SUM(
    COUNTIFS('Form responses 1'!$C$2:$C1001, A35, 'Form responses 1'!$A$2:$A1001, "&gt;=2022-04-01", 'Form responses 1'!$A$2:$A1001, "&lt;=2022-06-30"),
    COUNTIFS('Form responses 1'!$B$2:$B1001, A35, 'Form responses 1'!$A$2:$A1001, "&gt;=2022-04-01", 'Form responses 1'!$A$2:$A1001, "&lt;=2022-06-30"),
    COUNTIFS('Form responses 1'!$D$2:$D1001, A35, 'Form responses 1'!$A$2:$A1001, "&gt;=2022-04-01", 'Form responses 1'!$A$2:$A1001, "&lt;=2022-06-30"),
    COUNTIFS('Form responses 1'!$E$2:$E1001, A35, 'Form responses 1'!$A$2:$A1001, "&gt;=2022-04-01", 'Form responses 1'!$A$2:$A1001, "&lt;=2022-06-30"),
    COUNTIFS('Form responses 1'!$F$2:$F1001, A35, 'Form responses 1'!$A$2:$A1001, "&gt;=2022-04-01", 'Form responses 1'!$A$2:$A1001, "&lt;=2022-06-30"),
    COUNTIFS('Form responses 1'!$G$2:$G1001, A35, 'Form responses 1'!$A$2:$A1001, "&gt;=2022-04-01", 'Form responses 1'!$A$2:$A1001, "&lt;=2022-06-30")
)
</f>
        <v>7</v>
      </c>
      <c r="C35" s="2">
        <f>SUM(
    COUNTIFS('Form responses 1'!$C$2:$C1001, A35, 'Form responses 1'!$A$2:$A1001, "&gt;=2022-07-01", 'Form responses 1'!$A$2:$A1001, "&lt;=2022-09-30"),
    COUNTIFS('Form responses 1'!$B$2:$B1001, A35, 'Form responses 1'!$A$2:$A1001, "&gt;=2022-07-01", 'Form responses 1'!$A$2:$A1001, "&lt;=2022-09-30"),
    COUNTIFS('Form responses 1'!$D$2:$D1001, A35, 'Form responses 1'!$A$2:$A1001, "&gt;=2022-07-01", 'Form responses 1'!$A$2:$A1001, "&lt;=2022-09-30"),
    COUNTIFS('Form responses 1'!$E$2:$E1001, A35, 'Form responses 1'!$A$2:$A1001, "&gt;=2022-07-01", 'Form responses 1'!$A$2:$A1001, "&lt;=2022-09-30"),
    COUNTIFS('Form responses 1'!$F$2:$F1001, A35, 'Form responses 1'!$A$2:$A1001, "&gt;=2022-07-01", 'Form responses 1'!$A$2:$A1001, "&lt;=2022-09-30"),
    COUNTIFS('Form responses 1'!$G$2:$G1001, A35, 'Form responses 1'!$A$2:$A1001, "&gt;=2022-07-01", 'Form responses 1'!$A$2:$A1001, "&lt;=2022-09-30")
)
</f>
        <v>0</v>
      </c>
      <c r="D35" s="2">
        <f>SUM(
    COUNTIFS('Form responses 1'!$C$2:$C1001, A35, 'Form responses 1'!$A$2:$A1001, "&gt;=2022-10-01", 'Form responses 1'!$A$2:$A1001, "&lt;=2022-12-31"),
    COUNTIFS('Form responses 1'!$B$2:$B1001, A35, 'Form responses 1'!$A$2:$A1001, "&gt;=2022-10-01", 'Form responses 1'!$A$2:$A1001, "&lt;=2022-12-31"),
    COUNTIFS('Form responses 1'!$D$2:$D1001, A35, 'Form responses 1'!$A$2:$A1001, "&gt;=2022-10-01", 'Form responses 1'!$A$2:$A1001, "&lt;=2022-12-31"),
    COUNTIFS('Form responses 1'!$E$2:$E1001, A35, 'Form responses 1'!$A$2:$A1001, "&gt;=2022-10-01", 'Form responses 1'!$A$2:$A1001, "&lt;=2022-12-31"),
    COUNTIFS('Form responses 1'!$F$2:$F1001, A35, 'Form responses 1'!$A$2:$A1001, "&gt;=2022-10-01", 'Form responses 1'!$A$2:$A1001, "&lt;=2022-12-31"),
    COUNTIFS('Form responses 1'!$G$2:$G1001, A35, 'Form responses 1'!$A$2:$A1001, "&gt;=2022-10-01", 'Form responses 1'!$A$2:$A1001, "&lt;=2022-12-31")
)
</f>
        <v>0</v>
      </c>
      <c r="E35" s="2">
        <f>SUM(
    COUNTIFS('Form responses 1'!$C$2:$C1001, A35, 'Form responses 1'!$A$2:$A1001, "&gt;=2023-01-01", 'Form responses 1'!$A$2:$A1001, "&lt;=2023-03-31"),
    COUNTIFS('Form responses 1'!$B$2:$B1001, A35, 'Form responses 1'!$A$2:$A1001, "&gt;=2023-01-01", 'Form responses 1'!$A$2:$A1001, "&lt;=2023-03-31"),
    COUNTIFS('Form responses 1'!$D$2:$D1001, A35, 'Form responses 1'!$A$2:$A1001, "&gt;=2023-01-01", 'Form responses 1'!$A$2:$A1001, "&lt;=2023-03-31"),
    COUNTIFS('Form responses 1'!$E$2:$E1001, A35, 'Form responses 1'!$A$2:$A1001, "&gt;=2023-01-01", 'Form responses 1'!$A$2:$A1001, "&lt;=2023-03-31"),
    COUNTIFS('Form responses 1'!$F$2:$F1001, A35, 'Form responses 1'!$A$2:$A1001, "&gt;=2023-01-01", 'Form responses 1'!$A$2:$A1001, "&lt;=2023-03-31"),
    COUNTIFS('Form responses 1'!$G$2:$G1001, A35, 'Form responses 1'!$A$2:$A1001, "&gt;=2023-01-01", 'Form responses 1'!$A$2:$A1001, "&lt;=2023-03-31")
)
</f>
        <v>7</v>
      </c>
      <c r="F35" s="2">
        <f>SUM(
    COUNTIFS('Form responses 1'!$C$2:$C1001, A35, 'Form responses 1'!$A$2:$A1001, "&gt;=2023-04-01", 'Form responses 1'!$A$2:$A1001, "&lt;=2023-06-30"),
    COUNTIFS('Form responses 1'!$B$2:$B1001, A35, 'Form responses 1'!$A$2:$A1001, "&gt;=2023-04-01", 'Form responses 1'!$A$2:$A1001, "&lt;=2023-06-30"),
    COUNTIFS('Form responses 1'!$D$2:$D1001, A35, 'Form responses 1'!$A$2:$A1001, "&gt;=2023-04-01", 'Form responses 1'!$A$2:$A1001, "&lt;=2023-06-30"),
    COUNTIFS('Form responses 1'!$E$2:$E1001, A35, 'Form responses 1'!$A$2:$A1001, "&gt;=2023-04-01", 'Form responses 1'!$A$2:$A1001, "&lt;=2023-06-30"),
    COUNTIFS('Form responses 1'!$F$2:$F1001, A35, 'Form responses 1'!$A$2:$A1001, "&gt;=2023-04-01", 'Form responses 1'!$A$2:$A1001, "&lt;=2023-06-30"),
    COUNTIFS('Form responses 1'!$G$2:$G1001, A35, 'Form responses 1'!$A$2:$A1001, "&gt;=2023-04-01", 'Form responses 1'!$A$2:$A1001, "&lt;=2023-06-30")
)
</f>
        <v>7</v>
      </c>
      <c r="G35" s="2">
        <f>SUM(
    COUNTIFS('Form responses 1'!$C$2:$C1001, A35, 'Form responses 1'!$A$2:$A1001, "&gt;=2023-07-01", 'Form responses 1'!$A$2:$A1001, "&lt;=2023-09-30"),
    COUNTIFS('Form responses 1'!$B$2:$B1001, A35, 'Form responses 1'!$A$2:$A1001, "&gt;=2023-07-01", 'Form responses 1'!$A$2:$A1001, "&lt;=2023-09-30"),
    COUNTIFS('Form responses 1'!$D$2:$D1001, A35, 'Form responses 1'!$A$2:$A1001, "&gt;=2023-07-01", 'Form responses 1'!$A$2:$A1001, "&lt;=2023-09-30"),
    COUNTIFS('Form responses 1'!$E$2:$E1001, A35, 'Form responses 1'!$A$2:$A1001, "&gt;=2023-07-01", 'Form responses 1'!$A$2:$A1001, "&lt;=2023-09-30"),
    COUNTIFS('Form responses 1'!$F$2:$F1001, A35, 'Form responses 1'!$A$2:$A1001, "&gt;=2023-07-01", 'Form responses 1'!$A$2:$A1001, "&lt;=2023-09-30"),
    COUNTIFS('Form responses 1'!$G$2:$G1001, A35, 'Form responses 1'!$A$2:$A1001, "&gt;=2023-07-01", 'Form responses 1'!$A$2:$A1001, "&lt;=2023-09-30")
)
</f>
        <v>2</v>
      </c>
      <c r="H35" s="2">
        <f>SUM(
    COUNTIFS('Form responses 1'!$C$2:$C1001, A35, 'Form responses 1'!$A$2:$A1001, "&gt;=2023-10-01", 'Form responses 1'!$A$2:$A1001, "&lt;=2023-12-31"),
    COUNTIFS('Form responses 1'!$B$2:$B1001, A35, 'Form responses 1'!$A$2:$A1001, "&gt;=2023-10-01", 'Form responses 1'!$A$2:$A1001, "&lt;=2023-12-31"),
    COUNTIFS('Form responses 1'!$D$2:$D1001, A35, 'Form responses 1'!$A$2:$A1001, "&gt;=2023-10-01", 'Form responses 1'!$A$2:$A1001, "&lt;=2023-12-31"),
    COUNTIFS('Form responses 1'!$E$2:$E1001, A35, 'Form responses 1'!$A$2:$A1001, "&gt;=2023-10-01", 'Form responses 1'!$A$2:$A1001, "&lt;=2023-12-31"),
    COUNTIFS('Form responses 1'!$F$2:$F1001, A35, 'Form responses 1'!$A$2:$A1001, "&gt;=2023-10-01", 'Form responses 1'!$A$2:$A1001, "&lt;=2023-12-31"),
    COUNTIFS('Form responses 1'!$G$2:$G1001, A35, 'Form responses 1'!$A$2:$A1001, "&gt;=2023-10-01", 'Form responses 1'!$A$2:$A1001, "&lt;=2023-12-31")
)
</f>
        <v>2</v>
      </c>
      <c r="I35" s="2">
        <f>SUM(
    COUNTIFS('Form responses 1'!$C$2:$C1001, A35, 'Form responses 1'!$A$2:$A1001, "&gt;=2024-01-01", 'Form responses 1'!$A$2:$A1001, "&lt;=2024-03-31"),
    COUNTIFS('Form responses 1'!$B$2:$B1001, A35, 'Form responses 1'!$A$2:$A1001, "&gt;=2024-01-01", 'Form responses 1'!$A$2:$A1001, "&lt;=2024-03-31"),
    COUNTIFS('Form responses 1'!$D$2:$D1001, A35, 'Form responses 1'!$A$2:$A1001, "&gt;=2024-01-01", 'Form responses 1'!$A$2:$A1001, "&lt;=2024-03-31"),
    COUNTIFS('Form responses 1'!$E$2:$E1001, A35, 'Form responses 1'!$A$2:$A1001, "&gt;=2024-01-01", 'Form responses 1'!$A$2:$A1001, "&lt;=2024-03-31"),
    COUNTIFS('Form responses 1'!$F$2:$F1001, A35, 'Form responses 1'!$A$2:$A1001, "&gt;=2024-01-01", 'Form responses 1'!$A$2:$A1001, "&lt;=2024-03-31"),
    COUNTIFS('Form responses 1'!$G$2:$G1001, A35, 'Form responses 1'!$A$2:$A1001, "&gt;=2024-01-01", 'Form responses 1'!$A$2:$A1001, "&lt;=2024-03-31")
)
</f>
        <v>2</v>
      </c>
      <c r="J35" s="2">
        <f>SUM(
    COUNTIFS('Form responses 1'!$C$2:$C1001, A35, 'Form responses 1'!$A$2:$A1001, "&gt;=2024-04-01", 'Form responses 1'!$A$2:$A1001, "&lt;=2024-06-30"),
    COUNTIFS('Form responses 1'!$B$2:$B1001, A35, 'Form responses 1'!$A$2:$A1001, "&gt;=2024-04-01", 'Form responses 1'!$A$2:$A1001, "&lt;=2024-06-30"),
    COUNTIFS('Form responses 1'!$D$2:$D1001, A35, 'Form responses 1'!$A$2:$A1001, "&gt;=2024-04-01", 'Form responses 1'!$A$2:$A1001, "&lt;=2024-06-30"),
    COUNTIFS('Form responses 1'!$E$2:$E1001, A35, 'Form responses 1'!$A$2:$A1001, "&gt;=2024-04-01", 'Form responses 1'!$A$2:$A1001, "&lt;=2024-06-30"),
    COUNTIFS('Form responses 1'!$F$2:$F1001, A35, 'Form responses 1'!$A$2:$A1001, "&gt;=2024-04-01", 'Form responses 1'!$A$2:$A1001, "&lt;=2024-06-30"),
    COUNTIFS('Form responses 1'!$G$2:$G1001, A35, 'Form responses 1'!$A$2:$A1001, "&gt;=2024-04-01", 'Form responses 1'!$A$2:$A1001, "&lt;=2024-06-30")
)
</f>
        <v>6</v>
      </c>
      <c r="K35" s="2">
        <f>SUM(
    COUNTIFS('Form responses 1'!$C$2:$C1001, A35, 'Form responses 1'!$A$2:$A1001, "&gt;=2024-07-01", 'Form responses 1'!$A$2:$A1001, "&lt;=2024-09-30"),
    COUNTIFS('Form responses 1'!$B$2:$B1001, A35, 'Form responses 1'!$A$2:$A1001, "&gt;=2024-07-01", 'Form responses 1'!$A$2:$A1001, "&lt;=2024-09-30"),
    COUNTIFS('Form responses 1'!$D$2:$D1001, A35, 'Form responses 1'!$A$2:$A1001, "&gt;=2024-07-01", 'Form responses 1'!$A$2:$A1001, "&lt;=2024-09-30"),
    COUNTIFS('Form responses 1'!$E$2:$E1001, A35, 'Form responses 1'!$A$2:$A1001, "&gt;=2024-07-01", 'Form responses 1'!$A$2:$A1001, "&lt;=2024-09-30"),
    COUNTIFS('Form responses 1'!$F$2:$F1001, A35, 'Form responses 1'!$A$2:$A1001, "&gt;=2024-07-01", 'Form responses 1'!$A$2:$A1001, "&lt;=2024-09-30"),
    COUNTIFS('Form responses 1'!$G$2:$G1001, A35, 'Form responses 1'!$A$2:$A1001, "&gt;=2024-07-01", 'Form responses 1'!$A$2:$A1001, "&lt;=2024-09-30")
)
</f>
        <v>0</v>
      </c>
      <c r="L35" s="2">
        <f>SUM(
    COUNTIFS('Form responses 1'!$C$2:$C1001, A35, 'Form responses 1'!$A$2:$A1001, "&gt;=2024-10-01", 'Form responses 1'!$A$2:$A1001, "&lt;=2024-12-31"),
    COUNTIFS('Form responses 1'!$B$2:$B1001, A35, 'Form responses 1'!$A$2:$A1001, "&gt;=2024-10-01", 'Form responses 1'!$A$2:$A1001, "&lt;=2024-12-31"),
    COUNTIFS('Form responses 1'!$D$2:$D1001, A35, 'Form responses 1'!$A$2:$A1001, "&gt;=2024-10-01", 'Form responses 1'!$A$2:$A1001, "&lt;=2024-12-31"),
    COUNTIFS('Form responses 1'!$E$2:$E1001, A35, 'Form responses 1'!$A$2:$A1001, "&gt;=2024-10-01", 'Form responses 1'!$A$2:$A1001, "&lt;=2024-12-31"),
    COUNTIFS('Form responses 1'!$F$2:$F1001, A35, 'Form responses 1'!$A$2:$A1001, "&gt;=2024-10-01", 'Form responses 1'!$A$2:$A1001, "&lt;=2024-12-31"),
    COUNTIFS('Form responses 1'!$G$2:$G1001, A35, 'Form responses 1'!$A$2:$A1001, "&gt;=2024-10-01", 'Form responses 1'!$A$2:$A1001, "&lt;=2024-12-31")
)
</f>
        <v>0</v>
      </c>
      <c r="M35" s="2">
        <f>SUM(
    COUNTIFS('Form responses 1'!$C$2:$C1001, A35, 'Form responses 1'!$A$2:$A1001, "&gt;=2025-01-01", 'Form responses 1'!$A$2:$A1001, "&lt;=2025-03-31"),
    COUNTIFS('Form responses 1'!$B$2:$B1001, A35, 'Form responses 1'!$A$2:$A1001, "&gt;=2025-01-01", 'Form responses 1'!$A$2:$A1001, "&lt;=2025-03-31"),
    COUNTIFS('Form responses 1'!$D$2:$D1001, A35, 'Form responses 1'!$A$2:$A1001, "&gt;=2025-01-01", 'Form responses 1'!$A$2:$A1001, "&lt;=2025-03-31"),
    COUNTIFS('Form responses 1'!$E$2:$E1001, A35, 'Form responses 1'!$A$2:$A1001, "&gt;=2025-01-01", 'Form responses 1'!$A$2:$A1001, "&lt;=2025-03-31"),
    COUNTIFS('Form responses 1'!$F$2:$F1001, A35, 'Form responses 1'!$A$2:$A1001, "&gt;=2025-01-01", 'Form responses 1'!$A$2:$A1001, "&lt;=2025-03-31"),
    COUNTIFS('Form responses 1'!$G$2:$G1001, A35, 'Form responses 1'!$A$2:$A1001, "&gt;=2025-01-01", 'Form responses 1'!$A$2:$A1001, "&lt;=2025-03-31")
)
</f>
        <v>5</v>
      </c>
      <c r="N35" s="2">
        <f>SUM(
    COUNTIFS('Form responses 1'!$C$2:$C1001, A35, 'Form responses 1'!$A$2:$A1001, "&gt;=2025-04-01", 'Form responses 1'!$A$2:$A1001, "&lt;2025-07-01"),
    COUNTIFS('Form responses 1'!$B$2:$B1001, A35, 'Form responses 1'!$A$2:$A1001, "&gt;=2025-04-01", 'Form responses 1'!$A$2:$A1001, "&lt;2025-07-01"),
    COUNTIFS('Form responses 1'!$D$2:$D1001, A35, 'Form responses 1'!$A$2:$A1001, "&gt;=2025-04-01", 'Form responses 1'!$A$2:$A1001, "&lt;2025-07-01"),
    COUNTIFS('Form responses 1'!$E$2:$E1001, A35, 'Form responses 1'!$A$2:$A1001, "&gt;=2025-04-01", 'Form responses 1'!$A$2:$A1001, "&lt;2025-07-01"),
    COUNTIFS('Form responses 1'!$F$2:$F1001, A35, 'Form responses 1'!$A$2:$A1001, "&gt;=2025-04-01", 'Form responses 1'!$A$2:$A1001, "&lt;2025-07-01"),
    COUNTIFS('Form responses 1'!$G$2:$G1001, A35, 'Form responses 1'!$A$2:$A1001, "&gt;=2025-04-01", 'Form responses 1'!$A$2:$A1001, "&lt;2025-07-01")
)
</f>
        <v>1</v>
      </c>
      <c r="O35" s="2">
        <f>SUM(
    COUNTIFS('Form responses 1'!$C$2:$C1001, A35, 'Form responses 1'!$A$2:$A1001, "&gt;=2025-07-01", 'Form responses 1'!$A$2:$A1001, "&lt;=2025-09-30"),
    COUNTIFS('Form responses 1'!$B$2:$B1001, A35, 'Form responses 1'!$A$2:$A1001, "&gt;=2025-07-01", 'Form responses 1'!$A$2:$A1001, "&lt;=2025-09-30"),
    COUNTIFS('Form responses 1'!$D$2:$D1001, A35, 'Form responses 1'!$A$2:$A1001, "&gt;=2025-07-01", 'Form responses 1'!$A$2:$A1001, "&lt;=2025-09-30"),
    COUNTIFS('Form responses 1'!$E$2:$E1001, A35, 'Form responses 1'!$A$2:$A1001, "&gt;=2025-07-01", 'Form responses 1'!$A$2:$A1001, "&lt;=2025-09-30"),
    COUNTIFS('Form responses 1'!$F$2:$F1001, A35, 'Form responses 1'!$A$2:$A1001, "&gt;=2025-07-01", 'Form responses 1'!$A$2:$A1001, "&lt;=2025-09-30"),
    COUNTIFS('Form responses 1'!$G$2:$G1001, A35, 'Form responses 1'!$A$2:$A1001, "&gt;=2025-07-01", 'Form responses 1'!$A$2:$A1001, "&lt;=2025-09-30")
)
</f>
        <v>0</v>
      </c>
      <c r="P35" s="2">
        <f>SUM(
    COUNTIFS('Form responses 1'!$C$2:$C1001, A35, 'Form responses 1'!$A$2:$A1001, "&gt;=2025-10-01", 'Form responses 1'!$A$2:$A1001, "&lt;=2025-12-31"),
    COUNTIFS('Form responses 1'!$B$2:$B1001, A35, 'Form responses 1'!$A$2:$A1001, "&gt;=2025-10-01", 'Form responses 1'!$A$2:$A1001, "&lt;=2025-12-31"),
    COUNTIFS('Form responses 1'!$D$2:$D1001, A35, 'Form responses 1'!$A$2:$A1001, "&gt;=2025-10-01", 'Form responses 1'!$A$2:$A1001, "&lt;=2025-12-31"),
    COUNTIFS('Form responses 1'!$E$2:$E1001, A35, 'Form responses 1'!$A$2:$A1001, "&gt;=2025-10-01", 'Form responses 1'!$A$2:$A1001, "&lt;=2025-12-31"),
    COUNTIFS('Form responses 1'!$F$2:$F1001, A35, 'Form responses 1'!$A$2:$A1001, "&gt;=2025-10-01", 'Form responses 1'!$A$2:$A1001, "&lt;=2025-12-31"),
    COUNTIFS('Form responses 1'!$G$2:$G1001, A35, 'Form responses 1'!$A$2:$A1001, "&gt;=2025-10-01", 'Form responses 1'!$A$2:$A1001, "&lt;=2025-12-31")
)
</f>
        <v>6</v>
      </c>
    </row>
    <row r="36">
      <c r="A36" s="6" t="str">
        <f>IFERROR(__xludf.DUMMYFUNCTION("""COMPUTED_VALUE"""),"Coltrui wit")</f>
        <v>Coltrui wit</v>
      </c>
      <c r="B36" s="2">
        <f>SUM(
    COUNTIFS('Form responses 1'!$C$2:$C1001, A36, 'Form responses 1'!$A$2:$A1001, "&gt;=2022-04-01", 'Form responses 1'!$A$2:$A1001, "&lt;=2022-06-30"),
    COUNTIFS('Form responses 1'!$B$2:$B1001, A36, 'Form responses 1'!$A$2:$A1001, "&gt;=2022-04-01", 'Form responses 1'!$A$2:$A1001, "&lt;=2022-06-30"),
    COUNTIFS('Form responses 1'!$D$2:$D1001, A36, 'Form responses 1'!$A$2:$A1001, "&gt;=2022-04-01", 'Form responses 1'!$A$2:$A1001, "&lt;=2022-06-30"),
    COUNTIFS('Form responses 1'!$E$2:$E1001, A36, 'Form responses 1'!$A$2:$A1001, "&gt;=2022-04-01", 'Form responses 1'!$A$2:$A1001, "&lt;=2022-06-30"),
    COUNTIFS('Form responses 1'!$F$2:$F1001, A36, 'Form responses 1'!$A$2:$A1001, "&gt;=2022-04-01", 'Form responses 1'!$A$2:$A1001, "&lt;=2022-06-30"),
    COUNTIFS('Form responses 1'!$G$2:$G1001, A36, 'Form responses 1'!$A$2:$A1001, "&gt;=2022-04-01", 'Form responses 1'!$A$2:$A1001, "&lt;=2022-06-30")
)
</f>
        <v>0</v>
      </c>
      <c r="C36" s="2">
        <f>SUM(
    COUNTIFS('Form responses 1'!$C$2:$C1001, A36, 'Form responses 1'!$A$2:$A1001, "&gt;=2022-07-01", 'Form responses 1'!$A$2:$A1001, "&lt;=2022-09-30"),
    COUNTIFS('Form responses 1'!$B$2:$B1001, A36, 'Form responses 1'!$A$2:$A1001, "&gt;=2022-07-01", 'Form responses 1'!$A$2:$A1001, "&lt;=2022-09-30"),
    COUNTIFS('Form responses 1'!$D$2:$D1001, A36, 'Form responses 1'!$A$2:$A1001, "&gt;=2022-07-01", 'Form responses 1'!$A$2:$A1001, "&lt;=2022-09-30"),
    COUNTIFS('Form responses 1'!$E$2:$E1001, A36, 'Form responses 1'!$A$2:$A1001, "&gt;=2022-07-01", 'Form responses 1'!$A$2:$A1001, "&lt;=2022-09-30"),
    COUNTIFS('Form responses 1'!$F$2:$F1001, A36, 'Form responses 1'!$A$2:$A1001, "&gt;=2022-07-01", 'Form responses 1'!$A$2:$A1001, "&lt;=2022-09-30"),
    COUNTIFS('Form responses 1'!$G$2:$G1001, A36, 'Form responses 1'!$A$2:$A1001, "&gt;=2022-07-01", 'Form responses 1'!$A$2:$A1001, "&lt;=2022-09-30")
)
</f>
        <v>0</v>
      </c>
      <c r="D36" s="2">
        <f>SUM(
    COUNTIFS('Form responses 1'!$C$2:$C1001, A36, 'Form responses 1'!$A$2:$A1001, "&gt;=2022-10-01", 'Form responses 1'!$A$2:$A1001, "&lt;=2022-12-31"),
    COUNTIFS('Form responses 1'!$B$2:$B1001, A36, 'Form responses 1'!$A$2:$A1001, "&gt;=2022-10-01", 'Form responses 1'!$A$2:$A1001, "&lt;=2022-12-31"),
    COUNTIFS('Form responses 1'!$D$2:$D1001, A36, 'Form responses 1'!$A$2:$A1001, "&gt;=2022-10-01", 'Form responses 1'!$A$2:$A1001, "&lt;=2022-12-31"),
    COUNTIFS('Form responses 1'!$E$2:$E1001, A36, 'Form responses 1'!$A$2:$A1001, "&gt;=2022-10-01", 'Form responses 1'!$A$2:$A1001, "&lt;=2022-12-31"),
    COUNTIFS('Form responses 1'!$F$2:$F1001, A36, 'Form responses 1'!$A$2:$A1001, "&gt;=2022-10-01", 'Form responses 1'!$A$2:$A1001, "&lt;=2022-12-31"),
    COUNTIFS('Form responses 1'!$G$2:$G1001, A36, 'Form responses 1'!$A$2:$A1001, "&gt;=2022-10-01", 'Form responses 1'!$A$2:$A1001, "&lt;=2022-12-31")
)
</f>
        <v>7</v>
      </c>
      <c r="E36" s="2">
        <f>SUM(
    COUNTIFS('Form responses 1'!$C$2:$C1001, A36, 'Form responses 1'!$A$2:$A1001, "&gt;=2023-01-01", 'Form responses 1'!$A$2:$A1001, "&lt;=2023-03-31"),
    COUNTIFS('Form responses 1'!$B$2:$B1001, A36, 'Form responses 1'!$A$2:$A1001, "&gt;=2023-01-01", 'Form responses 1'!$A$2:$A1001, "&lt;=2023-03-31"),
    COUNTIFS('Form responses 1'!$D$2:$D1001, A36, 'Form responses 1'!$A$2:$A1001, "&gt;=2023-01-01", 'Form responses 1'!$A$2:$A1001, "&lt;=2023-03-31"),
    COUNTIFS('Form responses 1'!$E$2:$E1001, A36, 'Form responses 1'!$A$2:$A1001, "&gt;=2023-01-01", 'Form responses 1'!$A$2:$A1001, "&lt;=2023-03-31"),
    COUNTIFS('Form responses 1'!$F$2:$F1001, A36, 'Form responses 1'!$A$2:$A1001, "&gt;=2023-01-01", 'Form responses 1'!$A$2:$A1001, "&lt;=2023-03-31"),
    COUNTIFS('Form responses 1'!$G$2:$G1001, A36, 'Form responses 1'!$A$2:$A1001, "&gt;=2023-01-01", 'Form responses 1'!$A$2:$A1001, "&lt;=2023-03-31")
)
</f>
        <v>0</v>
      </c>
      <c r="F36" s="2">
        <f>SUM(
    COUNTIFS('Form responses 1'!$C$2:$C1001, A36, 'Form responses 1'!$A$2:$A1001, "&gt;=2023-04-01", 'Form responses 1'!$A$2:$A1001, "&lt;=2023-06-30"),
    COUNTIFS('Form responses 1'!$B$2:$B1001, A36, 'Form responses 1'!$A$2:$A1001, "&gt;=2023-04-01", 'Form responses 1'!$A$2:$A1001, "&lt;=2023-06-30"),
    COUNTIFS('Form responses 1'!$D$2:$D1001, A36, 'Form responses 1'!$A$2:$A1001, "&gt;=2023-04-01", 'Form responses 1'!$A$2:$A1001, "&lt;=2023-06-30"),
    COUNTIFS('Form responses 1'!$E$2:$E1001, A36, 'Form responses 1'!$A$2:$A1001, "&gt;=2023-04-01", 'Form responses 1'!$A$2:$A1001, "&lt;=2023-06-30"),
    COUNTIFS('Form responses 1'!$F$2:$F1001, A36, 'Form responses 1'!$A$2:$A1001, "&gt;=2023-04-01", 'Form responses 1'!$A$2:$A1001, "&lt;=2023-06-30"),
    COUNTIFS('Form responses 1'!$G$2:$G1001, A36, 'Form responses 1'!$A$2:$A1001, "&gt;=2023-04-01", 'Form responses 1'!$A$2:$A1001, "&lt;=2023-06-30")
)
</f>
        <v>0</v>
      </c>
      <c r="G36" s="2">
        <f>SUM(
    COUNTIFS('Form responses 1'!$C$2:$C1001, A36, 'Form responses 1'!$A$2:$A1001, "&gt;=2023-07-01", 'Form responses 1'!$A$2:$A1001, "&lt;=2023-09-30"),
    COUNTIFS('Form responses 1'!$B$2:$B1001, A36, 'Form responses 1'!$A$2:$A1001, "&gt;=2023-07-01", 'Form responses 1'!$A$2:$A1001, "&lt;=2023-09-30"),
    COUNTIFS('Form responses 1'!$D$2:$D1001, A36, 'Form responses 1'!$A$2:$A1001, "&gt;=2023-07-01", 'Form responses 1'!$A$2:$A1001, "&lt;=2023-09-30"),
    COUNTIFS('Form responses 1'!$E$2:$E1001, A36, 'Form responses 1'!$A$2:$A1001, "&gt;=2023-07-01", 'Form responses 1'!$A$2:$A1001, "&lt;=2023-09-30"),
    COUNTIFS('Form responses 1'!$F$2:$F1001, A36, 'Form responses 1'!$A$2:$A1001, "&gt;=2023-07-01", 'Form responses 1'!$A$2:$A1001, "&lt;=2023-09-30"),
    COUNTIFS('Form responses 1'!$G$2:$G1001, A36, 'Form responses 1'!$A$2:$A1001, "&gt;=2023-07-01", 'Form responses 1'!$A$2:$A1001, "&lt;=2023-09-30")
)
</f>
        <v>0</v>
      </c>
      <c r="H36" s="2">
        <f>SUM(
    COUNTIFS('Form responses 1'!$C$2:$C1001, A36, 'Form responses 1'!$A$2:$A1001, "&gt;=2023-10-01", 'Form responses 1'!$A$2:$A1001, "&lt;=2023-12-31"),
    COUNTIFS('Form responses 1'!$B$2:$B1001, A36, 'Form responses 1'!$A$2:$A1001, "&gt;=2023-10-01", 'Form responses 1'!$A$2:$A1001, "&lt;=2023-12-31"),
    COUNTIFS('Form responses 1'!$D$2:$D1001, A36, 'Form responses 1'!$A$2:$A1001, "&gt;=2023-10-01", 'Form responses 1'!$A$2:$A1001, "&lt;=2023-12-31"),
    COUNTIFS('Form responses 1'!$E$2:$E1001, A36, 'Form responses 1'!$A$2:$A1001, "&gt;=2023-10-01", 'Form responses 1'!$A$2:$A1001, "&lt;=2023-12-31"),
    COUNTIFS('Form responses 1'!$F$2:$F1001, A36, 'Form responses 1'!$A$2:$A1001, "&gt;=2023-10-01", 'Form responses 1'!$A$2:$A1001, "&lt;=2023-12-31"),
    COUNTIFS('Form responses 1'!$G$2:$G1001, A36, 'Form responses 1'!$A$2:$A1001, "&gt;=2023-10-01", 'Form responses 1'!$A$2:$A1001, "&lt;=2023-12-31")
)
</f>
        <v>0</v>
      </c>
      <c r="I36" s="2">
        <f>SUM(
    COUNTIFS('Form responses 1'!$C$2:$C1001, A36, 'Form responses 1'!$A$2:$A1001, "&gt;=2024-01-01", 'Form responses 1'!$A$2:$A1001, "&lt;=2024-03-31"),
    COUNTIFS('Form responses 1'!$B$2:$B1001, A36, 'Form responses 1'!$A$2:$A1001, "&gt;=2024-01-01", 'Form responses 1'!$A$2:$A1001, "&lt;=2024-03-31"),
    COUNTIFS('Form responses 1'!$D$2:$D1001, A36, 'Form responses 1'!$A$2:$A1001, "&gt;=2024-01-01", 'Form responses 1'!$A$2:$A1001, "&lt;=2024-03-31"),
    COUNTIFS('Form responses 1'!$E$2:$E1001, A36, 'Form responses 1'!$A$2:$A1001, "&gt;=2024-01-01", 'Form responses 1'!$A$2:$A1001, "&lt;=2024-03-31"),
    COUNTIFS('Form responses 1'!$F$2:$F1001, A36, 'Form responses 1'!$A$2:$A1001, "&gt;=2024-01-01", 'Form responses 1'!$A$2:$A1001, "&lt;=2024-03-31"),
    COUNTIFS('Form responses 1'!$G$2:$G1001, A36, 'Form responses 1'!$A$2:$A1001, "&gt;=2024-01-01", 'Form responses 1'!$A$2:$A1001, "&lt;=2024-03-31")
)
</f>
        <v>0</v>
      </c>
      <c r="J36" s="2">
        <f>SUM(
    COUNTIFS('Form responses 1'!$C$2:$C1001, A36, 'Form responses 1'!$A$2:$A1001, "&gt;=2024-04-01", 'Form responses 1'!$A$2:$A1001, "&lt;=2024-06-30"),
    COUNTIFS('Form responses 1'!$B$2:$B1001, A36, 'Form responses 1'!$A$2:$A1001, "&gt;=2024-04-01", 'Form responses 1'!$A$2:$A1001, "&lt;=2024-06-30"),
    COUNTIFS('Form responses 1'!$D$2:$D1001, A36, 'Form responses 1'!$A$2:$A1001, "&gt;=2024-04-01", 'Form responses 1'!$A$2:$A1001, "&lt;=2024-06-30"),
    COUNTIFS('Form responses 1'!$E$2:$E1001, A36, 'Form responses 1'!$A$2:$A1001, "&gt;=2024-04-01", 'Form responses 1'!$A$2:$A1001, "&lt;=2024-06-30"),
    COUNTIFS('Form responses 1'!$F$2:$F1001, A36, 'Form responses 1'!$A$2:$A1001, "&gt;=2024-04-01", 'Form responses 1'!$A$2:$A1001, "&lt;=2024-06-30"),
    COUNTIFS('Form responses 1'!$G$2:$G1001, A36, 'Form responses 1'!$A$2:$A1001, "&gt;=2024-04-01", 'Form responses 1'!$A$2:$A1001, "&lt;=2024-06-30")
)
</f>
        <v>0</v>
      </c>
      <c r="K36" s="2">
        <f>SUM(
    COUNTIFS('Form responses 1'!$C$2:$C1001, A36, 'Form responses 1'!$A$2:$A1001, "&gt;=2024-07-01", 'Form responses 1'!$A$2:$A1001, "&lt;=2024-09-30"),
    COUNTIFS('Form responses 1'!$B$2:$B1001, A36, 'Form responses 1'!$A$2:$A1001, "&gt;=2024-07-01", 'Form responses 1'!$A$2:$A1001, "&lt;=2024-09-30"),
    COUNTIFS('Form responses 1'!$D$2:$D1001, A36, 'Form responses 1'!$A$2:$A1001, "&gt;=2024-07-01", 'Form responses 1'!$A$2:$A1001, "&lt;=2024-09-30"),
    COUNTIFS('Form responses 1'!$E$2:$E1001, A36, 'Form responses 1'!$A$2:$A1001, "&gt;=2024-07-01", 'Form responses 1'!$A$2:$A1001, "&lt;=2024-09-30"),
    COUNTIFS('Form responses 1'!$F$2:$F1001, A36, 'Form responses 1'!$A$2:$A1001, "&gt;=2024-07-01", 'Form responses 1'!$A$2:$A1001, "&lt;=2024-09-30"),
    COUNTIFS('Form responses 1'!$G$2:$G1001, A36, 'Form responses 1'!$A$2:$A1001, "&gt;=2024-07-01", 'Form responses 1'!$A$2:$A1001, "&lt;=2024-09-30")
)
</f>
        <v>0</v>
      </c>
      <c r="L36" s="2">
        <f>SUM(
    COUNTIFS('Form responses 1'!$C$2:$C1001, A36, 'Form responses 1'!$A$2:$A1001, "&gt;=2024-10-01", 'Form responses 1'!$A$2:$A1001, "&lt;=2024-12-31"),
    COUNTIFS('Form responses 1'!$B$2:$B1001, A36, 'Form responses 1'!$A$2:$A1001, "&gt;=2024-10-01", 'Form responses 1'!$A$2:$A1001, "&lt;=2024-12-31"),
    COUNTIFS('Form responses 1'!$D$2:$D1001, A36, 'Form responses 1'!$A$2:$A1001, "&gt;=2024-10-01", 'Form responses 1'!$A$2:$A1001, "&lt;=2024-12-31"),
    COUNTIFS('Form responses 1'!$E$2:$E1001, A36, 'Form responses 1'!$A$2:$A1001, "&gt;=2024-10-01", 'Form responses 1'!$A$2:$A1001, "&lt;=2024-12-31"),
    COUNTIFS('Form responses 1'!$F$2:$F1001, A36, 'Form responses 1'!$A$2:$A1001, "&gt;=2024-10-01", 'Form responses 1'!$A$2:$A1001, "&lt;=2024-12-31"),
    COUNTIFS('Form responses 1'!$G$2:$G1001, A36, 'Form responses 1'!$A$2:$A1001, "&gt;=2024-10-01", 'Form responses 1'!$A$2:$A1001, "&lt;=2024-12-31")
)
</f>
        <v>0</v>
      </c>
      <c r="M36" s="2">
        <f>SUM(
    COUNTIFS('Form responses 1'!$C$2:$C1001, A36, 'Form responses 1'!$A$2:$A1001, "&gt;=2025-01-01", 'Form responses 1'!$A$2:$A1001, "&lt;=2025-03-31"),
    COUNTIFS('Form responses 1'!$B$2:$B1001, A36, 'Form responses 1'!$A$2:$A1001, "&gt;=2025-01-01", 'Form responses 1'!$A$2:$A1001, "&lt;=2025-03-31"),
    COUNTIFS('Form responses 1'!$D$2:$D1001, A36, 'Form responses 1'!$A$2:$A1001, "&gt;=2025-01-01", 'Form responses 1'!$A$2:$A1001, "&lt;=2025-03-31"),
    COUNTIFS('Form responses 1'!$E$2:$E1001, A36, 'Form responses 1'!$A$2:$A1001, "&gt;=2025-01-01", 'Form responses 1'!$A$2:$A1001, "&lt;=2025-03-31"),
    COUNTIFS('Form responses 1'!$F$2:$F1001, A36, 'Form responses 1'!$A$2:$A1001, "&gt;=2025-01-01", 'Form responses 1'!$A$2:$A1001, "&lt;=2025-03-31"),
    COUNTIFS('Form responses 1'!$G$2:$G1001, A36, 'Form responses 1'!$A$2:$A1001, "&gt;=2025-01-01", 'Form responses 1'!$A$2:$A1001, "&lt;=2025-03-31")
)
</f>
        <v>0</v>
      </c>
      <c r="N36" s="2">
        <f>SUM(
    COUNTIFS('Form responses 1'!$C$2:$C1001, A36, 'Form responses 1'!$A$2:$A1001, "&gt;=2025-04-01", 'Form responses 1'!$A$2:$A1001, "&lt;2025-07-01"),
    COUNTIFS('Form responses 1'!$B$2:$B1001, A36, 'Form responses 1'!$A$2:$A1001, "&gt;=2025-04-01", 'Form responses 1'!$A$2:$A1001, "&lt;2025-07-01"),
    COUNTIFS('Form responses 1'!$D$2:$D1001, A36, 'Form responses 1'!$A$2:$A1001, "&gt;=2025-04-01", 'Form responses 1'!$A$2:$A1001, "&lt;2025-07-01"),
    COUNTIFS('Form responses 1'!$E$2:$E1001, A36, 'Form responses 1'!$A$2:$A1001, "&gt;=2025-04-01", 'Form responses 1'!$A$2:$A1001, "&lt;2025-07-01"),
    COUNTIFS('Form responses 1'!$F$2:$F1001, A36, 'Form responses 1'!$A$2:$A1001, "&gt;=2025-04-01", 'Form responses 1'!$A$2:$A1001, "&lt;2025-07-01"),
    COUNTIFS('Form responses 1'!$G$2:$G1001, A36, 'Form responses 1'!$A$2:$A1001, "&gt;=2025-04-01", 'Form responses 1'!$A$2:$A1001, "&lt;2025-07-01")
)
</f>
        <v>0</v>
      </c>
      <c r="O36" s="2">
        <f>SUM(
    COUNTIFS('Form responses 1'!$C$2:$C1001, A36, 'Form responses 1'!$A$2:$A1001, "&gt;=2025-07-01", 'Form responses 1'!$A$2:$A1001, "&lt;=2025-09-30"),
    COUNTIFS('Form responses 1'!$B$2:$B1001, A36, 'Form responses 1'!$A$2:$A1001, "&gt;=2025-07-01", 'Form responses 1'!$A$2:$A1001, "&lt;=2025-09-30"),
    COUNTIFS('Form responses 1'!$D$2:$D1001, A36, 'Form responses 1'!$A$2:$A1001, "&gt;=2025-07-01", 'Form responses 1'!$A$2:$A1001, "&lt;=2025-09-30"),
    COUNTIFS('Form responses 1'!$E$2:$E1001, A36, 'Form responses 1'!$A$2:$A1001, "&gt;=2025-07-01", 'Form responses 1'!$A$2:$A1001, "&lt;=2025-09-30"),
    COUNTIFS('Form responses 1'!$F$2:$F1001, A36, 'Form responses 1'!$A$2:$A1001, "&gt;=2025-07-01", 'Form responses 1'!$A$2:$A1001, "&lt;=2025-09-30"),
    COUNTIFS('Form responses 1'!$G$2:$G1001, A36, 'Form responses 1'!$A$2:$A1001, "&gt;=2025-07-01", 'Form responses 1'!$A$2:$A1001, "&lt;=2025-09-30")
)
</f>
        <v>0</v>
      </c>
      <c r="P36" s="2">
        <f>SUM(
    COUNTIFS('Form responses 1'!$C$2:$C1001, A36, 'Form responses 1'!$A$2:$A1001, "&gt;=2025-10-01", 'Form responses 1'!$A$2:$A1001, "&lt;=2025-12-31"),
    COUNTIFS('Form responses 1'!$B$2:$B1001, A36, 'Form responses 1'!$A$2:$A1001, "&gt;=2025-10-01", 'Form responses 1'!$A$2:$A1001, "&lt;=2025-12-31"),
    COUNTIFS('Form responses 1'!$D$2:$D1001, A36, 'Form responses 1'!$A$2:$A1001, "&gt;=2025-10-01", 'Form responses 1'!$A$2:$A1001, "&lt;=2025-12-31"),
    COUNTIFS('Form responses 1'!$E$2:$E1001, A36, 'Form responses 1'!$A$2:$A1001, "&gt;=2025-10-01", 'Form responses 1'!$A$2:$A1001, "&lt;=2025-12-31"),
    COUNTIFS('Form responses 1'!$F$2:$F1001, A36, 'Form responses 1'!$A$2:$A1001, "&gt;=2025-10-01", 'Form responses 1'!$A$2:$A1001, "&lt;=2025-12-31"),
    COUNTIFS('Form responses 1'!$G$2:$G1001, A36, 'Form responses 1'!$A$2:$A1001, "&gt;=2025-10-01", 'Form responses 1'!$A$2:$A1001, "&lt;=2025-12-31")
)
</f>
        <v>0</v>
      </c>
    </row>
    <row r="37">
      <c r="A37" s="3" t="str">
        <f>IFERROR(__xludf.DUMMYFUNCTION("""COMPUTED_VALUE"""),"Grijze trui, witte strepen")</f>
        <v>Grijze trui, witte strepen</v>
      </c>
      <c r="B37" s="2">
        <f>SUM(
    COUNTIFS('Form responses 1'!$C$2:$C1001, A37, 'Form responses 1'!$A$2:$A1001, "&gt;=2022-04-01", 'Form responses 1'!$A$2:$A1001, "&lt;=2022-06-30"),
    COUNTIFS('Form responses 1'!$B$2:$B1001, A37, 'Form responses 1'!$A$2:$A1001, "&gt;=2022-04-01", 'Form responses 1'!$A$2:$A1001, "&lt;=2022-06-30"),
    COUNTIFS('Form responses 1'!$D$2:$D1001, A37, 'Form responses 1'!$A$2:$A1001, "&gt;=2022-04-01", 'Form responses 1'!$A$2:$A1001, "&lt;=2022-06-30"),
    COUNTIFS('Form responses 1'!$E$2:$E1001, A37, 'Form responses 1'!$A$2:$A1001, "&gt;=2022-04-01", 'Form responses 1'!$A$2:$A1001, "&lt;=2022-06-30"),
    COUNTIFS('Form responses 1'!$F$2:$F1001, A37, 'Form responses 1'!$A$2:$A1001, "&gt;=2022-04-01", 'Form responses 1'!$A$2:$A1001, "&lt;=2022-06-30"),
    COUNTIFS('Form responses 1'!$G$2:$G1001, A37, 'Form responses 1'!$A$2:$A1001, "&gt;=2022-04-01", 'Form responses 1'!$A$2:$A1001, "&lt;=2022-06-30")
)
</f>
        <v>1</v>
      </c>
      <c r="C37" s="2">
        <f>SUM(
    COUNTIFS('Form responses 1'!$C$2:$C1001, A37, 'Form responses 1'!$A$2:$A1001, "&gt;=2022-07-01", 'Form responses 1'!$A$2:$A1001, "&lt;=2022-09-30"),
    COUNTIFS('Form responses 1'!$B$2:$B1001, A37, 'Form responses 1'!$A$2:$A1001, "&gt;=2022-07-01", 'Form responses 1'!$A$2:$A1001, "&lt;=2022-09-30"),
    COUNTIFS('Form responses 1'!$D$2:$D1001, A37, 'Form responses 1'!$A$2:$A1001, "&gt;=2022-07-01", 'Form responses 1'!$A$2:$A1001, "&lt;=2022-09-30"),
    COUNTIFS('Form responses 1'!$E$2:$E1001, A37, 'Form responses 1'!$A$2:$A1001, "&gt;=2022-07-01", 'Form responses 1'!$A$2:$A1001, "&lt;=2022-09-30"),
    COUNTIFS('Form responses 1'!$F$2:$F1001, A37, 'Form responses 1'!$A$2:$A1001, "&gt;=2022-07-01", 'Form responses 1'!$A$2:$A1001, "&lt;=2022-09-30"),
    COUNTIFS('Form responses 1'!$G$2:$G1001, A37, 'Form responses 1'!$A$2:$A1001, "&gt;=2022-07-01", 'Form responses 1'!$A$2:$A1001, "&lt;=2022-09-30")
)
</f>
        <v>0</v>
      </c>
      <c r="D37" s="2">
        <f>SUM(
    COUNTIFS('Form responses 1'!$C$2:$C1001, A37, 'Form responses 1'!$A$2:$A1001, "&gt;=2022-10-01", 'Form responses 1'!$A$2:$A1001, "&lt;=2022-12-31"),
    COUNTIFS('Form responses 1'!$B$2:$B1001, A37, 'Form responses 1'!$A$2:$A1001, "&gt;=2022-10-01", 'Form responses 1'!$A$2:$A1001, "&lt;=2022-12-31"),
    COUNTIFS('Form responses 1'!$D$2:$D1001, A37, 'Form responses 1'!$A$2:$A1001, "&gt;=2022-10-01", 'Form responses 1'!$A$2:$A1001, "&lt;=2022-12-31"),
    COUNTIFS('Form responses 1'!$E$2:$E1001, A37, 'Form responses 1'!$A$2:$A1001, "&gt;=2022-10-01", 'Form responses 1'!$A$2:$A1001, "&lt;=2022-12-31"),
    COUNTIFS('Form responses 1'!$F$2:$F1001, A37, 'Form responses 1'!$A$2:$A1001, "&gt;=2022-10-01", 'Form responses 1'!$A$2:$A1001, "&lt;=2022-12-31"),
    COUNTIFS('Form responses 1'!$G$2:$G1001, A37, 'Form responses 1'!$A$2:$A1001, "&gt;=2022-10-01", 'Form responses 1'!$A$2:$A1001, "&lt;=2022-12-31")
)
</f>
        <v>7</v>
      </c>
      <c r="E37" s="2">
        <f>SUM(
    COUNTIFS('Form responses 1'!$C$2:$C1001, A37, 'Form responses 1'!$A$2:$A1001, "&gt;=2023-01-01", 'Form responses 1'!$A$2:$A1001, "&lt;=2023-03-31"),
    COUNTIFS('Form responses 1'!$B$2:$B1001, A37, 'Form responses 1'!$A$2:$A1001, "&gt;=2023-01-01", 'Form responses 1'!$A$2:$A1001, "&lt;=2023-03-31"),
    COUNTIFS('Form responses 1'!$D$2:$D1001, A37, 'Form responses 1'!$A$2:$A1001, "&gt;=2023-01-01", 'Form responses 1'!$A$2:$A1001, "&lt;=2023-03-31"),
    COUNTIFS('Form responses 1'!$E$2:$E1001, A37, 'Form responses 1'!$A$2:$A1001, "&gt;=2023-01-01", 'Form responses 1'!$A$2:$A1001, "&lt;=2023-03-31"),
    COUNTIFS('Form responses 1'!$F$2:$F1001, A37, 'Form responses 1'!$A$2:$A1001, "&gt;=2023-01-01", 'Form responses 1'!$A$2:$A1001, "&lt;=2023-03-31"),
    COUNTIFS('Form responses 1'!$G$2:$G1001, A37, 'Form responses 1'!$A$2:$A1001, "&gt;=2023-01-01", 'Form responses 1'!$A$2:$A1001, "&lt;=2023-03-31")
)
</f>
        <v>2</v>
      </c>
      <c r="F37" s="2">
        <f>SUM(
    COUNTIFS('Form responses 1'!$C$2:$C1001, A37, 'Form responses 1'!$A$2:$A1001, "&gt;=2023-04-01", 'Form responses 1'!$A$2:$A1001, "&lt;=2023-06-30"),
    COUNTIFS('Form responses 1'!$B$2:$B1001, A37, 'Form responses 1'!$A$2:$A1001, "&gt;=2023-04-01", 'Form responses 1'!$A$2:$A1001, "&lt;=2023-06-30"),
    COUNTIFS('Form responses 1'!$D$2:$D1001, A37, 'Form responses 1'!$A$2:$A1001, "&gt;=2023-04-01", 'Form responses 1'!$A$2:$A1001, "&lt;=2023-06-30"),
    COUNTIFS('Form responses 1'!$E$2:$E1001, A37, 'Form responses 1'!$A$2:$A1001, "&gt;=2023-04-01", 'Form responses 1'!$A$2:$A1001, "&lt;=2023-06-30"),
    COUNTIFS('Form responses 1'!$F$2:$F1001, A37, 'Form responses 1'!$A$2:$A1001, "&gt;=2023-04-01", 'Form responses 1'!$A$2:$A1001, "&lt;=2023-06-30"),
    COUNTIFS('Form responses 1'!$G$2:$G1001, A37, 'Form responses 1'!$A$2:$A1001, "&gt;=2023-04-01", 'Form responses 1'!$A$2:$A1001, "&lt;=2023-06-30")
)
</f>
        <v>0</v>
      </c>
      <c r="G37" s="2">
        <f>SUM(
    COUNTIFS('Form responses 1'!$C$2:$C1001, A37, 'Form responses 1'!$A$2:$A1001, "&gt;=2023-07-01", 'Form responses 1'!$A$2:$A1001, "&lt;=2023-09-30"),
    COUNTIFS('Form responses 1'!$B$2:$B1001, A37, 'Form responses 1'!$A$2:$A1001, "&gt;=2023-07-01", 'Form responses 1'!$A$2:$A1001, "&lt;=2023-09-30"),
    COUNTIFS('Form responses 1'!$D$2:$D1001, A37, 'Form responses 1'!$A$2:$A1001, "&gt;=2023-07-01", 'Form responses 1'!$A$2:$A1001, "&lt;=2023-09-30"),
    COUNTIFS('Form responses 1'!$E$2:$E1001, A37, 'Form responses 1'!$A$2:$A1001, "&gt;=2023-07-01", 'Form responses 1'!$A$2:$A1001, "&lt;=2023-09-30"),
    COUNTIFS('Form responses 1'!$F$2:$F1001, A37, 'Form responses 1'!$A$2:$A1001, "&gt;=2023-07-01", 'Form responses 1'!$A$2:$A1001, "&lt;=2023-09-30"),
    COUNTIFS('Form responses 1'!$G$2:$G1001, A37, 'Form responses 1'!$A$2:$A1001, "&gt;=2023-07-01", 'Form responses 1'!$A$2:$A1001, "&lt;=2023-09-30")
)
</f>
        <v>1</v>
      </c>
      <c r="H37" s="2">
        <f>SUM(
    COUNTIFS('Form responses 1'!$C$2:$C1001, A37, 'Form responses 1'!$A$2:$A1001, "&gt;=2023-10-01", 'Form responses 1'!$A$2:$A1001, "&lt;=2023-12-31"),
    COUNTIFS('Form responses 1'!$B$2:$B1001, A37, 'Form responses 1'!$A$2:$A1001, "&gt;=2023-10-01", 'Form responses 1'!$A$2:$A1001, "&lt;=2023-12-31"),
    COUNTIFS('Form responses 1'!$D$2:$D1001, A37, 'Form responses 1'!$A$2:$A1001, "&gt;=2023-10-01", 'Form responses 1'!$A$2:$A1001, "&lt;=2023-12-31"),
    COUNTIFS('Form responses 1'!$E$2:$E1001, A37, 'Form responses 1'!$A$2:$A1001, "&gt;=2023-10-01", 'Form responses 1'!$A$2:$A1001, "&lt;=2023-12-31"),
    COUNTIFS('Form responses 1'!$F$2:$F1001, A37, 'Form responses 1'!$A$2:$A1001, "&gt;=2023-10-01", 'Form responses 1'!$A$2:$A1001, "&lt;=2023-12-31"),
    COUNTIFS('Form responses 1'!$G$2:$G1001, A37, 'Form responses 1'!$A$2:$A1001, "&gt;=2023-10-01", 'Form responses 1'!$A$2:$A1001, "&lt;=2023-12-31")
)
</f>
        <v>3</v>
      </c>
      <c r="I37" s="2">
        <f>SUM(
    COUNTIFS('Form responses 1'!$C$2:$C1001, A37, 'Form responses 1'!$A$2:$A1001, "&gt;=2024-01-01", 'Form responses 1'!$A$2:$A1001, "&lt;=2024-03-31"),
    COUNTIFS('Form responses 1'!$B$2:$B1001, A37, 'Form responses 1'!$A$2:$A1001, "&gt;=2024-01-01", 'Form responses 1'!$A$2:$A1001, "&lt;=2024-03-31"),
    COUNTIFS('Form responses 1'!$D$2:$D1001, A37, 'Form responses 1'!$A$2:$A1001, "&gt;=2024-01-01", 'Form responses 1'!$A$2:$A1001, "&lt;=2024-03-31"),
    COUNTIFS('Form responses 1'!$E$2:$E1001, A37, 'Form responses 1'!$A$2:$A1001, "&gt;=2024-01-01", 'Form responses 1'!$A$2:$A1001, "&lt;=2024-03-31"),
    COUNTIFS('Form responses 1'!$F$2:$F1001, A37, 'Form responses 1'!$A$2:$A1001, "&gt;=2024-01-01", 'Form responses 1'!$A$2:$A1001, "&lt;=2024-03-31"),
    COUNTIFS('Form responses 1'!$G$2:$G1001, A37, 'Form responses 1'!$A$2:$A1001, "&gt;=2024-01-01", 'Form responses 1'!$A$2:$A1001, "&lt;=2024-03-31")
)
</f>
        <v>2</v>
      </c>
      <c r="J37" s="2">
        <f>SUM(
    COUNTIFS('Form responses 1'!$C$2:$C1001, A37, 'Form responses 1'!$A$2:$A1001, "&gt;=2024-04-01", 'Form responses 1'!$A$2:$A1001, "&lt;=2024-06-30"),
    COUNTIFS('Form responses 1'!$B$2:$B1001, A37, 'Form responses 1'!$A$2:$A1001, "&gt;=2024-04-01", 'Form responses 1'!$A$2:$A1001, "&lt;=2024-06-30"),
    COUNTIFS('Form responses 1'!$D$2:$D1001, A37, 'Form responses 1'!$A$2:$A1001, "&gt;=2024-04-01", 'Form responses 1'!$A$2:$A1001, "&lt;=2024-06-30"),
    COUNTIFS('Form responses 1'!$E$2:$E1001, A37, 'Form responses 1'!$A$2:$A1001, "&gt;=2024-04-01", 'Form responses 1'!$A$2:$A1001, "&lt;=2024-06-30"),
    COUNTIFS('Form responses 1'!$F$2:$F1001, A37, 'Form responses 1'!$A$2:$A1001, "&gt;=2024-04-01", 'Form responses 1'!$A$2:$A1001, "&lt;=2024-06-30"),
    COUNTIFS('Form responses 1'!$G$2:$G1001, A37, 'Form responses 1'!$A$2:$A1001, "&gt;=2024-04-01", 'Form responses 1'!$A$2:$A1001, "&lt;=2024-06-30")
)
</f>
        <v>0</v>
      </c>
      <c r="K37" s="2">
        <f>SUM(
    COUNTIFS('Form responses 1'!$C$2:$C1001, A37, 'Form responses 1'!$A$2:$A1001, "&gt;=2024-07-01", 'Form responses 1'!$A$2:$A1001, "&lt;=2024-09-30"),
    COUNTIFS('Form responses 1'!$B$2:$B1001, A37, 'Form responses 1'!$A$2:$A1001, "&gt;=2024-07-01", 'Form responses 1'!$A$2:$A1001, "&lt;=2024-09-30"),
    COUNTIFS('Form responses 1'!$D$2:$D1001, A37, 'Form responses 1'!$A$2:$A1001, "&gt;=2024-07-01", 'Form responses 1'!$A$2:$A1001, "&lt;=2024-09-30"),
    COUNTIFS('Form responses 1'!$E$2:$E1001, A37, 'Form responses 1'!$A$2:$A1001, "&gt;=2024-07-01", 'Form responses 1'!$A$2:$A1001, "&lt;=2024-09-30"),
    COUNTIFS('Form responses 1'!$F$2:$F1001, A37, 'Form responses 1'!$A$2:$A1001, "&gt;=2024-07-01", 'Form responses 1'!$A$2:$A1001, "&lt;=2024-09-30"),
    COUNTIFS('Form responses 1'!$G$2:$G1001, A37, 'Form responses 1'!$A$2:$A1001, "&gt;=2024-07-01", 'Form responses 1'!$A$2:$A1001, "&lt;=2024-09-30")
)
</f>
        <v>0</v>
      </c>
      <c r="L37" s="2">
        <f>SUM(
    COUNTIFS('Form responses 1'!$C$2:$C1001, A37, 'Form responses 1'!$A$2:$A1001, "&gt;=2024-10-01", 'Form responses 1'!$A$2:$A1001, "&lt;=2024-12-31"),
    COUNTIFS('Form responses 1'!$B$2:$B1001, A37, 'Form responses 1'!$A$2:$A1001, "&gt;=2024-10-01", 'Form responses 1'!$A$2:$A1001, "&lt;=2024-12-31"),
    COUNTIFS('Form responses 1'!$D$2:$D1001, A37, 'Form responses 1'!$A$2:$A1001, "&gt;=2024-10-01", 'Form responses 1'!$A$2:$A1001, "&lt;=2024-12-31"),
    COUNTIFS('Form responses 1'!$E$2:$E1001, A37, 'Form responses 1'!$A$2:$A1001, "&gt;=2024-10-01", 'Form responses 1'!$A$2:$A1001, "&lt;=2024-12-31"),
    COUNTIFS('Form responses 1'!$F$2:$F1001, A37, 'Form responses 1'!$A$2:$A1001, "&gt;=2024-10-01", 'Form responses 1'!$A$2:$A1001, "&lt;=2024-12-31"),
    COUNTIFS('Form responses 1'!$G$2:$G1001, A37, 'Form responses 1'!$A$2:$A1001, "&gt;=2024-10-01", 'Form responses 1'!$A$2:$A1001, "&lt;=2024-12-31")
)
</f>
        <v>0</v>
      </c>
      <c r="M37" s="2">
        <f>SUM(
    COUNTIFS('Form responses 1'!$C$2:$C1001, A37, 'Form responses 1'!$A$2:$A1001, "&gt;=2025-01-01", 'Form responses 1'!$A$2:$A1001, "&lt;=2025-03-31"),
    COUNTIFS('Form responses 1'!$B$2:$B1001, A37, 'Form responses 1'!$A$2:$A1001, "&gt;=2025-01-01", 'Form responses 1'!$A$2:$A1001, "&lt;=2025-03-31"),
    COUNTIFS('Form responses 1'!$D$2:$D1001, A37, 'Form responses 1'!$A$2:$A1001, "&gt;=2025-01-01", 'Form responses 1'!$A$2:$A1001, "&lt;=2025-03-31"),
    COUNTIFS('Form responses 1'!$E$2:$E1001, A37, 'Form responses 1'!$A$2:$A1001, "&gt;=2025-01-01", 'Form responses 1'!$A$2:$A1001, "&lt;=2025-03-31"),
    COUNTIFS('Form responses 1'!$F$2:$F1001, A37, 'Form responses 1'!$A$2:$A1001, "&gt;=2025-01-01", 'Form responses 1'!$A$2:$A1001, "&lt;=2025-03-31"),
    COUNTIFS('Form responses 1'!$G$2:$G1001, A37, 'Form responses 1'!$A$2:$A1001, "&gt;=2025-01-01", 'Form responses 1'!$A$2:$A1001, "&lt;=2025-03-31")
)
</f>
        <v>0</v>
      </c>
      <c r="N37" s="2">
        <f>SUM(
    COUNTIFS('Form responses 1'!$C$2:$C1001, A37, 'Form responses 1'!$A$2:$A1001, "&gt;=2025-04-01", 'Form responses 1'!$A$2:$A1001, "&lt;2025-07-01"),
    COUNTIFS('Form responses 1'!$B$2:$B1001, A37, 'Form responses 1'!$A$2:$A1001, "&gt;=2025-04-01", 'Form responses 1'!$A$2:$A1001, "&lt;2025-07-01"),
    COUNTIFS('Form responses 1'!$D$2:$D1001, A37, 'Form responses 1'!$A$2:$A1001, "&gt;=2025-04-01", 'Form responses 1'!$A$2:$A1001, "&lt;2025-07-01"),
    COUNTIFS('Form responses 1'!$E$2:$E1001, A37, 'Form responses 1'!$A$2:$A1001, "&gt;=2025-04-01", 'Form responses 1'!$A$2:$A1001, "&lt;2025-07-01"),
    COUNTIFS('Form responses 1'!$F$2:$F1001, A37, 'Form responses 1'!$A$2:$A1001, "&gt;=2025-04-01", 'Form responses 1'!$A$2:$A1001, "&lt;2025-07-01"),
    COUNTIFS('Form responses 1'!$G$2:$G1001, A37, 'Form responses 1'!$A$2:$A1001, "&gt;=2025-04-01", 'Form responses 1'!$A$2:$A1001, "&lt;2025-07-01")
)
</f>
        <v>0</v>
      </c>
      <c r="O37" s="2">
        <f>SUM(
    COUNTIFS('Form responses 1'!$C$2:$C1001, A37, 'Form responses 1'!$A$2:$A1001, "&gt;=2025-07-01", 'Form responses 1'!$A$2:$A1001, "&lt;=2025-09-30"),
    COUNTIFS('Form responses 1'!$B$2:$B1001, A37, 'Form responses 1'!$A$2:$A1001, "&gt;=2025-07-01", 'Form responses 1'!$A$2:$A1001, "&lt;=2025-09-30"),
    COUNTIFS('Form responses 1'!$D$2:$D1001, A37, 'Form responses 1'!$A$2:$A1001, "&gt;=2025-07-01", 'Form responses 1'!$A$2:$A1001, "&lt;=2025-09-30"),
    COUNTIFS('Form responses 1'!$E$2:$E1001, A37, 'Form responses 1'!$A$2:$A1001, "&gt;=2025-07-01", 'Form responses 1'!$A$2:$A1001, "&lt;=2025-09-30"),
    COUNTIFS('Form responses 1'!$F$2:$F1001, A37, 'Form responses 1'!$A$2:$A1001, "&gt;=2025-07-01", 'Form responses 1'!$A$2:$A1001, "&lt;=2025-09-30"),
    COUNTIFS('Form responses 1'!$G$2:$G1001, A37, 'Form responses 1'!$A$2:$A1001, "&gt;=2025-07-01", 'Form responses 1'!$A$2:$A1001, "&lt;=2025-09-30")
)
</f>
        <v>0</v>
      </c>
      <c r="P37" s="2">
        <f>SUM(
    COUNTIFS('Form responses 1'!$C$2:$C1001, A37, 'Form responses 1'!$A$2:$A1001, "&gt;=2025-10-01", 'Form responses 1'!$A$2:$A1001, "&lt;=2025-12-31"),
    COUNTIFS('Form responses 1'!$B$2:$B1001, A37, 'Form responses 1'!$A$2:$A1001, "&gt;=2025-10-01", 'Form responses 1'!$A$2:$A1001, "&lt;=2025-12-31"),
    COUNTIFS('Form responses 1'!$D$2:$D1001, A37, 'Form responses 1'!$A$2:$A1001, "&gt;=2025-10-01", 'Form responses 1'!$A$2:$A1001, "&lt;=2025-12-31"),
    COUNTIFS('Form responses 1'!$E$2:$E1001, A37, 'Form responses 1'!$A$2:$A1001, "&gt;=2025-10-01", 'Form responses 1'!$A$2:$A1001, "&lt;=2025-12-31"),
    COUNTIFS('Form responses 1'!$F$2:$F1001, A37, 'Form responses 1'!$A$2:$A1001, "&gt;=2025-10-01", 'Form responses 1'!$A$2:$A1001, "&lt;=2025-12-31"),
    COUNTIFS('Form responses 1'!$G$2:$G1001, A37, 'Form responses 1'!$A$2:$A1001, "&gt;=2025-10-01", 'Form responses 1'!$A$2:$A1001, "&lt;=2025-12-31")
)
</f>
        <v>0</v>
      </c>
    </row>
    <row r="38">
      <c r="A38" s="6" t="str">
        <f>IFERROR(__xludf.DUMMYFUNCTION("""COMPUTED_VALUE"""),"Groene trui strepen")</f>
        <v>Groene trui strepen</v>
      </c>
      <c r="B38" s="2">
        <f>SUM(
    COUNTIFS('Form responses 1'!$C$2:$C1001, A38, 'Form responses 1'!$A$2:$A1001, "&gt;=2022-04-01", 'Form responses 1'!$A$2:$A1001, "&lt;=2022-06-30"),
    COUNTIFS('Form responses 1'!$B$2:$B1001, A38, 'Form responses 1'!$A$2:$A1001, "&gt;=2022-04-01", 'Form responses 1'!$A$2:$A1001, "&lt;=2022-06-30"),
    COUNTIFS('Form responses 1'!$D$2:$D1001, A38, 'Form responses 1'!$A$2:$A1001, "&gt;=2022-04-01", 'Form responses 1'!$A$2:$A1001, "&lt;=2022-06-30"),
    COUNTIFS('Form responses 1'!$E$2:$E1001, A38, 'Form responses 1'!$A$2:$A1001, "&gt;=2022-04-01", 'Form responses 1'!$A$2:$A1001, "&lt;=2022-06-30"),
    COUNTIFS('Form responses 1'!$F$2:$F1001, A38, 'Form responses 1'!$A$2:$A1001, "&gt;=2022-04-01", 'Form responses 1'!$A$2:$A1001, "&lt;=2022-06-30"),
    COUNTIFS('Form responses 1'!$G$2:$G1001, A38, 'Form responses 1'!$A$2:$A1001, "&gt;=2022-04-01", 'Form responses 1'!$A$2:$A1001, "&lt;=2022-06-30")
)
</f>
        <v>5</v>
      </c>
      <c r="C38" s="2">
        <f>SUM(
    COUNTIFS('Form responses 1'!$C$2:$C1001, A38, 'Form responses 1'!$A$2:$A1001, "&gt;=2022-07-01", 'Form responses 1'!$A$2:$A1001, "&lt;=2022-09-30"),
    COUNTIFS('Form responses 1'!$B$2:$B1001, A38, 'Form responses 1'!$A$2:$A1001, "&gt;=2022-07-01", 'Form responses 1'!$A$2:$A1001, "&lt;=2022-09-30"),
    COUNTIFS('Form responses 1'!$D$2:$D1001, A38, 'Form responses 1'!$A$2:$A1001, "&gt;=2022-07-01", 'Form responses 1'!$A$2:$A1001, "&lt;=2022-09-30"),
    COUNTIFS('Form responses 1'!$E$2:$E1001, A38, 'Form responses 1'!$A$2:$A1001, "&gt;=2022-07-01", 'Form responses 1'!$A$2:$A1001, "&lt;=2022-09-30"),
    COUNTIFS('Form responses 1'!$F$2:$F1001, A38, 'Form responses 1'!$A$2:$A1001, "&gt;=2022-07-01", 'Form responses 1'!$A$2:$A1001, "&lt;=2022-09-30"),
    COUNTIFS('Form responses 1'!$G$2:$G1001, A38, 'Form responses 1'!$A$2:$A1001, "&gt;=2022-07-01", 'Form responses 1'!$A$2:$A1001, "&lt;=2022-09-30")
)
</f>
        <v>3</v>
      </c>
      <c r="D38" s="2">
        <f>SUM(
    COUNTIFS('Form responses 1'!$C$2:$C1001, A38, 'Form responses 1'!$A$2:$A1001, "&gt;=2022-10-01", 'Form responses 1'!$A$2:$A1001, "&lt;=2022-12-31"),
    COUNTIFS('Form responses 1'!$B$2:$B1001, A38, 'Form responses 1'!$A$2:$A1001, "&gt;=2022-10-01", 'Form responses 1'!$A$2:$A1001, "&lt;=2022-12-31"),
    COUNTIFS('Form responses 1'!$D$2:$D1001, A38, 'Form responses 1'!$A$2:$A1001, "&gt;=2022-10-01", 'Form responses 1'!$A$2:$A1001, "&lt;=2022-12-31"),
    COUNTIFS('Form responses 1'!$E$2:$E1001, A38, 'Form responses 1'!$A$2:$A1001, "&gt;=2022-10-01", 'Form responses 1'!$A$2:$A1001, "&lt;=2022-12-31"),
    COUNTIFS('Form responses 1'!$F$2:$F1001, A38, 'Form responses 1'!$A$2:$A1001, "&gt;=2022-10-01", 'Form responses 1'!$A$2:$A1001, "&lt;=2022-12-31"),
    COUNTIFS('Form responses 1'!$G$2:$G1001, A38, 'Form responses 1'!$A$2:$A1001, "&gt;=2022-10-01", 'Form responses 1'!$A$2:$A1001, "&lt;=2022-12-31")
)
</f>
        <v>17</v>
      </c>
      <c r="E38" s="2">
        <f>SUM(
    COUNTIFS('Form responses 1'!$C$2:$C1001, A38, 'Form responses 1'!$A$2:$A1001, "&gt;=2023-01-01", 'Form responses 1'!$A$2:$A1001, "&lt;=2023-03-31"),
    COUNTIFS('Form responses 1'!$B$2:$B1001, A38, 'Form responses 1'!$A$2:$A1001, "&gt;=2023-01-01", 'Form responses 1'!$A$2:$A1001, "&lt;=2023-03-31"),
    COUNTIFS('Form responses 1'!$D$2:$D1001, A38, 'Form responses 1'!$A$2:$A1001, "&gt;=2023-01-01", 'Form responses 1'!$A$2:$A1001, "&lt;=2023-03-31"),
    COUNTIFS('Form responses 1'!$E$2:$E1001, A38, 'Form responses 1'!$A$2:$A1001, "&gt;=2023-01-01", 'Form responses 1'!$A$2:$A1001, "&lt;=2023-03-31"),
    COUNTIFS('Form responses 1'!$F$2:$F1001, A38, 'Form responses 1'!$A$2:$A1001, "&gt;=2023-01-01", 'Form responses 1'!$A$2:$A1001, "&lt;=2023-03-31"),
    COUNTIFS('Form responses 1'!$G$2:$G1001, A38, 'Form responses 1'!$A$2:$A1001, "&gt;=2023-01-01", 'Form responses 1'!$A$2:$A1001, "&lt;=2023-03-31")
)
</f>
        <v>6</v>
      </c>
      <c r="F38" s="2">
        <f>SUM(
    COUNTIFS('Form responses 1'!$C$2:$C1001, A38, 'Form responses 1'!$A$2:$A1001, "&gt;=2023-04-01", 'Form responses 1'!$A$2:$A1001, "&lt;=2023-06-30"),
    COUNTIFS('Form responses 1'!$B$2:$B1001, A38, 'Form responses 1'!$A$2:$A1001, "&gt;=2023-04-01", 'Form responses 1'!$A$2:$A1001, "&lt;=2023-06-30"),
    COUNTIFS('Form responses 1'!$D$2:$D1001, A38, 'Form responses 1'!$A$2:$A1001, "&gt;=2023-04-01", 'Form responses 1'!$A$2:$A1001, "&lt;=2023-06-30"),
    COUNTIFS('Form responses 1'!$E$2:$E1001, A38, 'Form responses 1'!$A$2:$A1001, "&gt;=2023-04-01", 'Form responses 1'!$A$2:$A1001, "&lt;=2023-06-30"),
    COUNTIFS('Form responses 1'!$F$2:$F1001, A38, 'Form responses 1'!$A$2:$A1001, "&gt;=2023-04-01", 'Form responses 1'!$A$2:$A1001, "&lt;=2023-06-30"),
    COUNTIFS('Form responses 1'!$G$2:$G1001, A38, 'Form responses 1'!$A$2:$A1001, "&gt;=2023-04-01", 'Form responses 1'!$A$2:$A1001, "&lt;=2023-06-30")
)
</f>
        <v>7</v>
      </c>
      <c r="G38" s="2">
        <f>SUM(
    COUNTIFS('Form responses 1'!$C$2:$C1001, A38, 'Form responses 1'!$A$2:$A1001, "&gt;=2023-07-01", 'Form responses 1'!$A$2:$A1001, "&lt;=2023-09-30"),
    COUNTIFS('Form responses 1'!$B$2:$B1001, A38, 'Form responses 1'!$A$2:$A1001, "&gt;=2023-07-01", 'Form responses 1'!$A$2:$A1001, "&lt;=2023-09-30"),
    COUNTIFS('Form responses 1'!$D$2:$D1001, A38, 'Form responses 1'!$A$2:$A1001, "&gt;=2023-07-01", 'Form responses 1'!$A$2:$A1001, "&lt;=2023-09-30"),
    COUNTIFS('Form responses 1'!$E$2:$E1001, A38, 'Form responses 1'!$A$2:$A1001, "&gt;=2023-07-01", 'Form responses 1'!$A$2:$A1001, "&lt;=2023-09-30"),
    COUNTIFS('Form responses 1'!$F$2:$F1001, A38, 'Form responses 1'!$A$2:$A1001, "&gt;=2023-07-01", 'Form responses 1'!$A$2:$A1001, "&lt;=2023-09-30"),
    COUNTIFS('Form responses 1'!$G$2:$G1001, A38, 'Form responses 1'!$A$2:$A1001, "&gt;=2023-07-01", 'Form responses 1'!$A$2:$A1001, "&lt;=2023-09-30")
)
</f>
        <v>0</v>
      </c>
      <c r="H38" s="2">
        <f>SUM(
    COUNTIFS('Form responses 1'!$C$2:$C1001, A38, 'Form responses 1'!$A$2:$A1001, "&gt;=2023-10-01", 'Form responses 1'!$A$2:$A1001, "&lt;=2023-12-31"),
    COUNTIFS('Form responses 1'!$B$2:$B1001, A38, 'Form responses 1'!$A$2:$A1001, "&gt;=2023-10-01", 'Form responses 1'!$A$2:$A1001, "&lt;=2023-12-31"),
    COUNTIFS('Form responses 1'!$D$2:$D1001, A38, 'Form responses 1'!$A$2:$A1001, "&gt;=2023-10-01", 'Form responses 1'!$A$2:$A1001, "&lt;=2023-12-31"),
    COUNTIFS('Form responses 1'!$E$2:$E1001, A38, 'Form responses 1'!$A$2:$A1001, "&gt;=2023-10-01", 'Form responses 1'!$A$2:$A1001, "&lt;=2023-12-31"),
    COUNTIFS('Form responses 1'!$F$2:$F1001, A38, 'Form responses 1'!$A$2:$A1001, "&gt;=2023-10-01", 'Form responses 1'!$A$2:$A1001, "&lt;=2023-12-31"),
    COUNTIFS('Form responses 1'!$G$2:$G1001, A38, 'Form responses 1'!$A$2:$A1001, "&gt;=2023-10-01", 'Form responses 1'!$A$2:$A1001, "&lt;=2023-12-31")
)
</f>
        <v>6</v>
      </c>
      <c r="I38" s="2">
        <f>SUM(
    COUNTIFS('Form responses 1'!$C$2:$C1001, A38, 'Form responses 1'!$A$2:$A1001, "&gt;=2024-01-01", 'Form responses 1'!$A$2:$A1001, "&lt;=2024-03-31"),
    COUNTIFS('Form responses 1'!$B$2:$B1001, A38, 'Form responses 1'!$A$2:$A1001, "&gt;=2024-01-01", 'Form responses 1'!$A$2:$A1001, "&lt;=2024-03-31"),
    COUNTIFS('Form responses 1'!$D$2:$D1001, A38, 'Form responses 1'!$A$2:$A1001, "&gt;=2024-01-01", 'Form responses 1'!$A$2:$A1001, "&lt;=2024-03-31"),
    COUNTIFS('Form responses 1'!$E$2:$E1001, A38, 'Form responses 1'!$A$2:$A1001, "&gt;=2024-01-01", 'Form responses 1'!$A$2:$A1001, "&lt;=2024-03-31"),
    COUNTIFS('Form responses 1'!$F$2:$F1001, A38, 'Form responses 1'!$A$2:$A1001, "&gt;=2024-01-01", 'Form responses 1'!$A$2:$A1001, "&lt;=2024-03-31"),
    COUNTIFS('Form responses 1'!$G$2:$G1001, A38, 'Form responses 1'!$A$2:$A1001, "&gt;=2024-01-01", 'Form responses 1'!$A$2:$A1001, "&lt;=2024-03-31")
)
</f>
        <v>0</v>
      </c>
      <c r="J38" s="2">
        <f>SUM(
    COUNTIFS('Form responses 1'!$C$2:$C1001, A38, 'Form responses 1'!$A$2:$A1001, "&gt;=2024-04-01", 'Form responses 1'!$A$2:$A1001, "&lt;=2024-06-30"),
    COUNTIFS('Form responses 1'!$B$2:$B1001, A38, 'Form responses 1'!$A$2:$A1001, "&gt;=2024-04-01", 'Form responses 1'!$A$2:$A1001, "&lt;=2024-06-30"),
    COUNTIFS('Form responses 1'!$D$2:$D1001, A38, 'Form responses 1'!$A$2:$A1001, "&gt;=2024-04-01", 'Form responses 1'!$A$2:$A1001, "&lt;=2024-06-30"),
    COUNTIFS('Form responses 1'!$E$2:$E1001, A38, 'Form responses 1'!$A$2:$A1001, "&gt;=2024-04-01", 'Form responses 1'!$A$2:$A1001, "&lt;=2024-06-30"),
    COUNTIFS('Form responses 1'!$F$2:$F1001, A38, 'Form responses 1'!$A$2:$A1001, "&gt;=2024-04-01", 'Form responses 1'!$A$2:$A1001, "&lt;=2024-06-30"),
    COUNTIFS('Form responses 1'!$G$2:$G1001, A38, 'Form responses 1'!$A$2:$A1001, "&gt;=2024-04-01", 'Form responses 1'!$A$2:$A1001, "&lt;=2024-06-30")
)
</f>
        <v>1</v>
      </c>
      <c r="K38" s="2">
        <f>SUM(
    COUNTIFS('Form responses 1'!$C$2:$C1001, A38, 'Form responses 1'!$A$2:$A1001, "&gt;=2024-07-01", 'Form responses 1'!$A$2:$A1001, "&lt;=2024-09-30"),
    COUNTIFS('Form responses 1'!$B$2:$B1001, A38, 'Form responses 1'!$A$2:$A1001, "&gt;=2024-07-01", 'Form responses 1'!$A$2:$A1001, "&lt;=2024-09-30"),
    COUNTIFS('Form responses 1'!$D$2:$D1001, A38, 'Form responses 1'!$A$2:$A1001, "&gt;=2024-07-01", 'Form responses 1'!$A$2:$A1001, "&lt;=2024-09-30"),
    COUNTIFS('Form responses 1'!$E$2:$E1001, A38, 'Form responses 1'!$A$2:$A1001, "&gt;=2024-07-01", 'Form responses 1'!$A$2:$A1001, "&lt;=2024-09-30"),
    COUNTIFS('Form responses 1'!$F$2:$F1001, A38, 'Form responses 1'!$A$2:$A1001, "&gt;=2024-07-01", 'Form responses 1'!$A$2:$A1001, "&lt;=2024-09-30"),
    COUNTIFS('Form responses 1'!$G$2:$G1001, A38, 'Form responses 1'!$A$2:$A1001, "&gt;=2024-07-01", 'Form responses 1'!$A$2:$A1001, "&lt;=2024-09-30")
)
</f>
        <v>0</v>
      </c>
      <c r="L38" s="2">
        <f>SUM(
    COUNTIFS('Form responses 1'!$C$2:$C1001, A38, 'Form responses 1'!$A$2:$A1001, "&gt;=2024-10-01", 'Form responses 1'!$A$2:$A1001, "&lt;=2024-12-31"),
    COUNTIFS('Form responses 1'!$B$2:$B1001, A38, 'Form responses 1'!$A$2:$A1001, "&gt;=2024-10-01", 'Form responses 1'!$A$2:$A1001, "&lt;=2024-12-31"),
    COUNTIFS('Form responses 1'!$D$2:$D1001, A38, 'Form responses 1'!$A$2:$A1001, "&gt;=2024-10-01", 'Form responses 1'!$A$2:$A1001, "&lt;=2024-12-31"),
    COUNTIFS('Form responses 1'!$E$2:$E1001, A38, 'Form responses 1'!$A$2:$A1001, "&gt;=2024-10-01", 'Form responses 1'!$A$2:$A1001, "&lt;=2024-12-31"),
    COUNTIFS('Form responses 1'!$F$2:$F1001, A38, 'Form responses 1'!$A$2:$A1001, "&gt;=2024-10-01", 'Form responses 1'!$A$2:$A1001, "&lt;=2024-12-31"),
    COUNTIFS('Form responses 1'!$G$2:$G1001, A38, 'Form responses 1'!$A$2:$A1001, "&gt;=2024-10-01", 'Form responses 1'!$A$2:$A1001, "&lt;=2024-12-31")
)
</f>
        <v>0</v>
      </c>
      <c r="M38" s="2">
        <f>SUM(
    COUNTIFS('Form responses 1'!$C$2:$C1001, A38, 'Form responses 1'!$A$2:$A1001, "&gt;=2025-01-01", 'Form responses 1'!$A$2:$A1001, "&lt;=2025-03-31"),
    COUNTIFS('Form responses 1'!$B$2:$B1001, A38, 'Form responses 1'!$A$2:$A1001, "&gt;=2025-01-01", 'Form responses 1'!$A$2:$A1001, "&lt;=2025-03-31"),
    COUNTIFS('Form responses 1'!$D$2:$D1001, A38, 'Form responses 1'!$A$2:$A1001, "&gt;=2025-01-01", 'Form responses 1'!$A$2:$A1001, "&lt;=2025-03-31"),
    COUNTIFS('Form responses 1'!$E$2:$E1001, A38, 'Form responses 1'!$A$2:$A1001, "&gt;=2025-01-01", 'Form responses 1'!$A$2:$A1001, "&lt;=2025-03-31"),
    COUNTIFS('Form responses 1'!$F$2:$F1001, A38, 'Form responses 1'!$A$2:$A1001, "&gt;=2025-01-01", 'Form responses 1'!$A$2:$A1001, "&lt;=2025-03-31"),
    COUNTIFS('Form responses 1'!$G$2:$G1001, A38, 'Form responses 1'!$A$2:$A1001, "&gt;=2025-01-01", 'Form responses 1'!$A$2:$A1001, "&lt;=2025-03-31")
)
</f>
        <v>0</v>
      </c>
      <c r="N38" s="2">
        <f>SUM(
    COUNTIFS('Form responses 1'!$C$2:$C1001, A38, 'Form responses 1'!$A$2:$A1001, "&gt;=2025-04-01", 'Form responses 1'!$A$2:$A1001, "&lt;2025-07-01"),
    COUNTIFS('Form responses 1'!$B$2:$B1001, A38, 'Form responses 1'!$A$2:$A1001, "&gt;=2025-04-01", 'Form responses 1'!$A$2:$A1001, "&lt;2025-07-01"),
    COUNTIFS('Form responses 1'!$D$2:$D1001, A38, 'Form responses 1'!$A$2:$A1001, "&gt;=2025-04-01", 'Form responses 1'!$A$2:$A1001, "&lt;2025-07-01"),
    COUNTIFS('Form responses 1'!$E$2:$E1001, A38, 'Form responses 1'!$A$2:$A1001, "&gt;=2025-04-01", 'Form responses 1'!$A$2:$A1001, "&lt;2025-07-01"),
    COUNTIFS('Form responses 1'!$F$2:$F1001, A38, 'Form responses 1'!$A$2:$A1001, "&gt;=2025-04-01", 'Form responses 1'!$A$2:$A1001, "&lt;2025-07-01"),
    COUNTIFS('Form responses 1'!$G$2:$G1001, A38, 'Form responses 1'!$A$2:$A1001, "&gt;=2025-04-01", 'Form responses 1'!$A$2:$A1001, "&lt;2025-07-01")
)
</f>
        <v>0</v>
      </c>
      <c r="O38" s="2">
        <f>SUM(
    COUNTIFS('Form responses 1'!$C$2:$C1001, A38, 'Form responses 1'!$A$2:$A1001, "&gt;=2025-07-01", 'Form responses 1'!$A$2:$A1001, "&lt;=2025-09-30"),
    COUNTIFS('Form responses 1'!$B$2:$B1001, A38, 'Form responses 1'!$A$2:$A1001, "&gt;=2025-07-01", 'Form responses 1'!$A$2:$A1001, "&lt;=2025-09-30"),
    COUNTIFS('Form responses 1'!$D$2:$D1001, A38, 'Form responses 1'!$A$2:$A1001, "&gt;=2025-07-01", 'Form responses 1'!$A$2:$A1001, "&lt;=2025-09-30"),
    COUNTIFS('Form responses 1'!$E$2:$E1001, A38, 'Form responses 1'!$A$2:$A1001, "&gt;=2025-07-01", 'Form responses 1'!$A$2:$A1001, "&lt;=2025-09-30"),
    COUNTIFS('Form responses 1'!$F$2:$F1001, A38, 'Form responses 1'!$A$2:$A1001, "&gt;=2025-07-01", 'Form responses 1'!$A$2:$A1001, "&lt;=2025-09-30"),
    COUNTIFS('Form responses 1'!$G$2:$G1001, A38, 'Form responses 1'!$A$2:$A1001, "&gt;=2025-07-01", 'Form responses 1'!$A$2:$A1001, "&lt;=2025-09-30")
)
</f>
        <v>0</v>
      </c>
      <c r="P38" s="2">
        <f>SUM(
    COUNTIFS('Form responses 1'!$C$2:$C1001, A38, 'Form responses 1'!$A$2:$A1001, "&gt;=2025-10-01", 'Form responses 1'!$A$2:$A1001, "&lt;=2025-12-31"),
    COUNTIFS('Form responses 1'!$B$2:$B1001, A38, 'Form responses 1'!$A$2:$A1001, "&gt;=2025-10-01", 'Form responses 1'!$A$2:$A1001, "&lt;=2025-12-31"),
    COUNTIFS('Form responses 1'!$D$2:$D1001, A38, 'Form responses 1'!$A$2:$A1001, "&gt;=2025-10-01", 'Form responses 1'!$A$2:$A1001, "&lt;=2025-12-31"),
    COUNTIFS('Form responses 1'!$E$2:$E1001, A38, 'Form responses 1'!$A$2:$A1001, "&gt;=2025-10-01", 'Form responses 1'!$A$2:$A1001, "&lt;=2025-12-31"),
    COUNTIFS('Form responses 1'!$F$2:$F1001, A38, 'Form responses 1'!$A$2:$A1001, "&gt;=2025-10-01", 'Form responses 1'!$A$2:$A1001, "&lt;=2025-12-31"),
    COUNTIFS('Form responses 1'!$G$2:$G1001, A38, 'Form responses 1'!$A$2:$A1001, "&gt;=2025-10-01", 'Form responses 1'!$A$2:$A1001, "&lt;=2025-12-31")
)
</f>
        <v>0</v>
      </c>
    </row>
    <row r="39">
      <c r="A39" s="6" t="str">
        <f>IFERROR(__xludf.DUMMYFUNCTION("""COMPUTED_VALUE"""),"Groene superdry trui")</f>
        <v>Groene superdry trui</v>
      </c>
      <c r="B39" s="2">
        <f>SUM(
    COUNTIFS('Form responses 1'!$C$2:$C1001, A39, 'Form responses 1'!$A$2:$A1001, "&gt;=2022-04-01", 'Form responses 1'!$A$2:$A1001, "&lt;=2022-06-30"),
    COUNTIFS('Form responses 1'!$B$2:$B1001, A39, 'Form responses 1'!$A$2:$A1001, "&gt;=2022-04-01", 'Form responses 1'!$A$2:$A1001, "&lt;=2022-06-30"),
    COUNTIFS('Form responses 1'!$D$2:$D1001, A39, 'Form responses 1'!$A$2:$A1001, "&gt;=2022-04-01", 'Form responses 1'!$A$2:$A1001, "&lt;=2022-06-30"),
    COUNTIFS('Form responses 1'!$E$2:$E1001, A39, 'Form responses 1'!$A$2:$A1001, "&gt;=2022-04-01", 'Form responses 1'!$A$2:$A1001, "&lt;=2022-06-30"),
    COUNTIFS('Form responses 1'!$F$2:$F1001, A39, 'Form responses 1'!$A$2:$A1001, "&gt;=2022-04-01", 'Form responses 1'!$A$2:$A1001, "&lt;=2022-06-30"),
    COUNTIFS('Form responses 1'!$G$2:$G1001, A39, 'Form responses 1'!$A$2:$A1001, "&gt;=2022-04-01", 'Form responses 1'!$A$2:$A1001, "&lt;=2022-06-30")
)
</f>
        <v>0</v>
      </c>
      <c r="C39" s="2">
        <f>SUM(
    COUNTIFS('Form responses 1'!$C$2:$C1001, A39, 'Form responses 1'!$A$2:$A1001, "&gt;=2022-07-01", 'Form responses 1'!$A$2:$A1001, "&lt;=2022-09-30"),
    COUNTIFS('Form responses 1'!$B$2:$B1001, A39, 'Form responses 1'!$A$2:$A1001, "&gt;=2022-07-01", 'Form responses 1'!$A$2:$A1001, "&lt;=2022-09-30"),
    COUNTIFS('Form responses 1'!$D$2:$D1001, A39, 'Form responses 1'!$A$2:$A1001, "&gt;=2022-07-01", 'Form responses 1'!$A$2:$A1001, "&lt;=2022-09-30"),
    COUNTIFS('Form responses 1'!$E$2:$E1001, A39, 'Form responses 1'!$A$2:$A1001, "&gt;=2022-07-01", 'Form responses 1'!$A$2:$A1001, "&lt;=2022-09-30"),
    COUNTIFS('Form responses 1'!$F$2:$F1001, A39, 'Form responses 1'!$A$2:$A1001, "&gt;=2022-07-01", 'Form responses 1'!$A$2:$A1001, "&lt;=2022-09-30"),
    COUNTIFS('Form responses 1'!$G$2:$G1001, A39, 'Form responses 1'!$A$2:$A1001, "&gt;=2022-07-01", 'Form responses 1'!$A$2:$A1001, "&lt;=2022-09-30")
)
</f>
        <v>0</v>
      </c>
      <c r="D39" s="2">
        <f>SUM(
    COUNTIFS('Form responses 1'!$C$2:$C1001, A39, 'Form responses 1'!$A$2:$A1001, "&gt;=2022-10-01", 'Form responses 1'!$A$2:$A1001, "&lt;=2022-12-31"),
    COUNTIFS('Form responses 1'!$B$2:$B1001, A39, 'Form responses 1'!$A$2:$A1001, "&gt;=2022-10-01", 'Form responses 1'!$A$2:$A1001, "&lt;=2022-12-31"),
    COUNTIFS('Form responses 1'!$D$2:$D1001, A39, 'Form responses 1'!$A$2:$A1001, "&gt;=2022-10-01", 'Form responses 1'!$A$2:$A1001, "&lt;=2022-12-31"),
    COUNTIFS('Form responses 1'!$E$2:$E1001, A39, 'Form responses 1'!$A$2:$A1001, "&gt;=2022-10-01", 'Form responses 1'!$A$2:$A1001, "&lt;=2022-12-31"),
    COUNTIFS('Form responses 1'!$F$2:$F1001, A39, 'Form responses 1'!$A$2:$A1001, "&gt;=2022-10-01", 'Form responses 1'!$A$2:$A1001, "&lt;=2022-12-31"),
    COUNTIFS('Form responses 1'!$G$2:$G1001, A39, 'Form responses 1'!$A$2:$A1001, "&gt;=2022-10-01", 'Form responses 1'!$A$2:$A1001, "&lt;=2022-12-31")
)
</f>
        <v>0</v>
      </c>
      <c r="E39" s="2">
        <f>SUM(
    COUNTIFS('Form responses 1'!$C$2:$C1001, A39, 'Form responses 1'!$A$2:$A1001, "&gt;=2023-01-01", 'Form responses 1'!$A$2:$A1001, "&lt;=2023-03-31"),
    COUNTIFS('Form responses 1'!$B$2:$B1001, A39, 'Form responses 1'!$A$2:$A1001, "&gt;=2023-01-01", 'Form responses 1'!$A$2:$A1001, "&lt;=2023-03-31"),
    COUNTIFS('Form responses 1'!$D$2:$D1001, A39, 'Form responses 1'!$A$2:$A1001, "&gt;=2023-01-01", 'Form responses 1'!$A$2:$A1001, "&lt;=2023-03-31"),
    COUNTIFS('Form responses 1'!$E$2:$E1001, A39, 'Form responses 1'!$A$2:$A1001, "&gt;=2023-01-01", 'Form responses 1'!$A$2:$A1001, "&lt;=2023-03-31"),
    COUNTIFS('Form responses 1'!$F$2:$F1001, A39, 'Form responses 1'!$A$2:$A1001, "&gt;=2023-01-01", 'Form responses 1'!$A$2:$A1001, "&lt;=2023-03-31"),
    COUNTIFS('Form responses 1'!$G$2:$G1001, A39, 'Form responses 1'!$A$2:$A1001, "&gt;=2023-01-01", 'Form responses 1'!$A$2:$A1001, "&lt;=2023-03-31")
)
</f>
        <v>0</v>
      </c>
      <c r="F39" s="2">
        <f>SUM(
    COUNTIFS('Form responses 1'!$C$2:$C1001, A39, 'Form responses 1'!$A$2:$A1001, "&gt;=2023-04-01", 'Form responses 1'!$A$2:$A1001, "&lt;=2023-06-30"),
    COUNTIFS('Form responses 1'!$B$2:$B1001, A39, 'Form responses 1'!$A$2:$A1001, "&gt;=2023-04-01", 'Form responses 1'!$A$2:$A1001, "&lt;=2023-06-30"),
    COUNTIFS('Form responses 1'!$D$2:$D1001, A39, 'Form responses 1'!$A$2:$A1001, "&gt;=2023-04-01", 'Form responses 1'!$A$2:$A1001, "&lt;=2023-06-30"),
    COUNTIFS('Form responses 1'!$E$2:$E1001, A39, 'Form responses 1'!$A$2:$A1001, "&gt;=2023-04-01", 'Form responses 1'!$A$2:$A1001, "&lt;=2023-06-30"),
    COUNTIFS('Form responses 1'!$F$2:$F1001, A39, 'Form responses 1'!$A$2:$A1001, "&gt;=2023-04-01", 'Form responses 1'!$A$2:$A1001, "&lt;=2023-06-30"),
    COUNTIFS('Form responses 1'!$G$2:$G1001, A39, 'Form responses 1'!$A$2:$A1001, "&gt;=2023-04-01", 'Form responses 1'!$A$2:$A1001, "&lt;=2023-06-30")
)
</f>
        <v>0</v>
      </c>
      <c r="G39" s="2">
        <f>SUM(
    COUNTIFS('Form responses 1'!$C$2:$C1001, A39, 'Form responses 1'!$A$2:$A1001, "&gt;=2023-07-01", 'Form responses 1'!$A$2:$A1001, "&lt;=2023-09-30"),
    COUNTIFS('Form responses 1'!$B$2:$B1001, A39, 'Form responses 1'!$A$2:$A1001, "&gt;=2023-07-01", 'Form responses 1'!$A$2:$A1001, "&lt;=2023-09-30"),
    COUNTIFS('Form responses 1'!$D$2:$D1001, A39, 'Form responses 1'!$A$2:$A1001, "&gt;=2023-07-01", 'Form responses 1'!$A$2:$A1001, "&lt;=2023-09-30"),
    COUNTIFS('Form responses 1'!$E$2:$E1001, A39, 'Form responses 1'!$A$2:$A1001, "&gt;=2023-07-01", 'Form responses 1'!$A$2:$A1001, "&lt;=2023-09-30"),
    COUNTIFS('Form responses 1'!$F$2:$F1001, A39, 'Form responses 1'!$A$2:$A1001, "&gt;=2023-07-01", 'Form responses 1'!$A$2:$A1001, "&lt;=2023-09-30"),
    COUNTIFS('Form responses 1'!$G$2:$G1001, A39, 'Form responses 1'!$A$2:$A1001, "&gt;=2023-07-01", 'Form responses 1'!$A$2:$A1001, "&lt;=2023-09-30")
)
</f>
        <v>2</v>
      </c>
      <c r="H39" s="2">
        <f>SUM(
    COUNTIFS('Form responses 1'!$C$2:$C1001, A39, 'Form responses 1'!$A$2:$A1001, "&gt;=2023-10-01", 'Form responses 1'!$A$2:$A1001, "&lt;=2023-12-31"),
    COUNTIFS('Form responses 1'!$B$2:$B1001, A39, 'Form responses 1'!$A$2:$A1001, "&gt;=2023-10-01", 'Form responses 1'!$A$2:$A1001, "&lt;=2023-12-31"),
    COUNTIFS('Form responses 1'!$D$2:$D1001, A39, 'Form responses 1'!$A$2:$A1001, "&gt;=2023-10-01", 'Form responses 1'!$A$2:$A1001, "&lt;=2023-12-31"),
    COUNTIFS('Form responses 1'!$E$2:$E1001, A39, 'Form responses 1'!$A$2:$A1001, "&gt;=2023-10-01", 'Form responses 1'!$A$2:$A1001, "&lt;=2023-12-31"),
    COUNTIFS('Form responses 1'!$F$2:$F1001, A39, 'Form responses 1'!$A$2:$A1001, "&gt;=2023-10-01", 'Form responses 1'!$A$2:$A1001, "&lt;=2023-12-31"),
    COUNTIFS('Form responses 1'!$G$2:$G1001, A39, 'Form responses 1'!$A$2:$A1001, "&gt;=2023-10-01", 'Form responses 1'!$A$2:$A1001, "&lt;=2023-12-31")
)
</f>
        <v>6</v>
      </c>
      <c r="I39" s="2">
        <f>SUM(
    COUNTIFS('Form responses 1'!$C$2:$C1001, A39, 'Form responses 1'!$A$2:$A1001, "&gt;=2024-01-01", 'Form responses 1'!$A$2:$A1001, "&lt;=2024-03-31"),
    COUNTIFS('Form responses 1'!$B$2:$B1001, A39, 'Form responses 1'!$A$2:$A1001, "&gt;=2024-01-01", 'Form responses 1'!$A$2:$A1001, "&lt;=2024-03-31"),
    COUNTIFS('Form responses 1'!$D$2:$D1001, A39, 'Form responses 1'!$A$2:$A1001, "&gt;=2024-01-01", 'Form responses 1'!$A$2:$A1001, "&lt;=2024-03-31"),
    COUNTIFS('Form responses 1'!$E$2:$E1001, A39, 'Form responses 1'!$A$2:$A1001, "&gt;=2024-01-01", 'Form responses 1'!$A$2:$A1001, "&lt;=2024-03-31"),
    COUNTIFS('Form responses 1'!$F$2:$F1001, A39, 'Form responses 1'!$A$2:$A1001, "&gt;=2024-01-01", 'Form responses 1'!$A$2:$A1001, "&lt;=2024-03-31"),
    COUNTIFS('Form responses 1'!$G$2:$G1001, A39, 'Form responses 1'!$A$2:$A1001, "&gt;=2024-01-01", 'Form responses 1'!$A$2:$A1001, "&lt;=2024-03-31")
)
</f>
        <v>6</v>
      </c>
      <c r="J39" s="2">
        <f>SUM(
    COUNTIFS('Form responses 1'!$C$2:$C1001, A39, 'Form responses 1'!$A$2:$A1001, "&gt;=2024-04-01", 'Form responses 1'!$A$2:$A1001, "&lt;=2024-06-30"),
    COUNTIFS('Form responses 1'!$B$2:$B1001, A39, 'Form responses 1'!$A$2:$A1001, "&gt;=2024-04-01", 'Form responses 1'!$A$2:$A1001, "&lt;=2024-06-30"),
    COUNTIFS('Form responses 1'!$D$2:$D1001, A39, 'Form responses 1'!$A$2:$A1001, "&gt;=2024-04-01", 'Form responses 1'!$A$2:$A1001, "&lt;=2024-06-30"),
    COUNTIFS('Form responses 1'!$E$2:$E1001, A39, 'Form responses 1'!$A$2:$A1001, "&gt;=2024-04-01", 'Form responses 1'!$A$2:$A1001, "&lt;=2024-06-30"),
    COUNTIFS('Form responses 1'!$F$2:$F1001, A39, 'Form responses 1'!$A$2:$A1001, "&gt;=2024-04-01", 'Form responses 1'!$A$2:$A1001, "&lt;=2024-06-30"),
    COUNTIFS('Form responses 1'!$G$2:$G1001, A39, 'Form responses 1'!$A$2:$A1001, "&gt;=2024-04-01", 'Form responses 1'!$A$2:$A1001, "&lt;=2024-06-30")
)
</f>
        <v>4</v>
      </c>
      <c r="K39" s="2">
        <f>SUM(
    COUNTIFS('Form responses 1'!$C$2:$C1001, A39, 'Form responses 1'!$A$2:$A1001, "&gt;=2024-07-01", 'Form responses 1'!$A$2:$A1001, "&lt;=2024-09-30"),
    COUNTIFS('Form responses 1'!$B$2:$B1001, A39, 'Form responses 1'!$A$2:$A1001, "&gt;=2024-07-01", 'Form responses 1'!$A$2:$A1001, "&lt;=2024-09-30"),
    COUNTIFS('Form responses 1'!$D$2:$D1001, A39, 'Form responses 1'!$A$2:$A1001, "&gt;=2024-07-01", 'Form responses 1'!$A$2:$A1001, "&lt;=2024-09-30"),
    COUNTIFS('Form responses 1'!$E$2:$E1001, A39, 'Form responses 1'!$A$2:$A1001, "&gt;=2024-07-01", 'Form responses 1'!$A$2:$A1001, "&lt;=2024-09-30"),
    COUNTIFS('Form responses 1'!$F$2:$F1001, A39, 'Form responses 1'!$A$2:$A1001, "&gt;=2024-07-01", 'Form responses 1'!$A$2:$A1001, "&lt;=2024-09-30"),
    COUNTIFS('Form responses 1'!$G$2:$G1001, A39, 'Form responses 1'!$A$2:$A1001, "&gt;=2024-07-01", 'Form responses 1'!$A$2:$A1001, "&lt;=2024-09-30")
)
</f>
        <v>0</v>
      </c>
      <c r="L39" s="2">
        <f>SUM(
    COUNTIFS('Form responses 1'!$C$2:$C1001, A39, 'Form responses 1'!$A$2:$A1001, "&gt;=2024-10-01", 'Form responses 1'!$A$2:$A1001, "&lt;=2024-12-31"),
    COUNTIFS('Form responses 1'!$B$2:$B1001, A39, 'Form responses 1'!$A$2:$A1001, "&gt;=2024-10-01", 'Form responses 1'!$A$2:$A1001, "&lt;=2024-12-31"),
    COUNTIFS('Form responses 1'!$D$2:$D1001, A39, 'Form responses 1'!$A$2:$A1001, "&gt;=2024-10-01", 'Form responses 1'!$A$2:$A1001, "&lt;=2024-12-31"),
    COUNTIFS('Form responses 1'!$E$2:$E1001, A39, 'Form responses 1'!$A$2:$A1001, "&gt;=2024-10-01", 'Form responses 1'!$A$2:$A1001, "&lt;=2024-12-31"),
    COUNTIFS('Form responses 1'!$F$2:$F1001, A39, 'Form responses 1'!$A$2:$A1001, "&gt;=2024-10-01", 'Form responses 1'!$A$2:$A1001, "&lt;=2024-12-31"),
    COUNTIFS('Form responses 1'!$G$2:$G1001, A39, 'Form responses 1'!$A$2:$A1001, "&gt;=2024-10-01", 'Form responses 1'!$A$2:$A1001, "&lt;=2024-12-31")
)
</f>
        <v>2</v>
      </c>
      <c r="M39" s="2">
        <f>SUM(
    COUNTIFS('Form responses 1'!$C$2:$C1001, A39, 'Form responses 1'!$A$2:$A1001, "&gt;=2025-01-01", 'Form responses 1'!$A$2:$A1001, "&lt;=2025-03-31"),
    COUNTIFS('Form responses 1'!$B$2:$B1001, A39, 'Form responses 1'!$A$2:$A1001, "&gt;=2025-01-01", 'Form responses 1'!$A$2:$A1001, "&lt;=2025-03-31"),
    COUNTIFS('Form responses 1'!$D$2:$D1001, A39, 'Form responses 1'!$A$2:$A1001, "&gt;=2025-01-01", 'Form responses 1'!$A$2:$A1001, "&lt;=2025-03-31"),
    COUNTIFS('Form responses 1'!$E$2:$E1001, A39, 'Form responses 1'!$A$2:$A1001, "&gt;=2025-01-01", 'Form responses 1'!$A$2:$A1001, "&lt;=2025-03-31"),
    COUNTIFS('Form responses 1'!$F$2:$F1001, A39, 'Form responses 1'!$A$2:$A1001, "&gt;=2025-01-01", 'Form responses 1'!$A$2:$A1001, "&lt;=2025-03-31"),
    COUNTIFS('Form responses 1'!$G$2:$G1001, A39, 'Form responses 1'!$A$2:$A1001, "&gt;=2025-01-01", 'Form responses 1'!$A$2:$A1001, "&lt;=2025-03-31")
)
</f>
        <v>0</v>
      </c>
      <c r="N39" s="2">
        <f>SUM(
    COUNTIFS('Form responses 1'!$C$2:$C1001, A39, 'Form responses 1'!$A$2:$A1001, "&gt;=2025-04-01", 'Form responses 1'!$A$2:$A1001, "&lt;2025-07-01"),
    COUNTIFS('Form responses 1'!$B$2:$B1001, A39, 'Form responses 1'!$A$2:$A1001, "&gt;=2025-04-01", 'Form responses 1'!$A$2:$A1001, "&lt;2025-07-01"),
    COUNTIFS('Form responses 1'!$D$2:$D1001, A39, 'Form responses 1'!$A$2:$A1001, "&gt;=2025-04-01", 'Form responses 1'!$A$2:$A1001, "&lt;2025-07-01"),
    COUNTIFS('Form responses 1'!$E$2:$E1001, A39, 'Form responses 1'!$A$2:$A1001, "&gt;=2025-04-01", 'Form responses 1'!$A$2:$A1001, "&lt;2025-07-01"),
    COUNTIFS('Form responses 1'!$F$2:$F1001, A39, 'Form responses 1'!$A$2:$A1001, "&gt;=2025-04-01", 'Form responses 1'!$A$2:$A1001, "&lt;2025-07-01"),
    COUNTIFS('Form responses 1'!$G$2:$G1001, A39, 'Form responses 1'!$A$2:$A1001, "&gt;=2025-04-01", 'Form responses 1'!$A$2:$A1001, "&lt;2025-07-01")
)
</f>
        <v>2</v>
      </c>
      <c r="O39" s="2">
        <f>SUM(
    COUNTIFS('Form responses 1'!$C$2:$C1001, A39, 'Form responses 1'!$A$2:$A1001, "&gt;=2025-07-01", 'Form responses 1'!$A$2:$A1001, "&lt;=2025-09-30"),
    COUNTIFS('Form responses 1'!$B$2:$B1001, A39, 'Form responses 1'!$A$2:$A1001, "&gt;=2025-07-01", 'Form responses 1'!$A$2:$A1001, "&lt;=2025-09-30"),
    COUNTIFS('Form responses 1'!$D$2:$D1001, A39, 'Form responses 1'!$A$2:$A1001, "&gt;=2025-07-01", 'Form responses 1'!$A$2:$A1001, "&lt;=2025-09-30"),
    COUNTIFS('Form responses 1'!$E$2:$E1001, A39, 'Form responses 1'!$A$2:$A1001, "&gt;=2025-07-01", 'Form responses 1'!$A$2:$A1001, "&lt;=2025-09-30"),
    COUNTIFS('Form responses 1'!$F$2:$F1001, A39, 'Form responses 1'!$A$2:$A1001, "&gt;=2025-07-01", 'Form responses 1'!$A$2:$A1001, "&lt;=2025-09-30"),
    COUNTIFS('Form responses 1'!$G$2:$G1001, A39, 'Form responses 1'!$A$2:$A1001, "&gt;=2025-07-01", 'Form responses 1'!$A$2:$A1001, "&lt;=2025-09-30")
)
</f>
        <v>0</v>
      </c>
      <c r="P39" s="2">
        <f>SUM(
    COUNTIFS('Form responses 1'!$C$2:$C1001, A39, 'Form responses 1'!$A$2:$A1001, "&gt;=2025-10-01", 'Form responses 1'!$A$2:$A1001, "&lt;=2025-12-31"),
    COUNTIFS('Form responses 1'!$B$2:$B1001, A39, 'Form responses 1'!$A$2:$A1001, "&gt;=2025-10-01", 'Form responses 1'!$A$2:$A1001, "&lt;=2025-12-31"),
    COUNTIFS('Form responses 1'!$D$2:$D1001, A39, 'Form responses 1'!$A$2:$A1001, "&gt;=2025-10-01", 'Form responses 1'!$A$2:$A1001, "&lt;=2025-12-31"),
    COUNTIFS('Form responses 1'!$E$2:$E1001, A39, 'Form responses 1'!$A$2:$A1001, "&gt;=2025-10-01", 'Form responses 1'!$A$2:$A1001, "&lt;=2025-12-31"),
    COUNTIFS('Form responses 1'!$F$2:$F1001, A39, 'Form responses 1'!$A$2:$A1001, "&gt;=2025-10-01", 'Form responses 1'!$A$2:$A1001, "&lt;=2025-12-31"),
    COUNTIFS('Form responses 1'!$G$2:$G1001, A39, 'Form responses 1'!$A$2:$A1001, "&gt;=2025-10-01", 'Form responses 1'!$A$2:$A1001, "&lt;=2025-12-31")
)
</f>
        <v>1</v>
      </c>
    </row>
    <row r="40">
      <c r="A40" s="3" t="str">
        <f>IFERROR(__xludf.DUMMYFUNCTION("""COMPUTED_VALUE"""),"Grijze trui")</f>
        <v>Grijze trui</v>
      </c>
      <c r="B40" s="2">
        <f>SUM(
    COUNTIFS('Form responses 1'!$C$2:$C1001, A40, 'Form responses 1'!$A$2:$A1001, "&gt;=2022-04-01", 'Form responses 1'!$A$2:$A1001, "&lt;=2022-06-30"),
    COUNTIFS('Form responses 1'!$B$2:$B1001, A40, 'Form responses 1'!$A$2:$A1001, "&gt;=2022-04-01", 'Form responses 1'!$A$2:$A1001, "&lt;=2022-06-30"),
    COUNTIFS('Form responses 1'!$D$2:$D1001, A40, 'Form responses 1'!$A$2:$A1001, "&gt;=2022-04-01", 'Form responses 1'!$A$2:$A1001, "&lt;=2022-06-30"),
    COUNTIFS('Form responses 1'!$E$2:$E1001, A40, 'Form responses 1'!$A$2:$A1001, "&gt;=2022-04-01", 'Form responses 1'!$A$2:$A1001, "&lt;=2022-06-30"),
    COUNTIFS('Form responses 1'!$F$2:$F1001, A40, 'Form responses 1'!$A$2:$A1001, "&gt;=2022-04-01", 'Form responses 1'!$A$2:$A1001, "&lt;=2022-06-30"),
    COUNTIFS('Form responses 1'!$G$2:$G1001, A40, 'Form responses 1'!$A$2:$A1001, "&gt;=2022-04-01", 'Form responses 1'!$A$2:$A1001, "&lt;=2022-06-30")
)
</f>
        <v>3</v>
      </c>
      <c r="C40" s="2">
        <f>SUM(
    COUNTIFS('Form responses 1'!$C$2:$C1001, A40, 'Form responses 1'!$A$2:$A1001, "&gt;=2022-07-01", 'Form responses 1'!$A$2:$A1001, "&lt;=2022-09-30"),
    COUNTIFS('Form responses 1'!$B$2:$B1001, A40, 'Form responses 1'!$A$2:$A1001, "&gt;=2022-07-01", 'Form responses 1'!$A$2:$A1001, "&lt;=2022-09-30"),
    COUNTIFS('Form responses 1'!$D$2:$D1001, A40, 'Form responses 1'!$A$2:$A1001, "&gt;=2022-07-01", 'Form responses 1'!$A$2:$A1001, "&lt;=2022-09-30"),
    COUNTIFS('Form responses 1'!$E$2:$E1001, A40, 'Form responses 1'!$A$2:$A1001, "&gt;=2022-07-01", 'Form responses 1'!$A$2:$A1001, "&lt;=2022-09-30"),
    COUNTIFS('Form responses 1'!$F$2:$F1001, A40, 'Form responses 1'!$A$2:$A1001, "&gt;=2022-07-01", 'Form responses 1'!$A$2:$A1001, "&lt;=2022-09-30"),
    COUNTIFS('Form responses 1'!$G$2:$G1001, A40, 'Form responses 1'!$A$2:$A1001, "&gt;=2022-07-01", 'Form responses 1'!$A$2:$A1001, "&lt;=2022-09-30")
)
</f>
        <v>0</v>
      </c>
      <c r="D40" s="2">
        <f>SUM(
    COUNTIFS('Form responses 1'!$C$2:$C1001, A40, 'Form responses 1'!$A$2:$A1001, "&gt;=2022-10-01", 'Form responses 1'!$A$2:$A1001, "&lt;=2022-12-31"),
    COUNTIFS('Form responses 1'!$B$2:$B1001, A40, 'Form responses 1'!$A$2:$A1001, "&gt;=2022-10-01", 'Form responses 1'!$A$2:$A1001, "&lt;=2022-12-31"),
    COUNTIFS('Form responses 1'!$D$2:$D1001, A40, 'Form responses 1'!$A$2:$A1001, "&gt;=2022-10-01", 'Form responses 1'!$A$2:$A1001, "&lt;=2022-12-31"),
    COUNTIFS('Form responses 1'!$E$2:$E1001, A40, 'Form responses 1'!$A$2:$A1001, "&gt;=2022-10-01", 'Form responses 1'!$A$2:$A1001, "&lt;=2022-12-31"),
    COUNTIFS('Form responses 1'!$F$2:$F1001, A40, 'Form responses 1'!$A$2:$A1001, "&gt;=2022-10-01", 'Form responses 1'!$A$2:$A1001, "&lt;=2022-12-31"),
    COUNTIFS('Form responses 1'!$G$2:$G1001, A40, 'Form responses 1'!$A$2:$A1001, "&gt;=2022-10-01", 'Form responses 1'!$A$2:$A1001, "&lt;=2022-12-31")
)
</f>
        <v>0</v>
      </c>
      <c r="E40" s="2">
        <f>SUM(
    COUNTIFS('Form responses 1'!$C$2:$C1001, A40, 'Form responses 1'!$A$2:$A1001, "&gt;=2023-01-01", 'Form responses 1'!$A$2:$A1001, "&lt;=2023-03-31"),
    COUNTIFS('Form responses 1'!$B$2:$B1001, A40, 'Form responses 1'!$A$2:$A1001, "&gt;=2023-01-01", 'Form responses 1'!$A$2:$A1001, "&lt;=2023-03-31"),
    COUNTIFS('Form responses 1'!$D$2:$D1001, A40, 'Form responses 1'!$A$2:$A1001, "&gt;=2023-01-01", 'Form responses 1'!$A$2:$A1001, "&lt;=2023-03-31"),
    COUNTIFS('Form responses 1'!$E$2:$E1001, A40, 'Form responses 1'!$A$2:$A1001, "&gt;=2023-01-01", 'Form responses 1'!$A$2:$A1001, "&lt;=2023-03-31"),
    COUNTIFS('Form responses 1'!$F$2:$F1001, A40, 'Form responses 1'!$A$2:$A1001, "&gt;=2023-01-01", 'Form responses 1'!$A$2:$A1001, "&lt;=2023-03-31"),
    COUNTIFS('Form responses 1'!$G$2:$G1001, A40, 'Form responses 1'!$A$2:$A1001, "&gt;=2023-01-01", 'Form responses 1'!$A$2:$A1001, "&lt;=2023-03-31")
)
</f>
        <v>0</v>
      </c>
      <c r="F40" s="2">
        <f>SUM(
    COUNTIFS('Form responses 1'!$C$2:$C1001, A40, 'Form responses 1'!$A$2:$A1001, "&gt;=2023-04-01", 'Form responses 1'!$A$2:$A1001, "&lt;=2023-06-30"),
    COUNTIFS('Form responses 1'!$B$2:$B1001, A40, 'Form responses 1'!$A$2:$A1001, "&gt;=2023-04-01", 'Form responses 1'!$A$2:$A1001, "&lt;=2023-06-30"),
    COUNTIFS('Form responses 1'!$D$2:$D1001, A40, 'Form responses 1'!$A$2:$A1001, "&gt;=2023-04-01", 'Form responses 1'!$A$2:$A1001, "&lt;=2023-06-30"),
    COUNTIFS('Form responses 1'!$E$2:$E1001, A40, 'Form responses 1'!$A$2:$A1001, "&gt;=2023-04-01", 'Form responses 1'!$A$2:$A1001, "&lt;=2023-06-30"),
    COUNTIFS('Form responses 1'!$F$2:$F1001, A40, 'Form responses 1'!$A$2:$A1001, "&gt;=2023-04-01", 'Form responses 1'!$A$2:$A1001, "&lt;=2023-06-30"),
    COUNTIFS('Form responses 1'!$G$2:$G1001, A40, 'Form responses 1'!$A$2:$A1001, "&gt;=2023-04-01", 'Form responses 1'!$A$2:$A1001, "&lt;=2023-06-30")
)
</f>
        <v>0</v>
      </c>
      <c r="G40" s="2">
        <f>SUM(
    COUNTIFS('Form responses 1'!$C$2:$C1001, A40, 'Form responses 1'!$A$2:$A1001, "&gt;=2023-07-01", 'Form responses 1'!$A$2:$A1001, "&lt;=2023-09-30"),
    COUNTIFS('Form responses 1'!$B$2:$B1001, A40, 'Form responses 1'!$A$2:$A1001, "&gt;=2023-07-01", 'Form responses 1'!$A$2:$A1001, "&lt;=2023-09-30"),
    COUNTIFS('Form responses 1'!$D$2:$D1001, A40, 'Form responses 1'!$A$2:$A1001, "&gt;=2023-07-01", 'Form responses 1'!$A$2:$A1001, "&lt;=2023-09-30"),
    COUNTIFS('Form responses 1'!$E$2:$E1001, A40, 'Form responses 1'!$A$2:$A1001, "&gt;=2023-07-01", 'Form responses 1'!$A$2:$A1001, "&lt;=2023-09-30"),
    COUNTIFS('Form responses 1'!$F$2:$F1001, A40, 'Form responses 1'!$A$2:$A1001, "&gt;=2023-07-01", 'Form responses 1'!$A$2:$A1001, "&lt;=2023-09-30"),
    COUNTIFS('Form responses 1'!$G$2:$G1001, A40, 'Form responses 1'!$A$2:$A1001, "&gt;=2023-07-01", 'Form responses 1'!$A$2:$A1001, "&lt;=2023-09-30")
)
</f>
        <v>0</v>
      </c>
      <c r="H40" s="2">
        <f>SUM(
    COUNTIFS('Form responses 1'!$C$2:$C1001, A40, 'Form responses 1'!$A$2:$A1001, "&gt;=2023-10-01", 'Form responses 1'!$A$2:$A1001, "&lt;=2023-12-31"),
    COUNTIFS('Form responses 1'!$B$2:$B1001, A40, 'Form responses 1'!$A$2:$A1001, "&gt;=2023-10-01", 'Form responses 1'!$A$2:$A1001, "&lt;=2023-12-31"),
    COUNTIFS('Form responses 1'!$D$2:$D1001, A40, 'Form responses 1'!$A$2:$A1001, "&gt;=2023-10-01", 'Form responses 1'!$A$2:$A1001, "&lt;=2023-12-31"),
    COUNTIFS('Form responses 1'!$E$2:$E1001, A40, 'Form responses 1'!$A$2:$A1001, "&gt;=2023-10-01", 'Form responses 1'!$A$2:$A1001, "&lt;=2023-12-31"),
    COUNTIFS('Form responses 1'!$F$2:$F1001, A40, 'Form responses 1'!$A$2:$A1001, "&gt;=2023-10-01", 'Form responses 1'!$A$2:$A1001, "&lt;=2023-12-31"),
    COUNTIFS('Form responses 1'!$G$2:$G1001, A40, 'Form responses 1'!$A$2:$A1001, "&gt;=2023-10-01", 'Form responses 1'!$A$2:$A1001, "&lt;=2023-12-31")
)
</f>
        <v>0</v>
      </c>
      <c r="I40" s="2">
        <f>SUM(
    COUNTIFS('Form responses 1'!$C$2:$C1001, A40, 'Form responses 1'!$A$2:$A1001, "&gt;=2024-01-01", 'Form responses 1'!$A$2:$A1001, "&lt;=2024-03-31"),
    COUNTIFS('Form responses 1'!$B$2:$B1001, A40, 'Form responses 1'!$A$2:$A1001, "&gt;=2024-01-01", 'Form responses 1'!$A$2:$A1001, "&lt;=2024-03-31"),
    COUNTIFS('Form responses 1'!$D$2:$D1001, A40, 'Form responses 1'!$A$2:$A1001, "&gt;=2024-01-01", 'Form responses 1'!$A$2:$A1001, "&lt;=2024-03-31"),
    COUNTIFS('Form responses 1'!$E$2:$E1001, A40, 'Form responses 1'!$A$2:$A1001, "&gt;=2024-01-01", 'Form responses 1'!$A$2:$A1001, "&lt;=2024-03-31"),
    COUNTIFS('Form responses 1'!$F$2:$F1001, A40, 'Form responses 1'!$A$2:$A1001, "&gt;=2024-01-01", 'Form responses 1'!$A$2:$A1001, "&lt;=2024-03-31"),
    COUNTIFS('Form responses 1'!$G$2:$G1001, A40, 'Form responses 1'!$A$2:$A1001, "&gt;=2024-01-01", 'Form responses 1'!$A$2:$A1001, "&lt;=2024-03-31")
)
</f>
        <v>0</v>
      </c>
      <c r="J40" s="2">
        <f>SUM(
    COUNTIFS('Form responses 1'!$C$2:$C1001, A40, 'Form responses 1'!$A$2:$A1001, "&gt;=2024-04-01", 'Form responses 1'!$A$2:$A1001, "&lt;=2024-06-30"),
    COUNTIFS('Form responses 1'!$B$2:$B1001, A40, 'Form responses 1'!$A$2:$A1001, "&gt;=2024-04-01", 'Form responses 1'!$A$2:$A1001, "&lt;=2024-06-30"),
    COUNTIFS('Form responses 1'!$D$2:$D1001, A40, 'Form responses 1'!$A$2:$A1001, "&gt;=2024-04-01", 'Form responses 1'!$A$2:$A1001, "&lt;=2024-06-30"),
    COUNTIFS('Form responses 1'!$E$2:$E1001, A40, 'Form responses 1'!$A$2:$A1001, "&gt;=2024-04-01", 'Form responses 1'!$A$2:$A1001, "&lt;=2024-06-30"),
    COUNTIFS('Form responses 1'!$F$2:$F1001, A40, 'Form responses 1'!$A$2:$A1001, "&gt;=2024-04-01", 'Form responses 1'!$A$2:$A1001, "&lt;=2024-06-30"),
    COUNTIFS('Form responses 1'!$G$2:$G1001, A40, 'Form responses 1'!$A$2:$A1001, "&gt;=2024-04-01", 'Form responses 1'!$A$2:$A1001, "&lt;=2024-06-30")
)
</f>
        <v>0</v>
      </c>
      <c r="K40" s="2">
        <f>SUM(
    COUNTIFS('Form responses 1'!$C$2:$C1001, A40, 'Form responses 1'!$A$2:$A1001, "&gt;=2024-07-01", 'Form responses 1'!$A$2:$A1001, "&lt;=2024-09-30"),
    COUNTIFS('Form responses 1'!$B$2:$B1001, A40, 'Form responses 1'!$A$2:$A1001, "&gt;=2024-07-01", 'Form responses 1'!$A$2:$A1001, "&lt;=2024-09-30"),
    COUNTIFS('Form responses 1'!$D$2:$D1001, A40, 'Form responses 1'!$A$2:$A1001, "&gt;=2024-07-01", 'Form responses 1'!$A$2:$A1001, "&lt;=2024-09-30"),
    COUNTIFS('Form responses 1'!$E$2:$E1001, A40, 'Form responses 1'!$A$2:$A1001, "&gt;=2024-07-01", 'Form responses 1'!$A$2:$A1001, "&lt;=2024-09-30"),
    COUNTIFS('Form responses 1'!$F$2:$F1001, A40, 'Form responses 1'!$A$2:$A1001, "&gt;=2024-07-01", 'Form responses 1'!$A$2:$A1001, "&lt;=2024-09-30"),
    COUNTIFS('Form responses 1'!$G$2:$G1001, A40, 'Form responses 1'!$A$2:$A1001, "&gt;=2024-07-01", 'Form responses 1'!$A$2:$A1001, "&lt;=2024-09-30")
)
</f>
        <v>0</v>
      </c>
      <c r="L40" s="2">
        <f>SUM(
    COUNTIFS('Form responses 1'!$C$2:$C1001, A40, 'Form responses 1'!$A$2:$A1001, "&gt;=2024-10-01", 'Form responses 1'!$A$2:$A1001, "&lt;=2024-12-31"),
    COUNTIFS('Form responses 1'!$B$2:$B1001, A40, 'Form responses 1'!$A$2:$A1001, "&gt;=2024-10-01", 'Form responses 1'!$A$2:$A1001, "&lt;=2024-12-31"),
    COUNTIFS('Form responses 1'!$D$2:$D1001, A40, 'Form responses 1'!$A$2:$A1001, "&gt;=2024-10-01", 'Form responses 1'!$A$2:$A1001, "&lt;=2024-12-31"),
    COUNTIFS('Form responses 1'!$E$2:$E1001, A40, 'Form responses 1'!$A$2:$A1001, "&gt;=2024-10-01", 'Form responses 1'!$A$2:$A1001, "&lt;=2024-12-31"),
    COUNTIFS('Form responses 1'!$F$2:$F1001, A40, 'Form responses 1'!$A$2:$A1001, "&gt;=2024-10-01", 'Form responses 1'!$A$2:$A1001, "&lt;=2024-12-31"),
    COUNTIFS('Form responses 1'!$G$2:$G1001, A40, 'Form responses 1'!$A$2:$A1001, "&gt;=2024-10-01", 'Form responses 1'!$A$2:$A1001, "&lt;=2024-12-31")
)
</f>
        <v>0</v>
      </c>
      <c r="M40" s="2">
        <f>SUM(
    COUNTIFS('Form responses 1'!$C$2:$C1001, A40, 'Form responses 1'!$A$2:$A1001, "&gt;=2025-01-01", 'Form responses 1'!$A$2:$A1001, "&lt;=2025-03-31"),
    COUNTIFS('Form responses 1'!$B$2:$B1001, A40, 'Form responses 1'!$A$2:$A1001, "&gt;=2025-01-01", 'Form responses 1'!$A$2:$A1001, "&lt;=2025-03-31"),
    COUNTIFS('Form responses 1'!$D$2:$D1001, A40, 'Form responses 1'!$A$2:$A1001, "&gt;=2025-01-01", 'Form responses 1'!$A$2:$A1001, "&lt;=2025-03-31"),
    COUNTIFS('Form responses 1'!$E$2:$E1001, A40, 'Form responses 1'!$A$2:$A1001, "&gt;=2025-01-01", 'Form responses 1'!$A$2:$A1001, "&lt;=2025-03-31"),
    COUNTIFS('Form responses 1'!$F$2:$F1001, A40, 'Form responses 1'!$A$2:$A1001, "&gt;=2025-01-01", 'Form responses 1'!$A$2:$A1001, "&lt;=2025-03-31"),
    COUNTIFS('Form responses 1'!$G$2:$G1001, A40, 'Form responses 1'!$A$2:$A1001, "&gt;=2025-01-01", 'Form responses 1'!$A$2:$A1001, "&lt;=2025-03-31")
)
</f>
        <v>0</v>
      </c>
      <c r="N40" s="2">
        <f>SUM(
    COUNTIFS('Form responses 1'!$C$2:$C1001, A40, 'Form responses 1'!$A$2:$A1001, "&gt;=2025-04-01", 'Form responses 1'!$A$2:$A1001, "&lt;2025-07-01"),
    COUNTIFS('Form responses 1'!$B$2:$B1001, A40, 'Form responses 1'!$A$2:$A1001, "&gt;=2025-04-01", 'Form responses 1'!$A$2:$A1001, "&lt;2025-07-01"),
    COUNTIFS('Form responses 1'!$D$2:$D1001, A40, 'Form responses 1'!$A$2:$A1001, "&gt;=2025-04-01", 'Form responses 1'!$A$2:$A1001, "&lt;2025-07-01"),
    COUNTIFS('Form responses 1'!$E$2:$E1001, A40, 'Form responses 1'!$A$2:$A1001, "&gt;=2025-04-01", 'Form responses 1'!$A$2:$A1001, "&lt;2025-07-01"),
    COUNTIFS('Form responses 1'!$F$2:$F1001, A40, 'Form responses 1'!$A$2:$A1001, "&gt;=2025-04-01", 'Form responses 1'!$A$2:$A1001, "&lt;2025-07-01"),
    COUNTIFS('Form responses 1'!$G$2:$G1001, A40, 'Form responses 1'!$A$2:$A1001, "&gt;=2025-04-01", 'Form responses 1'!$A$2:$A1001, "&lt;2025-07-01")
)
</f>
        <v>0</v>
      </c>
      <c r="O40" s="2">
        <f>SUM(
    COUNTIFS('Form responses 1'!$C$2:$C1001, A40, 'Form responses 1'!$A$2:$A1001, "&gt;=2025-07-01", 'Form responses 1'!$A$2:$A1001, "&lt;=2025-09-30"),
    COUNTIFS('Form responses 1'!$B$2:$B1001, A40, 'Form responses 1'!$A$2:$A1001, "&gt;=2025-07-01", 'Form responses 1'!$A$2:$A1001, "&lt;=2025-09-30"),
    COUNTIFS('Form responses 1'!$D$2:$D1001, A40, 'Form responses 1'!$A$2:$A1001, "&gt;=2025-07-01", 'Form responses 1'!$A$2:$A1001, "&lt;=2025-09-30"),
    COUNTIFS('Form responses 1'!$E$2:$E1001, A40, 'Form responses 1'!$A$2:$A1001, "&gt;=2025-07-01", 'Form responses 1'!$A$2:$A1001, "&lt;=2025-09-30"),
    COUNTIFS('Form responses 1'!$F$2:$F1001, A40, 'Form responses 1'!$A$2:$A1001, "&gt;=2025-07-01", 'Form responses 1'!$A$2:$A1001, "&lt;=2025-09-30"),
    COUNTIFS('Form responses 1'!$G$2:$G1001, A40, 'Form responses 1'!$A$2:$A1001, "&gt;=2025-07-01", 'Form responses 1'!$A$2:$A1001, "&lt;=2025-09-30")
)
</f>
        <v>0</v>
      </c>
      <c r="P40" s="2">
        <f>SUM(
    COUNTIFS('Form responses 1'!$C$2:$C1001, A40, 'Form responses 1'!$A$2:$A1001, "&gt;=2025-10-01", 'Form responses 1'!$A$2:$A1001, "&lt;=2025-12-31"),
    COUNTIFS('Form responses 1'!$B$2:$B1001, A40, 'Form responses 1'!$A$2:$A1001, "&gt;=2025-10-01", 'Form responses 1'!$A$2:$A1001, "&lt;=2025-12-31"),
    COUNTIFS('Form responses 1'!$D$2:$D1001, A40, 'Form responses 1'!$A$2:$A1001, "&gt;=2025-10-01", 'Form responses 1'!$A$2:$A1001, "&lt;=2025-12-31"),
    COUNTIFS('Form responses 1'!$E$2:$E1001, A40, 'Form responses 1'!$A$2:$A1001, "&gt;=2025-10-01", 'Form responses 1'!$A$2:$A1001, "&lt;=2025-12-31"),
    COUNTIFS('Form responses 1'!$F$2:$F1001, A40, 'Form responses 1'!$A$2:$A1001, "&gt;=2025-10-01", 'Form responses 1'!$A$2:$A1001, "&lt;=2025-12-31"),
    COUNTIFS('Form responses 1'!$G$2:$G1001, A40, 'Form responses 1'!$A$2:$A1001, "&gt;=2025-10-01", 'Form responses 1'!$A$2:$A1001, "&lt;=2025-12-31")
)
</f>
        <v>0</v>
      </c>
    </row>
    <row r="41">
      <c r="A41" s="3" t="str">
        <f>IFERROR(__xludf.DUMMYFUNCTION("""COMPUTED_VALUE"""),"Gele trui")</f>
        <v>Gele trui</v>
      </c>
      <c r="B41" s="2">
        <f>SUM(
    COUNTIFS('Form responses 1'!$C$2:$C1001, A41, 'Form responses 1'!$A$2:$A1001, "&gt;=2022-04-01", 'Form responses 1'!$A$2:$A1001, "&lt;=2022-06-30"),
    COUNTIFS('Form responses 1'!$B$2:$B1001, A41, 'Form responses 1'!$A$2:$A1001, "&gt;=2022-04-01", 'Form responses 1'!$A$2:$A1001, "&lt;=2022-06-30"),
    COUNTIFS('Form responses 1'!$D$2:$D1001, A41, 'Form responses 1'!$A$2:$A1001, "&gt;=2022-04-01", 'Form responses 1'!$A$2:$A1001, "&lt;=2022-06-30"),
    COUNTIFS('Form responses 1'!$E$2:$E1001, A41, 'Form responses 1'!$A$2:$A1001, "&gt;=2022-04-01", 'Form responses 1'!$A$2:$A1001, "&lt;=2022-06-30"),
    COUNTIFS('Form responses 1'!$F$2:$F1001, A41, 'Form responses 1'!$A$2:$A1001, "&gt;=2022-04-01", 'Form responses 1'!$A$2:$A1001, "&lt;=2022-06-30"),
    COUNTIFS('Form responses 1'!$G$2:$G1001, A41, 'Form responses 1'!$A$2:$A1001, "&gt;=2022-04-01", 'Form responses 1'!$A$2:$A1001, "&lt;=2022-06-30")
)
</f>
        <v>0</v>
      </c>
      <c r="C41" s="2">
        <f>SUM(
    COUNTIFS('Form responses 1'!$C$2:$C1001, A41, 'Form responses 1'!$A$2:$A1001, "&gt;=2022-07-01", 'Form responses 1'!$A$2:$A1001, "&lt;=2022-09-30"),
    COUNTIFS('Form responses 1'!$B$2:$B1001, A41, 'Form responses 1'!$A$2:$A1001, "&gt;=2022-07-01", 'Form responses 1'!$A$2:$A1001, "&lt;=2022-09-30"),
    COUNTIFS('Form responses 1'!$D$2:$D1001, A41, 'Form responses 1'!$A$2:$A1001, "&gt;=2022-07-01", 'Form responses 1'!$A$2:$A1001, "&lt;=2022-09-30"),
    COUNTIFS('Form responses 1'!$E$2:$E1001, A41, 'Form responses 1'!$A$2:$A1001, "&gt;=2022-07-01", 'Form responses 1'!$A$2:$A1001, "&lt;=2022-09-30"),
    COUNTIFS('Form responses 1'!$F$2:$F1001, A41, 'Form responses 1'!$A$2:$A1001, "&gt;=2022-07-01", 'Form responses 1'!$A$2:$A1001, "&lt;=2022-09-30"),
    COUNTIFS('Form responses 1'!$G$2:$G1001, A41, 'Form responses 1'!$A$2:$A1001, "&gt;=2022-07-01", 'Form responses 1'!$A$2:$A1001, "&lt;=2022-09-30")
)
</f>
        <v>0</v>
      </c>
      <c r="D41" s="2">
        <f>SUM(
    COUNTIFS('Form responses 1'!$C$2:$C1001, A41, 'Form responses 1'!$A$2:$A1001, "&gt;=2022-10-01", 'Form responses 1'!$A$2:$A1001, "&lt;=2022-12-31"),
    COUNTIFS('Form responses 1'!$B$2:$B1001, A41, 'Form responses 1'!$A$2:$A1001, "&gt;=2022-10-01", 'Form responses 1'!$A$2:$A1001, "&lt;=2022-12-31"),
    COUNTIFS('Form responses 1'!$D$2:$D1001, A41, 'Form responses 1'!$A$2:$A1001, "&gt;=2022-10-01", 'Form responses 1'!$A$2:$A1001, "&lt;=2022-12-31"),
    COUNTIFS('Form responses 1'!$E$2:$E1001, A41, 'Form responses 1'!$A$2:$A1001, "&gt;=2022-10-01", 'Form responses 1'!$A$2:$A1001, "&lt;=2022-12-31"),
    COUNTIFS('Form responses 1'!$F$2:$F1001, A41, 'Form responses 1'!$A$2:$A1001, "&gt;=2022-10-01", 'Form responses 1'!$A$2:$A1001, "&lt;=2022-12-31"),
    COUNTIFS('Form responses 1'!$G$2:$G1001, A41, 'Form responses 1'!$A$2:$A1001, "&gt;=2022-10-01", 'Form responses 1'!$A$2:$A1001, "&lt;=2022-12-31")
)
</f>
        <v>11</v>
      </c>
      <c r="E41" s="2">
        <f>SUM(
    COUNTIFS('Form responses 1'!$C$2:$C1001, A41, 'Form responses 1'!$A$2:$A1001, "&gt;=2023-01-01", 'Form responses 1'!$A$2:$A1001, "&lt;=2023-03-31"),
    COUNTIFS('Form responses 1'!$B$2:$B1001, A41, 'Form responses 1'!$A$2:$A1001, "&gt;=2023-01-01", 'Form responses 1'!$A$2:$A1001, "&lt;=2023-03-31"),
    COUNTIFS('Form responses 1'!$D$2:$D1001, A41, 'Form responses 1'!$A$2:$A1001, "&gt;=2023-01-01", 'Form responses 1'!$A$2:$A1001, "&lt;=2023-03-31"),
    COUNTIFS('Form responses 1'!$E$2:$E1001, A41, 'Form responses 1'!$A$2:$A1001, "&gt;=2023-01-01", 'Form responses 1'!$A$2:$A1001, "&lt;=2023-03-31"),
    COUNTIFS('Form responses 1'!$F$2:$F1001, A41, 'Form responses 1'!$A$2:$A1001, "&gt;=2023-01-01", 'Form responses 1'!$A$2:$A1001, "&lt;=2023-03-31"),
    COUNTIFS('Form responses 1'!$G$2:$G1001, A41, 'Form responses 1'!$A$2:$A1001, "&gt;=2023-01-01", 'Form responses 1'!$A$2:$A1001, "&lt;=2023-03-31")
)
</f>
        <v>10</v>
      </c>
      <c r="F41" s="2">
        <f>SUM(
    COUNTIFS('Form responses 1'!$C$2:$C1001, A41, 'Form responses 1'!$A$2:$A1001, "&gt;=2023-04-01", 'Form responses 1'!$A$2:$A1001, "&lt;=2023-06-30"),
    COUNTIFS('Form responses 1'!$B$2:$B1001, A41, 'Form responses 1'!$A$2:$A1001, "&gt;=2023-04-01", 'Form responses 1'!$A$2:$A1001, "&lt;=2023-06-30"),
    COUNTIFS('Form responses 1'!$D$2:$D1001, A41, 'Form responses 1'!$A$2:$A1001, "&gt;=2023-04-01", 'Form responses 1'!$A$2:$A1001, "&lt;=2023-06-30"),
    COUNTIFS('Form responses 1'!$E$2:$E1001, A41, 'Form responses 1'!$A$2:$A1001, "&gt;=2023-04-01", 'Form responses 1'!$A$2:$A1001, "&lt;=2023-06-30"),
    COUNTIFS('Form responses 1'!$F$2:$F1001, A41, 'Form responses 1'!$A$2:$A1001, "&gt;=2023-04-01", 'Form responses 1'!$A$2:$A1001, "&lt;=2023-06-30"),
    COUNTIFS('Form responses 1'!$G$2:$G1001, A41, 'Form responses 1'!$A$2:$A1001, "&gt;=2023-04-01", 'Form responses 1'!$A$2:$A1001, "&lt;=2023-06-30")
)
</f>
        <v>9</v>
      </c>
      <c r="G41" s="2">
        <f>SUM(
    COUNTIFS('Form responses 1'!$C$2:$C1001, A41, 'Form responses 1'!$A$2:$A1001, "&gt;=2023-07-01", 'Form responses 1'!$A$2:$A1001, "&lt;=2023-09-30"),
    COUNTIFS('Form responses 1'!$B$2:$B1001, A41, 'Form responses 1'!$A$2:$A1001, "&gt;=2023-07-01", 'Form responses 1'!$A$2:$A1001, "&lt;=2023-09-30"),
    COUNTIFS('Form responses 1'!$D$2:$D1001, A41, 'Form responses 1'!$A$2:$A1001, "&gt;=2023-07-01", 'Form responses 1'!$A$2:$A1001, "&lt;=2023-09-30"),
    COUNTIFS('Form responses 1'!$E$2:$E1001, A41, 'Form responses 1'!$A$2:$A1001, "&gt;=2023-07-01", 'Form responses 1'!$A$2:$A1001, "&lt;=2023-09-30"),
    COUNTIFS('Form responses 1'!$F$2:$F1001, A41, 'Form responses 1'!$A$2:$A1001, "&gt;=2023-07-01", 'Form responses 1'!$A$2:$A1001, "&lt;=2023-09-30"),
    COUNTIFS('Form responses 1'!$G$2:$G1001, A41, 'Form responses 1'!$A$2:$A1001, "&gt;=2023-07-01", 'Form responses 1'!$A$2:$A1001, "&lt;=2023-09-30")
)
</f>
        <v>2</v>
      </c>
      <c r="H41" s="2">
        <f>SUM(
    COUNTIFS('Form responses 1'!$C$2:$C1001, A41, 'Form responses 1'!$A$2:$A1001, "&gt;=2023-10-01", 'Form responses 1'!$A$2:$A1001, "&lt;=2023-12-31"),
    COUNTIFS('Form responses 1'!$B$2:$B1001, A41, 'Form responses 1'!$A$2:$A1001, "&gt;=2023-10-01", 'Form responses 1'!$A$2:$A1001, "&lt;=2023-12-31"),
    COUNTIFS('Form responses 1'!$D$2:$D1001, A41, 'Form responses 1'!$A$2:$A1001, "&gt;=2023-10-01", 'Form responses 1'!$A$2:$A1001, "&lt;=2023-12-31"),
    COUNTIFS('Form responses 1'!$E$2:$E1001, A41, 'Form responses 1'!$A$2:$A1001, "&gt;=2023-10-01", 'Form responses 1'!$A$2:$A1001, "&lt;=2023-12-31"),
    COUNTIFS('Form responses 1'!$F$2:$F1001, A41, 'Form responses 1'!$A$2:$A1001, "&gt;=2023-10-01", 'Form responses 1'!$A$2:$A1001, "&lt;=2023-12-31"),
    COUNTIFS('Form responses 1'!$G$2:$G1001, A41, 'Form responses 1'!$A$2:$A1001, "&gt;=2023-10-01", 'Form responses 1'!$A$2:$A1001, "&lt;=2023-12-31")
)
</f>
        <v>9</v>
      </c>
      <c r="I41" s="2">
        <f>SUM(
    COUNTIFS('Form responses 1'!$C$2:$C1001, A41, 'Form responses 1'!$A$2:$A1001, "&gt;=2024-01-01", 'Form responses 1'!$A$2:$A1001, "&lt;=2024-03-31"),
    COUNTIFS('Form responses 1'!$B$2:$B1001, A41, 'Form responses 1'!$A$2:$A1001, "&gt;=2024-01-01", 'Form responses 1'!$A$2:$A1001, "&lt;=2024-03-31"),
    COUNTIFS('Form responses 1'!$D$2:$D1001, A41, 'Form responses 1'!$A$2:$A1001, "&gt;=2024-01-01", 'Form responses 1'!$A$2:$A1001, "&lt;=2024-03-31"),
    COUNTIFS('Form responses 1'!$E$2:$E1001, A41, 'Form responses 1'!$A$2:$A1001, "&gt;=2024-01-01", 'Form responses 1'!$A$2:$A1001, "&lt;=2024-03-31"),
    COUNTIFS('Form responses 1'!$F$2:$F1001, A41, 'Form responses 1'!$A$2:$A1001, "&gt;=2024-01-01", 'Form responses 1'!$A$2:$A1001, "&lt;=2024-03-31"),
    COUNTIFS('Form responses 1'!$G$2:$G1001, A41, 'Form responses 1'!$A$2:$A1001, "&gt;=2024-01-01", 'Form responses 1'!$A$2:$A1001, "&lt;=2024-03-31")
)
</f>
        <v>3</v>
      </c>
      <c r="J41" s="2">
        <f>SUM(
    COUNTIFS('Form responses 1'!$C$2:$C1001, A41, 'Form responses 1'!$A$2:$A1001, "&gt;=2024-04-01", 'Form responses 1'!$A$2:$A1001, "&lt;=2024-06-30"),
    COUNTIFS('Form responses 1'!$B$2:$B1001, A41, 'Form responses 1'!$A$2:$A1001, "&gt;=2024-04-01", 'Form responses 1'!$A$2:$A1001, "&lt;=2024-06-30"),
    COUNTIFS('Form responses 1'!$D$2:$D1001, A41, 'Form responses 1'!$A$2:$A1001, "&gt;=2024-04-01", 'Form responses 1'!$A$2:$A1001, "&lt;=2024-06-30"),
    COUNTIFS('Form responses 1'!$E$2:$E1001, A41, 'Form responses 1'!$A$2:$A1001, "&gt;=2024-04-01", 'Form responses 1'!$A$2:$A1001, "&lt;=2024-06-30"),
    COUNTIFS('Form responses 1'!$F$2:$F1001, A41, 'Form responses 1'!$A$2:$A1001, "&gt;=2024-04-01", 'Form responses 1'!$A$2:$A1001, "&lt;=2024-06-30"),
    COUNTIFS('Form responses 1'!$G$2:$G1001, A41, 'Form responses 1'!$A$2:$A1001, "&gt;=2024-04-01", 'Form responses 1'!$A$2:$A1001, "&lt;=2024-06-30")
)
</f>
        <v>2</v>
      </c>
      <c r="K41" s="2">
        <f>SUM(
    COUNTIFS('Form responses 1'!$C$2:$C1001, A41, 'Form responses 1'!$A$2:$A1001, "&gt;=2024-07-01", 'Form responses 1'!$A$2:$A1001, "&lt;=2024-09-30"),
    COUNTIFS('Form responses 1'!$B$2:$B1001, A41, 'Form responses 1'!$A$2:$A1001, "&gt;=2024-07-01", 'Form responses 1'!$A$2:$A1001, "&lt;=2024-09-30"),
    COUNTIFS('Form responses 1'!$D$2:$D1001, A41, 'Form responses 1'!$A$2:$A1001, "&gt;=2024-07-01", 'Form responses 1'!$A$2:$A1001, "&lt;=2024-09-30"),
    COUNTIFS('Form responses 1'!$E$2:$E1001, A41, 'Form responses 1'!$A$2:$A1001, "&gt;=2024-07-01", 'Form responses 1'!$A$2:$A1001, "&lt;=2024-09-30"),
    COUNTIFS('Form responses 1'!$F$2:$F1001, A41, 'Form responses 1'!$A$2:$A1001, "&gt;=2024-07-01", 'Form responses 1'!$A$2:$A1001, "&lt;=2024-09-30"),
    COUNTIFS('Form responses 1'!$G$2:$G1001, A41, 'Form responses 1'!$A$2:$A1001, "&gt;=2024-07-01", 'Form responses 1'!$A$2:$A1001, "&lt;=2024-09-30")
)
</f>
        <v>0</v>
      </c>
      <c r="L41" s="2">
        <f>SUM(
    COUNTIFS('Form responses 1'!$C$2:$C1001, A41, 'Form responses 1'!$A$2:$A1001, "&gt;=2024-10-01", 'Form responses 1'!$A$2:$A1001, "&lt;=2024-12-31"),
    COUNTIFS('Form responses 1'!$B$2:$B1001, A41, 'Form responses 1'!$A$2:$A1001, "&gt;=2024-10-01", 'Form responses 1'!$A$2:$A1001, "&lt;=2024-12-31"),
    COUNTIFS('Form responses 1'!$D$2:$D1001, A41, 'Form responses 1'!$A$2:$A1001, "&gt;=2024-10-01", 'Form responses 1'!$A$2:$A1001, "&lt;=2024-12-31"),
    COUNTIFS('Form responses 1'!$E$2:$E1001, A41, 'Form responses 1'!$A$2:$A1001, "&gt;=2024-10-01", 'Form responses 1'!$A$2:$A1001, "&lt;=2024-12-31"),
    COUNTIFS('Form responses 1'!$F$2:$F1001, A41, 'Form responses 1'!$A$2:$A1001, "&gt;=2024-10-01", 'Form responses 1'!$A$2:$A1001, "&lt;=2024-12-31"),
    COUNTIFS('Form responses 1'!$G$2:$G1001, A41, 'Form responses 1'!$A$2:$A1001, "&gt;=2024-10-01", 'Form responses 1'!$A$2:$A1001, "&lt;=2024-12-31")
)
</f>
        <v>2</v>
      </c>
      <c r="M41" s="2">
        <f>SUM(
    COUNTIFS('Form responses 1'!$C$2:$C1001, A41, 'Form responses 1'!$A$2:$A1001, "&gt;=2025-01-01", 'Form responses 1'!$A$2:$A1001, "&lt;=2025-03-31"),
    COUNTIFS('Form responses 1'!$B$2:$B1001, A41, 'Form responses 1'!$A$2:$A1001, "&gt;=2025-01-01", 'Form responses 1'!$A$2:$A1001, "&lt;=2025-03-31"),
    COUNTIFS('Form responses 1'!$D$2:$D1001, A41, 'Form responses 1'!$A$2:$A1001, "&gt;=2025-01-01", 'Form responses 1'!$A$2:$A1001, "&lt;=2025-03-31"),
    COUNTIFS('Form responses 1'!$E$2:$E1001, A41, 'Form responses 1'!$A$2:$A1001, "&gt;=2025-01-01", 'Form responses 1'!$A$2:$A1001, "&lt;=2025-03-31"),
    COUNTIFS('Form responses 1'!$F$2:$F1001, A41, 'Form responses 1'!$A$2:$A1001, "&gt;=2025-01-01", 'Form responses 1'!$A$2:$A1001, "&lt;=2025-03-31"),
    COUNTIFS('Form responses 1'!$G$2:$G1001, A41, 'Form responses 1'!$A$2:$A1001, "&gt;=2025-01-01", 'Form responses 1'!$A$2:$A1001, "&lt;=2025-03-31")
)
</f>
        <v>0</v>
      </c>
      <c r="N41" s="2">
        <f>SUM(
    COUNTIFS('Form responses 1'!$C$2:$C1001, A41, 'Form responses 1'!$A$2:$A1001, "&gt;=2025-04-01", 'Form responses 1'!$A$2:$A1001, "&lt;2025-07-01"),
    COUNTIFS('Form responses 1'!$B$2:$B1001, A41, 'Form responses 1'!$A$2:$A1001, "&gt;=2025-04-01", 'Form responses 1'!$A$2:$A1001, "&lt;2025-07-01"),
    COUNTIFS('Form responses 1'!$D$2:$D1001, A41, 'Form responses 1'!$A$2:$A1001, "&gt;=2025-04-01", 'Form responses 1'!$A$2:$A1001, "&lt;2025-07-01"),
    COUNTIFS('Form responses 1'!$E$2:$E1001, A41, 'Form responses 1'!$A$2:$A1001, "&gt;=2025-04-01", 'Form responses 1'!$A$2:$A1001, "&lt;2025-07-01"),
    COUNTIFS('Form responses 1'!$F$2:$F1001, A41, 'Form responses 1'!$A$2:$A1001, "&gt;=2025-04-01", 'Form responses 1'!$A$2:$A1001, "&lt;2025-07-01"),
    COUNTIFS('Form responses 1'!$G$2:$G1001, A41, 'Form responses 1'!$A$2:$A1001, "&gt;=2025-04-01", 'Form responses 1'!$A$2:$A1001, "&lt;2025-07-01")
)
</f>
        <v>0</v>
      </c>
      <c r="O41" s="2">
        <f>SUM(
    COUNTIFS('Form responses 1'!$C$2:$C1001, A41, 'Form responses 1'!$A$2:$A1001, "&gt;=2025-07-01", 'Form responses 1'!$A$2:$A1001, "&lt;=2025-09-30"),
    COUNTIFS('Form responses 1'!$B$2:$B1001, A41, 'Form responses 1'!$A$2:$A1001, "&gt;=2025-07-01", 'Form responses 1'!$A$2:$A1001, "&lt;=2025-09-30"),
    COUNTIFS('Form responses 1'!$D$2:$D1001, A41, 'Form responses 1'!$A$2:$A1001, "&gt;=2025-07-01", 'Form responses 1'!$A$2:$A1001, "&lt;=2025-09-30"),
    COUNTIFS('Form responses 1'!$E$2:$E1001, A41, 'Form responses 1'!$A$2:$A1001, "&gt;=2025-07-01", 'Form responses 1'!$A$2:$A1001, "&lt;=2025-09-30"),
    COUNTIFS('Form responses 1'!$F$2:$F1001, A41, 'Form responses 1'!$A$2:$A1001, "&gt;=2025-07-01", 'Form responses 1'!$A$2:$A1001, "&lt;=2025-09-30"),
    COUNTIFS('Form responses 1'!$G$2:$G1001, A41, 'Form responses 1'!$A$2:$A1001, "&gt;=2025-07-01", 'Form responses 1'!$A$2:$A1001, "&lt;=2025-09-30")
)
</f>
        <v>0</v>
      </c>
      <c r="P41" s="2">
        <f>SUM(
    COUNTIFS('Form responses 1'!$C$2:$C1001, A41, 'Form responses 1'!$A$2:$A1001, "&gt;=2025-10-01", 'Form responses 1'!$A$2:$A1001, "&lt;=2025-12-31"),
    COUNTIFS('Form responses 1'!$B$2:$B1001, A41, 'Form responses 1'!$A$2:$A1001, "&gt;=2025-10-01", 'Form responses 1'!$A$2:$A1001, "&lt;=2025-12-31"),
    COUNTIFS('Form responses 1'!$D$2:$D1001, A41, 'Form responses 1'!$A$2:$A1001, "&gt;=2025-10-01", 'Form responses 1'!$A$2:$A1001, "&lt;=2025-12-31"),
    COUNTIFS('Form responses 1'!$E$2:$E1001, A41, 'Form responses 1'!$A$2:$A1001, "&gt;=2025-10-01", 'Form responses 1'!$A$2:$A1001, "&lt;=2025-12-31"),
    COUNTIFS('Form responses 1'!$F$2:$F1001, A41, 'Form responses 1'!$A$2:$A1001, "&gt;=2025-10-01", 'Form responses 1'!$A$2:$A1001, "&lt;=2025-12-31"),
    COUNTIFS('Form responses 1'!$G$2:$G1001, A41, 'Form responses 1'!$A$2:$A1001, "&gt;=2025-10-01", 'Form responses 1'!$A$2:$A1001, "&lt;=2025-12-31")
)
</f>
        <v>0</v>
      </c>
    </row>
    <row r="42">
      <c r="A42" s="3" t="str">
        <f>IFERROR(__xludf.DUMMYFUNCTION("""COMPUTED_VALUE"""),"Beige trui")</f>
        <v>Beige trui</v>
      </c>
      <c r="B42" s="2">
        <f>SUM(
    COUNTIFS('Form responses 1'!$C$2:$C1001, A42, 'Form responses 1'!$A$2:$A1001, "&gt;=2022-04-01", 'Form responses 1'!$A$2:$A1001, "&lt;=2022-06-30"),
    COUNTIFS('Form responses 1'!$B$2:$B1001, A42, 'Form responses 1'!$A$2:$A1001, "&gt;=2022-04-01", 'Form responses 1'!$A$2:$A1001, "&lt;=2022-06-30"),
    COUNTIFS('Form responses 1'!$D$2:$D1001, A42, 'Form responses 1'!$A$2:$A1001, "&gt;=2022-04-01", 'Form responses 1'!$A$2:$A1001, "&lt;=2022-06-30"),
    COUNTIFS('Form responses 1'!$E$2:$E1001, A42, 'Form responses 1'!$A$2:$A1001, "&gt;=2022-04-01", 'Form responses 1'!$A$2:$A1001, "&lt;=2022-06-30"),
    COUNTIFS('Form responses 1'!$F$2:$F1001, A42, 'Form responses 1'!$A$2:$A1001, "&gt;=2022-04-01", 'Form responses 1'!$A$2:$A1001, "&lt;=2022-06-30"),
    COUNTIFS('Form responses 1'!$G$2:$G1001, A42, 'Form responses 1'!$A$2:$A1001, "&gt;=2022-04-01", 'Form responses 1'!$A$2:$A1001, "&lt;=2022-06-30")
)
</f>
        <v>3</v>
      </c>
      <c r="C42" s="2">
        <f>SUM(
    COUNTIFS('Form responses 1'!$C$2:$C1001, A42, 'Form responses 1'!$A$2:$A1001, "&gt;=2022-07-01", 'Form responses 1'!$A$2:$A1001, "&lt;=2022-09-30"),
    COUNTIFS('Form responses 1'!$B$2:$B1001, A42, 'Form responses 1'!$A$2:$A1001, "&gt;=2022-07-01", 'Form responses 1'!$A$2:$A1001, "&lt;=2022-09-30"),
    COUNTIFS('Form responses 1'!$D$2:$D1001, A42, 'Form responses 1'!$A$2:$A1001, "&gt;=2022-07-01", 'Form responses 1'!$A$2:$A1001, "&lt;=2022-09-30"),
    COUNTIFS('Form responses 1'!$E$2:$E1001, A42, 'Form responses 1'!$A$2:$A1001, "&gt;=2022-07-01", 'Form responses 1'!$A$2:$A1001, "&lt;=2022-09-30"),
    COUNTIFS('Form responses 1'!$F$2:$F1001, A42, 'Form responses 1'!$A$2:$A1001, "&gt;=2022-07-01", 'Form responses 1'!$A$2:$A1001, "&lt;=2022-09-30"),
    COUNTIFS('Form responses 1'!$G$2:$G1001, A42, 'Form responses 1'!$A$2:$A1001, "&gt;=2022-07-01", 'Form responses 1'!$A$2:$A1001, "&lt;=2022-09-30")
)
</f>
        <v>2</v>
      </c>
      <c r="D42" s="2">
        <f>SUM(
    COUNTIFS('Form responses 1'!$C$2:$C1001, A42, 'Form responses 1'!$A$2:$A1001, "&gt;=2022-10-01", 'Form responses 1'!$A$2:$A1001, "&lt;=2022-12-31"),
    COUNTIFS('Form responses 1'!$B$2:$B1001, A42, 'Form responses 1'!$A$2:$A1001, "&gt;=2022-10-01", 'Form responses 1'!$A$2:$A1001, "&lt;=2022-12-31"),
    COUNTIFS('Form responses 1'!$D$2:$D1001, A42, 'Form responses 1'!$A$2:$A1001, "&gt;=2022-10-01", 'Form responses 1'!$A$2:$A1001, "&lt;=2022-12-31"),
    COUNTIFS('Form responses 1'!$E$2:$E1001, A42, 'Form responses 1'!$A$2:$A1001, "&gt;=2022-10-01", 'Form responses 1'!$A$2:$A1001, "&lt;=2022-12-31"),
    COUNTIFS('Form responses 1'!$F$2:$F1001, A42, 'Form responses 1'!$A$2:$A1001, "&gt;=2022-10-01", 'Form responses 1'!$A$2:$A1001, "&lt;=2022-12-31"),
    COUNTIFS('Form responses 1'!$G$2:$G1001, A42, 'Form responses 1'!$A$2:$A1001, "&gt;=2022-10-01", 'Form responses 1'!$A$2:$A1001, "&lt;=2022-12-31")
)
</f>
        <v>8</v>
      </c>
      <c r="E42" s="2">
        <f>SUM(
    COUNTIFS('Form responses 1'!$C$2:$C1001, A42, 'Form responses 1'!$A$2:$A1001, "&gt;=2023-01-01", 'Form responses 1'!$A$2:$A1001, "&lt;=2023-03-31"),
    COUNTIFS('Form responses 1'!$B$2:$B1001, A42, 'Form responses 1'!$A$2:$A1001, "&gt;=2023-01-01", 'Form responses 1'!$A$2:$A1001, "&lt;=2023-03-31"),
    COUNTIFS('Form responses 1'!$D$2:$D1001, A42, 'Form responses 1'!$A$2:$A1001, "&gt;=2023-01-01", 'Form responses 1'!$A$2:$A1001, "&lt;=2023-03-31"),
    COUNTIFS('Form responses 1'!$E$2:$E1001, A42, 'Form responses 1'!$A$2:$A1001, "&gt;=2023-01-01", 'Form responses 1'!$A$2:$A1001, "&lt;=2023-03-31"),
    COUNTIFS('Form responses 1'!$F$2:$F1001, A42, 'Form responses 1'!$A$2:$A1001, "&gt;=2023-01-01", 'Form responses 1'!$A$2:$A1001, "&lt;=2023-03-31"),
    COUNTIFS('Form responses 1'!$G$2:$G1001, A42, 'Form responses 1'!$A$2:$A1001, "&gt;=2023-01-01", 'Form responses 1'!$A$2:$A1001, "&lt;=2023-03-31")
)
</f>
        <v>7</v>
      </c>
      <c r="F42" s="2">
        <f>SUM(
    COUNTIFS('Form responses 1'!$C$2:$C1001, A42, 'Form responses 1'!$A$2:$A1001, "&gt;=2023-04-01", 'Form responses 1'!$A$2:$A1001, "&lt;=2023-06-30"),
    COUNTIFS('Form responses 1'!$B$2:$B1001, A42, 'Form responses 1'!$A$2:$A1001, "&gt;=2023-04-01", 'Form responses 1'!$A$2:$A1001, "&lt;=2023-06-30"),
    COUNTIFS('Form responses 1'!$D$2:$D1001, A42, 'Form responses 1'!$A$2:$A1001, "&gt;=2023-04-01", 'Form responses 1'!$A$2:$A1001, "&lt;=2023-06-30"),
    COUNTIFS('Form responses 1'!$E$2:$E1001, A42, 'Form responses 1'!$A$2:$A1001, "&gt;=2023-04-01", 'Form responses 1'!$A$2:$A1001, "&lt;=2023-06-30"),
    COUNTIFS('Form responses 1'!$F$2:$F1001, A42, 'Form responses 1'!$A$2:$A1001, "&gt;=2023-04-01", 'Form responses 1'!$A$2:$A1001, "&lt;=2023-06-30"),
    COUNTIFS('Form responses 1'!$G$2:$G1001, A42, 'Form responses 1'!$A$2:$A1001, "&gt;=2023-04-01", 'Form responses 1'!$A$2:$A1001, "&lt;=2023-06-30")
)
</f>
        <v>11</v>
      </c>
      <c r="G42" s="2">
        <f>SUM(
    COUNTIFS('Form responses 1'!$C$2:$C1001, A42, 'Form responses 1'!$A$2:$A1001, "&gt;=2023-07-01", 'Form responses 1'!$A$2:$A1001, "&lt;=2023-09-30"),
    COUNTIFS('Form responses 1'!$B$2:$B1001, A42, 'Form responses 1'!$A$2:$A1001, "&gt;=2023-07-01", 'Form responses 1'!$A$2:$A1001, "&lt;=2023-09-30"),
    COUNTIFS('Form responses 1'!$D$2:$D1001, A42, 'Form responses 1'!$A$2:$A1001, "&gt;=2023-07-01", 'Form responses 1'!$A$2:$A1001, "&lt;=2023-09-30"),
    COUNTIFS('Form responses 1'!$E$2:$E1001, A42, 'Form responses 1'!$A$2:$A1001, "&gt;=2023-07-01", 'Form responses 1'!$A$2:$A1001, "&lt;=2023-09-30"),
    COUNTIFS('Form responses 1'!$F$2:$F1001, A42, 'Form responses 1'!$A$2:$A1001, "&gt;=2023-07-01", 'Form responses 1'!$A$2:$A1001, "&lt;=2023-09-30"),
    COUNTIFS('Form responses 1'!$G$2:$G1001, A42, 'Form responses 1'!$A$2:$A1001, "&gt;=2023-07-01", 'Form responses 1'!$A$2:$A1001, "&lt;=2023-09-30")
)
</f>
        <v>1</v>
      </c>
      <c r="H42" s="2">
        <f>SUM(
    COUNTIFS('Form responses 1'!$C$2:$C1001, A42, 'Form responses 1'!$A$2:$A1001, "&gt;=2023-10-01", 'Form responses 1'!$A$2:$A1001, "&lt;=2023-12-31"),
    COUNTIFS('Form responses 1'!$B$2:$B1001, A42, 'Form responses 1'!$A$2:$A1001, "&gt;=2023-10-01", 'Form responses 1'!$A$2:$A1001, "&lt;=2023-12-31"),
    COUNTIFS('Form responses 1'!$D$2:$D1001, A42, 'Form responses 1'!$A$2:$A1001, "&gt;=2023-10-01", 'Form responses 1'!$A$2:$A1001, "&lt;=2023-12-31"),
    COUNTIFS('Form responses 1'!$E$2:$E1001, A42, 'Form responses 1'!$A$2:$A1001, "&gt;=2023-10-01", 'Form responses 1'!$A$2:$A1001, "&lt;=2023-12-31"),
    COUNTIFS('Form responses 1'!$F$2:$F1001, A42, 'Form responses 1'!$A$2:$A1001, "&gt;=2023-10-01", 'Form responses 1'!$A$2:$A1001, "&lt;=2023-12-31"),
    COUNTIFS('Form responses 1'!$G$2:$G1001, A42, 'Form responses 1'!$A$2:$A1001, "&gt;=2023-10-01", 'Form responses 1'!$A$2:$A1001, "&lt;=2023-12-31")
)
</f>
        <v>10</v>
      </c>
      <c r="I42" s="2">
        <f>SUM(
    COUNTIFS('Form responses 1'!$C$2:$C1001, A42, 'Form responses 1'!$A$2:$A1001, "&gt;=2024-01-01", 'Form responses 1'!$A$2:$A1001, "&lt;=2024-03-31"),
    COUNTIFS('Form responses 1'!$B$2:$B1001, A42, 'Form responses 1'!$A$2:$A1001, "&gt;=2024-01-01", 'Form responses 1'!$A$2:$A1001, "&lt;=2024-03-31"),
    COUNTIFS('Form responses 1'!$D$2:$D1001, A42, 'Form responses 1'!$A$2:$A1001, "&gt;=2024-01-01", 'Form responses 1'!$A$2:$A1001, "&lt;=2024-03-31"),
    COUNTIFS('Form responses 1'!$E$2:$E1001, A42, 'Form responses 1'!$A$2:$A1001, "&gt;=2024-01-01", 'Form responses 1'!$A$2:$A1001, "&lt;=2024-03-31"),
    COUNTIFS('Form responses 1'!$F$2:$F1001, A42, 'Form responses 1'!$A$2:$A1001, "&gt;=2024-01-01", 'Form responses 1'!$A$2:$A1001, "&lt;=2024-03-31"),
    COUNTIFS('Form responses 1'!$G$2:$G1001, A42, 'Form responses 1'!$A$2:$A1001, "&gt;=2024-01-01", 'Form responses 1'!$A$2:$A1001, "&lt;=2024-03-31")
)
</f>
        <v>4</v>
      </c>
      <c r="J42" s="2">
        <f>SUM(
    COUNTIFS('Form responses 1'!$C$2:$C1001, A42, 'Form responses 1'!$A$2:$A1001, "&gt;=2024-04-01", 'Form responses 1'!$A$2:$A1001, "&lt;=2024-06-30"),
    COUNTIFS('Form responses 1'!$B$2:$B1001, A42, 'Form responses 1'!$A$2:$A1001, "&gt;=2024-04-01", 'Form responses 1'!$A$2:$A1001, "&lt;=2024-06-30"),
    COUNTIFS('Form responses 1'!$D$2:$D1001, A42, 'Form responses 1'!$A$2:$A1001, "&gt;=2024-04-01", 'Form responses 1'!$A$2:$A1001, "&lt;=2024-06-30"),
    COUNTIFS('Form responses 1'!$E$2:$E1001, A42, 'Form responses 1'!$A$2:$A1001, "&gt;=2024-04-01", 'Form responses 1'!$A$2:$A1001, "&lt;=2024-06-30"),
    COUNTIFS('Form responses 1'!$F$2:$F1001, A42, 'Form responses 1'!$A$2:$A1001, "&gt;=2024-04-01", 'Form responses 1'!$A$2:$A1001, "&lt;=2024-06-30"),
    COUNTIFS('Form responses 1'!$G$2:$G1001, A42, 'Form responses 1'!$A$2:$A1001, "&gt;=2024-04-01", 'Form responses 1'!$A$2:$A1001, "&lt;=2024-06-30")
)
</f>
        <v>2</v>
      </c>
      <c r="K42" s="2">
        <f>SUM(
    COUNTIFS('Form responses 1'!$C$2:$C1001, A42, 'Form responses 1'!$A$2:$A1001, "&gt;=2024-07-01", 'Form responses 1'!$A$2:$A1001, "&lt;=2024-09-30"),
    COUNTIFS('Form responses 1'!$B$2:$B1001, A42, 'Form responses 1'!$A$2:$A1001, "&gt;=2024-07-01", 'Form responses 1'!$A$2:$A1001, "&lt;=2024-09-30"),
    COUNTIFS('Form responses 1'!$D$2:$D1001, A42, 'Form responses 1'!$A$2:$A1001, "&gt;=2024-07-01", 'Form responses 1'!$A$2:$A1001, "&lt;=2024-09-30"),
    COUNTIFS('Form responses 1'!$E$2:$E1001, A42, 'Form responses 1'!$A$2:$A1001, "&gt;=2024-07-01", 'Form responses 1'!$A$2:$A1001, "&lt;=2024-09-30"),
    COUNTIFS('Form responses 1'!$F$2:$F1001, A42, 'Form responses 1'!$A$2:$A1001, "&gt;=2024-07-01", 'Form responses 1'!$A$2:$A1001, "&lt;=2024-09-30"),
    COUNTIFS('Form responses 1'!$G$2:$G1001, A42, 'Form responses 1'!$A$2:$A1001, "&gt;=2024-07-01", 'Form responses 1'!$A$2:$A1001, "&lt;=2024-09-30")
)
</f>
        <v>2</v>
      </c>
      <c r="L42" s="2">
        <f>SUM(
    COUNTIFS('Form responses 1'!$C$2:$C1001, A42, 'Form responses 1'!$A$2:$A1001, "&gt;=2024-10-01", 'Form responses 1'!$A$2:$A1001, "&lt;=2024-12-31"),
    COUNTIFS('Form responses 1'!$B$2:$B1001, A42, 'Form responses 1'!$A$2:$A1001, "&gt;=2024-10-01", 'Form responses 1'!$A$2:$A1001, "&lt;=2024-12-31"),
    COUNTIFS('Form responses 1'!$D$2:$D1001, A42, 'Form responses 1'!$A$2:$A1001, "&gt;=2024-10-01", 'Form responses 1'!$A$2:$A1001, "&lt;=2024-12-31"),
    COUNTIFS('Form responses 1'!$E$2:$E1001, A42, 'Form responses 1'!$A$2:$A1001, "&gt;=2024-10-01", 'Form responses 1'!$A$2:$A1001, "&lt;=2024-12-31"),
    COUNTIFS('Form responses 1'!$F$2:$F1001, A42, 'Form responses 1'!$A$2:$A1001, "&gt;=2024-10-01", 'Form responses 1'!$A$2:$A1001, "&lt;=2024-12-31"),
    COUNTIFS('Form responses 1'!$G$2:$G1001, A42, 'Form responses 1'!$A$2:$A1001, "&gt;=2024-10-01", 'Form responses 1'!$A$2:$A1001, "&lt;=2024-12-31")
)
</f>
        <v>2</v>
      </c>
      <c r="M42" s="2">
        <f>SUM(
    COUNTIFS('Form responses 1'!$C$2:$C1001, A42, 'Form responses 1'!$A$2:$A1001, "&gt;=2025-01-01", 'Form responses 1'!$A$2:$A1001, "&lt;=2025-03-31"),
    COUNTIFS('Form responses 1'!$B$2:$B1001, A42, 'Form responses 1'!$A$2:$A1001, "&gt;=2025-01-01", 'Form responses 1'!$A$2:$A1001, "&lt;=2025-03-31"),
    COUNTIFS('Form responses 1'!$D$2:$D1001, A42, 'Form responses 1'!$A$2:$A1001, "&gt;=2025-01-01", 'Form responses 1'!$A$2:$A1001, "&lt;=2025-03-31"),
    COUNTIFS('Form responses 1'!$E$2:$E1001, A42, 'Form responses 1'!$A$2:$A1001, "&gt;=2025-01-01", 'Form responses 1'!$A$2:$A1001, "&lt;=2025-03-31"),
    COUNTIFS('Form responses 1'!$F$2:$F1001, A42, 'Form responses 1'!$A$2:$A1001, "&gt;=2025-01-01", 'Form responses 1'!$A$2:$A1001, "&lt;=2025-03-31"),
    COUNTIFS('Form responses 1'!$G$2:$G1001, A42, 'Form responses 1'!$A$2:$A1001, "&gt;=2025-01-01", 'Form responses 1'!$A$2:$A1001, "&lt;=2025-03-31")
)
</f>
        <v>1</v>
      </c>
      <c r="N42" s="2">
        <f>SUM(
    COUNTIFS('Form responses 1'!$C$2:$C1001, A42, 'Form responses 1'!$A$2:$A1001, "&gt;=2025-04-01", 'Form responses 1'!$A$2:$A1001, "&lt;2025-07-01"),
    COUNTIFS('Form responses 1'!$B$2:$B1001, A42, 'Form responses 1'!$A$2:$A1001, "&gt;=2025-04-01", 'Form responses 1'!$A$2:$A1001, "&lt;2025-07-01"),
    COUNTIFS('Form responses 1'!$D$2:$D1001, A42, 'Form responses 1'!$A$2:$A1001, "&gt;=2025-04-01", 'Form responses 1'!$A$2:$A1001, "&lt;2025-07-01"),
    COUNTIFS('Form responses 1'!$E$2:$E1001, A42, 'Form responses 1'!$A$2:$A1001, "&gt;=2025-04-01", 'Form responses 1'!$A$2:$A1001, "&lt;2025-07-01"),
    COUNTIFS('Form responses 1'!$F$2:$F1001, A42, 'Form responses 1'!$A$2:$A1001, "&gt;=2025-04-01", 'Form responses 1'!$A$2:$A1001, "&lt;2025-07-01"),
    COUNTIFS('Form responses 1'!$G$2:$G1001, A42, 'Form responses 1'!$A$2:$A1001, "&gt;=2025-04-01", 'Form responses 1'!$A$2:$A1001, "&lt;2025-07-01")
)
</f>
        <v>2</v>
      </c>
      <c r="O42" s="2">
        <f>SUM(
    COUNTIFS('Form responses 1'!$C$2:$C1001, A42, 'Form responses 1'!$A$2:$A1001, "&gt;=2025-07-01", 'Form responses 1'!$A$2:$A1001, "&lt;=2025-09-30"),
    COUNTIFS('Form responses 1'!$B$2:$B1001, A42, 'Form responses 1'!$A$2:$A1001, "&gt;=2025-07-01", 'Form responses 1'!$A$2:$A1001, "&lt;=2025-09-30"),
    COUNTIFS('Form responses 1'!$D$2:$D1001, A42, 'Form responses 1'!$A$2:$A1001, "&gt;=2025-07-01", 'Form responses 1'!$A$2:$A1001, "&lt;=2025-09-30"),
    COUNTIFS('Form responses 1'!$E$2:$E1001, A42, 'Form responses 1'!$A$2:$A1001, "&gt;=2025-07-01", 'Form responses 1'!$A$2:$A1001, "&lt;=2025-09-30"),
    COUNTIFS('Form responses 1'!$F$2:$F1001, A42, 'Form responses 1'!$A$2:$A1001, "&gt;=2025-07-01", 'Form responses 1'!$A$2:$A1001, "&lt;=2025-09-30"),
    COUNTIFS('Form responses 1'!$G$2:$G1001, A42, 'Form responses 1'!$A$2:$A1001, "&gt;=2025-07-01", 'Form responses 1'!$A$2:$A1001, "&lt;=2025-09-30")
)
</f>
        <v>0</v>
      </c>
      <c r="P42" s="2">
        <f>SUM(
    COUNTIFS('Form responses 1'!$C$2:$C1001, A42, 'Form responses 1'!$A$2:$A1001, "&gt;=2025-10-01", 'Form responses 1'!$A$2:$A1001, "&lt;=2025-12-31"),
    COUNTIFS('Form responses 1'!$B$2:$B1001, A42, 'Form responses 1'!$A$2:$A1001, "&gt;=2025-10-01", 'Form responses 1'!$A$2:$A1001, "&lt;=2025-12-31"),
    COUNTIFS('Form responses 1'!$D$2:$D1001, A42, 'Form responses 1'!$A$2:$A1001, "&gt;=2025-10-01", 'Form responses 1'!$A$2:$A1001, "&lt;=2025-12-31"),
    COUNTIFS('Form responses 1'!$E$2:$E1001, A42, 'Form responses 1'!$A$2:$A1001, "&gt;=2025-10-01", 'Form responses 1'!$A$2:$A1001, "&lt;=2025-12-31"),
    COUNTIFS('Form responses 1'!$F$2:$F1001, A42, 'Form responses 1'!$A$2:$A1001, "&gt;=2025-10-01", 'Form responses 1'!$A$2:$A1001, "&lt;=2025-12-31"),
    COUNTIFS('Form responses 1'!$G$2:$G1001, A42, 'Form responses 1'!$A$2:$A1001, "&gt;=2025-10-01", 'Form responses 1'!$A$2:$A1001, "&lt;=2025-12-31")
)
</f>
        <v>1</v>
      </c>
    </row>
    <row r="43">
      <c r="A43" s="3" t="str">
        <f>IFERROR(__xludf.DUMMYFUNCTION("""COMPUTED_VALUE"""),"Bruine trui")</f>
        <v>Bruine trui</v>
      </c>
      <c r="B43" s="2">
        <f>SUM(
    COUNTIFS('Form responses 1'!$C$2:$C1001, A43, 'Form responses 1'!$A$2:$A1001, "&gt;=2022-04-01", 'Form responses 1'!$A$2:$A1001, "&lt;=2022-06-30"),
    COUNTIFS('Form responses 1'!$B$2:$B1001, A43, 'Form responses 1'!$A$2:$A1001, "&gt;=2022-04-01", 'Form responses 1'!$A$2:$A1001, "&lt;=2022-06-30"),
    COUNTIFS('Form responses 1'!$D$2:$D1001, A43, 'Form responses 1'!$A$2:$A1001, "&gt;=2022-04-01", 'Form responses 1'!$A$2:$A1001, "&lt;=2022-06-30"),
    COUNTIFS('Form responses 1'!$E$2:$E1001, A43, 'Form responses 1'!$A$2:$A1001, "&gt;=2022-04-01", 'Form responses 1'!$A$2:$A1001, "&lt;=2022-06-30"),
    COUNTIFS('Form responses 1'!$F$2:$F1001, A43, 'Form responses 1'!$A$2:$A1001, "&gt;=2022-04-01", 'Form responses 1'!$A$2:$A1001, "&lt;=2022-06-30"),
    COUNTIFS('Form responses 1'!$G$2:$G1001, A43, 'Form responses 1'!$A$2:$A1001, "&gt;=2022-04-01", 'Form responses 1'!$A$2:$A1001, "&lt;=2022-06-30")
)
</f>
        <v>0</v>
      </c>
      <c r="C43" s="2">
        <f>SUM(
    COUNTIFS('Form responses 1'!$C$2:$C1001, A43, 'Form responses 1'!$A$2:$A1001, "&gt;=2022-07-01", 'Form responses 1'!$A$2:$A1001, "&lt;=2022-09-30"),
    COUNTIFS('Form responses 1'!$B$2:$B1001, A43, 'Form responses 1'!$A$2:$A1001, "&gt;=2022-07-01", 'Form responses 1'!$A$2:$A1001, "&lt;=2022-09-30"),
    COUNTIFS('Form responses 1'!$D$2:$D1001, A43, 'Form responses 1'!$A$2:$A1001, "&gt;=2022-07-01", 'Form responses 1'!$A$2:$A1001, "&lt;=2022-09-30"),
    COUNTIFS('Form responses 1'!$E$2:$E1001, A43, 'Form responses 1'!$A$2:$A1001, "&gt;=2022-07-01", 'Form responses 1'!$A$2:$A1001, "&lt;=2022-09-30"),
    COUNTIFS('Form responses 1'!$F$2:$F1001, A43, 'Form responses 1'!$A$2:$A1001, "&gt;=2022-07-01", 'Form responses 1'!$A$2:$A1001, "&lt;=2022-09-30"),
    COUNTIFS('Form responses 1'!$G$2:$G1001, A43, 'Form responses 1'!$A$2:$A1001, "&gt;=2022-07-01", 'Form responses 1'!$A$2:$A1001, "&lt;=2022-09-30")
)
</f>
        <v>0</v>
      </c>
      <c r="D43" s="2">
        <f>SUM(
    COUNTIFS('Form responses 1'!$C$2:$C1001, A43, 'Form responses 1'!$A$2:$A1001, "&gt;=2022-10-01", 'Form responses 1'!$A$2:$A1001, "&lt;=2022-12-31"),
    COUNTIFS('Form responses 1'!$B$2:$B1001, A43, 'Form responses 1'!$A$2:$A1001, "&gt;=2022-10-01", 'Form responses 1'!$A$2:$A1001, "&lt;=2022-12-31"),
    COUNTIFS('Form responses 1'!$D$2:$D1001, A43, 'Form responses 1'!$A$2:$A1001, "&gt;=2022-10-01", 'Form responses 1'!$A$2:$A1001, "&lt;=2022-12-31"),
    COUNTIFS('Form responses 1'!$E$2:$E1001, A43, 'Form responses 1'!$A$2:$A1001, "&gt;=2022-10-01", 'Form responses 1'!$A$2:$A1001, "&lt;=2022-12-31"),
    COUNTIFS('Form responses 1'!$F$2:$F1001, A43, 'Form responses 1'!$A$2:$A1001, "&gt;=2022-10-01", 'Form responses 1'!$A$2:$A1001, "&lt;=2022-12-31"),
    COUNTIFS('Form responses 1'!$G$2:$G1001, A43, 'Form responses 1'!$A$2:$A1001, "&gt;=2022-10-01", 'Form responses 1'!$A$2:$A1001, "&lt;=2022-12-31")
)
</f>
        <v>0</v>
      </c>
      <c r="E43" s="2">
        <f>SUM(
    COUNTIFS('Form responses 1'!$C$2:$C1001, A43, 'Form responses 1'!$A$2:$A1001, "&gt;=2023-01-01", 'Form responses 1'!$A$2:$A1001, "&lt;=2023-03-31"),
    COUNTIFS('Form responses 1'!$B$2:$B1001, A43, 'Form responses 1'!$A$2:$A1001, "&gt;=2023-01-01", 'Form responses 1'!$A$2:$A1001, "&lt;=2023-03-31"),
    COUNTIFS('Form responses 1'!$D$2:$D1001, A43, 'Form responses 1'!$A$2:$A1001, "&gt;=2023-01-01", 'Form responses 1'!$A$2:$A1001, "&lt;=2023-03-31"),
    COUNTIFS('Form responses 1'!$E$2:$E1001, A43, 'Form responses 1'!$A$2:$A1001, "&gt;=2023-01-01", 'Form responses 1'!$A$2:$A1001, "&lt;=2023-03-31"),
    COUNTIFS('Form responses 1'!$F$2:$F1001, A43, 'Form responses 1'!$A$2:$A1001, "&gt;=2023-01-01", 'Form responses 1'!$A$2:$A1001, "&lt;=2023-03-31"),
    COUNTIFS('Form responses 1'!$G$2:$G1001, A43, 'Form responses 1'!$A$2:$A1001, "&gt;=2023-01-01", 'Form responses 1'!$A$2:$A1001, "&lt;=2023-03-31")
)
</f>
        <v>0</v>
      </c>
      <c r="F43" s="2">
        <f>SUM(
    COUNTIFS('Form responses 1'!$C$2:$C1001, A43, 'Form responses 1'!$A$2:$A1001, "&gt;=2023-04-01", 'Form responses 1'!$A$2:$A1001, "&lt;=2023-06-30"),
    COUNTIFS('Form responses 1'!$B$2:$B1001, A43, 'Form responses 1'!$A$2:$A1001, "&gt;=2023-04-01", 'Form responses 1'!$A$2:$A1001, "&lt;=2023-06-30"),
    COUNTIFS('Form responses 1'!$D$2:$D1001, A43, 'Form responses 1'!$A$2:$A1001, "&gt;=2023-04-01", 'Form responses 1'!$A$2:$A1001, "&lt;=2023-06-30"),
    COUNTIFS('Form responses 1'!$E$2:$E1001, A43, 'Form responses 1'!$A$2:$A1001, "&gt;=2023-04-01", 'Form responses 1'!$A$2:$A1001, "&lt;=2023-06-30"),
    COUNTIFS('Form responses 1'!$F$2:$F1001, A43, 'Form responses 1'!$A$2:$A1001, "&gt;=2023-04-01", 'Form responses 1'!$A$2:$A1001, "&lt;=2023-06-30"),
    COUNTIFS('Form responses 1'!$G$2:$G1001, A43, 'Form responses 1'!$A$2:$A1001, "&gt;=2023-04-01", 'Form responses 1'!$A$2:$A1001, "&lt;=2023-06-30")
)
</f>
        <v>0</v>
      </c>
      <c r="G43" s="2">
        <f>SUM(
    COUNTIFS('Form responses 1'!$C$2:$C1001, A43, 'Form responses 1'!$A$2:$A1001, "&gt;=2023-07-01", 'Form responses 1'!$A$2:$A1001, "&lt;=2023-09-30"),
    COUNTIFS('Form responses 1'!$B$2:$B1001, A43, 'Form responses 1'!$A$2:$A1001, "&gt;=2023-07-01", 'Form responses 1'!$A$2:$A1001, "&lt;=2023-09-30"),
    COUNTIFS('Form responses 1'!$D$2:$D1001, A43, 'Form responses 1'!$A$2:$A1001, "&gt;=2023-07-01", 'Form responses 1'!$A$2:$A1001, "&lt;=2023-09-30"),
    COUNTIFS('Form responses 1'!$E$2:$E1001, A43, 'Form responses 1'!$A$2:$A1001, "&gt;=2023-07-01", 'Form responses 1'!$A$2:$A1001, "&lt;=2023-09-30"),
    COUNTIFS('Form responses 1'!$F$2:$F1001, A43, 'Form responses 1'!$A$2:$A1001, "&gt;=2023-07-01", 'Form responses 1'!$A$2:$A1001, "&lt;=2023-09-30"),
    COUNTIFS('Form responses 1'!$G$2:$G1001, A43, 'Form responses 1'!$A$2:$A1001, "&gt;=2023-07-01", 'Form responses 1'!$A$2:$A1001, "&lt;=2023-09-30")
)
</f>
        <v>0</v>
      </c>
      <c r="H43" s="2">
        <f>SUM(
    COUNTIFS('Form responses 1'!$C$2:$C1001, A43, 'Form responses 1'!$A$2:$A1001, "&gt;=2023-10-01", 'Form responses 1'!$A$2:$A1001, "&lt;=2023-12-31"),
    COUNTIFS('Form responses 1'!$B$2:$B1001, A43, 'Form responses 1'!$A$2:$A1001, "&gt;=2023-10-01", 'Form responses 1'!$A$2:$A1001, "&lt;=2023-12-31"),
    COUNTIFS('Form responses 1'!$D$2:$D1001, A43, 'Form responses 1'!$A$2:$A1001, "&gt;=2023-10-01", 'Form responses 1'!$A$2:$A1001, "&lt;=2023-12-31"),
    COUNTIFS('Form responses 1'!$E$2:$E1001, A43, 'Form responses 1'!$A$2:$A1001, "&gt;=2023-10-01", 'Form responses 1'!$A$2:$A1001, "&lt;=2023-12-31"),
    COUNTIFS('Form responses 1'!$F$2:$F1001, A43, 'Form responses 1'!$A$2:$A1001, "&gt;=2023-10-01", 'Form responses 1'!$A$2:$A1001, "&lt;=2023-12-31"),
    COUNTIFS('Form responses 1'!$G$2:$G1001, A43, 'Form responses 1'!$A$2:$A1001, "&gt;=2023-10-01", 'Form responses 1'!$A$2:$A1001, "&lt;=2023-12-31")
)
</f>
        <v>0</v>
      </c>
      <c r="I43" s="2">
        <f>SUM(
    COUNTIFS('Form responses 1'!$C$2:$C1001, A43, 'Form responses 1'!$A$2:$A1001, "&gt;=2024-01-01", 'Form responses 1'!$A$2:$A1001, "&lt;=2024-03-31"),
    COUNTIFS('Form responses 1'!$B$2:$B1001, A43, 'Form responses 1'!$A$2:$A1001, "&gt;=2024-01-01", 'Form responses 1'!$A$2:$A1001, "&lt;=2024-03-31"),
    COUNTIFS('Form responses 1'!$D$2:$D1001, A43, 'Form responses 1'!$A$2:$A1001, "&gt;=2024-01-01", 'Form responses 1'!$A$2:$A1001, "&lt;=2024-03-31"),
    COUNTIFS('Form responses 1'!$E$2:$E1001, A43, 'Form responses 1'!$A$2:$A1001, "&gt;=2024-01-01", 'Form responses 1'!$A$2:$A1001, "&lt;=2024-03-31"),
    COUNTIFS('Form responses 1'!$F$2:$F1001, A43, 'Form responses 1'!$A$2:$A1001, "&gt;=2024-01-01", 'Form responses 1'!$A$2:$A1001, "&lt;=2024-03-31"),
    COUNTIFS('Form responses 1'!$G$2:$G1001, A43, 'Form responses 1'!$A$2:$A1001, "&gt;=2024-01-01", 'Form responses 1'!$A$2:$A1001, "&lt;=2024-03-31")
)
</f>
        <v>0</v>
      </c>
      <c r="J43" s="2">
        <f>SUM(
    COUNTIFS('Form responses 1'!$C$2:$C1001, A43, 'Form responses 1'!$A$2:$A1001, "&gt;=2024-04-01", 'Form responses 1'!$A$2:$A1001, "&lt;=2024-06-30"),
    COUNTIFS('Form responses 1'!$B$2:$B1001, A43, 'Form responses 1'!$A$2:$A1001, "&gt;=2024-04-01", 'Form responses 1'!$A$2:$A1001, "&lt;=2024-06-30"),
    COUNTIFS('Form responses 1'!$D$2:$D1001, A43, 'Form responses 1'!$A$2:$A1001, "&gt;=2024-04-01", 'Form responses 1'!$A$2:$A1001, "&lt;=2024-06-30"),
    COUNTIFS('Form responses 1'!$E$2:$E1001, A43, 'Form responses 1'!$A$2:$A1001, "&gt;=2024-04-01", 'Form responses 1'!$A$2:$A1001, "&lt;=2024-06-30"),
    COUNTIFS('Form responses 1'!$F$2:$F1001, A43, 'Form responses 1'!$A$2:$A1001, "&gt;=2024-04-01", 'Form responses 1'!$A$2:$A1001, "&lt;=2024-06-30"),
    COUNTIFS('Form responses 1'!$G$2:$G1001, A43, 'Form responses 1'!$A$2:$A1001, "&gt;=2024-04-01", 'Form responses 1'!$A$2:$A1001, "&lt;=2024-06-30")
)
</f>
        <v>0</v>
      </c>
      <c r="K43" s="2">
        <f>SUM(
    COUNTIFS('Form responses 1'!$C$2:$C1001, A43, 'Form responses 1'!$A$2:$A1001, "&gt;=2024-07-01", 'Form responses 1'!$A$2:$A1001, "&lt;=2024-09-30"),
    COUNTIFS('Form responses 1'!$B$2:$B1001, A43, 'Form responses 1'!$A$2:$A1001, "&gt;=2024-07-01", 'Form responses 1'!$A$2:$A1001, "&lt;=2024-09-30"),
    COUNTIFS('Form responses 1'!$D$2:$D1001, A43, 'Form responses 1'!$A$2:$A1001, "&gt;=2024-07-01", 'Form responses 1'!$A$2:$A1001, "&lt;=2024-09-30"),
    COUNTIFS('Form responses 1'!$E$2:$E1001, A43, 'Form responses 1'!$A$2:$A1001, "&gt;=2024-07-01", 'Form responses 1'!$A$2:$A1001, "&lt;=2024-09-30"),
    COUNTIFS('Form responses 1'!$F$2:$F1001, A43, 'Form responses 1'!$A$2:$A1001, "&gt;=2024-07-01", 'Form responses 1'!$A$2:$A1001, "&lt;=2024-09-30"),
    COUNTIFS('Form responses 1'!$G$2:$G1001, A43, 'Form responses 1'!$A$2:$A1001, "&gt;=2024-07-01", 'Form responses 1'!$A$2:$A1001, "&lt;=2024-09-30")
)
</f>
        <v>3</v>
      </c>
      <c r="L43" s="2">
        <f>SUM(
    COUNTIFS('Form responses 1'!$C$2:$C1001, A43, 'Form responses 1'!$A$2:$A1001, "&gt;=2024-10-01", 'Form responses 1'!$A$2:$A1001, "&lt;=2024-12-31"),
    COUNTIFS('Form responses 1'!$B$2:$B1001, A43, 'Form responses 1'!$A$2:$A1001, "&gt;=2024-10-01", 'Form responses 1'!$A$2:$A1001, "&lt;=2024-12-31"),
    COUNTIFS('Form responses 1'!$D$2:$D1001, A43, 'Form responses 1'!$A$2:$A1001, "&gt;=2024-10-01", 'Form responses 1'!$A$2:$A1001, "&lt;=2024-12-31"),
    COUNTIFS('Form responses 1'!$E$2:$E1001, A43, 'Form responses 1'!$A$2:$A1001, "&gt;=2024-10-01", 'Form responses 1'!$A$2:$A1001, "&lt;=2024-12-31"),
    COUNTIFS('Form responses 1'!$F$2:$F1001, A43, 'Form responses 1'!$A$2:$A1001, "&gt;=2024-10-01", 'Form responses 1'!$A$2:$A1001, "&lt;=2024-12-31"),
    COUNTIFS('Form responses 1'!$G$2:$G1001, A43, 'Form responses 1'!$A$2:$A1001, "&gt;=2024-10-01", 'Form responses 1'!$A$2:$A1001, "&lt;=2024-12-31")
)
</f>
        <v>4</v>
      </c>
      <c r="M43" s="2">
        <f>SUM(
    COUNTIFS('Form responses 1'!$C$2:$C1001, A43, 'Form responses 1'!$A$2:$A1001, "&gt;=2025-01-01", 'Form responses 1'!$A$2:$A1001, "&lt;=2025-03-31"),
    COUNTIFS('Form responses 1'!$B$2:$B1001, A43, 'Form responses 1'!$A$2:$A1001, "&gt;=2025-01-01", 'Form responses 1'!$A$2:$A1001, "&lt;=2025-03-31"),
    COUNTIFS('Form responses 1'!$D$2:$D1001, A43, 'Form responses 1'!$A$2:$A1001, "&gt;=2025-01-01", 'Form responses 1'!$A$2:$A1001, "&lt;=2025-03-31"),
    COUNTIFS('Form responses 1'!$E$2:$E1001, A43, 'Form responses 1'!$A$2:$A1001, "&gt;=2025-01-01", 'Form responses 1'!$A$2:$A1001, "&lt;=2025-03-31"),
    COUNTIFS('Form responses 1'!$F$2:$F1001, A43, 'Form responses 1'!$A$2:$A1001, "&gt;=2025-01-01", 'Form responses 1'!$A$2:$A1001, "&lt;=2025-03-31"),
    COUNTIFS('Form responses 1'!$G$2:$G1001, A43, 'Form responses 1'!$A$2:$A1001, "&gt;=2025-01-01", 'Form responses 1'!$A$2:$A1001, "&lt;=2025-03-31")
)
</f>
        <v>7</v>
      </c>
      <c r="N43" s="2">
        <f>SUM(
    COUNTIFS('Form responses 1'!$C$2:$C1001, A43, 'Form responses 1'!$A$2:$A1001, "&gt;=2025-04-01", 'Form responses 1'!$A$2:$A1001, "&lt;2025-07-01"),
    COUNTIFS('Form responses 1'!$B$2:$B1001, A43, 'Form responses 1'!$A$2:$A1001, "&gt;=2025-04-01", 'Form responses 1'!$A$2:$A1001, "&lt;2025-07-01"),
    COUNTIFS('Form responses 1'!$D$2:$D1001, A43, 'Form responses 1'!$A$2:$A1001, "&gt;=2025-04-01", 'Form responses 1'!$A$2:$A1001, "&lt;2025-07-01"),
    COUNTIFS('Form responses 1'!$E$2:$E1001, A43, 'Form responses 1'!$A$2:$A1001, "&gt;=2025-04-01", 'Form responses 1'!$A$2:$A1001, "&lt;2025-07-01"),
    COUNTIFS('Form responses 1'!$F$2:$F1001, A43, 'Form responses 1'!$A$2:$A1001, "&gt;=2025-04-01", 'Form responses 1'!$A$2:$A1001, "&lt;2025-07-01"),
    COUNTIFS('Form responses 1'!$G$2:$G1001, A43, 'Form responses 1'!$A$2:$A1001, "&gt;=2025-04-01", 'Form responses 1'!$A$2:$A1001, "&lt;2025-07-01")
)
</f>
        <v>7</v>
      </c>
      <c r="O43" s="2">
        <f>SUM(
    COUNTIFS('Form responses 1'!$C$2:$C1001, A43, 'Form responses 1'!$A$2:$A1001, "&gt;=2025-07-01", 'Form responses 1'!$A$2:$A1001, "&lt;=2025-09-30"),
    COUNTIFS('Form responses 1'!$B$2:$B1001, A43, 'Form responses 1'!$A$2:$A1001, "&gt;=2025-07-01", 'Form responses 1'!$A$2:$A1001, "&lt;=2025-09-30"),
    COUNTIFS('Form responses 1'!$D$2:$D1001, A43, 'Form responses 1'!$A$2:$A1001, "&gt;=2025-07-01", 'Form responses 1'!$A$2:$A1001, "&lt;=2025-09-30"),
    COUNTIFS('Form responses 1'!$E$2:$E1001, A43, 'Form responses 1'!$A$2:$A1001, "&gt;=2025-07-01", 'Form responses 1'!$A$2:$A1001, "&lt;=2025-09-30"),
    COUNTIFS('Form responses 1'!$F$2:$F1001, A43, 'Form responses 1'!$A$2:$A1001, "&gt;=2025-07-01", 'Form responses 1'!$A$2:$A1001, "&lt;=2025-09-30"),
    COUNTIFS('Form responses 1'!$G$2:$G1001, A43, 'Form responses 1'!$A$2:$A1001, "&gt;=2025-07-01", 'Form responses 1'!$A$2:$A1001, "&lt;=2025-09-30")
)
</f>
        <v>4</v>
      </c>
      <c r="P43" s="2">
        <f>SUM(
    COUNTIFS('Form responses 1'!$C$2:$C1001, A43, 'Form responses 1'!$A$2:$A1001, "&gt;=2025-10-01", 'Form responses 1'!$A$2:$A1001, "&lt;=2025-12-31"),
    COUNTIFS('Form responses 1'!$B$2:$B1001, A43, 'Form responses 1'!$A$2:$A1001, "&gt;=2025-10-01", 'Form responses 1'!$A$2:$A1001, "&lt;=2025-12-31"),
    COUNTIFS('Form responses 1'!$D$2:$D1001, A43, 'Form responses 1'!$A$2:$A1001, "&gt;=2025-10-01", 'Form responses 1'!$A$2:$A1001, "&lt;=2025-12-31"),
    COUNTIFS('Form responses 1'!$E$2:$E1001, A43, 'Form responses 1'!$A$2:$A1001, "&gt;=2025-10-01", 'Form responses 1'!$A$2:$A1001, "&lt;=2025-12-31"),
    COUNTIFS('Form responses 1'!$F$2:$F1001, A43, 'Form responses 1'!$A$2:$A1001, "&gt;=2025-10-01", 'Form responses 1'!$A$2:$A1001, "&lt;=2025-12-31"),
    COUNTIFS('Form responses 1'!$G$2:$G1001, A43, 'Form responses 1'!$A$2:$A1001, "&gt;=2025-10-01", 'Form responses 1'!$A$2:$A1001, "&lt;=2025-12-31")
)
</f>
        <v>3</v>
      </c>
    </row>
    <row r="44">
      <c r="A44" s="3" t="str">
        <f>IFERROR(__xludf.DUMMYFUNCTION("""COMPUTED_VALUE"""),"Lichtgroene trui")</f>
        <v>Lichtgroene trui</v>
      </c>
      <c r="B44" s="2">
        <f>SUM(
    COUNTIFS('Form responses 1'!$C$2:$C1001, A44, 'Form responses 1'!$A$2:$A1001, "&gt;=2022-04-01", 'Form responses 1'!$A$2:$A1001, "&lt;=2022-06-30"),
    COUNTIFS('Form responses 1'!$B$2:$B1001, A44, 'Form responses 1'!$A$2:$A1001, "&gt;=2022-04-01", 'Form responses 1'!$A$2:$A1001, "&lt;=2022-06-30"),
    COUNTIFS('Form responses 1'!$D$2:$D1001, A44, 'Form responses 1'!$A$2:$A1001, "&gt;=2022-04-01", 'Form responses 1'!$A$2:$A1001, "&lt;=2022-06-30"),
    COUNTIFS('Form responses 1'!$E$2:$E1001, A44, 'Form responses 1'!$A$2:$A1001, "&gt;=2022-04-01", 'Form responses 1'!$A$2:$A1001, "&lt;=2022-06-30"),
    COUNTIFS('Form responses 1'!$F$2:$F1001, A44, 'Form responses 1'!$A$2:$A1001, "&gt;=2022-04-01", 'Form responses 1'!$A$2:$A1001, "&lt;=2022-06-30"),
    COUNTIFS('Form responses 1'!$G$2:$G1001, A44, 'Form responses 1'!$A$2:$A1001, "&gt;=2022-04-01", 'Form responses 1'!$A$2:$A1001, "&lt;=2022-06-30")
)
</f>
        <v>8</v>
      </c>
      <c r="C44" s="2">
        <f>SUM(
    COUNTIFS('Form responses 1'!$C$2:$C1001, A44, 'Form responses 1'!$A$2:$A1001, "&gt;=2022-07-01", 'Form responses 1'!$A$2:$A1001, "&lt;=2022-09-30"),
    COUNTIFS('Form responses 1'!$B$2:$B1001, A44, 'Form responses 1'!$A$2:$A1001, "&gt;=2022-07-01", 'Form responses 1'!$A$2:$A1001, "&lt;=2022-09-30"),
    COUNTIFS('Form responses 1'!$D$2:$D1001, A44, 'Form responses 1'!$A$2:$A1001, "&gt;=2022-07-01", 'Form responses 1'!$A$2:$A1001, "&lt;=2022-09-30"),
    COUNTIFS('Form responses 1'!$E$2:$E1001, A44, 'Form responses 1'!$A$2:$A1001, "&gt;=2022-07-01", 'Form responses 1'!$A$2:$A1001, "&lt;=2022-09-30"),
    COUNTIFS('Form responses 1'!$F$2:$F1001, A44, 'Form responses 1'!$A$2:$A1001, "&gt;=2022-07-01", 'Form responses 1'!$A$2:$A1001, "&lt;=2022-09-30"),
    COUNTIFS('Form responses 1'!$G$2:$G1001, A44, 'Form responses 1'!$A$2:$A1001, "&gt;=2022-07-01", 'Form responses 1'!$A$2:$A1001, "&lt;=2022-09-30")
)
</f>
        <v>5</v>
      </c>
      <c r="D44" s="2">
        <f>SUM(
    COUNTIFS('Form responses 1'!$C$2:$C1001, A44, 'Form responses 1'!$A$2:$A1001, "&gt;=2022-10-01", 'Form responses 1'!$A$2:$A1001, "&lt;=2022-12-31"),
    COUNTIFS('Form responses 1'!$B$2:$B1001, A44, 'Form responses 1'!$A$2:$A1001, "&gt;=2022-10-01", 'Form responses 1'!$A$2:$A1001, "&lt;=2022-12-31"),
    COUNTIFS('Form responses 1'!$D$2:$D1001, A44, 'Form responses 1'!$A$2:$A1001, "&gt;=2022-10-01", 'Form responses 1'!$A$2:$A1001, "&lt;=2022-12-31"),
    COUNTIFS('Form responses 1'!$E$2:$E1001, A44, 'Form responses 1'!$A$2:$A1001, "&gt;=2022-10-01", 'Form responses 1'!$A$2:$A1001, "&lt;=2022-12-31"),
    COUNTIFS('Form responses 1'!$F$2:$F1001, A44, 'Form responses 1'!$A$2:$A1001, "&gt;=2022-10-01", 'Form responses 1'!$A$2:$A1001, "&lt;=2022-12-31"),
    COUNTIFS('Form responses 1'!$G$2:$G1001, A44, 'Form responses 1'!$A$2:$A1001, "&gt;=2022-10-01", 'Form responses 1'!$A$2:$A1001, "&lt;=2022-12-31")
)
</f>
        <v>13</v>
      </c>
      <c r="E44" s="2">
        <f>SUM(
    COUNTIFS('Form responses 1'!$C$2:$C1001, A44, 'Form responses 1'!$A$2:$A1001, "&gt;=2023-01-01", 'Form responses 1'!$A$2:$A1001, "&lt;=2023-03-31"),
    COUNTIFS('Form responses 1'!$B$2:$B1001, A44, 'Form responses 1'!$A$2:$A1001, "&gt;=2023-01-01", 'Form responses 1'!$A$2:$A1001, "&lt;=2023-03-31"),
    COUNTIFS('Form responses 1'!$D$2:$D1001, A44, 'Form responses 1'!$A$2:$A1001, "&gt;=2023-01-01", 'Form responses 1'!$A$2:$A1001, "&lt;=2023-03-31"),
    COUNTIFS('Form responses 1'!$E$2:$E1001, A44, 'Form responses 1'!$A$2:$A1001, "&gt;=2023-01-01", 'Form responses 1'!$A$2:$A1001, "&lt;=2023-03-31"),
    COUNTIFS('Form responses 1'!$F$2:$F1001, A44, 'Form responses 1'!$A$2:$A1001, "&gt;=2023-01-01", 'Form responses 1'!$A$2:$A1001, "&lt;=2023-03-31"),
    COUNTIFS('Form responses 1'!$G$2:$G1001, A44, 'Form responses 1'!$A$2:$A1001, "&gt;=2023-01-01", 'Form responses 1'!$A$2:$A1001, "&lt;=2023-03-31")
)
</f>
        <v>19</v>
      </c>
      <c r="F44" s="2">
        <f>SUM(
    COUNTIFS('Form responses 1'!$C$2:$C1001, A44, 'Form responses 1'!$A$2:$A1001, "&gt;=2023-04-01", 'Form responses 1'!$A$2:$A1001, "&lt;=2023-06-30"),
    COUNTIFS('Form responses 1'!$B$2:$B1001, A44, 'Form responses 1'!$A$2:$A1001, "&gt;=2023-04-01", 'Form responses 1'!$A$2:$A1001, "&lt;=2023-06-30"),
    COUNTIFS('Form responses 1'!$D$2:$D1001, A44, 'Form responses 1'!$A$2:$A1001, "&gt;=2023-04-01", 'Form responses 1'!$A$2:$A1001, "&lt;=2023-06-30"),
    COUNTIFS('Form responses 1'!$E$2:$E1001, A44, 'Form responses 1'!$A$2:$A1001, "&gt;=2023-04-01", 'Form responses 1'!$A$2:$A1001, "&lt;=2023-06-30"),
    COUNTIFS('Form responses 1'!$F$2:$F1001, A44, 'Form responses 1'!$A$2:$A1001, "&gt;=2023-04-01", 'Form responses 1'!$A$2:$A1001, "&lt;=2023-06-30"),
    COUNTIFS('Form responses 1'!$G$2:$G1001, A44, 'Form responses 1'!$A$2:$A1001, "&gt;=2023-04-01", 'Form responses 1'!$A$2:$A1001, "&lt;=2023-06-30")
)
</f>
        <v>11</v>
      </c>
      <c r="G44" s="2">
        <f>SUM(
    COUNTIFS('Form responses 1'!$C$2:$C1001, A44, 'Form responses 1'!$A$2:$A1001, "&gt;=2023-07-01", 'Form responses 1'!$A$2:$A1001, "&lt;=2023-09-30"),
    COUNTIFS('Form responses 1'!$B$2:$B1001, A44, 'Form responses 1'!$A$2:$A1001, "&gt;=2023-07-01", 'Form responses 1'!$A$2:$A1001, "&lt;=2023-09-30"),
    COUNTIFS('Form responses 1'!$D$2:$D1001, A44, 'Form responses 1'!$A$2:$A1001, "&gt;=2023-07-01", 'Form responses 1'!$A$2:$A1001, "&lt;=2023-09-30"),
    COUNTIFS('Form responses 1'!$E$2:$E1001, A44, 'Form responses 1'!$A$2:$A1001, "&gt;=2023-07-01", 'Form responses 1'!$A$2:$A1001, "&lt;=2023-09-30"),
    COUNTIFS('Form responses 1'!$F$2:$F1001, A44, 'Form responses 1'!$A$2:$A1001, "&gt;=2023-07-01", 'Form responses 1'!$A$2:$A1001, "&lt;=2023-09-30"),
    COUNTIFS('Form responses 1'!$G$2:$G1001, A44, 'Form responses 1'!$A$2:$A1001, "&gt;=2023-07-01", 'Form responses 1'!$A$2:$A1001, "&lt;=2023-09-30")
)
</f>
        <v>8</v>
      </c>
      <c r="H44" s="2">
        <f>SUM(
    COUNTIFS('Form responses 1'!$C$2:$C1001, A44, 'Form responses 1'!$A$2:$A1001, "&gt;=2023-10-01", 'Form responses 1'!$A$2:$A1001, "&lt;=2023-12-31"),
    COUNTIFS('Form responses 1'!$B$2:$B1001, A44, 'Form responses 1'!$A$2:$A1001, "&gt;=2023-10-01", 'Form responses 1'!$A$2:$A1001, "&lt;=2023-12-31"),
    COUNTIFS('Form responses 1'!$D$2:$D1001, A44, 'Form responses 1'!$A$2:$A1001, "&gt;=2023-10-01", 'Form responses 1'!$A$2:$A1001, "&lt;=2023-12-31"),
    COUNTIFS('Form responses 1'!$E$2:$E1001, A44, 'Form responses 1'!$A$2:$A1001, "&gt;=2023-10-01", 'Form responses 1'!$A$2:$A1001, "&lt;=2023-12-31"),
    COUNTIFS('Form responses 1'!$F$2:$F1001, A44, 'Form responses 1'!$A$2:$A1001, "&gt;=2023-10-01", 'Form responses 1'!$A$2:$A1001, "&lt;=2023-12-31"),
    COUNTIFS('Form responses 1'!$G$2:$G1001, A44, 'Form responses 1'!$A$2:$A1001, "&gt;=2023-10-01", 'Form responses 1'!$A$2:$A1001, "&lt;=2023-12-31")
)
</f>
        <v>5</v>
      </c>
      <c r="I44" s="2">
        <f>SUM(
    COUNTIFS('Form responses 1'!$C$2:$C1001, A44, 'Form responses 1'!$A$2:$A1001, "&gt;=2024-01-01", 'Form responses 1'!$A$2:$A1001, "&lt;=2024-03-31"),
    COUNTIFS('Form responses 1'!$B$2:$B1001, A44, 'Form responses 1'!$A$2:$A1001, "&gt;=2024-01-01", 'Form responses 1'!$A$2:$A1001, "&lt;=2024-03-31"),
    COUNTIFS('Form responses 1'!$D$2:$D1001, A44, 'Form responses 1'!$A$2:$A1001, "&gt;=2024-01-01", 'Form responses 1'!$A$2:$A1001, "&lt;=2024-03-31"),
    COUNTIFS('Form responses 1'!$E$2:$E1001, A44, 'Form responses 1'!$A$2:$A1001, "&gt;=2024-01-01", 'Form responses 1'!$A$2:$A1001, "&lt;=2024-03-31"),
    COUNTIFS('Form responses 1'!$F$2:$F1001, A44, 'Form responses 1'!$A$2:$A1001, "&gt;=2024-01-01", 'Form responses 1'!$A$2:$A1001, "&lt;=2024-03-31"),
    COUNTIFS('Form responses 1'!$G$2:$G1001, A44, 'Form responses 1'!$A$2:$A1001, "&gt;=2024-01-01", 'Form responses 1'!$A$2:$A1001, "&lt;=2024-03-31")
)
</f>
        <v>3</v>
      </c>
      <c r="J44" s="2">
        <f>SUM(
    COUNTIFS('Form responses 1'!$C$2:$C1001, A44, 'Form responses 1'!$A$2:$A1001, "&gt;=2024-04-01", 'Form responses 1'!$A$2:$A1001, "&lt;=2024-06-30"),
    COUNTIFS('Form responses 1'!$B$2:$B1001, A44, 'Form responses 1'!$A$2:$A1001, "&gt;=2024-04-01", 'Form responses 1'!$A$2:$A1001, "&lt;=2024-06-30"),
    COUNTIFS('Form responses 1'!$D$2:$D1001, A44, 'Form responses 1'!$A$2:$A1001, "&gt;=2024-04-01", 'Form responses 1'!$A$2:$A1001, "&lt;=2024-06-30"),
    COUNTIFS('Form responses 1'!$E$2:$E1001, A44, 'Form responses 1'!$A$2:$A1001, "&gt;=2024-04-01", 'Form responses 1'!$A$2:$A1001, "&lt;=2024-06-30"),
    COUNTIFS('Form responses 1'!$F$2:$F1001, A44, 'Form responses 1'!$A$2:$A1001, "&gt;=2024-04-01", 'Form responses 1'!$A$2:$A1001, "&lt;=2024-06-30"),
    COUNTIFS('Form responses 1'!$G$2:$G1001, A44, 'Form responses 1'!$A$2:$A1001, "&gt;=2024-04-01", 'Form responses 1'!$A$2:$A1001, "&lt;=2024-06-30")
)
</f>
        <v>4</v>
      </c>
      <c r="K44" s="2">
        <f>SUM(
    COUNTIFS('Form responses 1'!$C$2:$C1001, A44, 'Form responses 1'!$A$2:$A1001, "&gt;=2024-07-01", 'Form responses 1'!$A$2:$A1001, "&lt;=2024-09-30"),
    COUNTIFS('Form responses 1'!$B$2:$B1001, A44, 'Form responses 1'!$A$2:$A1001, "&gt;=2024-07-01", 'Form responses 1'!$A$2:$A1001, "&lt;=2024-09-30"),
    COUNTIFS('Form responses 1'!$D$2:$D1001, A44, 'Form responses 1'!$A$2:$A1001, "&gt;=2024-07-01", 'Form responses 1'!$A$2:$A1001, "&lt;=2024-09-30"),
    COUNTIFS('Form responses 1'!$E$2:$E1001, A44, 'Form responses 1'!$A$2:$A1001, "&gt;=2024-07-01", 'Form responses 1'!$A$2:$A1001, "&lt;=2024-09-30"),
    COUNTIFS('Form responses 1'!$F$2:$F1001, A44, 'Form responses 1'!$A$2:$A1001, "&gt;=2024-07-01", 'Form responses 1'!$A$2:$A1001, "&lt;=2024-09-30"),
    COUNTIFS('Form responses 1'!$G$2:$G1001, A44, 'Form responses 1'!$A$2:$A1001, "&gt;=2024-07-01", 'Form responses 1'!$A$2:$A1001, "&lt;=2024-09-30")
)
</f>
        <v>0</v>
      </c>
      <c r="L44" s="2">
        <f>SUM(
    COUNTIFS('Form responses 1'!$C$2:$C1001, A44, 'Form responses 1'!$A$2:$A1001, "&gt;=2024-10-01", 'Form responses 1'!$A$2:$A1001, "&lt;=2024-12-31"),
    COUNTIFS('Form responses 1'!$B$2:$B1001, A44, 'Form responses 1'!$A$2:$A1001, "&gt;=2024-10-01", 'Form responses 1'!$A$2:$A1001, "&lt;=2024-12-31"),
    COUNTIFS('Form responses 1'!$D$2:$D1001, A44, 'Form responses 1'!$A$2:$A1001, "&gt;=2024-10-01", 'Form responses 1'!$A$2:$A1001, "&lt;=2024-12-31"),
    COUNTIFS('Form responses 1'!$E$2:$E1001, A44, 'Form responses 1'!$A$2:$A1001, "&gt;=2024-10-01", 'Form responses 1'!$A$2:$A1001, "&lt;=2024-12-31"),
    COUNTIFS('Form responses 1'!$F$2:$F1001, A44, 'Form responses 1'!$A$2:$A1001, "&gt;=2024-10-01", 'Form responses 1'!$A$2:$A1001, "&lt;=2024-12-31"),
    COUNTIFS('Form responses 1'!$G$2:$G1001, A44, 'Form responses 1'!$A$2:$A1001, "&gt;=2024-10-01", 'Form responses 1'!$A$2:$A1001, "&lt;=2024-12-31")
)
</f>
        <v>0</v>
      </c>
      <c r="M44" s="2">
        <f>SUM(
    COUNTIFS('Form responses 1'!$C$2:$C1001, A44, 'Form responses 1'!$A$2:$A1001, "&gt;=2025-01-01", 'Form responses 1'!$A$2:$A1001, "&lt;=2025-03-31"),
    COUNTIFS('Form responses 1'!$B$2:$B1001, A44, 'Form responses 1'!$A$2:$A1001, "&gt;=2025-01-01", 'Form responses 1'!$A$2:$A1001, "&lt;=2025-03-31"),
    COUNTIFS('Form responses 1'!$D$2:$D1001, A44, 'Form responses 1'!$A$2:$A1001, "&gt;=2025-01-01", 'Form responses 1'!$A$2:$A1001, "&lt;=2025-03-31"),
    COUNTIFS('Form responses 1'!$E$2:$E1001, A44, 'Form responses 1'!$A$2:$A1001, "&gt;=2025-01-01", 'Form responses 1'!$A$2:$A1001, "&lt;=2025-03-31"),
    COUNTIFS('Form responses 1'!$F$2:$F1001, A44, 'Form responses 1'!$A$2:$A1001, "&gt;=2025-01-01", 'Form responses 1'!$A$2:$A1001, "&lt;=2025-03-31"),
    COUNTIFS('Form responses 1'!$G$2:$G1001, A44, 'Form responses 1'!$A$2:$A1001, "&gt;=2025-01-01", 'Form responses 1'!$A$2:$A1001, "&lt;=2025-03-31")
)
</f>
        <v>2</v>
      </c>
      <c r="N44" s="2">
        <f>SUM(
    COUNTIFS('Form responses 1'!$C$2:$C1001, A44, 'Form responses 1'!$A$2:$A1001, "&gt;=2025-04-01", 'Form responses 1'!$A$2:$A1001, "&lt;2025-07-01"),
    COUNTIFS('Form responses 1'!$B$2:$B1001, A44, 'Form responses 1'!$A$2:$A1001, "&gt;=2025-04-01", 'Form responses 1'!$A$2:$A1001, "&lt;2025-07-01"),
    COUNTIFS('Form responses 1'!$D$2:$D1001, A44, 'Form responses 1'!$A$2:$A1001, "&gt;=2025-04-01", 'Form responses 1'!$A$2:$A1001, "&lt;2025-07-01"),
    COUNTIFS('Form responses 1'!$E$2:$E1001, A44, 'Form responses 1'!$A$2:$A1001, "&gt;=2025-04-01", 'Form responses 1'!$A$2:$A1001, "&lt;2025-07-01"),
    COUNTIFS('Form responses 1'!$F$2:$F1001, A44, 'Form responses 1'!$A$2:$A1001, "&gt;=2025-04-01", 'Form responses 1'!$A$2:$A1001, "&lt;2025-07-01"),
    COUNTIFS('Form responses 1'!$G$2:$G1001, A44, 'Form responses 1'!$A$2:$A1001, "&gt;=2025-04-01", 'Form responses 1'!$A$2:$A1001, "&lt;2025-07-01")
)
</f>
        <v>0</v>
      </c>
      <c r="O44" s="2">
        <f>SUM(
    COUNTIFS('Form responses 1'!$C$2:$C1001, A44, 'Form responses 1'!$A$2:$A1001, "&gt;=2025-07-01", 'Form responses 1'!$A$2:$A1001, "&lt;=2025-09-30"),
    COUNTIFS('Form responses 1'!$B$2:$B1001, A44, 'Form responses 1'!$A$2:$A1001, "&gt;=2025-07-01", 'Form responses 1'!$A$2:$A1001, "&lt;=2025-09-30"),
    COUNTIFS('Form responses 1'!$D$2:$D1001, A44, 'Form responses 1'!$A$2:$A1001, "&gt;=2025-07-01", 'Form responses 1'!$A$2:$A1001, "&lt;=2025-09-30"),
    COUNTIFS('Form responses 1'!$E$2:$E1001, A44, 'Form responses 1'!$A$2:$A1001, "&gt;=2025-07-01", 'Form responses 1'!$A$2:$A1001, "&lt;=2025-09-30"),
    COUNTIFS('Form responses 1'!$F$2:$F1001, A44, 'Form responses 1'!$A$2:$A1001, "&gt;=2025-07-01", 'Form responses 1'!$A$2:$A1001, "&lt;=2025-09-30"),
    COUNTIFS('Form responses 1'!$G$2:$G1001, A44, 'Form responses 1'!$A$2:$A1001, "&gt;=2025-07-01", 'Form responses 1'!$A$2:$A1001, "&lt;=2025-09-30")
)
</f>
        <v>0</v>
      </c>
      <c r="P44" s="2">
        <f>SUM(
    COUNTIFS('Form responses 1'!$C$2:$C1001, A44, 'Form responses 1'!$A$2:$A1001, "&gt;=2025-10-01", 'Form responses 1'!$A$2:$A1001, "&lt;=2025-12-31"),
    COUNTIFS('Form responses 1'!$B$2:$B1001, A44, 'Form responses 1'!$A$2:$A1001, "&gt;=2025-10-01", 'Form responses 1'!$A$2:$A1001, "&lt;=2025-12-31"),
    COUNTIFS('Form responses 1'!$D$2:$D1001, A44, 'Form responses 1'!$A$2:$A1001, "&gt;=2025-10-01", 'Form responses 1'!$A$2:$A1001, "&lt;=2025-12-31"),
    COUNTIFS('Form responses 1'!$E$2:$E1001, A44, 'Form responses 1'!$A$2:$A1001, "&gt;=2025-10-01", 'Form responses 1'!$A$2:$A1001, "&lt;=2025-12-31"),
    COUNTIFS('Form responses 1'!$F$2:$F1001, A44, 'Form responses 1'!$A$2:$A1001, "&gt;=2025-10-01", 'Form responses 1'!$A$2:$A1001, "&lt;=2025-12-31"),
    COUNTIFS('Form responses 1'!$G$2:$G1001, A44, 'Form responses 1'!$A$2:$A1001, "&gt;=2025-10-01", 'Form responses 1'!$A$2:$A1001, "&lt;=2025-12-31")
)
</f>
        <v>0</v>
      </c>
    </row>
    <row r="45">
      <c r="A45" s="3" t="str">
        <f>IFERROR(__xludf.DUMMYFUNCTION("""COMPUTED_VALUE"""),"Bruine fleece trui")</f>
        <v>Bruine fleece trui</v>
      </c>
      <c r="B45" s="2">
        <f>SUM(
    COUNTIFS('Form responses 1'!$C$2:$C1001, A45, 'Form responses 1'!$A$2:$A1001, "&gt;=2022-04-01", 'Form responses 1'!$A$2:$A1001, "&lt;=2022-06-30"),
    COUNTIFS('Form responses 1'!$B$2:$B1001, A45, 'Form responses 1'!$A$2:$A1001, "&gt;=2022-04-01", 'Form responses 1'!$A$2:$A1001, "&lt;=2022-06-30"),
    COUNTIFS('Form responses 1'!$D$2:$D1001, A45, 'Form responses 1'!$A$2:$A1001, "&gt;=2022-04-01", 'Form responses 1'!$A$2:$A1001, "&lt;=2022-06-30"),
    COUNTIFS('Form responses 1'!$E$2:$E1001, A45, 'Form responses 1'!$A$2:$A1001, "&gt;=2022-04-01", 'Form responses 1'!$A$2:$A1001, "&lt;=2022-06-30"),
    COUNTIFS('Form responses 1'!$F$2:$F1001, A45, 'Form responses 1'!$A$2:$A1001, "&gt;=2022-04-01", 'Form responses 1'!$A$2:$A1001, "&lt;=2022-06-30"),
    COUNTIFS('Form responses 1'!$G$2:$G1001, A45, 'Form responses 1'!$A$2:$A1001, "&gt;=2022-04-01", 'Form responses 1'!$A$2:$A1001, "&lt;=2022-06-30")
)
</f>
        <v>0</v>
      </c>
      <c r="C45" s="2">
        <f>SUM(
    COUNTIFS('Form responses 1'!$C$2:$C1001, A45, 'Form responses 1'!$A$2:$A1001, "&gt;=2022-07-01", 'Form responses 1'!$A$2:$A1001, "&lt;=2022-09-30"),
    COUNTIFS('Form responses 1'!$B$2:$B1001, A45, 'Form responses 1'!$A$2:$A1001, "&gt;=2022-07-01", 'Form responses 1'!$A$2:$A1001, "&lt;=2022-09-30"),
    COUNTIFS('Form responses 1'!$D$2:$D1001, A45, 'Form responses 1'!$A$2:$A1001, "&gt;=2022-07-01", 'Form responses 1'!$A$2:$A1001, "&lt;=2022-09-30"),
    COUNTIFS('Form responses 1'!$E$2:$E1001, A45, 'Form responses 1'!$A$2:$A1001, "&gt;=2022-07-01", 'Form responses 1'!$A$2:$A1001, "&lt;=2022-09-30"),
    COUNTIFS('Form responses 1'!$F$2:$F1001, A45, 'Form responses 1'!$A$2:$A1001, "&gt;=2022-07-01", 'Form responses 1'!$A$2:$A1001, "&lt;=2022-09-30"),
    COUNTIFS('Form responses 1'!$G$2:$G1001, A45, 'Form responses 1'!$A$2:$A1001, "&gt;=2022-07-01", 'Form responses 1'!$A$2:$A1001, "&lt;=2022-09-30")
)
</f>
        <v>0</v>
      </c>
      <c r="D45" s="2">
        <f>SUM(
    COUNTIFS('Form responses 1'!$C$2:$C1001, A45, 'Form responses 1'!$A$2:$A1001, "&gt;=2022-10-01", 'Form responses 1'!$A$2:$A1001, "&lt;=2022-12-31"),
    COUNTIFS('Form responses 1'!$B$2:$B1001, A45, 'Form responses 1'!$A$2:$A1001, "&gt;=2022-10-01", 'Form responses 1'!$A$2:$A1001, "&lt;=2022-12-31"),
    COUNTIFS('Form responses 1'!$D$2:$D1001, A45, 'Form responses 1'!$A$2:$A1001, "&gt;=2022-10-01", 'Form responses 1'!$A$2:$A1001, "&lt;=2022-12-31"),
    COUNTIFS('Form responses 1'!$E$2:$E1001, A45, 'Form responses 1'!$A$2:$A1001, "&gt;=2022-10-01", 'Form responses 1'!$A$2:$A1001, "&lt;=2022-12-31"),
    COUNTIFS('Form responses 1'!$F$2:$F1001, A45, 'Form responses 1'!$A$2:$A1001, "&gt;=2022-10-01", 'Form responses 1'!$A$2:$A1001, "&lt;=2022-12-31"),
    COUNTIFS('Form responses 1'!$G$2:$G1001, A45, 'Form responses 1'!$A$2:$A1001, "&gt;=2022-10-01", 'Form responses 1'!$A$2:$A1001, "&lt;=2022-12-31")
)
</f>
        <v>0</v>
      </c>
      <c r="E45" s="2">
        <f>SUM(
    COUNTIFS('Form responses 1'!$C$2:$C1001, A45, 'Form responses 1'!$A$2:$A1001, "&gt;=2023-01-01", 'Form responses 1'!$A$2:$A1001, "&lt;=2023-03-31"),
    COUNTIFS('Form responses 1'!$B$2:$B1001, A45, 'Form responses 1'!$A$2:$A1001, "&gt;=2023-01-01", 'Form responses 1'!$A$2:$A1001, "&lt;=2023-03-31"),
    COUNTIFS('Form responses 1'!$D$2:$D1001, A45, 'Form responses 1'!$A$2:$A1001, "&gt;=2023-01-01", 'Form responses 1'!$A$2:$A1001, "&lt;=2023-03-31"),
    COUNTIFS('Form responses 1'!$E$2:$E1001, A45, 'Form responses 1'!$A$2:$A1001, "&gt;=2023-01-01", 'Form responses 1'!$A$2:$A1001, "&lt;=2023-03-31"),
    COUNTIFS('Form responses 1'!$F$2:$F1001, A45, 'Form responses 1'!$A$2:$A1001, "&gt;=2023-01-01", 'Form responses 1'!$A$2:$A1001, "&lt;=2023-03-31"),
    COUNTIFS('Form responses 1'!$G$2:$G1001, A45, 'Form responses 1'!$A$2:$A1001, "&gt;=2023-01-01", 'Form responses 1'!$A$2:$A1001, "&lt;=2023-03-31")
)
</f>
        <v>17</v>
      </c>
      <c r="F45" s="2">
        <f>SUM(
    COUNTIFS('Form responses 1'!$C$2:$C1001, A45, 'Form responses 1'!$A$2:$A1001, "&gt;=2023-04-01", 'Form responses 1'!$A$2:$A1001, "&lt;=2023-06-30"),
    COUNTIFS('Form responses 1'!$B$2:$B1001, A45, 'Form responses 1'!$A$2:$A1001, "&gt;=2023-04-01", 'Form responses 1'!$A$2:$A1001, "&lt;=2023-06-30"),
    COUNTIFS('Form responses 1'!$D$2:$D1001, A45, 'Form responses 1'!$A$2:$A1001, "&gt;=2023-04-01", 'Form responses 1'!$A$2:$A1001, "&lt;=2023-06-30"),
    COUNTIFS('Form responses 1'!$E$2:$E1001, A45, 'Form responses 1'!$A$2:$A1001, "&gt;=2023-04-01", 'Form responses 1'!$A$2:$A1001, "&lt;=2023-06-30"),
    COUNTIFS('Form responses 1'!$F$2:$F1001, A45, 'Form responses 1'!$A$2:$A1001, "&gt;=2023-04-01", 'Form responses 1'!$A$2:$A1001, "&lt;=2023-06-30"),
    COUNTIFS('Form responses 1'!$G$2:$G1001, A45, 'Form responses 1'!$A$2:$A1001, "&gt;=2023-04-01", 'Form responses 1'!$A$2:$A1001, "&lt;=2023-06-30")
)
</f>
        <v>0</v>
      </c>
      <c r="G45" s="2">
        <f>SUM(
    COUNTIFS('Form responses 1'!$C$2:$C1001, A45, 'Form responses 1'!$A$2:$A1001, "&gt;=2023-07-01", 'Form responses 1'!$A$2:$A1001, "&lt;=2023-09-30"),
    COUNTIFS('Form responses 1'!$B$2:$B1001, A45, 'Form responses 1'!$A$2:$A1001, "&gt;=2023-07-01", 'Form responses 1'!$A$2:$A1001, "&lt;=2023-09-30"),
    COUNTIFS('Form responses 1'!$D$2:$D1001, A45, 'Form responses 1'!$A$2:$A1001, "&gt;=2023-07-01", 'Form responses 1'!$A$2:$A1001, "&lt;=2023-09-30"),
    COUNTIFS('Form responses 1'!$E$2:$E1001, A45, 'Form responses 1'!$A$2:$A1001, "&gt;=2023-07-01", 'Form responses 1'!$A$2:$A1001, "&lt;=2023-09-30"),
    COUNTIFS('Form responses 1'!$F$2:$F1001, A45, 'Form responses 1'!$A$2:$A1001, "&gt;=2023-07-01", 'Form responses 1'!$A$2:$A1001, "&lt;=2023-09-30"),
    COUNTIFS('Form responses 1'!$G$2:$G1001, A45, 'Form responses 1'!$A$2:$A1001, "&gt;=2023-07-01", 'Form responses 1'!$A$2:$A1001, "&lt;=2023-09-30")
)
</f>
        <v>2</v>
      </c>
      <c r="H45" s="2">
        <f>SUM(
    COUNTIFS('Form responses 1'!$C$2:$C1001, A45, 'Form responses 1'!$A$2:$A1001, "&gt;=2023-10-01", 'Form responses 1'!$A$2:$A1001, "&lt;=2023-12-31"),
    COUNTIFS('Form responses 1'!$B$2:$B1001, A45, 'Form responses 1'!$A$2:$A1001, "&gt;=2023-10-01", 'Form responses 1'!$A$2:$A1001, "&lt;=2023-12-31"),
    COUNTIFS('Form responses 1'!$D$2:$D1001, A45, 'Form responses 1'!$A$2:$A1001, "&gt;=2023-10-01", 'Form responses 1'!$A$2:$A1001, "&lt;=2023-12-31"),
    COUNTIFS('Form responses 1'!$E$2:$E1001, A45, 'Form responses 1'!$A$2:$A1001, "&gt;=2023-10-01", 'Form responses 1'!$A$2:$A1001, "&lt;=2023-12-31"),
    COUNTIFS('Form responses 1'!$F$2:$F1001, A45, 'Form responses 1'!$A$2:$A1001, "&gt;=2023-10-01", 'Form responses 1'!$A$2:$A1001, "&lt;=2023-12-31"),
    COUNTIFS('Form responses 1'!$G$2:$G1001, A45, 'Form responses 1'!$A$2:$A1001, "&gt;=2023-10-01", 'Form responses 1'!$A$2:$A1001, "&lt;=2023-12-31")
)
</f>
        <v>8</v>
      </c>
      <c r="I45" s="2">
        <f>SUM(
    COUNTIFS('Form responses 1'!$C$2:$C1001, A45, 'Form responses 1'!$A$2:$A1001, "&gt;=2024-01-01", 'Form responses 1'!$A$2:$A1001, "&lt;=2024-03-31"),
    COUNTIFS('Form responses 1'!$B$2:$B1001, A45, 'Form responses 1'!$A$2:$A1001, "&gt;=2024-01-01", 'Form responses 1'!$A$2:$A1001, "&lt;=2024-03-31"),
    COUNTIFS('Form responses 1'!$D$2:$D1001, A45, 'Form responses 1'!$A$2:$A1001, "&gt;=2024-01-01", 'Form responses 1'!$A$2:$A1001, "&lt;=2024-03-31"),
    COUNTIFS('Form responses 1'!$E$2:$E1001, A45, 'Form responses 1'!$A$2:$A1001, "&gt;=2024-01-01", 'Form responses 1'!$A$2:$A1001, "&lt;=2024-03-31"),
    COUNTIFS('Form responses 1'!$F$2:$F1001, A45, 'Form responses 1'!$A$2:$A1001, "&gt;=2024-01-01", 'Form responses 1'!$A$2:$A1001, "&lt;=2024-03-31"),
    COUNTIFS('Form responses 1'!$G$2:$G1001, A45, 'Form responses 1'!$A$2:$A1001, "&gt;=2024-01-01", 'Form responses 1'!$A$2:$A1001, "&lt;=2024-03-31")
)
</f>
        <v>6</v>
      </c>
      <c r="J45" s="2">
        <f>SUM(
    COUNTIFS('Form responses 1'!$C$2:$C1001, A45, 'Form responses 1'!$A$2:$A1001, "&gt;=2024-04-01", 'Form responses 1'!$A$2:$A1001, "&lt;=2024-06-30"),
    COUNTIFS('Form responses 1'!$B$2:$B1001, A45, 'Form responses 1'!$A$2:$A1001, "&gt;=2024-04-01", 'Form responses 1'!$A$2:$A1001, "&lt;=2024-06-30"),
    COUNTIFS('Form responses 1'!$D$2:$D1001, A45, 'Form responses 1'!$A$2:$A1001, "&gt;=2024-04-01", 'Form responses 1'!$A$2:$A1001, "&lt;=2024-06-30"),
    COUNTIFS('Form responses 1'!$E$2:$E1001, A45, 'Form responses 1'!$A$2:$A1001, "&gt;=2024-04-01", 'Form responses 1'!$A$2:$A1001, "&lt;=2024-06-30"),
    COUNTIFS('Form responses 1'!$F$2:$F1001, A45, 'Form responses 1'!$A$2:$A1001, "&gt;=2024-04-01", 'Form responses 1'!$A$2:$A1001, "&lt;=2024-06-30"),
    COUNTIFS('Form responses 1'!$G$2:$G1001, A45, 'Form responses 1'!$A$2:$A1001, "&gt;=2024-04-01", 'Form responses 1'!$A$2:$A1001, "&lt;=2024-06-30")
)
</f>
        <v>0</v>
      </c>
      <c r="K45" s="2">
        <f>SUM(
    COUNTIFS('Form responses 1'!$C$2:$C1001, A45, 'Form responses 1'!$A$2:$A1001, "&gt;=2024-07-01", 'Form responses 1'!$A$2:$A1001, "&lt;=2024-09-30"),
    COUNTIFS('Form responses 1'!$B$2:$B1001, A45, 'Form responses 1'!$A$2:$A1001, "&gt;=2024-07-01", 'Form responses 1'!$A$2:$A1001, "&lt;=2024-09-30"),
    COUNTIFS('Form responses 1'!$D$2:$D1001, A45, 'Form responses 1'!$A$2:$A1001, "&gt;=2024-07-01", 'Form responses 1'!$A$2:$A1001, "&lt;=2024-09-30"),
    COUNTIFS('Form responses 1'!$E$2:$E1001, A45, 'Form responses 1'!$A$2:$A1001, "&gt;=2024-07-01", 'Form responses 1'!$A$2:$A1001, "&lt;=2024-09-30"),
    COUNTIFS('Form responses 1'!$F$2:$F1001, A45, 'Form responses 1'!$A$2:$A1001, "&gt;=2024-07-01", 'Form responses 1'!$A$2:$A1001, "&lt;=2024-09-30"),
    COUNTIFS('Form responses 1'!$G$2:$G1001, A45, 'Form responses 1'!$A$2:$A1001, "&gt;=2024-07-01", 'Form responses 1'!$A$2:$A1001, "&lt;=2024-09-30")
)
</f>
        <v>0</v>
      </c>
      <c r="L45" s="2">
        <f>SUM(
    COUNTIFS('Form responses 1'!$C$2:$C1001, A45, 'Form responses 1'!$A$2:$A1001, "&gt;=2024-10-01", 'Form responses 1'!$A$2:$A1001, "&lt;=2024-12-31"),
    COUNTIFS('Form responses 1'!$B$2:$B1001, A45, 'Form responses 1'!$A$2:$A1001, "&gt;=2024-10-01", 'Form responses 1'!$A$2:$A1001, "&lt;=2024-12-31"),
    COUNTIFS('Form responses 1'!$D$2:$D1001, A45, 'Form responses 1'!$A$2:$A1001, "&gt;=2024-10-01", 'Form responses 1'!$A$2:$A1001, "&lt;=2024-12-31"),
    COUNTIFS('Form responses 1'!$E$2:$E1001, A45, 'Form responses 1'!$A$2:$A1001, "&gt;=2024-10-01", 'Form responses 1'!$A$2:$A1001, "&lt;=2024-12-31"),
    COUNTIFS('Form responses 1'!$F$2:$F1001, A45, 'Form responses 1'!$A$2:$A1001, "&gt;=2024-10-01", 'Form responses 1'!$A$2:$A1001, "&lt;=2024-12-31"),
    COUNTIFS('Form responses 1'!$G$2:$G1001, A45, 'Form responses 1'!$A$2:$A1001, "&gt;=2024-10-01", 'Form responses 1'!$A$2:$A1001, "&lt;=2024-12-31")
)
</f>
        <v>10</v>
      </c>
      <c r="M45" s="2">
        <f>SUM(
    COUNTIFS('Form responses 1'!$C$2:$C1001, A45, 'Form responses 1'!$A$2:$A1001, "&gt;=2025-01-01", 'Form responses 1'!$A$2:$A1001, "&lt;=2025-03-31"),
    COUNTIFS('Form responses 1'!$B$2:$B1001, A45, 'Form responses 1'!$A$2:$A1001, "&gt;=2025-01-01", 'Form responses 1'!$A$2:$A1001, "&lt;=2025-03-31"),
    COUNTIFS('Form responses 1'!$D$2:$D1001, A45, 'Form responses 1'!$A$2:$A1001, "&gt;=2025-01-01", 'Form responses 1'!$A$2:$A1001, "&lt;=2025-03-31"),
    COUNTIFS('Form responses 1'!$E$2:$E1001, A45, 'Form responses 1'!$A$2:$A1001, "&gt;=2025-01-01", 'Form responses 1'!$A$2:$A1001, "&lt;=2025-03-31"),
    COUNTIFS('Form responses 1'!$F$2:$F1001, A45, 'Form responses 1'!$A$2:$A1001, "&gt;=2025-01-01", 'Form responses 1'!$A$2:$A1001, "&lt;=2025-03-31"),
    COUNTIFS('Form responses 1'!$G$2:$G1001, A45, 'Form responses 1'!$A$2:$A1001, "&gt;=2025-01-01", 'Form responses 1'!$A$2:$A1001, "&lt;=2025-03-31")
)
</f>
        <v>4</v>
      </c>
      <c r="N45" s="2">
        <f>SUM(
    COUNTIFS('Form responses 1'!$C$2:$C1001, A45, 'Form responses 1'!$A$2:$A1001, "&gt;=2025-04-01", 'Form responses 1'!$A$2:$A1001, "&lt;2025-07-01"),
    COUNTIFS('Form responses 1'!$B$2:$B1001, A45, 'Form responses 1'!$A$2:$A1001, "&gt;=2025-04-01", 'Form responses 1'!$A$2:$A1001, "&lt;2025-07-01"),
    COUNTIFS('Form responses 1'!$D$2:$D1001, A45, 'Form responses 1'!$A$2:$A1001, "&gt;=2025-04-01", 'Form responses 1'!$A$2:$A1001, "&lt;2025-07-01"),
    COUNTIFS('Form responses 1'!$E$2:$E1001, A45, 'Form responses 1'!$A$2:$A1001, "&gt;=2025-04-01", 'Form responses 1'!$A$2:$A1001, "&lt;2025-07-01"),
    COUNTIFS('Form responses 1'!$F$2:$F1001, A45, 'Form responses 1'!$A$2:$A1001, "&gt;=2025-04-01", 'Form responses 1'!$A$2:$A1001, "&lt;2025-07-01"),
    COUNTIFS('Form responses 1'!$G$2:$G1001, A45, 'Form responses 1'!$A$2:$A1001, "&gt;=2025-04-01", 'Form responses 1'!$A$2:$A1001, "&lt;2025-07-01")
)
</f>
        <v>1</v>
      </c>
      <c r="O45" s="2">
        <f>SUM(
    COUNTIFS('Form responses 1'!$C$2:$C1001, A45, 'Form responses 1'!$A$2:$A1001, "&gt;=2025-07-01", 'Form responses 1'!$A$2:$A1001, "&lt;=2025-09-30"),
    COUNTIFS('Form responses 1'!$B$2:$B1001, A45, 'Form responses 1'!$A$2:$A1001, "&gt;=2025-07-01", 'Form responses 1'!$A$2:$A1001, "&lt;=2025-09-30"),
    COUNTIFS('Form responses 1'!$D$2:$D1001, A45, 'Form responses 1'!$A$2:$A1001, "&gt;=2025-07-01", 'Form responses 1'!$A$2:$A1001, "&lt;=2025-09-30"),
    COUNTIFS('Form responses 1'!$E$2:$E1001, A45, 'Form responses 1'!$A$2:$A1001, "&gt;=2025-07-01", 'Form responses 1'!$A$2:$A1001, "&lt;=2025-09-30"),
    COUNTIFS('Form responses 1'!$F$2:$F1001, A45, 'Form responses 1'!$A$2:$A1001, "&gt;=2025-07-01", 'Form responses 1'!$A$2:$A1001, "&lt;=2025-09-30"),
    COUNTIFS('Form responses 1'!$G$2:$G1001, A45, 'Form responses 1'!$A$2:$A1001, "&gt;=2025-07-01", 'Form responses 1'!$A$2:$A1001, "&lt;=2025-09-30")
)
</f>
        <v>5</v>
      </c>
      <c r="P45" s="2">
        <f>SUM(
    COUNTIFS('Form responses 1'!$C$2:$C1001, A45, 'Form responses 1'!$A$2:$A1001, "&gt;=2025-10-01", 'Form responses 1'!$A$2:$A1001, "&lt;=2025-12-31"),
    COUNTIFS('Form responses 1'!$B$2:$B1001, A45, 'Form responses 1'!$A$2:$A1001, "&gt;=2025-10-01", 'Form responses 1'!$A$2:$A1001, "&lt;=2025-12-31"),
    COUNTIFS('Form responses 1'!$D$2:$D1001, A45, 'Form responses 1'!$A$2:$A1001, "&gt;=2025-10-01", 'Form responses 1'!$A$2:$A1001, "&lt;=2025-12-31"),
    COUNTIFS('Form responses 1'!$E$2:$E1001, A45, 'Form responses 1'!$A$2:$A1001, "&gt;=2025-10-01", 'Form responses 1'!$A$2:$A1001, "&lt;=2025-12-31"),
    COUNTIFS('Form responses 1'!$F$2:$F1001, A45, 'Form responses 1'!$A$2:$A1001, "&gt;=2025-10-01", 'Form responses 1'!$A$2:$A1001, "&lt;=2025-12-31"),
    COUNTIFS('Form responses 1'!$G$2:$G1001, A45, 'Form responses 1'!$A$2:$A1001, "&gt;=2025-10-01", 'Form responses 1'!$A$2:$A1001, "&lt;=2025-12-31")
)
</f>
        <v>10</v>
      </c>
    </row>
    <row r="46">
      <c r="A46" s="3" t="str">
        <f>IFERROR(__xludf.DUMMYFUNCTION("""COMPUTED_VALUE"""),"Rode fleece trui")</f>
        <v>Rode fleece trui</v>
      </c>
      <c r="B46" s="2">
        <f>SUM(
    COUNTIFS('Form responses 1'!$C$2:$C1001, A46, 'Form responses 1'!$A$2:$A1001, "&gt;=2022-04-01", 'Form responses 1'!$A$2:$A1001, "&lt;=2022-06-30"),
    COUNTIFS('Form responses 1'!$B$2:$B1001, A46, 'Form responses 1'!$A$2:$A1001, "&gt;=2022-04-01", 'Form responses 1'!$A$2:$A1001, "&lt;=2022-06-30"),
    COUNTIFS('Form responses 1'!$D$2:$D1001, A46, 'Form responses 1'!$A$2:$A1001, "&gt;=2022-04-01", 'Form responses 1'!$A$2:$A1001, "&lt;=2022-06-30"),
    COUNTIFS('Form responses 1'!$E$2:$E1001, A46, 'Form responses 1'!$A$2:$A1001, "&gt;=2022-04-01", 'Form responses 1'!$A$2:$A1001, "&lt;=2022-06-30"),
    COUNTIFS('Form responses 1'!$F$2:$F1001, A46, 'Form responses 1'!$A$2:$A1001, "&gt;=2022-04-01", 'Form responses 1'!$A$2:$A1001, "&lt;=2022-06-30"),
    COUNTIFS('Form responses 1'!$G$2:$G1001, A46, 'Form responses 1'!$A$2:$A1001, "&gt;=2022-04-01", 'Form responses 1'!$A$2:$A1001, "&lt;=2022-06-30")
)
</f>
        <v>0</v>
      </c>
      <c r="C46" s="2">
        <f>SUM(
    COUNTIFS('Form responses 1'!$C$2:$C1001, A46, 'Form responses 1'!$A$2:$A1001, "&gt;=2022-07-01", 'Form responses 1'!$A$2:$A1001, "&lt;=2022-09-30"),
    COUNTIFS('Form responses 1'!$B$2:$B1001, A46, 'Form responses 1'!$A$2:$A1001, "&gt;=2022-07-01", 'Form responses 1'!$A$2:$A1001, "&lt;=2022-09-30"),
    COUNTIFS('Form responses 1'!$D$2:$D1001, A46, 'Form responses 1'!$A$2:$A1001, "&gt;=2022-07-01", 'Form responses 1'!$A$2:$A1001, "&lt;=2022-09-30"),
    COUNTIFS('Form responses 1'!$E$2:$E1001, A46, 'Form responses 1'!$A$2:$A1001, "&gt;=2022-07-01", 'Form responses 1'!$A$2:$A1001, "&lt;=2022-09-30"),
    COUNTIFS('Form responses 1'!$F$2:$F1001, A46, 'Form responses 1'!$A$2:$A1001, "&gt;=2022-07-01", 'Form responses 1'!$A$2:$A1001, "&lt;=2022-09-30"),
    COUNTIFS('Form responses 1'!$G$2:$G1001, A46, 'Form responses 1'!$A$2:$A1001, "&gt;=2022-07-01", 'Form responses 1'!$A$2:$A1001, "&lt;=2022-09-30")
)
</f>
        <v>0</v>
      </c>
      <c r="D46" s="2">
        <f>SUM(
    COUNTIFS('Form responses 1'!$C$2:$C1001, A46, 'Form responses 1'!$A$2:$A1001, "&gt;=2022-10-01", 'Form responses 1'!$A$2:$A1001, "&lt;=2022-12-31"),
    COUNTIFS('Form responses 1'!$B$2:$B1001, A46, 'Form responses 1'!$A$2:$A1001, "&gt;=2022-10-01", 'Form responses 1'!$A$2:$A1001, "&lt;=2022-12-31"),
    COUNTIFS('Form responses 1'!$D$2:$D1001, A46, 'Form responses 1'!$A$2:$A1001, "&gt;=2022-10-01", 'Form responses 1'!$A$2:$A1001, "&lt;=2022-12-31"),
    COUNTIFS('Form responses 1'!$E$2:$E1001, A46, 'Form responses 1'!$A$2:$A1001, "&gt;=2022-10-01", 'Form responses 1'!$A$2:$A1001, "&lt;=2022-12-31"),
    COUNTIFS('Form responses 1'!$F$2:$F1001, A46, 'Form responses 1'!$A$2:$A1001, "&gt;=2022-10-01", 'Form responses 1'!$A$2:$A1001, "&lt;=2022-12-31"),
    COUNTIFS('Form responses 1'!$G$2:$G1001, A46, 'Form responses 1'!$A$2:$A1001, "&gt;=2022-10-01", 'Form responses 1'!$A$2:$A1001, "&lt;=2022-12-31")
)
</f>
        <v>0</v>
      </c>
      <c r="E46" s="2">
        <f>SUM(
    COUNTIFS('Form responses 1'!$C$2:$C1001, A46, 'Form responses 1'!$A$2:$A1001, "&gt;=2023-01-01", 'Form responses 1'!$A$2:$A1001, "&lt;=2023-03-31"),
    COUNTIFS('Form responses 1'!$B$2:$B1001, A46, 'Form responses 1'!$A$2:$A1001, "&gt;=2023-01-01", 'Form responses 1'!$A$2:$A1001, "&lt;=2023-03-31"),
    COUNTIFS('Form responses 1'!$D$2:$D1001, A46, 'Form responses 1'!$A$2:$A1001, "&gt;=2023-01-01", 'Form responses 1'!$A$2:$A1001, "&lt;=2023-03-31"),
    COUNTIFS('Form responses 1'!$E$2:$E1001, A46, 'Form responses 1'!$A$2:$A1001, "&gt;=2023-01-01", 'Form responses 1'!$A$2:$A1001, "&lt;=2023-03-31"),
    COUNTIFS('Form responses 1'!$F$2:$F1001, A46, 'Form responses 1'!$A$2:$A1001, "&gt;=2023-01-01", 'Form responses 1'!$A$2:$A1001, "&lt;=2023-03-31"),
    COUNTIFS('Form responses 1'!$G$2:$G1001, A46, 'Form responses 1'!$A$2:$A1001, "&gt;=2023-01-01", 'Form responses 1'!$A$2:$A1001, "&lt;=2023-03-31")
)
</f>
        <v>0</v>
      </c>
      <c r="F46" s="2">
        <f>SUM(
    COUNTIFS('Form responses 1'!$C$2:$C1001, A46, 'Form responses 1'!$A$2:$A1001, "&gt;=2023-04-01", 'Form responses 1'!$A$2:$A1001, "&lt;=2023-06-30"),
    COUNTIFS('Form responses 1'!$B$2:$B1001, A46, 'Form responses 1'!$A$2:$A1001, "&gt;=2023-04-01", 'Form responses 1'!$A$2:$A1001, "&lt;=2023-06-30"),
    COUNTIFS('Form responses 1'!$D$2:$D1001, A46, 'Form responses 1'!$A$2:$A1001, "&gt;=2023-04-01", 'Form responses 1'!$A$2:$A1001, "&lt;=2023-06-30"),
    COUNTIFS('Form responses 1'!$E$2:$E1001, A46, 'Form responses 1'!$A$2:$A1001, "&gt;=2023-04-01", 'Form responses 1'!$A$2:$A1001, "&lt;=2023-06-30"),
    COUNTIFS('Form responses 1'!$F$2:$F1001, A46, 'Form responses 1'!$A$2:$A1001, "&gt;=2023-04-01", 'Form responses 1'!$A$2:$A1001, "&lt;=2023-06-30"),
    COUNTIFS('Form responses 1'!$G$2:$G1001, A46, 'Form responses 1'!$A$2:$A1001, "&gt;=2023-04-01", 'Form responses 1'!$A$2:$A1001, "&lt;=2023-06-30")
)
</f>
        <v>0</v>
      </c>
      <c r="G46" s="2">
        <f>SUM(
    COUNTIFS('Form responses 1'!$C$2:$C1001, A46, 'Form responses 1'!$A$2:$A1001, "&gt;=2023-07-01", 'Form responses 1'!$A$2:$A1001, "&lt;=2023-09-30"),
    COUNTIFS('Form responses 1'!$B$2:$B1001, A46, 'Form responses 1'!$A$2:$A1001, "&gt;=2023-07-01", 'Form responses 1'!$A$2:$A1001, "&lt;=2023-09-30"),
    COUNTIFS('Form responses 1'!$D$2:$D1001, A46, 'Form responses 1'!$A$2:$A1001, "&gt;=2023-07-01", 'Form responses 1'!$A$2:$A1001, "&lt;=2023-09-30"),
    COUNTIFS('Form responses 1'!$E$2:$E1001, A46, 'Form responses 1'!$A$2:$A1001, "&gt;=2023-07-01", 'Form responses 1'!$A$2:$A1001, "&lt;=2023-09-30"),
    COUNTIFS('Form responses 1'!$F$2:$F1001, A46, 'Form responses 1'!$A$2:$A1001, "&gt;=2023-07-01", 'Form responses 1'!$A$2:$A1001, "&lt;=2023-09-30"),
    COUNTIFS('Form responses 1'!$G$2:$G1001, A46, 'Form responses 1'!$A$2:$A1001, "&gt;=2023-07-01", 'Form responses 1'!$A$2:$A1001, "&lt;=2023-09-30")
)
</f>
        <v>0</v>
      </c>
      <c r="H46" s="2">
        <f>SUM(
    COUNTIFS('Form responses 1'!$C$2:$C1001, A46, 'Form responses 1'!$A$2:$A1001, "&gt;=2023-10-01", 'Form responses 1'!$A$2:$A1001, "&lt;=2023-12-31"),
    COUNTIFS('Form responses 1'!$B$2:$B1001, A46, 'Form responses 1'!$A$2:$A1001, "&gt;=2023-10-01", 'Form responses 1'!$A$2:$A1001, "&lt;=2023-12-31"),
    COUNTIFS('Form responses 1'!$D$2:$D1001, A46, 'Form responses 1'!$A$2:$A1001, "&gt;=2023-10-01", 'Form responses 1'!$A$2:$A1001, "&lt;=2023-12-31"),
    COUNTIFS('Form responses 1'!$E$2:$E1001, A46, 'Form responses 1'!$A$2:$A1001, "&gt;=2023-10-01", 'Form responses 1'!$A$2:$A1001, "&lt;=2023-12-31"),
    COUNTIFS('Form responses 1'!$F$2:$F1001, A46, 'Form responses 1'!$A$2:$A1001, "&gt;=2023-10-01", 'Form responses 1'!$A$2:$A1001, "&lt;=2023-12-31"),
    COUNTIFS('Form responses 1'!$G$2:$G1001, A46, 'Form responses 1'!$A$2:$A1001, "&gt;=2023-10-01", 'Form responses 1'!$A$2:$A1001, "&lt;=2023-12-31")
)
</f>
        <v>0</v>
      </c>
      <c r="I46" s="2">
        <f>SUM(
    COUNTIFS('Form responses 1'!$C$2:$C1001, A46, 'Form responses 1'!$A$2:$A1001, "&gt;=2024-01-01", 'Form responses 1'!$A$2:$A1001, "&lt;=2024-03-31"),
    COUNTIFS('Form responses 1'!$B$2:$B1001, A46, 'Form responses 1'!$A$2:$A1001, "&gt;=2024-01-01", 'Form responses 1'!$A$2:$A1001, "&lt;=2024-03-31"),
    COUNTIFS('Form responses 1'!$D$2:$D1001, A46, 'Form responses 1'!$A$2:$A1001, "&gt;=2024-01-01", 'Form responses 1'!$A$2:$A1001, "&lt;=2024-03-31"),
    COUNTIFS('Form responses 1'!$E$2:$E1001, A46, 'Form responses 1'!$A$2:$A1001, "&gt;=2024-01-01", 'Form responses 1'!$A$2:$A1001, "&lt;=2024-03-31"),
    COUNTIFS('Form responses 1'!$F$2:$F1001, A46, 'Form responses 1'!$A$2:$A1001, "&gt;=2024-01-01", 'Form responses 1'!$A$2:$A1001, "&lt;=2024-03-31"),
    COUNTIFS('Form responses 1'!$G$2:$G1001, A46, 'Form responses 1'!$A$2:$A1001, "&gt;=2024-01-01", 'Form responses 1'!$A$2:$A1001, "&lt;=2024-03-31")
)
</f>
        <v>7</v>
      </c>
      <c r="J46" s="2">
        <f>SUM(
    COUNTIFS('Form responses 1'!$C$2:$C1001, A46, 'Form responses 1'!$A$2:$A1001, "&gt;=2024-04-01", 'Form responses 1'!$A$2:$A1001, "&lt;=2024-06-30"),
    COUNTIFS('Form responses 1'!$B$2:$B1001, A46, 'Form responses 1'!$A$2:$A1001, "&gt;=2024-04-01", 'Form responses 1'!$A$2:$A1001, "&lt;=2024-06-30"),
    COUNTIFS('Form responses 1'!$D$2:$D1001, A46, 'Form responses 1'!$A$2:$A1001, "&gt;=2024-04-01", 'Form responses 1'!$A$2:$A1001, "&lt;=2024-06-30"),
    COUNTIFS('Form responses 1'!$E$2:$E1001, A46, 'Form responses 1'!$A$2:$A1001, "&gt;=2024-04-01", 'Form responses 1'!$A$2:$A1001, "&lt;=2024-06-30"),
    COUNTIFS('Form responses 1'!$F$2:$F1001, A46, 'Form responses 1'!$A$2:$A1001, "&gt;=2024-04-01", 'Form responses 1'!$A$2:$A1001, "&lt;=2024-06-30"),
    COUNTIFS('Form responses 1'!$G$2:$G1001, A46, 'Form responses 1'!$A$2:$A1001, "&gt;=2024-04-01", 'Form responses 1'!$A$2:$A1001, "&lt;=2024-06-30")
)
</f>
        <v>0</v>
      </c>
      <c r="K46" s="2">
        <f>SUM(
    COUNTIFS('Form responses 1'!$C$2:$C1001, A46, 'Form responses 1'!$A$2:$A1001, "&gt;=2024-07-01", 'Form responses 1'!$A$2:$A1001, "&lt;=2024-09-30"),
    COUNTIFS('Form responses 1'!$B$2:$B1001, A46, 'Form responses 1'!$A$2:$A1001, "&gt;=2024-07-01", 'Form responses 1'!$A$2:$A1001, "&lt;=2024-09-30"),
    COUNTIFS('Form responses 1'!$D$2:$D1001, A46, 'Form responses 1'!$A$2:$A1001, "&gt;=2024-07-01", 'Form responses 1'!$A$2:$A1001, "&lt;=2024-09-30"),
    COUNTIFS('Form responses 1'!$E$2:$E1001, A46, 'Form responses 1'!$A$2:$A1001, "&gt;=2024-07-01", 'Form responses 1'!$A$2:$A1001, "&lt;=2024-09-30"),
    COUNTIFS('Form responses 1'!$F$2:$F1001, A46, 'Form responses 1'!$A$2:$A1001, "&gt;=2024-07-01", 'Form responses 1'!$A$2:$A1001, "&lt;=2024-09-30"),
    COUNTIFS('Form responses 1'!$G$2:$G1001, A46, 'Form responses 1'!$A$2:$A1001, "&gt;=2024-07-01", 'Form responses 1'!$A$2:$A1001, "&lt;=2024-09-30")
)
</f>
        <v>0</v>
      </c>
      <c r="L46" s="2">
        <f>SUM(
    COUNTIFS('Form responses 1'!$C$2:$C1001, A46, 'Form responses 1'!$A$2:$A1001, "&gt;=2024-10-01", 'Form responses 1'!$A$2:$A1001, "&lt;=2024-12-31"),
    COUNTIFS('Form responses 1'!$B$2:$B1001, A46, 'Form responses 1'!$A$2:$A1001, "&gt;=2024-10-01", 'Form responses 1'!$A$2:$A1001, "&lt;=2024-12-31"),
    COUNTIFS('Form responses 1'!$D$2:$D1001, A46, 'Form responses 1'!$A$2:$A1001, "&gt;=2024-10-01", 'Form responses 1'!$A$2:$A1001, "&lt;=2024-12-31"),
    COUNTIFS('Form responses 1'!$E$2:$E1001, A46, 'Form responses 1'!$A$2:$A1001, "&gt;=2024-10-01", 'Form responses 1'!$A$2:$A1001, "&lt;=2024-12-31"),
    COUNTIFS('Form responses 1'!$F$2:$F1001, A46, 'Form responses 1'!$A$2:$A1001, "&gt;=2024-10-01", 'Form responses 1'!$A$2:$A1001, "&lt;=2024-12-31"),
    COUNTIFS('Form responses 1'!$G$2:$G1001, A46, 'Form responses 1'!$A$2:$A1001, "&gt;=2024-10-01", 'Form responses 1'!$A$2:$A1001, "&lt;=2024-12-31")
)
</f>
        <v>6</v>
      </c>
      <c r="M46" s="2">
        <f>SUM(
    COUNTIFS('Form responses 1'!$C$2:$C1001, A46, 'Form responses 1'!$A$2:$A1001, "&gt;=2025-01-01", 'Form responses 1'!$A$2:$A1001, "&lt;=2025-03-31"),
    COUNTIFS('Form responses 1'!$B$2:$B1001, A46, 'Form responses 1'!$A$2:$A1001, "&gt;=2025-01-01", 'Form responses 1'!$A$2:$A1001, "&lt;=2025-03-31"),
    COUNTIFS('Form responses 1'!$D$2:$D1001, A46, 'Form responses 1'!$A$2:$A1001, "&gt;=2025-01-01", 'Form responses 1'!$A$2:$A1001, "&lt;=2025-03-31"),
    COUNTIFS('Form responses 1'!$E$2:$E1001, A46, 'Form responses 1'!$A$2:$A1001, "&gt;=2025-01-01", 'Form responses 1'!$A$2:$A1001, "&lt;=2025-03-31"),
    COUNTIFS('Form responses 1'!$F$2:$F1001, A46, 'Form responses 1'!$A$2:$A1001, "&gt;=2025-01-01", 'Form responses 1'!$A$2:$A1001, "&lt;=2025-03-31"),
    COUNTIFS('Form responses 1'!$G$2:$G1001, A46, 'Form responses 1'!$A$2:$A1001, "&gt;=2025-01-01", 'Form responses 1'!$A$2:$A1001, "&lt;=2025-03-31")
)
</f>
        <v>3</v>
      </c>
      <c r="N46" s="2">
        <f>SUM(
    COUNTIFS('Form responses 1'!$C$2:$C1001, A46, 'Form responses 1'!$A$2:$A1001, "&gt;=2025-04-01", 'Form responses 1'!$A$2:$A1001, "&lt;2025-07-01"),
    COUNTIFS('Form responses 1'!$B$2:$B1001, A46, 'Form responses 1'!$A$2:$A1001, "&gt;=2025-04-01", 'Form responses 1'!$A$2:$A1001, "&lt;2025-07-01"),
    COUNTIFS('Form responses 1'!$D$2:$D1001, A46, 'Form responses 1'!$A$2:$A1001, "&gt;=2025-04-01", 'Form responses 1'!$A$2:$A1001, "&lt;2025-07-01"),
    COUNTIFS('Form responses 1'!$E$2:$E1001, A46, 'Form responses 1'!$A$2:$A1001, "&gt;=2025-04-01", 'Form responses 1'!$A$2:$A1001, "&lt;2025-07-01"),
    COUNTIFS('Form responses 1'!$F$2:$F1001, A46, 'Form responses 1'!$A$2:$A1001, "&gt;=2025-04-01", 'Form responses 1'!$A$2:$A1001, "&lt;2025-07-01"),
    COUNTIFS('Form responses 1'!$G$2:$G1001, A46, 'Form responses 1'!$A$2:$A1001, "&gt;=2025-04-01", 'Form responses 1'!$A$2:$A1001, "&lt;2025-07-01")
)
</f>
        <v>6</v>
      </c>
      <c r="O46" s="2">
        <f>SUM(
    COUNTIFS('Form responses 1'!$C$2:$C1001, A46, 'Form responses 1'!$A$2:$A1001, "&gt;=2025-07-01", 'Form responses 1'!$A$2:$A1001, "&lt;=2025-09-30"),
    COUNTIFS('Form responses 1'!$B$2:$B1001, A46, 'Form responses 1'!$A$2:$A1001, "&gt;=2025-07-01", 'Form responses 1'!$A$2:$A1001, "&lt;=2025-09-30"),
    COUNTIFS('Form responses 1'!$D$2:$D1001, A46, 'Form responses 1'!$A$2:$A1001, "&gt;=2025-07-01", 'Form responses 1'!$A$2:$A1001, "&lt;=2025-09-30"),
    COUNTIFS('Form responses 1'!$E$2:$E1001, A46, 'Form responses 1'!$A$2:$A1001, "&gt;=2025-07-01", 'Form responses 1'!$A$2:$A1001, "&lt;=2025-09-30"),
    COUNTIFS('Form responses 1'!$F$2:$F1001, A46, 'Form responses 1'!$A$2:$A1001, "&gt;=2025-07-01", 'Form responses 1'!$A$2:$A1001, "&lt;=2025-09-30"),
    COUNTIFS('Form responses 1'!$G$2:$G1001, A46, 'Form responses 1'!$A$2:$A1001, "&gt;=2025-07-01", 'Form responses 1'!$A$2:$A1001, "&lt;=2025-09-30")
)
</f>
        <v>0</v>
      </c>
      <c r="P46" s="2">
        <f>SUM(
    COUNTIFS('Form responses 1'!$C$2:$C1001, A46, 'Form responses 1'!$A$2:$A1001, "&gt;=2025-10-01", 'Form responses 1'!$A$2:$A1001, "&lt;=2025-12-31"),
    COUNTIFS('Form responses 1'!$B$2:$B1001, A46, 'Form responses 1'!$A$2:$A1001, "&gt;=2025-10-01", 'Form responses 1'!$A$2:$A1001, "&lt;=2025-12-31"),
    COUNTIFS('Form responses 1'!$D$2:$D1001, A46, 'Form responses 1'!$A$2:$A1001, "&gt;=2025-10-01", 'Form responses 1'!$A$2:$A1001, "&lt;=2025-12-31"),
    COUNTIFS('Form responses 1'!$E$2:$E1001, A46, 'Form responses 1'!$A$2:$A1001, "&gt;=2025-10-01", 'Form responses 1'!$A$2:$A1001, "&lt;=2025-12-31"),
    COUNTIFS('Form responses 1'!$F$2:$F1001, A46, 'Form responses 1'!$A$2:$A1001, "&gt;=2025-10-01", 'Form responses 1'!$A$2:$A1001, "&lt;=2025-12-31"),
    COUNTIFS('Form responses 1'!$G$2:$G1001, A46, 'Form responses 1'!$A$2:$A1001, "&gt;=2025-10-01", 'Form responses 1'!$A$2:$A1001, "&lt;=2025-12-31")
)
</f>
        <v>0</v>
      </c>
    </row>
    <row r="47">
      <c r="A47" s="3" t="str">
        <f>IFERROR(__xludf.DUMMYFUNCTION("""COMPUTED_VALUE"""),"Beige ralph lauren fleece")</f>
        <v>Beige ralph lauren fleece</v>
      </c>
      <c r="B47" s="2">
        <f>SUM(
    COUNTIFS('Form responses 1'!$C$2:$C1001, A47, 'Form responses 1'!$A$2:$A1001, "&gt;=2022-04-01", 'Form responses 1'!$A$2:$A1001, "&lt;=2022-06-30"),
    COUNTIFS('Form responses 1'!$B$2:$B1001, A47, 'Form responses 1'!$A$2:$A1001, "&gt;=2022-04-01", 'Form responses 1'!$A$2:$A1001, "&lt;=2022-06-30"),
    COUNTIFS('Form responses 1'!$D$2:$D1001, A47, 'Form responses 1'!$A$2:$A1001, "&gt;=2022-04-01", 'Form responses 1'!$A$2:$A1001, "&lt;=2022-06-30"),
    COUNTIFS('Form responses 1'!$E$2:$E1001, A47, 'Form responses 1'!$A$2:$A1001, "&gt;=2022-04-01", 'Form responses 1'!$A$2:$A1001, "&lt;=2022-06-30"),
    COUNTIFS('Form responses 1'!$F$2:$F1001, A47, 'Form responses 1'!$A$2:$A1001, "&gt;=2022-04-01", 'Form responses 1'!$A$2:$A1001, "&lt;=2022-06-30"),
    COUNTIFS('Form responses 1'!$G$2:$G1001, A47, 'Form responses 1'!$A$2:$A1001, "&gt;=2022-04-01", 'Form responses 1'!$A$2:$A1001, "&lt;=2022-06-30")
)
</f>
        <v>0</v>
      </c>
      <c r="C47" s="2">
        <f>SUM(
    COUNTIFS('Form responses 1'!$C$2:$C1001, A47, 'Form responses 1'!$A$2:$A1001, "&gt;=2022-07-01", 'Form responses 1'!$A$2:$A1001, "&lt;=2022-09-30"),
    COUNTIFS('Form responses 1'!$B$2:$B1001, A47, 'Form responses 1'!$A$2:$A1001, "&gt;=2022-07-01", 'Form responses 1'!$A$2:$A1001, "&lt;=2022-09-30"),
    COUNTIFS('Form responses 1'!$D$2:$D1001, A47, 'Form responses 1'!$A$2:$A1001, "&gt;=2022-07-01", 'Form responses 1'!$A$2:$A1001, "&lt;=2022-09-30"),
    COUNTIFS('Form responses 1'!$E$2:$E1001, A47, 'Form responses 1'!$A$2:$A1001, "&gt;=2022-07-01", 'Form responses 1'!$A$2:$A1001, "&lt;=2022-09-30"),
    COUNTIFS('Form responses 1'!$F$2:$F1001, A47, 'Form responses 1'!$A$2:$A1001, "&gt;=2022-07-01", 'Form responses 1'!$A$2:$A1001, "&lt;=2022-09-30"),
    COUNTIFS('Form responses 1'!$G$2:$G1001, A47, 'Form responses 1'!$A$2:$A1001, "&gt;=2022-07-01", 'Form responses 1'!$A$2:$A1001, "&lt;=2022-09-30")
)
</f>
        <v>0</v>
      </c>
      <c r="D47" s="2">
        <f>SUM(
    COUNTIFS('Form responses 1'!$C$2:$C1001, A47, 'Form responses 1'!$A$2:$A1001, "&gt;=2022-10-01", 'Form responses 1'!$A$2:$A1001, "&lt;=2022-12-31"),
    COUNTIFS('Form responses 1'!$B$2:$B1001, A47, 'Form responses 1'!$A$2:$A1001, "&gt;=2022-10-01", 'Form responses 1'!$A$2:$A1001, "&lt;=2022-12-31"),
    COUNTIFS('Form responses 1'!$D$2:$D1001, A47, 'Form responses 1'!$A$2:$A1001, "&gt;=2022-10-01", 'Form responses 1'!$A$2:$A1001, "&lt;=2022-12-31"),
    COUNTIFS('Form responses 1'!$E$2:$E1001, A47, 'Form responses 1'!$A$2:$A1001, "&gt;=2022-10-01", 'Form responses 1'!$A$2:$A1001, "&lt;=2022-12-31"),
    COUNTIFS('Form responses 1'!$F$2:$F1001, A47, 'Form responses 1'!$A$2:$A1001, "&gt;=2022-10-01", 'Form responses 1'!$A$2:$A1001, "&lt;=2022-12-31"),
    COUNTIFS('Form responses 1'!$G$2:$G1001, A47, 'Form responses 1'!$A$2:$A1001, "&gt;=2022-10-01", 'Form responses 1'!$A$2:$A1001, "&lt;=2022-12-31")
)
</f>
        <v>0</v>
      </c>
      <c r="E47" s="2">
        <f>SUM(
    COUNTIFS('Form responses 1'!$C$2:$C1001, A47, 'Form responses 1'!$A$2:$A1001, "&gt;=2023-01-01", 'Form responses 1'!$A$2:$A1001, "&lt;=2023-03-31"),
    COUNTIFS('Form responses 1'!$B$2:$B1001, A47, 'Form responses 1'!$A$2:$A1001, "&gt;=2023-01-01", 'Form responses 1'!$A$2:$A1001, "&lt;=2023-03-31"),
    COUNTIFS('Form responses 1'!$D$2:$D1001, A47, 'Form responses 1'!$A$2:$A1001, "&gt;=2023-01-01", 'Form responses 1'!$A$2:$A1001, "&lt;=2023-03-31"),
    COUNTIFS('Form responses 1'!$E$2:$E1001, A47, 'Form responses 1'!$A$2:$A1001, "&gt;=2023-01-01", 'Form responses 1'!$A$2:$A1001, "&lt;=2023-03-31"),
    COUNTIFS('Form responses 1'!$F$2:$F1001, A47, 'Form responses 1'!$A$2:$A1001, "&gt;=2023-01-01", 'Form responses 1'!$A$2:$A1001, "&lt;=2023-03-31"),
    COUNTIFS('Form responses 1'!$G$2:$G1001, A47, 'Form responses 1'!$A$2:$A1001, "&gt;=2023-01-01", 'Form responses 1'!$A$2:$A1001, "&lt;=2023-03-31")
)
</f>
        <v>0</v>
      </c>
      <c r="F47" s="2">
        <f>SUM(
    COUNTIFS('Form responses 1'!$C$2:$C1001, A47, 'Form responses 1'!$A$2:$A1001, "&gt;=2023-04-01", 'Form responses 1'!$A$2:$A1001, "&lt;=2023-06-30"),
    COUNTIFS('Form responses 1'!$B$2:$B1001, A47, 'Form responses 1'!$A$2:$A1001, "&gt;=2023-04-01", 'Form responses 1'!$A$2:$A1001, "&lt;=2023-06-30"),
    COUNTIFS('Form responses 1'!$D$2:$D1001, A47, 'Form responses 1'!$A$2:$A1001, "&gt;=2023-04-01", 'Form responses 1'!$A$2:$A1001, "&lt;=2023-06-30"),
    COUNTIFS('Form responses 1'!$E$2:$E1001, A47, 'Form responses 1'!$A$2:$A1001, "&gt;=2023-04-01", 'Form responses 1'!$A$2:$A1001, "&lt;=2023-06-30"),
    COUNTIFS('Form responses 1'!$F$2:$F1001, A47, 'Form responses 1'!$A$2:$A1001, "&gt;=2023-04-01", 'Form responses 1'!$A$2:$A1001, "&lt;=2023-06-30"),
    COUNTIFS('Form responses 1'!$G$2:$G1001, A47, 'Form responses 1'!$A$2:$A1001, "&gt;=2023-04-01", 'Form responses 1'!$A$2:$A1001, "&lt;=2023-06-30")
)
</f>
        <v>0</v>
      </c>
      <c r="G47" s="2">
        <f>SUM(
    COUNTIFS('Form responses 1'!$C$2:$C1001, A47, 'Form responses 1'!$A$2:$A1001, "&gt;=2023-07-01", 'Form responses 1'!$A$2:$A1001, "&lt;=2023-09-30"),
    COUNTIFS('Form responses 1'!$B$2:$B1001, A47, 'Form responses 1'!$A$2:$A1001, "&gt;=2023-07-01", 'Form responses 1'!$A$2:$A1001, "&lt;=2023-09-30"),
    COUNTIFS('Form responses 1'!$D$2:$D1001, A47, 'Form responses 1'!$A$2:$A1001, "&gt;=2023-07-01", 'Form responses 1'!$A$2:$A1001, "&lt;=2023-09-30"),
    COUNTIFS('Form responses 1'!$E$2:$E1001, A47, 'Form responses 1'!$A$2:$A1001, "&gt;=2023-07-01", 'Form responses 1'!$A$2:$A1001, "&lt;=2023-09-30"),
    COUNTIFS('Form responses 1'!$F$2:$F1001, A47, 'Form responses 1'!$A$2:$A1001, "&gt;=2023-07-01", 'Form responses 1'!$A$2:$A1001, "&lt;=2023-09-30"),
    COUNTIFS('Form responses 1'!$G$2:$G1001, A47, 'Form responses 1'!$A$2:$A1001, "&gt;=2023-07-01", 'Form responses 1'!$A$2:$A1001, "&lt;=2023-09-30")
)
</f>
        <v>0</v>
      </c>
      <c r="H47" s="2">
        <f>SUM(
    COUNTIFS('Form responses 1'!$C$2:$C1001, A47, 'Form responses 1'!$A$2:$A1001, "&gt;=2023-10-01", 'Form responses 1'!$A$2:$A1001, "&lt;=2023-12-31"),
    COUNTIFS('Form responses 1'!$B$2:$B1001, A47, 'Form responses 1'!$A$2:$A1001, "&gt;=2023-10-01", 'Form responses 1'!$A$2:$A1001, "&lt;=2023-12-31"),
    COUNTIFS('Form responses 1'!$D$2:$D1001, A47, 'Form responses 1'!$A$2:$A1001, "&gt;=2023-10-01", 'Form responses 1'!$A$2:$A1001, "&lt;=2023-12-31"),
    COUNTIFS('Form responses 1'!$E$2:$E1001, A47, 'Form responses 1'!$A$2:$A1001, "&gt;=2023-10-01", 'Form responses 1'!$A$2:$A1001, "&lt;=2023-12-31"),
    COUNTIFS('Form responses 1'!$F$2:$F1001, A47, 'Form responses 1'!$A$2:$A1001, "&gt;=2023-10-01", 'Form responses 1'!$A$2:$A1001, "&lt;=2023-12-31"),
    COUNTIFS('Form responses 1'!$G$2:$G1001, A47, 'Form responses 1'!$A$2:$A1001, "&gt;=2023-10-01", 'Form responses 1'!$A$2:$A1001, "&lt;=2023-12-31")
)
</f>
        <v>0</v>
      </c>
      <c r="I47" s="2">
        <f>SUM(
    COUNTIFS('Form responses 1'!$C$2:$C1001, A47, 'Form responses 1'!$A$2:$A1001, "&gt;=2024-01-01", 'Form responses 1'!$A$2:$A1001, "&lt;=2024-03-31"),
    COUNTIFS('Form responses 1'!$B$2:$B1001, A47, 'Form responses 1'!$A$2:$A1001, "&gt;=2024-01-01", 'Form responses 1'!$A$2:$A1001, "&lt;=2024-03-31"),
    COUNTIFS('Form responses 1'!$D$2:$D1001, A47, 'Form responses 1'!$A$2:$A1001, "&gt;=2024-01-01", 'Form responses 1'!$A$2:$A1001, "&lt;=2024-03-31"),
    COUNTIFS('Form responses 1'!$E$2:$E1001, A47, 'Form responses 1'!$A$2:$A1001, "&gt;=2024-01-01", 'Form responses 1'!$A$2:$A1001, "&lt;=2024-03-31"),
    COUNTIFS('Form responses 1'!$F$2:$F1001, A47, 'Form responses 1'!$A$2:$A1001, "&gt;=2024-01-01", 'Form responses 1'!$A$2:$A1001, "&lt;=2024-03-31"),
    COUNTIFS('Form responses 1'!$G$2:$G1001, A47, 'Form responses 1'!$A$2:$A1001, "&gt;=2024-01-01", 'Form responses 1'!$A$2:$A1001, "&lt;=2024-03-31")
)
</f>
        <v>16</v>
      </c>
      <c r="J47" s="2">
        <f>SUM(
    COUNTIFS('Form responses 1'!$C$2:$C1001, A47, 'Form responses 1'!$A$2:$A1001, "&gt;=2024-04-01", 'Form responses 1'!$A$2:$A1001, "&lt;=2024-06-30"),
    COUNTIFS('Form responses 1'!$B$2:$B1001, A47, 'Form responses 1'!$A$2:$A1001, "&gt;=2024-04-01", 'Form responses 1'!$A$2:$A1001, "&lt;=2024-06-30"),
    COUNTIFS('Form responses 1'!$D$2:$D1001, A47, 'Form responses 1'!$A$2:$A1001, "&gt;=2024-04-01", 'Form responses 1'!$A$2:$A1001, "&lt;=2024-06-30"),
    COUNTIFS('Form responses 1'!$E$2:$E1001, A47, 'Form responses 1'!$A$2:$A1001, "&gt;=2024-04-01", 'Form responses 1'!$A$2:$A1001, "&lt;=2024-06-30"),
    COUNTIFS('Form responses 1'!$F$2:$F1001, A47, 'Form responses 1'!$A$2:$A1001, "&gt;=2024-04-01", 'Form responses 1'!$A$2:$A1001, "&lt;=2024-06-30"),
    COUNTIFS('Form responses 1'!$G$2:$G1001, A47, 'Form responses 1'!$A$2:$A1001, "&gt;=2024-04-01", 'Form responses 1'!$A$2:$A1001, "&lt;=2024-06-30")
)
</f>
        <v>1</v>
      </c>
      <c r="K47" s="2">
        <f>SUM(
    COUNTIFS('Form responses 1'!$C$2:$C1001, A47, 'Form responses 1'!$A$2:$A1001, "&gt;=2024-07-01", 'Form responses 1'!$A$2:$A1001, "&lt;=2024-09-30"),
    COUNTIFS('Form responses 1'!$B$2:$B1001, A47, 'Form responses 1'!$A$2:$A1001, "&gt;=2024-07-01", 'Form responses 1'!$A$2:$A1001, "&lt;=2024-09-30"),
    COUNTIFS('Form responses 1'!$D$2:$D1001, A47, 'Form responses 1'!$A$2:$A1001, "&gt;=2024-07-01", 'Form responses 1'!$A$2:$A1001, "&lt;=2024-09-30"),
    COUNTIFS('Form responses 1'!$E$2:$E1001, A47, 'Form responses 1'!$A$2:$A1001, "&gt;=2024-07-01", 'Form responses 1'!$A$2:$A1001, "&lt;=2024-09-30"),
    COUNTIFS('Form responses 1'!$F$2:$F1001, A47, 'Form responses 1'!$A$2:$A1001, "&gt;=2024-07-01", 'Form responses 1'!$A$2:$A1001, "&lt;=2024-09-30"),
    COUNTIFS('Form responses 1'!$G$2:$G1001, A47, 'Form responses 1'!$A$2:$A1001, "&gt;=2024-07-01", 'Form responses 1'!$A$2:$A1001, "&lt;=2024-09-30")
)
</f>
        <v>0</v>
      </c>
      <c r="L47" s="2">
        <f>SUM(
    COUNTIFS('Form responses 1'!$C$2:$C1001, A47, 'Form responses 1'!$A$2:$A1001, "&gt;=2024-10-01", 'Form responses 1'!$A$2:$A1001, "&lt;=2024-12-31"),
    COUNTIFS('Form responses 1'!$B$2:$B1001, A47, 'Form responses 1'!$A$2:$A1001, "&gt;=2024-10-01", 'Form responses 1'!$A$2:$A1001, "&lt;=2024-12-31"),
    COUNTIFS('Form responses 1'!$D$2:$D1001, A47, 'Form responses 1'!$A$2:$A1001, "&gt;=2024-10-01", 'Form responses 1'!$A$2:$A1001, "&lt;=2024-12-31"),
    COUNTIFS('Form responses 1'!$E$2:$E1001, A47, 'Form responses 1'!$A$2:$A1001, "&gt;=2024-10-01", 'Form responses 1'!$A$2:$A1001, "&lt;=2024-12-31"),
    COUNTIFS('Form responses 1'!$F$2:$F1001, A47, 'Form responses 1'!$A$2:$A1001, "&gt;=2024-10-01", 'Form responses 1'!$A$2:$A1001, "&lt;=2024-12-31"),
    COUNTIFS('Form responses 1'!$G$2:$G1001, A47, 'Form responses 1'!$A$2:$A1001, "&gt;=2024-10-01", 'Form responses 1'!$A$2:$A1001, "&lt;=2024-12-31")
)
</f>
        <v>10</v>
      </c>
      <c r="M47" s="2">
        <f>SUM(
    COUNTIFS('Form responses 1'!$C$2:$C1001, A47, 'Form responses 1'!$A$2:$A1001, "&gt;=2025-01-01", 'Form responses 1'!$A$2:$A1001, "&lt;=2025-03-31"),
    COUNTIFS('Form responses 1'!$B$2:$B1001, A47, 'Form responses 1'!$A$2:$A1001, "&gt;=2025-01-01", 'Form responses 1'!$A$2:$A1001, "&lt;=2025-03-31"),
    COUNTIFS('Form responses 1'!$D$2:$D1001, A47, 'Form responses 1'!$A$2:$A1001, "&gt;=2025-01-01", 'Form responses 1'!$A$2:$A1001, "&lt;=2025-03-31"),
    COUNTIFS('Form responses 1'!$E$2:$E1001, A47, 'Form responses 1'!$A$2:$A1001, "&gt;=2025-01-01", 'Form responses 1'!$A$2:$A1001, "&lt;=2025-03-31"),
    COUNTIFS('Form responses 1'!$F$2:$F1001, A47, 'Form responses 1'!$A$2:$A1001, "&gt;=2025-01-01", 'Form responses 1'!$A$2:$A1001, "&lt;=2025-03-31"),
    COUNTIFS('Form responses 1'!$G$2:$G1001, A47, 'Form responses 1'!$A$2:$A1001, "&gt;=2025-01-01", 'Form responses 1'!$A$2:$A1001, "&lt;=2025-03-31")
)
</f>
        <v>5</v>
      </c>
      <c r="N47" s="2">
        <f>SUM(
    COUNTIFS('Form responses 1'!$C$2:$C1001, A47, 'Form responses 1'!$A$2:$A1001, "&gt;=2025-04-01", 'Form responses 1'!$A$2:$A1001, "&lt;2025-07-01"),
    COUNTIFS('Form responses 1'!$B$2:$B1001, A47, 'Form responses 1'!$A$2:$A1001, "&gt;=2025-04-01", 'Form responses 1'!$A$2:$A1001, "&lt;2025-07-01"),
    COUNTIFS('Form responses 1'!$D$2:$D1001, A47, 'Form responses 1'!$A$2:$A1001, "&gt;=2025-04-01", 'Form responses 1'!$A$2:$A1001, "&lt;2025-07-01"),
    COUNTIFS('Form responses 1'!$E$2:$E1001, A47, 'Form responses 1'!$A$2:$A1001, "&gt;=2025-04-01", 'Form responses 1'!$A$2:$A1001, "&lt;2025-07-01"),
    COUNTIFS('Form responses 1'!$F$2:$F1001, A47, 'Form responses 1'!$A$2:$A1001, "&gt;=2025-04-01", 'Form responses 1'!$A$2:$A1001, "&lt;2025-07-01"),
    COUNTIFS('Form responses 1'!$G$2:$G1001, A47, 'Form responses 1'!$A$2:$A1001, "&gt;=2025-04-01", 'Form responses 1'!$A$2:$A1001, "&lt;2025-07-01")
)
</f>
        <v>2</v>
      </c>
      <c r="O47" s="2">
        <f>SUM(
    COUNTIFS('Form responses 1'!$C$2:$C1001, A47, 'Form responses 1'!$A$2:$A1001, "&gt;=2025-07-01", 'Form responses 1'!$A$2:$A1001, "&lt;=2025-09-30"),
    COUNTIFS('Form responses 1'!$B$2:$B1001, A47, 'Form responses 1'!$A$2:$A1001, "&gt;=2025-07-01", 'Form responses 1'!$A$2:$A1001, "&lt;=2025-09-30"),
    COUNTIFS('Form responses 1'!$D$2:$D1001, A47, 'Form responses 1'!$A$2:$A1001, "&gt;=2025-07-01", 'Form responses 1'!$A$2:$A1001, "&lt;=2025-09-30"),
    COUNTIFS('Form responses 1'!$E$2:$E1001, A47, 'Form responses 1'!$A$2:$A1001, "&gt;=2025-07-01", 'Form responses 1'!$A$2:$A1001, "&lt;=2025-09-30"),
    COUNTIFS('Form responses 1'!$F$2:$F1001, A47, 'Form responses 1'!$A$2:$A1001, "&gt;=2025-07-01", 'Form responses 1'!$A$2:$A1001, "&lt;=2025-09-30"),
    COUNTIFS('Form responses 1'!$G$2:$G1001, A47, 'Form responses 1'!$A$2:$A1001, "&gt;=2025-07-01", 'Form responses 1'!$A$2:$A1001, "&lt;=2025-09-30")
)
</f>
        <v>0</v>
      </c>
      <c r="P47" s="2">
        <f>SUM(
    COUNTIFS('Form responses 1'!$C$2:$C1001, A47, 'Form responses 1'!$A$2:$A1001, "&gt;=2025-10-01", 'Form responses 1'!$A$2:$A1001, "&lt;=2025-12-31"),
    COUNTIFS('Form responses 1'!$B$2:$B1001, A47, 'Form responses 1'!$A$2:$A1001, "&gt;=2025-10-01", 'Form responses 1'!$A$2:$A1001, "&lt;=2025-12-31"),
    COUNTIFS('Form responses 1'!$D$2:$D1001, A47, 'Form responses 1'!$A$2:$A1001, "&gt;=2025-10-01", 'Form responses 1'!$A$2:$A1001, "&lt;=2025-12-31"),
    COUNTIFS('Form responses 1'!$E$2:$E1001, A47, 'Form responses 1'!$A$2:$A1001, "&gt;=2025-10-01", 'Form responses 1'!$A$2:$A1001, "&lt;=2025-12-31"),
    COUNTIFS('Form responses 1'!$F$2:$F1001, A47, 'Form responses 1'!$A$2:$A1001, "&gt;=2025-10-01", 'Form responses 1'!$A$2:$A1001, "&lt;=2025-12-31"),
    COUNTIFS('Form responses 1'!$G$2:$G1001, A47, 'Form responses 1'!$A$2:$A1001, "&gt;=2025-10-01", 'Form responses 1'!$A$2:$A1001, "&lt;=2025-12-31")
)
</f>
        <v>6</v>
      </c>
    </row>
    <row r="48">
      <c r="A48" s="3" t="str">
        <f>IFERROR(__xludf.DUMMYFUNCTION("""COMPUTED_VALUE"""),"Rode Sweater")</f>
        <v>Rode Sweater</v>
      </c>
      <c r="B48" s="2">
        <f>SUM(
    COUNTIFS('Form responses 1'!$C$2:$C1001, A48, 'Form responses 1'!$A$2:$A1001, "&gt;=2022-04-01", 'Form responses 1'!$A$2:$A1001, "&lt;=2022-06-30"),
    COUNTIFS('Form responses 1'!$B$2:$B1001, A48, 'Form responses 1'!$A$2:$A1001, "&gt;=2022-04-01", 'Form responses 1'!$A$2:$A1001, "&lt;=2022-06-30"),
    COUNTIFS('Form responses 1'!$D$2:$D1001, A48, 'Form responses 1'!$A$2:$A1001, "&gt;=2022-04-01", 'Form responses 1'!$A$2:$A1001, "&lt;=2022-06-30"),
    COUNTIFS('Form responses 1'!$E$2:$E1001, A48, 'Form responses 1'!$A$2:$A1001, "&gt;=2022-04-01", 'Form responses 1'!$A$2:$A1001, "&lt;=2022-06-30"),
    COUNTIFS('Form responses 1'!$F$2:$F1001, A48, 'Form responses 1'!$A$2:$A1001, "&gt;=2022-04-01", 'Form responses 1'!$A$2:$A1001, "&lt;=2022-06-30"),
    COUNTIFS('Form responses 1'!$G$2:$G1001, A48, 'Form responses 1'!$A$2:$A1001, "&gt;=2022-04-01", 'Form responses 1'!$A$2:$A1001, "&lt;=2022-06-30")
)
</f>
        <v>0</v>
      </c>
      <c r="C48" s="2">
        <f>SUM(
    COUNTIFS('Form responses 1'!$C$2:$C1001, A48, 'Form responses 1'!$A$2:$A1001, "&gt;=2022-07-01", 'Form responses 1'!$A$2:$A1001, "&lt;=2022-09-30"),
    COUNTIFS('Form responses 1'!$B$2:$B1001, A48, 'Form responses 1'!$A$2:$A1001, "&gt;=2022-07-01", 'Form responses 1'!$A$2:$A1001, "&lt;=2022-09-30"),
    COUNTIFS('Form responses 1'!$D$2:$D1001, A48, 'Form responses 1'!$A$2:$A1001, "&gt;=2022-07-01", 'Form responses 1'!$A$2:$A1001, "&lt;=2022-09-30"),
    COUNTIFS('Form responses 1'!$E$2:$E1001, A48, 'Form responses 1'!$A$2:$A1001, "&gt;=2022-07-01", 'Form responses 1'!$A$2:$A1001, "&lt;=2022-09-30"),
    COUNTIFS('Form responses 1'!$F$2:$F1001, A48, 'Form responses 1'!$A$2:$A1001, "&gt;=2022-07-01", 'Form responses 1'!$A$2:$A1001, "&lt;=2022-09-30"),
    COUNTIFS('Form responses 1'!$G$2:$G1001, A48, 'Form responses 1'!$A$2:$A1001, "&gt;=2022-07-01", 'Form responses 1'!$A$2:$A1001, "&lt;=2022-09-30")
)
</f>
        <v>0</v>
      </c>
      <c r="D48" s="2">
        <f>SUM(
    COUNTIFS('Form responses 1'!$C$2:$C1001, A48, 'Form responses 1'!$A$2:$A1001, "&gt;=2022-10-01", 'Form responses 1'!$A$2:$A1001, "&lt;=2022-12-31"),
    COUNTIFS('Form responses 1'!$B$2:$B1001, A48, 'Form responses 1'!$A$2:$A1001, "&gt;=2022-10-01", 'Form responses 1'!$A$2:$A1001, "&lt;=2022-12-31"),
    COUNTIFS('Form responses 1'!$D$2:$D1001, A48, 'Form responses 1'!$A$2:$A1001, "&gt;=2022-10-01", 'Form responses 1'!$A$2:$A1001, "&lt;=2022-12-31"),
    COUNTIFS('Form responses 1'!$E$2:$E1001, A48, 'Form responses 1'!$A$2:$A1001, "&gt;=2022-10-01", 'Form responses 1'!$A$2:$A1001, "&lt;=2022-12-31"),
    COUNTIFS('Form responses 1'!$F$2:$F1001, A48, 'Form responses 1'!$A$2:$A1001, "&gt;=2022-10-01", 'Form responses 1'!$A$2:$A1001, "&lt;=2022-12-31"),
    COUNTIFS('Form responses 1'!$G$2:$G1001, A48, 'Form responses 1'!$A$2:$A1001, "&gt;=2022-10-01", 'Form responses 1'!$A$2:$A1001, "&lt;=2022-12-31")
)
</f>
        <v>0</v>
      </c>
      <c r="E48" s="2">
        <f>SUM(
    COUNTIFS('Form responses 1'!$C$2:$C1001, A48, 'Form responses 1'!$A$2:$A1001, "&gt;=2023-01-01", 'Form responses 1'!$A$2:$A1001, "&lt;=2023-03-31"),
    COUNTIFS('Form responses 1'!$B$2:$B1001, A48, 'Form responses 1'!$A$2:$A1001, "&gt;=2023-01-01", 'Form responses 1'!$A$2:$A1001, "&lt;=2023-03-31"),
    COUNTIFS('Form responses 1'!$D$2:$D1001, A48, 'Form responses 1'!$A$2:$A1001, "&gt;=2023-01-01", 'Form responses 1'!$A$2:$A1001, "&lt;=2023-03-31"),
    COUNTIFS('Form responses 1'!$E$2:$E1001, A48, 'Form responses 1'!$A$2:$A1001, "&gt;=2023-01-01", 'Form responses 1'!$A$2:$A1001, "&lt;=2023-03-31"),
    COUNTIFS('Form responses 1'!$F$2:$F1001, A48, 'Form responses 1'!$A$2:$A1001, "&gt;=2023-01-01", 'Form responses 1'!$A$2:$A1001, "&lt;=2023-03-31"),
    COUNTIFS('Form responses 1'!$G$2:$G1001, A48, 'Form responses 1'!$A$2:$A1001, "&gt;=2023-01-01", 'Form responses 1'!$A$2:$A1001, "&lt;=2023-03-31")
)
</f>
        <v>0</v>
      </c>
      <c r="F48" s="2">
        <f>SUM(
    COUNTIFS('Form responses 1'!$C$2:$C1001, A48, 'Form responses 1'!$A$2:$A1001, "&gt;=2023-04-01", 'Form responses 1'!$A$2:$A1001, "&lt;=2023-06-30"),
    COUNTIFS('Form responses 1'!$B$2:$B1001, A48, 'Form responses 1'!$A$2:$A1001, "&gt;=2023-04-01", 'Form responses 1'!$A$2:$A1001, "&lt;=2023-06-30"),
    COUNTIFS('Form responses 1'!$D$2:$D1001, A48, 'Form responses 1'!$A$2:$A1001, "&gt;=2023-04-01", 'Form responses 1'!$A$2:$A1001, "&lt;=2023-06-30"),
    COUNTIFS('Form responses 1'!$E$2:$E1001, A48, 'Form responses 1'!$A$2:$A1001, "&gt;=2023-04-01", 'Form responses 1'!$A$2:$A1001, "&lt;=2023-06-30"),
    COUNTIFS('Form responses 1'!$F$2:$F1001, A48, 'Form responses 1'!$A$2:$A1001, "&gt;=2023-04-01", 'Form responses 1'!$A$2:$A1001, "&lt;=2023-06-30"),
    COUNTIFS('Form responses 1'!$G$2:$G1001, A48, 'Form responses 1'!$A$2:$A1001, "&gt;=2023-04-01", 'Form responses 1'!$A$2:$A1001, "&lt;=2023-06-30")
)
</f>
        <v>0</v>
      </c>
      <c r="G48" s="2">
        <f>SUM(
    COUNTIFS('Form responses 1'!$C$2:$C1001, A48, 'Form responses 1'!$A$2:$A1001, "&gt;=2023-07-01", 'Form responses 1'!$A$2:$A1001, "&lt;=2023-09-30"),
    COUNTIFS('Form responses 1'!$B$2:$B1001, A48, 'Form responses 1'!$A$2:$A1001, "&gt;=2023-07-01", 'Form responses 1'!$A$2:$A1001, "&lt;=2023-09-30"),
    COUNTIFS('Form responses 1'!$D$2:$D1001, A48, 'Form responses 1'!$A$2:$A1001, "&gt;=2023-07-01", 'Form responses 1'!$A$2:$A1001, "&lt;=2023-09-30"),
    COUNTIFS('Form responses 1'!$E$2:$E1001, A48, 'Form responses 1'!$A$2:$A1001, "&gt;=2023-07-01", 'Form responses 1'!$A$2:$A1001, "&lt;=2023-09-30"),
    COUNTIFS('Form responses 1'!$F$2:$F1001, A48, 'Form responses 1'!$A$2:$A1001, "&gt;=2023-07-01", 'Form responses 1'!$A$2:$A1001, "&lt;=2023-09-30"),
    COUNTIFS('Form responses 1'!$G$2:$G1001, A48, 'Form responses 1'!$A$2:$A1001, "&gt;=2023-07-01", 'Form responses 1'!$A$2:$A1001, "&lt;=2023-09-30")
)
</f>
        <v>0</v>
      </c>
      <c r="H48" s="2">
        <f>SUM(
    COUNTIFS('Form responses 1'!$C$2:$C1001, A48, 'Form responses 1'!$A$2:$A1001, "&gt;=2023-10-01", 'Form responses 1'!$A$2:$A1001, "&lt;=2023-12-31"),
    COUNTIFS('Form responses 1'!$B$2:$B1001, A48, 'Form responses 1'!$A$2:$A1001, "&gt;=2023-10-01", 'Form responses 1'!$A$2:$A1001, "&lt;=2023-12-31"),
    COUNTIFS('Form responses 1'!$D$2:$D1001, A48, 'Form responses 1'!$A$2:$A1001, "&gt;=2023-10-01", 'Form responses 1'!$A$2:$A1001, "&lt;=2023-12-31"),
    COUNTIFS('Form responses 1'!$E$2:$E1001, A48, 'Form responses 1'!$A$2:$A1001, "&gt;=2023-10-01", 'Form responses 1'!$A$2:$A1001, "&lt;=2023-12-31"),
    COUNTIFS('Form responses 1'!$F$2:$F1001, A48, 'Form responses 1'!$A$2:$A1001, "&gt;=2023-10-01", 'Form responses 1'!$A$2:$A1001, "&lt;=2023-12-31"),
    COUNTIFS('Form responses 1'!$G$2:$G1001, A48, 'Form responses 1'!$A$2:$A1001, "&gt;=2023-10-01", 'Form responses 1'!$A$2:$A1001, "&lt;=2023-12-31")
)
</f>
        <v>7</v>
      </c>
      <c r="I48" s="2">
        <f>SUM(
    COUNTIFS('Form responses 1'!$C$2:$C1001, A48, 'Form responses 1'!$A$2:$A1001, "&gt;=2024-01-01", 'Form responses 1'!$A$2:$A1001, "&lt;=2024-03-31"),
    COUNTIFS('Form responses 1'!$B$2:$B1001, A48, 'Form responses 1'!$A$2:$A1001, "&gt;=2024-01-01", 'Form responses 1'!$A$2:$A1001, "&lt;=2024-03-31"),
    COUNTIFS('Form responses 1'!$D$2:$D1001, A48, 'Form responses 1'!$A$2:$A1001, "&gt;=2024-01-01", 'Form responses 1'!$A$2:$A1001, "&lt;=2024-03-31"),
    COUNTIFS('Form responses 1'!$E$2:$E1001, A48, 'Form responses 1'!$A$2:$A1001, "&gt;=2024-01-01", 'Form responses 1'!$A$2:$A1001, "&lt;=2024-03-31"),
    COUNTIFS('Form responses 1'!$F$2:$F1001, A48, 'Form responses 1'!$A$2:$A1001, "&gt;=2024-01-01", 'Form responses 1'!$A$2:$A1001, "&lt;=2024-03-31"),
    COUNTIFS('Form responses 1'!$G$2:$G1001, A48, 'Form responses 1'!$A$2:$A1001, "&gt;=2024-01-01", 'Form responses 1'!$A$2:$A1001, "&lt;=2024-03-31")
)
</f>
        <v>13</v>
      </c>
      <c r="J48" s="2">
        <f>SUM(
    COUNTIFS('Form responses 1'!$C$2:$C1001, A48, 'Form responses 1'!$A$2:$A1001, "&gt;=2024-04-01", 'Form responses 1'!$A$2:$A1001, "&lt;=2024-06-30"),
    COUNTIFS('Form responses 1'!$B$2:$B1001, A48, 'Form responses 1'!$A$2:$A1001, "&gt;=2024-04-01", 'Form responses 1'!$A$2:$A1001, "&lt;=2024-06-30"),
    COUNTIFS('Form responses 1'!$D$2:$D1001, A48, 'Form responses 1'!$A$2:$A1001, "&gt;=2024-04-01", 'Form responses 1'!$A$2:$A1001, "&lt;=2024-06-30"),
    COUNTIFS('Form responses 1'!$E$2:$E1001, A48, 'Form responses 1'!$A$2:$A1001, "&gt;=2024-04-01", 'Form responses 1'!$A$2:$A1001, "&lt;=2024-06-30"),
    COUNTIFS('Form responses 1'!$F$2:$F1001, A48, 'Form responses 1'!$A$2:$A1001, "&gt;=2024-04-01", 'Form responses 1'!$A$2:$A1001, "&lt;=2024-06-30"),
    COUNTIFS('Form responses 1'!$G$2:$G1001, A48, 'Form responses 1'!$A$2:$A1001, "&gt;=2024-04-01", 'Form responses 1'!$A$2:$A1001, "&lt;=2024-06-30")
)
</f>
        <v>14</v>
      </c>
      <c r="K48" s="2">
        <f>SUM(
    COUNTIFS('Form responses 1'!$C$2:$C1001, A48, 'Form responses 1'!$A$2:$A1001, "&gt;=2024-07-01", 'Form responses 1'!$A$2:$A1001, "&lt;=2024-09-30"),
    COUNTIFS('Form responses 1'!$B$2:$B1001, A48, 'Form responses 1'!$A$2:$A1001, "&gt;=2024-07-01", 'Form responses 1'!$A$2:$A1001, "&lt;=2024-09-30"),
    COUNTIFS('Form responses 1'!$D$2:$D1001, A48, 'Form responses 1'!$A$2:$A1001, "&gt;=2024-07-01", 'Form responses 1'!$A$2:$A1001, "&lt;=2024-09-30"),
    COUNTIFS('Form responses 1'!$E$2:$E1001, A48, 'Form responses 1'!$A$2:$A1001, "&gt;=2024-07-01", 'Form responses 1'!$A$2:$A1001, "&lt;=2024-09-30"),
    COUNTIFS('Form responses 1'!$F$2:$F1001, A48, 'Form responses 1'!$A$2:$A1001, "&gt;=2024-07-01", 'Form responses 1'!$A$2:$A1001, "&lt;=2024-09-30"),
    COUNTIFS('Form responses 1'!$G$2:$G1001, A48, 'Form responses 1'!$A$2:$A1001, "&gt;=2024-07-01", 'Form responses 1'!$A$2:$A1001, "&lt;=2024-09-30")
)
</f>
        <v>6</v>
      </c>
      <c r="L48" s="2">
        <f>SUM(
    COUNTIFS('Form responses 1'!$C$2:$C1001, A48, 'Form responses 1'!$A$2:$A1001, "&gt;=2024-10-01", 'Form responses 1'!$A$2:$A1001, "&lt;=2024-12-31"),
    COUNTIFS('Form responses 1'!$B$2:$B1001, A48, 'Form responses 1'!$A$2:$A1001, "&gt;=2024-10-01", 'Form responses 1'!$A$2:$A1001, "&lt;=2024-12-31"),
    COUNTIFS('Form responses 1'!$D$2:$D1001, A48, 'Form responses 1'!$A$2:$A1001, "&gt;=2024-10-01", 'Form responses 1'!$A$2:$A1001, "&lt;=2024-12-31"),
    COUNTIFS('Form responses 1'!$E$2:$E1001, A48, 'Form responses 1'!$A$2:$A1001, "&gt;=2024-10-01", 'Form responses 1'!$A$2:$A1001, "&lt;=2024-12-31"),
    COUNTIFS('Form responses 1'!$F$2:$F1001, A48, 'Form responses 1'!$A$2:$A1001, "&gt;=2024-10-01", 'Form responses 1'!$A$2:$A1001, "&lt;=2024-12-31"),
    COUNTIFS('Form responses 1'!$G$2:$G1001, A48, 'Form responses 1'!$A$2:$A1001, "&gt;=2024-10-01", 'Form responses 1'!$A$2:$A1001, "&lt;=2024-12-31")
)
</f>
        <v>4</v>
      </c>
      <c r="M48" s="2">
        <f>SUM(
    COUNTIFS('Form responses 1'!$C$2:$C1001, A48, 'Form responses 1'!$A$2:$A1001, "&gt;=2025-01-01", 'Form responses 1'!$A$2:$A1001, "&lt;=2025-03-31"),
    COUNTIFS('Form responses 1'!$B$2:$B1001, A48, 'Form responses 1'!$A$2:$A1001, "&gt;=2025-01-01", 'Form responses 1'!$A$2:$A1001, "&lt;=2025-03-31"),
    COUNTIFS('Form responses 1'!$D$2:$D1001, A48, 'Form responses 1'!$A$2:$A1001, "&gt;=2025-01-01", 'Form responses 1'!$A$2:$A1001, "&lt;=2025-03-31"),
    COUNTIFS('Form responses 1'!$E$2:$E1001, A48, 'Form responses 1'!$A$2:$A1001, "&gt;=2025-01-01", 'Form responses 1'!$A$2:$A1001, "&lt;=2025-03-31"),
    COUNTIFS('Form responses 1'!$F$2:$F1001, A48, 'Form responses 1'!$A$2:$A1001, "&gt;=2025-01-01", 'Form responses 1'!$A$2:$A1001, "&lt;=2025-03-31"),
    COUNTIFS('Form responses 1'!$G$2:$G1001, A48, 'Form responses 1'!$A$2:$A1001, "&gt;=2025-01-01", 'Form responses 1'!$A$2:$A1001, "&lt;=2025-03-31")
)
</f>
        <v>18</v>
      </c>
      <c r="N48" s="2">
        <f>SUM(
    COUNTIFS('Form responses 1'!$C$2:$C1001, A48, 'Form responses 1'!$A$2:$A1001, "&gt;=2025-04-01", 'Form responses 1'!$A$2:$A1001, "&lt;2025-07-01"),
    COUNTIFS('Form responses 1'!$B$2:$B1001, A48, 'Form responses 1'!$A$2:$A1001, "&gt;=2025-04-01", 'Form responses 1'!$A$2:$A1001, "&lt;2025-07-01"),
    COUNTIFS('Form responses 1'!$D$2:$D1001, A48, 'Form responses 1'!$A$2:$A1001, "&gt;=2025-04-01", 'Form responses 1'!$A$2:$A1001, "&lt;2025-07-01"),
    COUNTIFS('Form responses 1'!$E$2:$E1001, A48, 'Form responses 1'!$A$2:$A1001, "&gt;=2025-04-01", 'Form responses 1'!$A$2:$A1001, "&lt;2025-07-01"),
    COUNTIFS('Form responses 1'!$F$2:$F1001, A48, 'Form responses 1'!$A$2:$A1001, "&gt;=2025-04-01", 'Form responses 1'!$A$2:$A1001, "&lt;2025-07-01"),
    COUNTIFS('Form responses 1'!$G$2:$G1001, A48, 'Form responses 1'!$A$2:$A1001, "&gt;=2025-04-01", 'Form responses 1'!$A$2:$A1001, "&lt;2025-07-01")
)
</f>
        <v>4</v>
      </c>
      <c r="O48" s="2">
        <f>SUM(
    COUNTIFS('Form responses 1'!$C$2:$C1001, A48, 'Form responses 1'!$A$2:$A1001, "&gt;=2025-07-01", 'Form responses 1'!$A$2:$A1001, "&lt;=2025-09-30"),
    COUNTIFS('Form responses 1'!$B$2:$B1001, A48, 'Form responses 1'!$A$2:$A1001, "&gt;=2025-07-01", 'Form responses 1'!$A$2:$A1001, "&lt;=2025-09-30"),
    COUNTIFS('Form responses 1'!$D$2:$D1001, A48, 'Form responses 1'!$A$2:$A1001, "&gt;=2025-07-01", 'Form responses 1'!$A$2:$A1001, "&lt;=2025-09-30"),
    COUNTIFS('Form responses 1'!$E$2:$E1001, A48, 'Form responses 1'!$A$2:$A1001, "&gt;=2025-07-01", 'Form responses 1'!$A$2:$A1001, "&lt;=2025-09-30"),
    COUNTIFS('Form responses 1'!$F$2:$F1001, A48, 'Form responses 1'!$A$2:$A1001, "&gt;=2025-07-01", 'Form responses 1'!$A$2:$A1001, "&lt;=2025-09-30"),
    COUNTIFS('Form responses 1'!$G$2:$G1001, A48, 'Form responses 1'!$A$2:$A1001, "&gt;=2025-07-01", 'Form responses 1'!$A$2:$A1001, "&lt;=2025-09-30")
)
</f>
        <v>10</v>
      </c>
      <c r="P48" s="2">
        <f>SUM(
    COUNTIFS('Form responses 1'!$C$2:$C1001, A48, 'Form responses 1'!$A$2:$A1001, "&gt;=2025-10-01", 'Form responses 1'!$A$2:$A1001, "&lt;=2025-12-31"),
    COUNTIFS('Form responses 1'!$B$2:$B1001, A48, 'Form responses 1'!$A$2:$A1001, "&gt;=2025-10-01", 'Form responses 1'!$A$2:$A1001, "&lt;=2025-12-31"),
    COUNTIFS('Form responses 1'!$D$2:$D1001, A48, 'Form responses 1'!$A$2:$A1001, "&gt;=2025-10-01", 'Form responses 1'!$A$2:$A1001, "&lt;=2025-12-31"),
    COUNTIFS('Form responses 1'!$E$2:$E1001, A48, 'Form responses 1'!$A$2:$A1001, "&gt;=2025-10-01", 'Form responses 1'!$A$2:$A1001, "&lt;=2025-12-31"),
    COUNTIFS('Form responses 1'!$F$2:$F1001, A48, 'Form responses 1'!$A$2:$A1001, "&gt;=2025-10-01", 'Form responses 1'!$A$2:$A1001, "&lt;=2025-12-31"),
    COUNTIFS('Form responses 1'!$G$2:$G1001, A48, 'Form responses 1'!$A$2:$A1001, "&gt;=2025-10-01", 'Form responses 1'!$A$2:$A1001, "&lt;=2025-12-31")
)
</f>
        <v>10</v>
      </c>
    </row>
    <row r="49">
      <c r="A49" s="3" t="str">
        <f>IFERROR(__xludf.DUMMYFUNCTION("""COMPUTED_VALUE"""),"Grijze Uniqlo sweater")</f>
        <v>Grijze Uniqlo sweater</v>
      </c>
      <c r="B49" s="2">
        <f>SUM(
    COUNTIFS('Form responses 1'!$C$2:$C1001, A49, 'Form responses 1'!$A$2:$A1001, "&gt;=2022-04-01", 'Form responses 1'!$A$2:$A1001, "&lt;=2022-06-30"),
    COUNTIFS('Form responses 1'!$B$2:$B1001, A49, 'Form responses 1'!$A$2:$A1001, "&gt;=2022-04-01", 'Form responses 1'!$A$2:$A1001, "&lt;=2022-06-30"),
    COUNTIFS('Form responses 1'!$D$2:$D1001, A49, 'Form responses 1'!$A$2:$A1001, "&gt;=2022-04-01", 'Form responses 1'!$A$2:$A1001, "&lt;=2022-06-30"),
    COUNTIFS('Form responses 1'!$E$2:$E1001, A49, 'Form responses 1'!$A$2:$A1001, "&gt;=2022-04-01", 'Form responses 1'!$A$2:$A1001, "&lt;=2022-06-30"),
    COUNTIFS('Form responses 1'!$F$2:$F1001, A49, 'Form responses 1'!$A$2:$A1001, "&gt;=2022-04-01", 'Form responses 1'!$A$2:$A1001, "&lt;=2022-06-30"),
    COUNTIFS('Form responses 1'!$G$2:$G1001, A49, 'Form responses 1'!$A$2:$A1001, "&gt;=2022-04-01", 'Form responses 1'!$A$2:$A1001, "&lt;=2022-06-30")
)
</f>
        <v>0</v>
      </c>
      <c r="C49" s="2">
        <f>SUM(
    COUNTIFS('Form responses 1'!$C$2:$C1001, A49, 'Form responses 1'!$A$2:$A1001, "&gt;=2022-07-01", 'Form responses 1'!$A$2:$A1001, "&lt;=2022-09-30"),
    COUNTIFS('Form responses 1'!$B$2:$B1001, A49, 'Form responses 1'!$A$2:$A1001, "&gt;=2022-07-01", 'Form responses 1'!$A$2:$A1001, "&lt;=2022-09-30"),
    COUNTIFS('Form responses 1'!$D$2:$D1001, A49, 'Form responses 1'!$A$2:$A1001, "&gt;=2022-07-01", 'Form responses 1'!$A$2:$A1001, "&lt;=2022-09-30"),
    COUNTIFS('Form responses 1'!$E$2:$E1001, A49, 'Form responses 1'!$A$2:$A1001, "&gt;=2022-07-01", 'Form responses 1'!$A$2:$A1001, "&lt;=2022-09-30"),
    COUNTIFS('Form responses 1'!$F$2:$F1001, A49, 'Form responses 1'!$A$2:$A1001, "&gt;=2022-07-01", 'Form responses 1'!$A$2:$A1001, "&lt;=2022-09-30"),
    COUNTIFS('Form responses 1'!$G$2:$G1001, A49, 'Form responses 1'!$A$2:$A1001, "&gt;=2022-07-01", 'Form responses 1'!$A$2:$A1001, "&lt;=2022-09-30")
)
</f>
        <v>0</v>
      </c>
      <c r="D49" s="2">
        <f>SUM(
    COUNTIFS('Form responses 1'!$C$2:$C1001, A49, 'Form responses 1'!$A$2:$A1001, "&gt;=2022-10-01", 'Form responses 1'!$A$2:$A1001, "&lt;=2022-12-31"),
    COUNTIFS('Form responses 1'!$B$2:$B1001, A49, 'Form responses 1'!$A$2:$A1001, "&gt;=2022-10-01", 'Form responses 1'!$A$2:$A1001, "&lt;=2022-12-31"),
    COUNTIFS('Form responses 1'!$D$2:$D1001, A49, 'Form responses 1'!$A$2:$A1001, "&gt;=2022-10-01", 'Form responses 1'!$A$2:$A1001, "&lt;=2022-12-31"),
    COUNTIFS('Form responses 1'!$E$2:$E1001, A49, 'Form responses 1'!$A$2:$A1001, "&gt;=2022-10-01", 'Form responses 1'!$A$2:$A1001, "&lt;=2022-12-31"),
    COUNTIFS('Form responses 1'!$F$2:$F1001, A49, 'Form responses 1'!$A$2:$A1001, "&gt;=2022-10-01", 'Form responses 1'!$A$2:$A1001, "&lt;=2022-12-31"),
    COUNTIFS('Form responses 1'!$G$2:$G1001, A49, 'Form responses 1'!$A$2:$A1001, "&gt;=2022-10-01", 'Form responses 1'!$A$2:$A1001, "&lt;=2022-12-31")
)
</f>
        <v>0</v>
      </c>
      <c r="E49" s="2">
        <f>SUM(
    COUNTIFS('Form responses 1'!$C$2:$C1001, A49, 'Form responses 1'!$A$2:$A1001, "&gt;=2023-01-01", 'Form responses 1'!$A$2:$A1001, "&lt;=2023-03-31"),
    COUNTIFS('Form responses 1'!$B$2:$B1001, A49, 'Form responses 1'!$A$2:$A1001, "&gt;=2023-01-01", 'Form responses 1'!$A$2:$A1001, "&lt;=2023-03-31"),
    COUNTIFS('Form responses 1'!$D$2:$D1001, A49, 'Form responses 1'!$A$2:$A1001, "&gt;=2023-01-01", 'Form responses 1'!$A$2:$A1001, "&lt;=2023-03-31"),
    COUNTIFS('Form responses 1'!$E$2:$E1001, A49, 'Form responses 1'!$A$2:$A1001, "&gt;=2023-01-01", 'Form responses 1'!$A$2:$A1001, "&lt;=2023-03-31"),
    COUNTIFS('Form responses 1'!$F$2:$F1001, A49, 'Form responses 1'!$A$2:$A1001, "&gt;=2023-01-01", 'Form responses 1'!$A$2:$A1001, "&lt;=2023-03-31"),
    COUNTIFS('Form responses 1'!$G$2:$G1001, A49, 'Form responses 1'!$A$2:$A1001, "&gt;=2023-01-01", 'Form responses 1'!$A$2:$A1001, "&lt;=2023-03-31")
)
</f>
        <v>0</v>
      </c>
      <c r="F49" s="2">
        <f>SUM(
    COUNTIFS('Form responses 1'!$C$2:$C1001, A49, 'Form responses 1'!$A$2:$A1001, "&gt;=2023-04-01", 'Form responses 1'!$A$2:$A1001, "&lt;=2023-06-30"),
    COUNTIFS('Form responses 1'!$B$2:$B1001, A49, 'Form responses 1'!$A$2:$A1001, "&gt;=2023-04-01", 'Form responses 1'!$A$2:$A1001, "&lt;=2023-06-30"),
    COUNTIFS('Form responses 1'!$D$2:$D1001, A49, 'Form responses 1'!$A$2:$A1001, "&gt;=2023-04-01", 'Form responses 1'!$A$2:$A1001, "&lt;=2023-06-30"),
    COUNTIFS('Form responses 1'!$E$2:$E1001, A49, 'Form responses 1'!$A$2:$A1001, "&gt;=2023-04-01", 'Form responses 1'!$A$2:$A1001, "&lt;=2023-06-30"),
    COUNTIFS('Form responses 1'!$F$2:$F1001, A49, 'Form responses 1'!$A$2:$A1001, "&gt;=2023-04-01", 'Form responses 1'!$A$2:$A1001, "&lt;=2023-06-30"),
    COUNTIFS('Form responses 1'!$G$2:$G1001, A49, 'Form responses 1'!$A$2:$A1001, "&gt;=2023-04-01", 'Form responses 1'!$A$2:$A1001, "&lt;=2023-06-30")
)
</f>
        <v>0</v>
      </c>
      <c r="G49" s="2">
        <f>SUM(
    COUNTIFS('Form responses 1'!$C$2:$C1001, A49, 'Form responses 1'!$A$2:$A1001, "&gt;=2023-07-01", 'Form responses 1'!$A$2:$A1001, "&lt;=2023-09-30"),
    COUNTIFS('Form responses 1'!$B$2:$B1001, A49, 'Form responses 1'!$A$2:$A1001, "&gt;=2023-07-01", 'Form responses 1'!$A$2:$A1001, "&lt;=2023-09-30"),
    COUNTIFS('Form responses 1'!$D$2:$D1001, A49, 'Form responses 1'!$A$2:$A1001, "&gt;=2023-07-01", 'Form responses 1'!$A$2:$A1001, "&lt;=2023-09-30"),
    COUNTIFS('Form responses 1'!$E$2:$E1001, A49, 'Form responses 1'!$A$2:$A1001, "&gt;=2023-07-01", 'Form responses 1'!$A$2:$A1001, "&lt;=2023-09-30"),
    COUNTIFS('Form responses 1'!$F$2:$F1001, A49, 'Form responses 1'!$A$2:$A1001, "&gt;=2023-07-01", 'Form responses 1'!$A$2:$A1001, "&lt;=2023-09-30"),
    COUNTIFS('Form responses 1'!$G$2:$G1001, A49, 'Form responses 1'!$A$2:$A1001, "&gt;=2023-07-01", 'Form responses 1'!$A$2:$A1001, "&lt;=2023-09-30")
)
</f>
        <v>0</v>
      </c>
      <c r="H49" s="2">
        <f>SUM(
    COUNTIFS('Form responses 1'!$C$2:$C1001, A49, 'Form responses 1'!$A$2:$A1001, "&gt;=2023-10-01", 'Form responses 1'!$A$2:$A1001, "&lt;=2023-12-31"),
    COUNTIFS('Form responses 1'!$B$2:$B1001, A49, 'Form responses 1'!$A$2:$A1001, "&gt;=2023-10-01", 'Form responses 1'!$A$2:$A1001, "&lt;=2023-12-31"),
    COUNTIFS('Form responses 1'!$D$2:$D1001, A49, 'Form responses 1'!$A$2:$A1001, "&gt;=2023-10-01", 'Form responses 1'!$A$2:$A1001, "&lt;=2023-12-31"),
    COUNTIFS('Form responses 1'!$E$2:$E1001, A49, 'Form responses 1'!$A$2:$A1001, "&gt;=2023-10-01", 'Form responses 1'!$A$2:$A1001, "&lt;=2023-12-31"),
    COUNTIFS('Form responses 1'!$F$2:$F1001, A49, 'Form responses 1'!$A$2:$A1001, "&gt;=2023-10-01", 'Form responses 1'!$A$2:$A1001, "&lt;=2023-12-31"),
    COUNTIFS('Form responses 1'!$G$2:$G1001, A49, 'Form responses 1'!$A$2:$A1001, "&gt;=2023-10-01", 'Form responses 1'!$A$2:$A1001, "&lt;=2023-12-31")
)
</f>
        <v>0</v>
      </c>
      <c r="I49" s="2">
        <f>SUM(
    COUNTIFS('Form responses 1'!$C$2:$C1001, A49, 'Form responses 1'!$A$2:$A1001, "&gt;=2024-01-01", 'Form responses 1'!$A$2:$A1001, "&lt;=2024-03-31"),
    COUNTIFS('Form responses 1'!$B$2:$B1001, A49, 'Form responses 1'!$A$2:$A1001, "&gt;=2024-01-01", 'Form responses 1'!$A$2:$A1001, "&lt;=2024-03-31"),
    COUNTIFS('Form responses 1'!$D$2:$D1001, A49, 'Form responses 1'!$A$2:$A1001, "&gt;=2024-01-01", 'Form responses 1'!$A$2:$A1001, "&lt;=2024-03-31"),
    COUNTIFS('Form responses 1'!$E$2:$E1001, A49, 'Form responses 1'!$A$2:$A1001, "&gt;=2024-01-01", 'Form responses 1'!$A$2:$A1001, "&lt;=2024-03-31"),
    COUNTIFS('Form responses 1'!$F$2:$F1001, A49, 'Form responses 1'!$A$2:$A1001, "&gt;=2024-01-01", 'Form responses 1'!$A$2:$A1001, "&lt;=2024-03-31"),
    COUNTIFS('Form responses 1'!$G$2:$G1001, A49, 'Form responses 1'!$A$2:$A1001, "&gt;=2024-01-01", 'Form responses 1'!$A$2:$A1001, "&lt;=2024-03-31")
)
</f>
        <v>0</v>
      </c>
      <c r="J49" s="2">
        <f>SUM(
    COUNTIFS('Form responses 1'!$C$2:$C1001, A49, 'Form responses 1'!$A$2:$A1001, "&gt;=2024-04-01", 'Form responses 1'!$A$2:$A1001, "&lt;=2024-06-30"),
    COUNTIFS('Form responses 1'!$B$2:$B1001, A49, 'Form responses 1'!$A$2:$A1001, "&gt;=2024-04-01", 'Form responses 1'!$A$2:$A1001, "&lt;=2024-06-30"),
    COUNTIFS('Form responses 1'!$D$2:$D1001, A49, 'Form responses 1'!$A$2:$A1001, "&gt;=2024-04-01", 'Form responses 1'!$A$2:$A1001, "&lt;=2024-06-30"),
    COUNTIFS('Form responses 1'!$E$2:$E1001, A49, 'Form responses 1'!$A$2:$A1001, "&gt;=2024-04-01", 'Form responses 1'!$A$2:$A1001, "&lt;=2024-06-30"),
    COUNTIFS('Form responses 1'!$F$2:$F1001, A49, 'Form responses 1'!$A$2:$A1001, "&gt;=2024-04-01", 'Form responses 1'!$A$2:$A1001, "&lt;=2024-06-30"),
    COUNTIFS('Form responses 1'!$G$2:$G1001, A49, 'Form responses 1'!$A$2:$A1001, "&gt;=2024-04-01", 'Form responses 1'!$A$2:$A1001, "&lt;=2024-06-30")
)
</f>
        <v>0</v>
      </c>
      <c r="K49" s="2">
        <f>SUM(
    COUNTIFS('Form responses 1'!$C$2:$C1001, A49, 'Form responses 1'!$A$2:$A1001, "&gt;=2024-07-01", 'Form responses 1'!$A$2:$A1001, "&lt;=2024-09-30"),
    COUNTIFS('Form responses 1'!$B$2:$B1001, A49, 'Form responses 1'!$A$2:$A1001, "&gt;=2024-07-01", 'Form responses 1'!$A$2:$A1001, "&lt;=2024-09-30"),
    COUNTIFS('Form responses 1'!$D$2:$D1001, A49, 'Form responses 1'!$A$2:$A1001, "&gt;=2024-07-01", 'Form responses 1'!$A$2:$A1001, "&lt;=2024-09-30"),
    COUNTIFS('Form responses 1'!$E$2:$E1001, A49, 'Form responses 1'!$A$2:$A1001, "&gt;=2024-07-01", 'Form responses 1'!$A$2:$A1001, "&lt;=2024-09-30"),
    COUNTIFS('Form responses 1'!$F$2:$F1001, A49, 'Form responses 1'!$A$2:$A1001, "&gt;=2024-07-01", 'Form responses 1'!$A$2:$A1001, "&lt;=2024-09-30"),
    COUNTIFS('Form responses 1'!$G$2:$G1001, A49, 'Form responses 1'!$A$2:$A1001, "&gt;=2024-07-01", 'Form responses 1'!$A$2:$A1001, "&lt;=2024-09-30")
)
</f>
        <v>0</v>
      </c>
      <c r="L49" s="2">
        <f>SUM(
    COUNTIFS('Form responses 1'!$C$2:$C1001, A49, 'Form responses 1'!$A$2:$A1001, "&gt;=2024-10-01", 'Form responses 1'!$A$2:$A1001, "&lt;=2024-12-31"),
    COUNTIFS('Form responses 1'!$B$2:$B1001, A49, 'Form responses 1'!$A$2:$A1001, "&gt;=2024-10-01", 'Form responses 1'!$A$2:$A1001, "&lt;=2024-12-31"),
    COUNTIFS('Form responses 1'!$D$2:$D1001, A49, 'Form responses 1'!$A$2:$A1001, "&gt;=2024-10-01", 'Form responses 1'!$A$2:$A1001, "&lt;=2024-12-31"),
    COUNTIFS('Form responses 1'!$E$2:$E1001, A49, 'Form responses 1'!$A$2:$A1001, "&gt;=2024-10-01", 'Form responses 1'!$A$2:$A1001, "&lt;=2024-12-31"),
    COUNTIFS('Form responses 1'!$F$2:$F1001, A49, 'Form responses 1'!$A$2:$A1001, "&gt;=2024-10-01", 'Form responses 1'!$A$2:$A1001, "&lt;=2024-12-31"),
    COUNTIFS('Form responses 1'!$G$2:$G1001, A49, 'Form responses 1'!$A$2:$A1001, "&gt;=2024-10-01", 'Form responses 1'!$A$2:$A1001, "&lt;=2024-12-31")
)
</f>
        <v>0</v>
      </c>
      <c r="M49" s="2">
        <f>SUM(
    COUNTIFS('Form responses 1'!$C$2:$C1001, A49, 'Form responses 1'!$A$2:$A1001, "&gt;=2025-01-01", 'Form responses 1'!$A$2:$A1001, "&lt;=2025-03-31"),
    COUNTIFS('Form responses 1'!$B$2:$B1001, A49, 'Form responses 1'!$A$2:$A1001, "&gt;=2025-01-01", 'Form responses 1'!$A$2:$A1001, "&lt;=2025-03-31"),
    COUNTIFS('Form responses 1'!$D$2:$D1001, A49, 'Form responses 1'!$A$2:$A1001, "&gt;=2025-01-01", 'Form responses 1'!$A$2:$A1001, "&lt;=2025-03-31"),
    COUNTIFS('Form responses 1'!$E$2:$E1001, A49, 'Form responses 1'!$A$2:$A1001, "&gt;=2025-01-01", 'Form responses 1'!$A$2:$A1001, "&lt;=2025-03-31"),
    COUNTIFS('Form responses 1'!$F$2:$F1001, A49, 'Form responses 1'!$A$2:$A1001, "&gt;=2025-01-01", 'Form responses 1'!$A$2:$A1001, "&lt;=2025-03-31"),
    COUNTIFS('Form responses 1'!$G$2:$G1001, A49, 'Form responses 1'!$A$2:$A1001, "&gt;=2025-01-01", 'Form responses 1'!$A$2:$A1001, "&lt;=2025-03-31")
)
</f>
        <v>8</v>
      </c>
      <c r="N49" s="2">
        <f>SUM(
    COUNTIFS('Form responses 1'!$C$2:$C1001, A49, 'Form responses 1'!$A$2:$A1001, "&gt;=2025-04-01", 'Form responses 1'!$A$2:$A1001, "&lt;2025-07-01"),
    COUNTIFS('Form responses 1'!$B$2:$B1001, A49, 'Form responses 1'!$A$2:$A1001, "&gt;=2025-04-01", 'Form responses 1'!$A$2:$A1001, "&lt;2025-07-01"),
    COUNTIFS('Form responses 1'!$D$2:$D1001, A49, 'Form responses 1'!$A$2:$A1001, "&gt;=2025-04-01", 'Form responses 1'!$A$2:$A1001, "&lt;2025-07-01"),
    COUNTIFS('Form responses 1'!$E$2:$E1001, A49, 'Form responses 1'!$A$2:$A1001, "&gt;=2025-04-01", 'Form responses 1'!$A$2:$A1001, "&lt;2025-07-01"),
    COUNTIFS('Form responses 1'!$F$2:$F1001, A49, 'Form responses 1'!$A$2:$A1001, "&gt;=2025-04-01", 'Form responses 1'!$A$2:$A1001, "&lt;2025-07-01"),
    COUNTIFS('Form responses 1'!$G$2:$G1001, A49, 'Form responses 1'!$A$2:$A1001, "&gt;=2025-04-01", 'Form responses 1'!$A$2:$A1001, "&lt;2025-07-01")
)
</f>
        <v>2</v>
      </c>
      <c r="O49" s="2">
        <f>SUM(
    COUNTIFS('Form responses 1'!$C$2:$C1001, A49, 'Form responses 1'!$A$2:$A1001, "&gt;=2025-07-01", 'Form responses 1'!$A$2:$A1001, "&lt;=2025-09-30"),
    COUNTIFS('Form responses 1'!$B$2:$B1001, A49, 'Form responses 1'!$A$2:$A1001, "&gt;=2025-07-01", 'Form responses 1'!$A$2:$A1001, "&lt;=2025-09-30"),
    COUNTIFS('Form responses 1'!$D$2:$D1001, A49, 'Form responses 1'!$A$2:$A1001, "&gt;=2025-07-01", 'Form responses 1'!$A$2:$A1001, "&lt;=2025-09-30"),
    COUNTIFS('Form responses 1'!$E$2:$E1001, A49, 'Form responses 1'!$A$2:$A1001, "&gt;=2025-07-01", 'Form responses 1'!$A$2:$A1001, "&lt;=2025-09-30"),
    COUNTIFS('Form responses 1'!$F$2:$F1001, A49, 'Form responses 1'!$A$2:$A1001, "&gt;=2025-07-01", 'Form responses 1'!$A$2:$A1001, "&lt;=2025-09-30"),
    COUNTIFS('Form responses 1'!$G$2:$G1001, A49, 'Form responses 1'!$A$2:$A1001, "&gt;=2025-07-01", 'Form responses 1'!$A$2:$A1001, "&lt;=2025-09-30")
)
</f>
        <v>4</v>
      </c>
      <c r="P49" s="2">
        <f>SUM(
    COUNTIFS('Form responses 1'!$C$2:$C1001, A49, 'Form responses 1'!$A$2:$A1001, "&gt;=2025-10-01", 'Form responses 1'!$A$2:$A1001, "&lt;=2025-12-31"),
    COUNTIFS('Form responses 1'!$B$2:$B1001, A49, 'Form responses 1'!$A$2:$A1001, "&gt;=2025-10-01", 'Form responses 1'!$A$2:$A1001, "&lt;=2025-12-31"),
    COUNTIFS('Form responses 1'!$D$2:$D1001, A49, 'Form responses 1'!$A$2:$A1001, "&gt;=2025-10-01", 'Form responses 1'!$A$2:$A1001, "&lt;=2025-12-31"),
    COUNTIFS('Form responses 1'!$E$2:$E1001, A49, 'Form responses 1'!$A$2:$A1001, "&gt;=2025-10-01", 'Form responses 1'!$A$2:$A1001, "&lt;=2025-12-31"),
    COUNTIFS('Form responses 1'!$F$2:$F1001, A49, 'Form responses 1'!$A$2:$A1001, "&gt;=2025-10-01", 'Form responses 1'!$A$2:$A1001, "&lt;=2025-12-31"),
    COUNTIFS('Form responses 1'!$G$2:$G1001, A49, 'Form responses 1'!$A$2:$A1001, "&gt;=2025-10-01", 'Form responses 1'!$A$2:$A1001, "&lt;=2025-12-31")
)
</f>
        <v>9</v>
      </c>
    </row>
    <row r="50">
      <c r="A50" s="6" t="str">
        <f>IFERROR(__xludf.DUMMYFUNCTION("""COMPUTED_VALUE"""),"Ralph Lauren Sweater")</f>
        <v>Ralph Lauren Sweater</v>
      </c>
      <c r="B50" s="2">
        <f>SUM(
    COUNTIFS('Form responses 1'!$C$2:$C1001, A50, 'Form responses 1'!$A$2:$A1001, "&gt;=2022-04-01", 'Form responses 1'!$A$2:$A1001, "&lt;=2022-06-30"),
    COUNTIFS('Form responses 1'!$B$2:$B1001, A50, 'Form responses 1'!$A$2:$A1001, "&gt;=2022-04-01", 'Form responses 1'!$A$2:$A1001, "&lt;=2022-06-30"),
    COUNTIFS('Form responses 1'!$D$2:$D1001, A50, 'Form responses 1'!$A$2:$A1001, "&gt;=2022-04-01", 'Form responses 1'!$A$2:$A1001, "&lt;=2022-06-30"),
    COUNTIFS('Form responses 1'!$E$2:$E1001, A50, 'Form responses 1'!$A$2:$A1001, "&gt;=2022-04-01", 'Form responses 1'!$A$2:$A1001, "&lt;=2022-06-30"),
    COUNTIFS('Form responses 1'!$F$2:$F1001, A50, 'Form responses 1'!$A$2:$A1001, "&gt;=2022-04-01", 'Form responses 1'!$A$2:$A1001, "&lt;=2022-06-30"),
    COUNTIFS('Form responses 1'!$G$2:$G1001, A50, 'Form responses 1'!$A$2:$A1001, "&gt;=2022-04-01", 'Form responses 1'!$A$2:$A1001, "&lt;=2022-06-30")
)
</f>
        <v>0</v>
      </c>
      <c r="C50" s="2">
        <f>SUM(
    COUNTIFS('Form responses 1'!$C$2:$C1001, A50, 'Form responses 1'!$A$2:$A1001, "&gt;=2022-07-01", 'Form responses 1'!$A$2:$A1001, "&lt;=2022-09-30"),
    COUNTIFS('Form responses 1'!$B$2:$B1001, A50, 'Form responses 1'!$A$2:$A1001, "&gt;=2022-07-01", 'Form responses 1'!$A$2:$A1001, "&lt;=2022-09-30"),
    COUNTIFS('Form responses 1'!$D$2:$D1001, A50, 'Form responses 1'!$A$2:$A1001, "&gt;=2022-07-01", 'Form responses 1'!$A$2:$A1001, "&lt;=2022-09-30"),
    COUNTIFS('Form responses 1'!$E$2:$E1001, A50, 'Form responses 1'!$A$2:$A1001, "&gt;=2022-07-01", 'Form responses 1'!$A$2:$A1001, "&lt;=2022-09-30"),
    COUNTIFS('Form responses 1'!$F$2:$F1001, A50, 'Form responses 1'!$A$2:$A1001, "&gt;=2022-07-01", 'Form responses 1'!$A$2:$A1001, "&lt;=2022-09-30"),
    COUNTIFS('Form responses 1'!$G$2:$G1001, A50, 'Form responses 1'!$A$2:$A1001, "&gt;=2022-07-01", 'Form responses 1'!$A$2:$A1001, "&lt;=2022-09-30")
)
</f>
        <v>0</v>
      </c>
      <c r="D50" s="2">
        <f>SUM(
    COUNTIFS('Form responses 1'!$C$2:$C1001, A50, 'Form responses 1'!$A$2:$A1001, "&gt;=2022-10-01", 'Form responses 1'!$A$2:$A1001, "&lt;=2022-12-31"),
    COUNTIFS('Form responses 1'!$B$2:$B1001, A50, 'Form responses 1'!$A$2:$A1001, "&gt;=2022-10-01", 'Form responses 1'!$A$2:$A1001, "&lt;=2022-12-31"),
    COUNTIFS('Form responses 1'!$D$2:$D1001, A50, 'Form responses 1'!$A$2:$A1001, "&gt;=2022-10-01", 'Form responses 1'!$A$2:$A1001, "&lt;=2022-12-31"),
    COUNTIFS('Form responses 1'!$E$2:$E1001, A50, 'Form responses 1'!$A$2:$A1001, "&gt;=2022-10-01", 'Form responses 1'!$A$2:$A1001, "&lt;=2022-12-31"),
    COUNTIFS('Form responses 1'!$F$2:$F1001, A50, 'Form responses 1'!$A$2:$A1001, "&gt;=2022-10-01", 'Form responses 1'!$A$2:$A1001, "&lt;=2022-12-31"),
    COUNTIFS('Form responses 1'!$G$2:$G1001, A50, 'Form responses 1'!$A$2:$A1001, "&gt;=2022-10-01", 'Form responses 1'!$A$2:$A1001, "&lt;=2022-12-31")
)
</f>
        <v>0</v>
      </c>
      <c r="E50" s="2">
        <f>SUM(
    COUNTIFS('Form responses 1'!$C$2:$C1001, A50, 'Form responses 1'!$A$2:$A1001, "&gt;=2023-01-01", 'Form responses 1'!$A$2:$A1001, "&lt;=2023-03-31"),
    COUNTIFS('Form responses 1'!$B$2:$B1001, A50, 'Form responses 1'!$A$2:$A1001, "&gt;=2023-01-01", 'Form responses 1'!$A$2:$A1001, "&lt;=2023-03-31"),
    COUNTIFS('Form responses 1'!$D$2:$D1001, A50, 'Form responses 1'!$A$2:$A1001, "&gt;=2023-01-01", 'Form responses 1'!$A$2:$A1001, "&lt;=2023-03-31"),
    COUNTIFS('Form responses 1'!$E$2:$E1001, A50, 'Form responses 1'!$A$2:$A1001, "&gt;=2023-01-01", 'Form responses 1'!$A$2:$A1001, "&lt;=2023-03-31"),
    COUNTIFS('Form responses 1'!$F$2:$F1001, A50, 'Form responses 1'!$A$2:$A1001, "&gt;=2023-01-01", 'Form responses 1'!$A$2:$A1001, "&lt;=2023-03-31"),
    COUNTIFS('Form responses 1'!$G$2:$G1001, A50, 'Form responses 1'!$A$2:$A1001, "&gt;=2023-01-01", 'Form responses 1'!$A$2:$A1001, "&lt;=2023-03-31")
)
</f>
        <v>16</v>
      </c>
      <c r="F50" s="2">
        <f>SUM(
    COUNTIFS('Form responses 1'!$C$2:$C1001, A50, 'Form responses 1'!$A$2:$A1001, "&gt;=2023-04-01", 'Form responses 1'!$A$2:$A1001, "&lt;=2023-06-30"),
    COUNTIFS('Form responses 1'!$B$2:$B1001, A50, 'Form responses 1'!$A$2:$A1001, "&gt;=2023-04-01", 'Form responses 1'!$A$2:$A1001, "&lt;=2023-06-30"),
    COUNTIFS('Form responses 1'!$D$2:$D1001, A50, 'Form responses 1'!$A$2:$A1001, "&gt;=2023-04-01", 'Form responses 1'!$A$2:$A1001, "&lt;=2023-06-30"),
    COUNTIFS('Form responses 1'!$E$2:$E1001, A50, 'Form responses 1'!$A$2:$A1001, "&gt;=2023-04-01", 'Form responses 1'!$A$2:$A1001, "&lt;=2023-06-30"),
    COUNTIFS('Form responses 1'!$F$2:$F1001, A50, 'Form responses 1'!$A$2:$A1001, "&gt;=2023-04-01", 'Form responses 1'!$A$2:$A1001, "&lt;=2023-06-30"),
    COUNTIFS('Form responses 1'!$G$2:$G1001, A50, 'Form responses 1'!$A$2:$A1001, "&gt;=2023-04-01", 'Form responses 1'!$A$2:$A1001, "&lt;=2023-06-30")
)
</f>
        <v>11</v>
      </c>
      <c r="G50" s="2">
        <f>SUM(
    COUNTIFS('Form responses 1'!$C$2:$C1001, A50, 'Form responses 1'!$A$2:$A1001, "&gt;=2023-07-01", 'Form responses 1'!$A$2:$A1001, "&lt;=2023-09-30"),
    COUNTIFS('Form responses 1'!$B$2:$B1001, A50, 'Form responses 1'!$A$2:$A1001, "&gt;=2023-07-01", 'Form responses 1'!$A$2:$A1001, "&lt;=2023-09-30"),
    COUNTIFS('Form responses 1'!$D$2:$D1001, A50, 'Form responses 1'!$A$2:$A1001, "&gt;=2023-07-01", 'Form responses 1'!$A$2:$A1001, "&lt;=2023-09-30"),
    COUNTIFS('Form responses 1'!$E$2:$E1001, A50, 'Form responses 1'!$A$2:$A1001, "&gt;=2023-07-01", 'Form responses 1'!$A$2:$A1001, "&lt;=2023-09-30"),
    COUNTIFS('Form responses 1'!$F$2:$F1001, A50, 'Form responses 1'!$A$2:$A1001, "&gt;=2023-07-01", 'Form responses 1'!$A$2:$A1001, "&lt;=2023-09-30"),
    COUNTIFS('Form responses 1'!$G$2:$G1001, A50, 'Form responses 1'!$A$2:$A1001, "&gt;=2023-07-01", 'Form responses 1'!$A$2:$A1001, "&lt;=2023-09-30")
)
</f>
        <v>6</v>
      </c>
      <c r="H50" s="2">
        <f>SUM(
    COUNTIFS('Form responses 1'!$C$2:$C1001, A50, 'Form responses 1'!$A$2:$A1001, "&gt;=2023-10-01", 'Form responses 1'!$A$2:$A1001, "&lt;=2023-12-31"),
    COUNTIFS('Form responses 1'!$B$2:$B1001, A50, 'Form responses 1'!$A$2:$A1001, "&gt;=2023-10-01", 'Form responses 1'!$A$2:$A1001, "&lt;=2023-12-31"),
    COUNTIFS('Form responses 1'!$D$2:$D1001, A50, 'Form responses 1'!$A$2:$A1001, "&gt;=2023-10-01", 'Form responses 1'!$A$2:$A1001, "&lt;=2023-12-31"),
    COUNTIFS('Form responses 1'!$E$2:$E1001, A50, 'Form responses 1'!$A$2:$A1001, "&gt;=2023-10-01", 'Form responses 1'!$A$2:$A1001, "&lt;=2023-12-31"),
    COUNTIFS('Form responses 1'!$F$2:$F1001, A50, 'Form responses 1'!$A$2:$A1001, "&gt;=2023-10-01", 'Form responses 1'!$A$2:$A1001, "&lt;=2023-12-31"),
    COUNTIFS('Form responses 1'!$G$2:$G1001, A50, 'Form responses 1'!$A$2:$A1001, "&gt;=2023-10-01", 'Form responses 1'!$A$2:$A1001, "&lt;=2023-12-31")
)
</f>
        <v>10</v>
      </c>
      <c r="I50" s="2">
        <f>SUM(
    COUNTIFS('Form responses 1'!$C$2:$C1001, A50, 'Form responses 1'!$A$2:$A1001, "&gt;=2024-01-01", 'Form responses 1'!$A$2:$A1001, "&lt;=2024-03-31"),
    COUNTIFS('Form responses 1'!$B$2:$B1001, A50, 'Form responses 1'!$A$2:$A1001, "&gt;=2024-01-01", 'Form responses 1'!$A$2:$A1001, "&lt;=2024-03-31"),
    COUNTIFS('Form responses 1'!$D$2:$D1001, A50, 'Form responses 1'!$A$2:$A1001, "&gt;=2024-01-01", 'Form responses 1'!$A$2:$A1001, "&lt;=2024-03-31"),
    COUNTIFS('Form responses 1'!$E$2:$E1001, A50, 'Form responses 1'!$A$2:$A1001, "&gt;=2024-01-01", 'Form responses 1'!$A$2:$A1001, "&lt;=2024-03-31"),
    COUNTIFS('Form responses 1'!$F$2:$F1001, A50, 'Form responses 1'!$A$2:$A1001, "&gt;=2024-01-01", 'Form responses 1'!$A$2:$A1001, "&lt;=2024-03-31"),
    COUNTIFS('Form responses 1'!$G$2:$G1001, A50, 'Form responses 1'!$A$2:$A1001, "&gt;=2024-01-01", 'Form responses 1'!$A$2:$A1001, "&lt;=2024-03-31")
)
</f>
        <v>8</v>
      </c>
      <c r="J50" s="2">
        <f>SUM(
    COUNTIFS('Form responses 1'!$C$2:$C1001, A50, 'Form responses 1'!$A$2:$A1001, "&gt;=2024-04-01", 'Form responses 1'!$A$2:$A1001, "&lt;=2024-06-30"),
    COUNTIFS('Form responses 1'!$B$2:$B1001, A50, 'Form responses 1'!$A$2:$A1001, "&gt;=2024-04-01", 'Form responses 1'!$A$2:$A1001, "&lt;=2024-06-30"),
    COUNTIFS('Form responses 1'!$D$2:$D1001, A50, 'Form responses 1'!$A$2:$A1001, "&gt;=2024-04-01", 'Form responses 1'!$A$2:$A1001, "&lt;=2024-06-30"),
    COUNTIFS('Form responses 1'!$E$2:$E1001, A50, 'Form responses 1'!$A$2:$A1001, "&gt;=2024-04-01", 'Form responses 1'!$A$2:$A1001, "&lt;=2024-06-30"),
    COUNTIFS('Form responses 1'!$F$2:$F1001, A50, 'Form responses 1'!$A$2:$A1001, "&gt;=2024-04-01", 'Form responses 1'!$A$2:$A1001, "&lt;=2024-06-30"),
    COUNTIFS('Form responses 1'!$G$2:$G1001, A50, 'Form responses 1'!$A$2:$A1001, "&gt;=2024-04-01", 'Form responses 1'!$A$2:$A1001, "&lt;=2024-06-30")
)
</f>
        <v>2</v>
      </c>
      <c r="K50" s="2">
        <f>SUM(
    COUNTIFS('Form responses 1'!$C$2:$C1001, A50, 'Form responses 1'!$A$2:$A1001, "&gt;=2024-07-01", 'Form responses 1'!$A$2:$A1001, "&lt;=2024-09-30"),
    COUNTIFS('Form responses 1'!$B$2:$B1001, A50, 'Form responses 1'!$A$2:$A1001, "&gt;=2024-07-01", 'Form responses 1'!$A$2:$A1001, "&lt;=2024-09-30"),
    COUNTIFS('Form responses 1'!$D$2:$D1001, A50, 'Form responses 1'!$A$2:$A1001, "&gt;=2024-07-01", 'Form responses 1'!$A$2:$A1001, "&lt;=2024-09-30"),
    COUNTIFS('Form responses 1'!$E$2:$E1001, A50, 'Form responses 1'!$A$2:$A1001, "&gt;=2024-07-01", 'Form responses 1'!$A$2:$A1001, "&lt;=2024-09-30"),
    COUNTIFS('Form responses 1'!$F$2:$F1001, A50, 'Form responses 1'!$A$2:$A1001, "&gt;=2024-07-01", 'Form responses 1'!$A$2:$A1001, "&lt;=2024-09-30"),
    COUNTIFS('Form responses 1'!$G$2:$G1001, A50, 'Form responses 1'!$A$2:$A1001, "&gt;=2024-07-01", 'Form responses 1'!$A$2:$A1001, "&lt;=2024-09-30")
)
</f>
        <v>4</v>
      </c>
      <c r="L50" s="2">
        <f>SUM(
    COUNTIFS('Form responses 1'!$C$2:$C1001, A50, 'Form responses 1'!$A$2:$A1001, "&gt;=2024-10-01", 'Form responses 1'!$A$2:$A1001, "&lt;=2024-12-31"),
    COUNTIFS('Form responses 1'!$B$2:$B1001, A50, 'Form responses 1'!$A$2:$A1001, "&gt;=2024-10-01", 'Form responses 1'!$A$2:$A1001, "&lt;=2024-12-31"),
    COUNTIFS('Form responses 1'!$D$2:$D1001, A50, 'Form responses 1'!$A$2:$A1001, "&gt;=2024-10-01", 'Form responses 1'!$A$2:$A1001, "&lt;=2024-12-31"),
    COUNTIFS('Form responses 1'!$E$2:$E1001, A50, 'Form responses 1'!$A$2:$A1001, "&gt;=2024-10-01", 'Form responses 1'!$A$2:$A1001, "&lt;=2024-12-31"),
    COUNTIFS('Form responses 1'!$F$2:$F1001, A50, 'Form responses 1'!$A$2:$A1001, "&gt;=2024-10-01", 'Form responses 1'!$A$2:$A1001, "&lt;=2024-12-31"),
    COUNTIFS('Form responses 1'!$G$2:$G1001, A50, 'Form responses 1'!$A$2:$A1001, "&gt;=2024-10-01", 'Form responses 1'!$A$2:$A1001, "&lt;=2024-12-31")
)
</f>
        <v>4</v>
      </c>
      <c r="M50" s="2">
        <f>SUM(
    COUNTIFS('Form responses 1'!$C$2:$C1001, A50, 'Form responses 1'!$A$2:$A1001, "&gt;=2025-01-01", 'Form responses 1'!$A$2:$A1001, "&lt;=2025-03-31"),
    COUNTIFS('Form responses 1'!$B$2:$B1001, A50, 'Form responses 1'!$A$2:$A1001, "&gt;=2025-01-01", 'Form responses 1'!$A$2:$A1001, "&lt;=2025-03-31"),
    COUNTIFS('Form responses 1'!$D$2:$D1001, A50, 'Form responses 1'!$A$2:$A1001, "&gt;=2025-01-01", 'Form responses 1'!$A$2:$A1001, "&lt;=2025-03-31"),
    COUNTIFS('Form responses 1'!$E$2:$E1001, A50, 'Form responses 1'!$A$2:$A1001, "&gt;=2025-01-01", 'Form responses 1'!$A$2:$A1001, "&lt;=2025-03-31"),
    COUNTIFS('Form responses 1'!$F$2:$F1001, A50, 'Form responses 1'!$A$2:$A1001, "&gt;=2025-01-01", 'Form responses 1'!$A$2:$A1001, "&lt;=2025-03-31"),
    COUNTIFS('Form responses 1'!$G$2:$G1001, A50, 'Form responses 1'!$A$2:$A1001, "&gt;=2025-01-01", 'Form responses 1'!$A$2:$A1001, "&lt;=2025-03-31")
)
</f>
        <v>6</v>
      </c>
      <c r="N50" s="2">
        <f>SUM(
    COUNTIFS('Form responses 1'!$C$2:$C1001, A50, 'Form responses 1'!$A$2:$A1001, "&gt;=2025-04-01", 'Form responses 1'!$A$2:$A1001, "&lt;2025-07-01"),
    COUNTIFS('Form responses 1'!$B$2:$B1001, A50, 'Form responses 1'!$A$2:$A1001, "&gt;=2025-04-01", 'Form responses 1'!$A$2:$A1001, "&lt;2025-07-01"),
    COUNTIFS('Form responses 1'!$D$2:$D1001, A50, 'Form responses 1'!$A$2:$A1001, "&gt;=2025-04-01", 'Form responses 1'!$A$2:$A1001, "&lt;2025-07-01"),
    COUNTIFS('Form responses 1'!$E$2:$E1001, A50, 'Form responses 1'!$A$2:$A1001, "&gt;=2025-04-01", 'Form responses 1'!$A$2:$A1001, "&lt;2025-07-01"),
    COUNTIFS('Form responses 1'!$F$2:$F1001, A50, 'Form responses 1'!$A$2:$A1001, "&gt;=2025-04-01", 'Form responses 1'!$A$2:$A1001, "&lt;2025-07-01"),
    COUNTIFS('Form responses 1'!$G$2:$G1001, A50, 'Form responses 1'!$A$2:$A1001, "&gt;=2025-04-01", 'Form responses 1'!$A$2:$A1001, "&lt;2025-07-01")
)
</f>
        <v>5</v>
      </c>
      <c r="O50" s="2">
        <f>SUM(
    COUNTIFS('Form responses 1'!$C$2:$C1001, A50, 'Form responses 1'!$A$2:$A1001, "&gt;=2025-07-01", 'Form responses 1'!$A$2:$A1001, "&lt;=2025-09-30"),
    COUNTIFS('Form responses 1'!$B$2:$B1001, A50, 'Form responses 1'!$A$2:$A1001, "&gt;=2025-07-01", 'Form responses 1'!$A$2:$A1001, "&lt;=2025-09-30"),
    COUNTIFS('Form responses 1'!$D$2:$D1001, A50, 'Form responses 1'!$A$2:$A1001, "&gt;=2025-07-01", 'Form responses 1'!$A$2:$A1001, "&lt;=2025-09-30"),
    COUNTIFS('Form responses 1'!$E$2:$E1001, A50, 'Form responses 1'!$A$2:$A1001, "&gt;=2025-07-01", 'Form responses 1'!$A$2:$A1001, "&lt;=2025-09-30"),
    COUNTIFS('Form responses 1'!$F$2:$F1001, A50, 'Form responses 1'!$A$2:$A1001, "&gt;=2025-07-01", 'Form responses 1'!$A$2:$A1001, "&lt;=2025-09-30"),
    COUNTIFS('Form responses 1'!$G$2:$G1001, A50, 'Form responses 1'!$A$2:$A1001, "&gt;=2025-07-01", 'Form responses 1'!$A$2:$A1001, "&lt;=2025-09-30")
)
</f>
        <v>0</v>
      </c>
      <c r="P50" s="2">
        <f>SUM(
    COUNTIFS('Form responses 1'!$C$2:$C1001, A50, 'Form responses 1'!$A$2:$A1001, "&gt;=2025-10-01", 'Form responses 1'!$A$2:$A1001, "&lt;=2025-12-31"),
    COUNTIFS('Form responses 1'!$B$2:$B1001, A50, 'Form responses 1'!$A$2:$A1001, "&gt;=2025-10-01", 'Form responses 1'!$A$2:$A1001, "&lt;=2025-12-31"),
    COUNTIFS('Form responses 1'!$D$2:$D1001, A50, 'Form responses 1'!$A$2:$A1001, "&gt;=2025-10-01", 'Form responses 1'!$A$2:$A1001, "&lt;=2025-12-31"),
    COUNTIFS('Form responses 1'!$E$2:$E1001, A50, 'Form responses 1'!$A$2:$A1001, "&gt;=2025-10-01", 'Form responses 1'!$A$2:$A1001, "&lt;=2025-12-31"),
    COUNTIFS('Form responses 1'!$F$2:$F1001, A50, 'Form responses 1'!$A$2:$A1001, "&gt;=2025-10-01", 'Form responses 1'!$A$2:$A1001, "&lt;=2025-12-31"),
    COUNTIFS('Form responses 1'!$G$2:$G1001, A50, 'Form responses 1'!$A$2:$A1001, "&gt;=2025-10-01", 'Form responses 1'!$A$2:$A1001, "&lt;=2025-12-31")
)
</f>
        <v>7</v>
      </c>
    </row>
    <row r="51">
      <c r="A51" s="6" t="str">
        <f>IFERROR(__xludf.DUMMYFUNCTION("""COMPUTED_VALUE"""),"Grijze Ralph Lauren Sweater")</f>
        <v>Grijze Ralph Lauren Sweater</v>
      </c>
      <c r="B51" s="2">
        <f>SUM(
    COUNTIFS('Form responses 1'!$C$2:$C1001, A51, 'Form responses 1'!$A$2:$A1001, "&gt;=2022-04-01", 'Form responses 1'!$A$2:$A1001, "&lt;=2022-06-30"),
    COUNTIFS('Form responses 1'!$B$2:$B1001, A51, 'Form responses 1'!$A$2:$A1001, "&gt;=2022-04-01", 'Form responses 1'!$A$2:$A1001, "&lt;=2022-06-30"),
    COUNTIFS('Form responses 1'!$D$2:$D1001, A51, 'Form responses 1'!$A$2:$A1001, "&gt;=2022-04-01", 'Form responses 1'!$A$2:$A1001, "&lt;=2022-06-30"),
    COUNTIFS('Form responses 1'!$E$2:$E1001, A51, 'Form responses 1'!$A$2:$A1001, "&gt;=2022-04-01", 'Form responses 1'!$A$2:$A1001, "&lt;=2022-06-30"),
    COUNTIFS('Form responses 1'!$F$2:$F1001, A51, 'Form responses 1'!$A$2:$A1001, "&gt;=2022-04-01", 'Form responses 1'!$A$2:$A1001, "&lt;=2022-06-30"),
    COUNTIFS('Form responses 1'!$G$2:$G1001, A51, 'Form responses 1'!$A$2:$A1001, "&gt;=2022-04-01", 'Form responses 1'!$A$2:$A1001, "&lt;=2022-06-30")
)
</f>
        <v>0</v>
      </c>
      <c r="C51" s="2">
        <f>SUM(
    COUNTIFS('Form responses 1'!$C$2:$C1001, A51, 'Form responses 1'!$A$2:$A1001, "&gt;=2022-07-01", 'Form responses 1'!$A$2:$A1001, "&lt;=2022-09-30"),
    COUNTIFS('Form responses 1'!$B$2:$B1001, A51, 'Form responses 1'!$A$2:$A1001, "&gt;=2022-07-01", 'Form responses 1'!$A$2:$A1001, "&lt;=2022-09-30"),
    COUNTIFS('Form responses 1'!$D$2:$D1001, A51, 'Form responses 1'!$A$2:$A1001, "&gt;=2022-07-01", 'Form responses 1'!$A$2:$A1001, "&lt;=2022-09-30"),
    COUNTIFS('Form responses 1'!$E$2:$E1001, A51, 'Form responses 1'!$A$2:$A1001, "&gt;=2022-07-01", 'Form responses 1'!$A$2:$A1001, "&lt;=2022-09-30"),
    COUNTIFS('Form responses 1'!$F$2:$F1001, A51, 'Form responses 1'!$A$2:$A1001, "&gt;=2022-07-01", 'Form responses 1'!$A$2:$A1001, "&lt;=2022-09-30"),
    COUNTIFS('Form responses 1'!$G$2:$G1001, A51, 'Form responses 1'!$A$2:$A1001, "&gt;=2022-07-01", 'Form responses 1'!$A$2:$A1001, "&lt;=2022-09-30")
)
</f>
        <v>0</v>
      </c>
      <c r="D51" s="2">
        <f>SUM(
    COUNTIFS('Form responses 1'!$C$2:$C1001, A51, 'Form responses 1'!$A$2:$A1001, "&gt;=2022-10-01", 'Form responses 1'!$A$2:$A1001, "&lt;=2022-12-31"),
    COUNTIFS('Form responses 1'!$B$2:$B1001, A51, 'Form responses 1'!$A$2:$A1001, "&gt;=2022-10-01", 'Form responses 1'!$A$2:$A1001, "&lt;=2022-12-31"),
    COUNTIFS('Form responses 1'!$D$2:$D1001, A51, 'Form responses 1'!$A$2:$A1001, "&gt;=2022-10-01", 'Form responses 1'!$A$2:$A1001, "&lt;=2022-12-31"),
    COUNTIFS('Form responses 1'!$E$2:$E1001, A51, 'Form responses 1'!$A$2:$A1001, "&gt;=2022-10-01", 'Form responses 1'!$A$2:$A1001, "&lt;=2022-12-31"),
    COUNTIFS('Form responses 1'!$F$2:$F1001, A51, 'Form responses 1'!$A$2:$A1001, "&gt;=2022-10-01", 'Form responses 1'!$A$2:$A1001, "&lt;=2022-12-31"),
    COUNTIFS('Form responses 1'!$G$2:$G1001, A51, 'Form responses 1'!$A$2:$A1001, "&gt;=2022-10-01", 'Form responses 1'!$A$2:$A1001, "&lt;=2022-12-31")
)
</f>
        <v>0</v>
      </c>
      <c r="E51" s="2">
        <f>SUM(
    COUNTIFS('Form responses 1'!$C$2:$C1001, A51, 'Form responses 1'!$A$2:$A1001, "&gt;=2023-01-01", 'Form responses 1'!$A$2:$A1001, "&lt;=2023-03-31"),
    COUNTIFS('Form responses 1'!$B$2:$B1001, A51, 'Form responses 1'!$A$2:$A1001, "&gt;=2023-01-01", 'Form responses 1'!$A$2:$A1001, "&lt;=2023-03-31"),
    COUNTIFS('Form responses 1'!$D$2:$D1001, A51, 'Form responses 1'!$A$2:$A1001, "&gt;=2023-01-01", 'Form responses 1'!$A$2:$A1001, "&lt;=2023-03-31"),
    COUNTIFS('Form responses 1'!$E$2:$E1001, A51, 'Form responses 1'!$A$2:$A1001, "&gt;=2023-01-01", 'Form responses 1'!$A$2:$A1001, "&lt;=2023-03-31"),
    COUNTIFS('Form responses 1'!$F$2:$F1001, A51, 'Form responses 1'!$A$2:$A1001, "&gt;=2023-01-01", 'Form responses 1'!$A$2:$A1001, "&lt;=2023-03-31"),
    COUNTIFS('Form responses 1'!$G$2:$G1001, A51, 'Form responses 1'!$A$2:$A1001, "&gt;=2023-01-01", 'Form responses 1'!$A$2:$A1001, "&lt;=2023-03-31")
)
</f>
        <v>0</v>
      </c>
      <c r="F51" s="2">
        <f>SUM(
    COUNTIFS('Form responses 1'!$C$2:$C1001, A51, 'Form responses 1'!$A$2:$A1001, "&gt;=2023-04-01", 'Form responses 1'!$A$2:$A1001, "&lt;=2023-06-30"),
    COUNTIFS('Form responses 1'!$B$2:$B1001, A51, 'Form responses 1'!$A$2:$A1001, "&gt;=2023-04-01", 'Form responses 1'!$A$2:$A1001, "&lt;=2023-06-30"),
    COUNTIFS('Form responses 1'!$D$2:$D1001, A51, 'Form responses 1'!$A$2:$A1001, "&gt;=2023-04-01", 'Form responses 1'!$A$2:$A1001, "&lt;=2023-06-30"),
    COUNTIFS('Form responses 1'!$E$2:$E1001, A51, 'Form responses 1'!$A$2:$A1001, "&gt;=2023-04-01", 'Form responses 1'!$A$2:$A1001, "&lt;=2023-06-30"),
    COUNTIFS('Form responses 1'!$F$2:$F1001, A51, 'Form responses 1'!$A$2:$A1001, "&gt;=2023-04-01", 'Form responses 1'!$A$2:$A1001, "&lt;=2023-06-30"),
    COUNTIFS('Form responses 1'!$G$2:$G1001, A51, 'Form responses 1'!$A$2:$A1001, "&gt;=2023-04-01", 'Form responses 1'!$A$2:$A1001, "&lt;=2023-06-30")
)
</f>
        <v>0</v>
      </c>
      <c r="G51" s="2">
        <f>SUM(
    COUNTIFS('Form responses 1'!$C$2:$C1001, A51, 'Form responses 1'!$A$2:$A1001, "&gt;=2023-07-01", 'Form responses 1'!$A$2:$A1001, "&lt;=2023-09-30"),
    COUNTIFS('Form responses 1'!$B$2:$B1001, A51, 'Form responses 1'!$A$2:$A1001, "&gt;=2023-07-01", 'Form responses 1'!$A$2:$A1001, "&lt;=2023-09-30"),
    COUNTIFS('Form responses 1'!$D$2:$D1001, A51, 'Form responses 1'!$A$2:$A1001, "&gt;=2023-07-01", 'Form responses 1'!$A$2:$A1001, "&lt;=2023-09-30"),
    COUNTIFS('Form responses 1'!$E$2:$E1001, A51, 'Form responses 1'!$A$2:$A1001, "&gt;=2023-07-01", 'Form responses 1'!$A$2:$A1001, "&lt;=2023-09-30"),
    COUNTIFS('Form responses 1'!$F$2:$F1001, A51, 'Form responses 1'!$A$2:$A1001, "&gt;=2023-07-01", 'Form responses 1'!$A$2:$A1001, "&lt;=2023-09-30"),
    COUNTIFS('Form responses 1'!$G$2:$G1001, A51, 'Form responses 1'!$A$2:$A1001, "&gt;=2023-07-01", 'Form responses 1'!$A$2:$A1001, "&lt;=2023-09-30")
)
</f>
        <v>0</v>
      </c>
      <c r="H51" s="2">
        <f>SUM(
    COUNTIFS('Form responses 1'!$C$2:$C1001, A51, 'Form responses 1'!$A$2:$A1001, "&gt;=2023-10-01", 'Form responses 1'!$A$2:$A1001, "&lt;=2023-12-31"),
    COUNTIFS('Form responses 1'!$B$2:$B1001, A51, 'Form responses 1'!$A$2:$A1001, "&gt;=2023-10-01", 'Form responses 1'!$A$2:$A1001, "&lt;=2023-12-31"),
    COUNTIFS('Form responses 1'!$D$2:$D1001, A51, 'Form responses 1'!$A$2:$A1001, "&gt;=2023-10-01", 'Form responses 1'!$A$2:$A1001, "&lt;=2023-12-31"),
    COUNTIFS('Form responses 1'!$E$2:$E1001, A51, 'Form responses 1'!$A$2:$A1001, "&gt;=2023-10-01", 'Form responses 1'!$A$2:$A1001, "&lt;=2023-12-31"),
    COUNTIFS('Form responses 1'!$F$2:$F1001, A51, 'Form responses 1'!$A$2:$A1001, "&gt;=2023-10-01", 'Form responses 1'!$A$2:$A1001, "&lt;=2023-12-31"),
    COUNTIFS('Form responses 1'!$G$2:$G1001, A51, 'Form responses 1'!$A$2:$A1001, "&gt;=2023-10-01", 'Form responses 1'!$A$2:$A1001, "&lt;=2023-12-31")
)
</f>
        <v>0</v>
      </c>
      <c r="I51" s="2">
        <f>SUM(
    COUNTIFS('Form responses 1'!$C$2:$C1001, A51, 'Form responses 1'!$A$2:$A1001, "&gt;=2024-01-01", 'Form responses 1'!$A$2:$A1001, "&lt;=2024-03-31"),
    COUNTIFS('Form responses 1'!$B$2:$B1001, A51, 'Form responses 1'!$A$2:$A1001, "&gt;=2024-01-01", 'Form responses 1'!$A$2:$A1001, "&lt;=2024-03-31"),
    COUNTIFS('Form responses 1'!$D$2:$D1001, A51, 'Form responses 1'!$A$2:$A1001, "&gt;=2024-01-01", 'Form responses 1'!$A$2:$A1001, "&lt;=2024-03-31"),
    COUNTIFS('Form responses 1'!$E$2:$E1001, A51, 'Form responses 1'!$A$2:$A1001, "&gt;=2024-01-01", 'Form responses 1'!$A$2:$A1001, "&lt;=2024-03-31"),
    COUNTIFS('Form responses 1'!$F$2:$F1001, A51, 'Form responses 1'!$A$2:$A1001, "&gt;=2024-01-01", 'Form responses 1'!$A$2:$A1001, "&lt;=2024-03-31"),
    COUNTIFS('Form responses 1'!$G$2:$G1001, A51, 'Form responses 1'!$A$2:$A1001, "&gt;=2024-01-01", 'Form responses 1'!$A$2:$A1001, "&lt;=2024-03-31")
)
</f>
        <v>0</v>
      </c>
      <c r="J51" s="2">
        <f>SUM(
    COUNTIFS('Form responses 1'!$C$2:$C1001, A51, 'Form responses 1'!$A$2:$A1001, "&gt;=2024-04-01", 'Form responses 1'!$A$2:$A1001, "&lt;=2024-06-30"),
    COUNTIFS('Form responses 1'!$B$2:$B1001, A51, 'Form responses 1'!$A$2:$A1001, "&gt;=2024-04-01", 'Form responses 1'!$A$2:$A1001, "&lt;=2024-06-30"),
    COUNTIFS('Form responses 1'!$D$2:$D1001, A51, 'Form responses 1'!$A$2:$A1001, "&gt;=2024-04-01", 'Form responses 1'!$A$2:$A1001, "&lt;=2024-06-30"),
    COUNTIFS('Form responses 1'!$E$2:$E1001, A51, 'Form responses 1'!$A$2:$A1001, "&gt;=2024-04-01", 'Form responses 1'!$A$2:$A1001, "&lt;=2024-06-30"),
    COUNTIFS('Form responses 1'!$F$2:$F1001, A51, 'Form responses 1'!$A$2:$A1001, "&gt;=2024-04-01", 'Form responses 1'!$A$2:$A1001, "&lt;=2024-06-30"),
    COUNTIFS('Form responses 1'!$G$2:$G1001, A51, 'Form responses 1'!$A$2:$A1001, "&gt;=2024-04-01", 'Form responses 1'!$A$2:$A1001, "&lt;=2024-06-30")
)
</f>
        <v>12</v>
      </c>
      <c r="K51" s="2">
        <f>SUM(
    COUNTIFS('Form responses 1'!$C$2:$C1001, A51, 'Form responses 1'!$A$2:$A1001, "&gt;=2024-07-01", 'Form responses 1'!$A$2:$A1001, "&lt;=2024-09-30"),
    COUNTIFS('Form responses 1'!$B$2:$B1001, A51, 'Form responses 1'!$A$2:$A1001, "&gt;=2024-07-01", 'Form responses 1'!$A$2:$A1001, "&lt;=2024-09-30"),
    COUNTIFS('Form responses 1'!$D$2:$D1001, A51, 'Form responses 1'!$A$2:$A1001, "&gt;=2024-07-01", 'Form responses 1'!$A$2:$A1001, "&lt;=2024-09-30"),
    COUNTIFS('Form responses 1'!$E$2:$E1001, A51, 'Form responses 1'!$A$2:$A1001, "&gt;=2024-07-01", 'Form responses 1'!$A$2:$A1001, "&lt;=2024-09-30"),
    COUNTIFS('Form responses 1'!$F$2:$F1001, A51, 'Form responses 1'!$A$2:$A1001, "&gt;=2024-07-01", 'Form responses 1'!$A$2:$A1001, "&lt;=2024-09-30"),
    COUNTIFS('Form responses 1'!$G$2:$G1001, A51, 'Form responses 1'!$A$2:$A1001, "&gt;=2024-07-01", 'Form responses 1'!$A$2:$A1001, "&lt;=2024-09-30")
)
</f>
        <v>7</v>
      </c>
      <c r="L51" s="2">
        <f>SUM(
    COUNTIFS('Form responses 1'!$C$2:$C1001, A51, 'Form responses 1'!$A$2:$A1001, "&gt;=2024-10-01", 'Form responses 1'!$A$2:$A1001, "&lt;=2024-12-31"),
    COUNTIFS('Form responses 1'!$B$2:$B1001, A51, 'Form responses 1'!$A$2:$A1001, "&gt;=2024-10-01", 'Form responses 1'!$A$2:$A1001, "&lt;=2024-12-31"),
    COUNTIFS('Form responses 1'!$D$2:$D1001, A51, 'Form responses 1'!$A$2:$A1001, "&gt;=2024-10-01", 'Form responses 1'!$A$2:$A1001, "&lt;=2024-12-31"),
    COUNTIFS('Form responses 1'!$E$2:$E1001, A51, 'Form responses 1'!$A$2:$A1001, "&gt;=2024-10-01", 'Form responses 1'!$A$2:$A1001, "&lt;=2024-12-31"),
    COUNTIFS('Form responses 1'!$F$2:$F1001, A51, 'Form responses 1'!$A$2:$A1001, "&gt;=2024-10-01", 'Form responses 1'!$A$2:$A1001, "&lt;=2024-12-31"),
    COUNTIFS('Form responses 1'!$G$2:$G1001, A51, 'Form responses 1'!$A$2:$A1001, "&gt;=2024-10-01", 'Form responses 1'!$A$2:$A1001, "&lt;=2024-12-31")
)
</f>
        <v>12</v>
      </c>
      <c r="M51" s="2">
        <f>SUM(
    COUNTIFS('Form responses 1'!$C$2:$C1001, A51, 'Form responses 1'!$A$2:$A1001, "&gt;=2025-01-01", 'Form responses 1'!$A$2:$A1001, "&lt;=2025-03-31"),
    COUNTIFS('Form responses 1'!$B$2:$B1001, A51, 'Form responses 1'!$A$2:$A1001, "&gt;=2025-01-01", 'Form responses 1'!$A$2:$A1001, "&lt;=2025-03-31"),
    COUNTIFS('Form responses 1'!$D$2:$D1001, A51, 'Form responses 1'!$A$2:$A1001, "&gt;=2025-01-01", 'Form responses 1'!$A$2:$A1001, "&lt;=2025-03-31"),
    COUNTIFS('Form responses 1'!$E$2:$E1001, A51, 'Form responses 1'!$A$2:$A1001, "&gt;=2025-01-01", 'Form responses 1'!$A$2:$A1001, "&lt;=2025-03-31"),
    COUNTIFS('Form responses 1'!$F$2:$F1001, A51, 'Form responses 1'!$A$2:$A1001, "&gt;=2025-01-01", 'Form responses 1'!$A$2:$A1001, "&lt;=2025-03-31"),
    COUNTIFS('Form responses 1'!$G$2:$G1001, A51, 'Form responses 1'!$A$2:$A1001, "&gt;=2025-01-01", 'Form responses 1'!$A$2:$A1001, "&lt;=2025-03-31")
)
</f>
        <v>6</v>
      </c>
      <c r="N51" s="2">
        <f>SUM(
    COUNTIFS('Form responses 1'!$C$2:$C1001, A51, 'Form responses 1'!$A$2:$A1001, "&gt;=2025-04-01", 'Form responses 1'!$A$2:$A1001, "&lt;2025-07-01"),
    COUNTIFS('Form responses 1'!$B$2:$B1001, A51, 'Form responses 1'!$A$2:$A1001, "&gt;=2025-04-01", 'Form responses 1'!$A$2:$A1001, "&lt;2025-07-01"),
    COUNTIFS('Form responses 1'!$D$2:$D1001, A51, 'Form responses 1'!$A$2:$A1001, "&gt;=2025-04-01", 'Form responses 1'!$A$2:$A1001, "&lt;2025-07-01"),
    COUNTIFS('Form responses 1'!$E$2:$E1001, A51, 'Form responses 1'!$A$2:$A1001, "&gt;=2025-04-01", 'Form responses 1'!$A$2:$A1001, "&lt;2025-07-01"),
    COUNTIFS('Form responses 1'!$F$2:$F1001, A51, 'Form responses 1'!$A$2:$A1001, "&gt;=2025-04-01", 'Form responses 1'!$A$2:$A1001, "&lt;2025-07-01"),
    COUNTIFS('Form responses 1'!$G$2:$G1001, A51, 'Form responses 1'!$A$2:$A1001, "&gt;=2025-04-01", 'Form responses 1'!$A$2:$A1001, "&lt;2025-07-01")
)
</f>
        <v>3</v>
      </c>
      <c r="O51" s="2">
        <f>SUM(
    COUNTIFS('Form responses 1'!$C$2:$C1001, A51, 'Form responses 1'!$A$2:$A1001, "&gt;=2025-07-01", 'Form responses 1'!$A$2:$A1001, "&lt;=2025-09-30"),
    COUNTIFS('Form responses 1'!$B$2:$B1001, A51, 'Form responses 1'!$A$2:$A1001, "&gt;=2025-07-01", 'Form responses 1'!$A$2:$A1001, "&lt;=2025-09-30"),
    COUNTIFS('Form responses 1'!$D$2:$D1001, A51, 'Form responses 1'!$A$2:$A1001, "&gt;=2025-07-01", 'Form responses 1'!$A$2:$A1001, "&lt;=2025-09-30"),
    COUNTIFS('Form responses 1'!$E$2:$E1001, A51, 'Form responses 1'!$A$2:$A1001, "&gt;=2025-07-01", 'Form responses 1'!$A$2:$A1001, "&lt;=2025-09-30"),
    COUNTIFS('Form responses 1'!$F$2:$F1001, A51, 'Form responses 1'!$A$2:$A1001, "&gt;=2025-07-01", 'Form responses 1'!$A$2:$A1001, "&lt;=2025-09-30"),
    COUNTIFS('Form responses 1'!$G$2:$G1001, A51, 'Form responses 1'!$A$2:$A1001, "&gt;=2025-07-01", 'Form responses 1'!$A$2:$A1001, "&lt;=2025-09-30")
)
</f>
        <v>0</v>
      </c>
      <c r="P51" s="2">
        <f>SUM(
    COUNTIFS('Form responses 1'!$C$2:$C1001, A51, 'Form responses 1'!$A$2:$A1001, "&gt;=2025-10-01", 'Form responses 1'!$A$2:$A1001, "&lt;=2025-12-31"),
    COUNTIFS('Form responses 1'!$B$2:$B1001, A51, 'Form responses 1'!$A$2:$A1001, "&gt;=2025-10-01", 'Form responses 1'!$A$2:$A1001, "&lt;=2025-12-31"),
    COUNTIFS('Form responses 1'!$D$2:$D1001, A51, 'Form responses 1'!$A$2:$A1001, "&gt;=2025-10-01", 'Form responses 1'!$A$2:$A1001, "&lt;=2025-12-31"),
    COUNTIFS('Form responses 1'!$E$2:$E1001, A51, 'Form responses 1'!$A$2:$A1001, "&gt;=2025-10-01", 'Form responses 1'!$A$2:$A1001, "&lt;=2025-12-31"),
    COUNTIFS('Form responses 1'!$F$2:$F1001, A51, 'Form responses 1'!$A$2:$A1001, "&gt;=2025-10-01", 'Form responses 1'!$A$2:$A1001, "&lt;=2025-12-31"),
    COUNTIFS('Form responses 1'!$G$2:$G1001, A51, 'Form responses 1'!$A$2:$A1001, "&gt;=2025-10-01", 'Form responses 1'!$A$2:$A1001, "&lt;=2025-12-31")
)
</f>
        <v>8</v>
      </c>
    </row>
    <row r="52">
      <c r="A52" s="6" t="str">
        <f>IFERROR(__xludf.DUMMYFUNCTION("""COMPUTED_VALUE"""),"Grijze ralph lauren polo")</f>
        <v>Grijze ralph lauren polo</v>
      </c>
      <c r="B52" s="2">
        <f>SUM(
    COUNTIFS('Form responses 1'!$C$2:$C1001, A52, 'Form responses 1'!$A$2:$A1001, "&gt;=2022-04-01", 'Form responses 1'!$A$2:$A1001, "&lt;=2022-06-30"),
    COUNTIFS('Form responses 1'!$B$2:$B1001, A52, 'Form responses 1'!$A$2:$A1001, "&gt;=2022-04-01", 'Form responses 1'!$A$2:$A1001, "&lt;=2022-06-30"),
    COUNTIFS('Form responses 1'!$D$2:$D1001, A52, 'Form responses 1'!$A$2:$A1001, "&gt;=2022-04-01", 'Form responses 1'!$A$2:$A1001, "&lt;=2022-06-30"),
    COUNTIFS('Form responses 1'!$E$2:$E1001, A52, 'Form responses 1'!$A$2:$A1001, "&gt;=2022-04-01", 'Form responses 1'!$A$2:$A1001, "&lt;=2022-06-30"),
    COUNTIFS('Form responses 1'!$F$2:$F1001, A52, 'Form responses 1'!$A$2:$A1001, "&gt;=2022-04-01", 'Form responses 1'!$A$2:$A1001, "&lt;=2022-06-30"),
    COUNTIFS('Form responses 1'!$G$2:$G1001, A52, 'Form responses 1'!$A$2:$A1001, "&gt;=2022-04-01", 'Form responses 1'!$A$2:$A1001, "&lt;=2022-06-30")
)
</f>
        <v>0</v>
      </c>
      <c r="C52" s="2">
        <f>SUM(
    COUNTIFS('Form responses 1'!$C$2:$C1001, A52, 'Form responses 1'!$A$2:$A1001, "&gt;=2022-07-01", 'Form responses 1'!$A$2:$A1001, "&lt;=2022-09-30"),
    COUNTIFS('Form responses 1'!$B$2:$B1001, A52, 'Form responses 1'!$A$2:$A1001, "&gt;=2022-07-01", 'Form responses 1'!$A$2:$A1001, "&lt;=2022-09-30"),
    COUNTIFS('Form responses 1'!$D$2:$D1001, A52, 'Form responses 1'!$A$2:$A1001, "&gt;=2022-07-01", 'Form responses 1'!$A$2:$A1001, "&lt;=2022-09-30"),
    COUNTIFS('Form responses 1'!$E$2:$E1001, A52, 'Form responses 1'!$A$2:$A1001, "&gt;=2022-07-01", 'Form responses 1'!$A$2:$A1001, "&lt;=2022-09-30"),
    COUNTIFS('Form responses 1'!$F$2:$F1001, A52, 'Form responses 1'!$A$2:$A1001, "&gt;=2022-07-01", 'Form responses 1'!$A$2:$A1001, "&lt;=2022-09-30"),
    COUNTIFS('Form responses 1'!$G$2:$G1001, A52, 'Form responses 1'!$A$2:$A1001, "&gt;=2022-07-01", 'Form responses 1'!$A$2:$A1001, "&lt;=2022-09-30")
)
</f>
        <v>0</v>
      </c>
      <c r="D52" s="2">
        <f>SUM(
    COUNTIFS('Form responses 1'!$C$2:$C1001, A52, 'Form responses 1'!$A$2:$A1001, "&gt;=2022-10-01", 'Form responses 1'!$A$2:$A1001, "&lt;=2022-12-31"),
    COUNTIFS('Form responses 1'!$B$2:$B1001, A52, 'Form responses 1'!$A$2:$A1001, "&gt;=2022-10-01", 'Form responses 1'!$A$2:$A1001, "&lt;=2022-12-31"),
    COUNTIFS('Form responses 1'!$D$2:$D1001, A52, 'Form responses 1'!$A$2:$A1001, "&gt;=2022-10-01", 'Form responses 1'!$A$2:$A1001, "&lt;=2022-12-31"),
    COUNTIFS('Form responses 1'!$E$2:$E1001, A52, 'Form responses 1'!$A$2:$A1001, "&gt;=2022-10-01", 'Form responses 1'!$A$2:$A1001, "&lt;=2022-12-31"),
    COUNTIFS('Form responses 1'!$F$2:$F1001, A52, 'Form responses 1'!$A$2:$A1001, "&gt;=2022-10-01", 'Form responses 1'!$A$2:$A1001, "&lt;=2022-12-31"),
    COUNTIFS('Form responses 1'!$G$2:$G1001, A52, 'Form responses 1'!$A$2:$A1001, "&gt;=2022-10-01", 'Form responses 1'!$A$2:$A1001, "&lt;=2022-12-31")
)
</f>
        <v>0</v>
      </c>
      <c r="E52" s="2">
        <f>SUM(
    COUNTIFS('Form responses 1'!$C$2:$C1001, A52, 'Form responses 1'!$A$2:$A1001, "&gt;=2023-01-01", 'Form responses 1'!$A$2:$A1001, "&lt;=2023-03-31"),
    COUNTIFS('Form responses 1'!$B$2:$B1001, A52, 'Form responses 1'!$A$2:$A1001, "&gt;=2023-01-01", 'Form responses 1'!$A$2:$A1001, "&lt;=2023-03-31"),
    COUNTIFS('Form responses 1'!$D$2:$D1001, A52, 'Form responses 1'!$A$2:$A1001, "&gt;=2023-01-01", 'Form responses 1'!$A$2:$A1001, "&lt;=2023-03-31"),
    COUNTIFS('Form responses 1'!$E$2:$E1001, A52, 'Form responses 1'!$A$2:$A1001, "&gt;=2023-01-01", 'Form responses 1'!$A$2:$A1001, "&lt;=2023-03-31"),
    COUNTIFS('Form responses 1'!$F$2:$F1001, A52, 'Form responses 1'!$A$2:$A1001, "&gt;=2023-01-01", 'Form responses 1'!$A$2:$A1001, "&lt;=2023-03-31"),
    COUNTIFS('Form responses 1'!$G$2:$G1001, A52, 'Form responses 1'!$A$2:$A1001, "&gt;=2023-01-01", 'Form responses 1'!$A$2:$A1001, "&lt;=2023-03-31")
)
</f>
        <v>0</v>
      </c>
      <c r="F52" s="2">
        <f>SUM(
    COUNTIFS('Form responses 1'!$C$2:$C1001, A52, 'Form responses 1'!$A$2:$A1001, "&gt;=2023-04-01", 'Form responses 1'!$A$2:$A1001, "&lt;=2023-06-30"),
    COUNTIFS('Form responses 1'!$B$2:$B1001, A52, 'Form responses 1'!$A$2:$A1001, "&gt;=2023-04-01", 'Form responses 1'!$A$2:$A1001, "&lt;=2023-06-30"),
    COUNTIFS('Form responses 1'!$D$2:$D1001, A52, 'Form responses 1'!$A$2:$A1001, "&gt;=2023-04-01", 'Form responses 1'!$A$2:$A1001, "&lt;=2023-06-30"),
    COUNTIFS('Form responses 1'!$E$2:$E1001, A52, 'Form responses 1'!$A$2:$A1001, "&gt;=2023-04-01", 'Form responses 1'!$A$2:$A1001, "&lt;=2023-06-30"),
    COUNTIFS('Form responses 1'!$F$2:$F1001, A52, 'Form responses 1'!$A$2:$A1001, "&gt;=2023-04-01", 'Form responses 1'!$A$2:$A1001, "&lt;=2023-06-30"),
    COUNTIFS('Form responses 1'!$G$2:$G1001, A52, 'Form responses 1'!$A$2:$A1001, "&gt;=2023-04-01", 'Form responses 1'!$A$2:$A1001, "&lt;=2023-06-30")
)
</f>
        <v>0</v>
      </c>
      <c r="G52" s="2">
        <f>SUM(
    COUNTIFS('Form responses 1'!$C$2:$C1001, A52, 'Form responses 1'!$A$2:$A1001, "&gt;=2023-07-01", 'Form responses 1'!$A$2:$A1001, "&lt;=2023-09-30"),
    COUNTIFS('Form responses 1'!$B$2:$B1001, A52, 'Form responses 1'!$A$2:$A1001, "&gt;=2023-07-01", 'Form responses 1'!$A$2:$A1001, "&lt;=2023-09-30"),
    COUNTIFS('Form responses 1'!$D$2:$D1001, A52, 'Form responses 1'!$A$2:$A1001, "&gt;=2023-07-01", 'Form responses 1'!$A$2:$A1001, "&lt;=2023-09-30"),
    COUNTIFS('Form responses 1'!$E$2:$E1001, A52, 'Form responses 1'!$A$2:$A1001, "&gt;=2023-07-01", 'Form responses 1'!$A$2:$A1001, "&lt;=2023-09-30"),
    COUNTIFS('Form responses 1'!$F$2:$F1001, A52, 'Form responses 1'!$A$2:$A1001, "&gt;=2023-07-01", 'Form responses 1'!$A$2:$A1001, "&lt;=2023-09-30"),
    COUNTIFS('Form responses 1'!$G$2:$G1001, A52, 'Form responses 1'!$A$2:$A1001, "&gt;=2023-07-01", 'Form responses 1'!$A$2:$A1001, "&lt;=2023-09-30")
)
</f>
        <v>0</v>
      </c>
      <c r="H52" s="2">
        <f>SUM(
    COUNTIFS('Form responses 1'!$C$2:$C1001, A52, 'Form responses 1'!$A$2:$A1001, "&gt;=2023-10-01", 'Form responses 1'!$A$2:$A1001, "&lt;=2023-12-31"),
    COUNTIFS('Form responses 1'!$B$2:$B1001, A52, 'Form responses 1'!$A$2:$A1001, "&gt;=2023-10-01", 'Form responses 1'!$A$2:$A1001, "&lt;=2023-12-31"),
    COUNTIFS('Form responses 1'!$D$2:$D1001, A52, 'Form responses 1'!$A$2:$A1001, "&gt;=2023-10-01", 'Form responses 1'!$A$2:$A1001, "&lt;=2023-12-31"),
    COUNTIFS('Form responses 1'!$E$2:$E1001, A52, 'Form responses 1'!$A$2:$A1001, "&gt;=2023-10-01", 'Form responses 1'!$A$2:$A1001, "&lt;=2023-12-31"),
    COUNTIFS('Form responses 1'!$F$2:$F1001, A52, 'Form responses 1'!$A$2:$A1001, "&gt;=2023-10-01", 'Form responses 1'!$A$2:$A1001, "&lt;=2023-12-31"),
    COUNTIFS('Form responses 1'!$G$2:$G1001, A52, 'Form responses 1'!$A$2:$A1001, "&gt;=2023-10-01", 'Form responses 1'!$A$2:$A1001, "&lt;=2023-12-31")
)
</f>
        <v>0</v>
      </c>
      <c r="I52" s="2">
        <f>SUM(
    COUNTIFS('Form responses 1'!$C$2:$C1001, A52, 'Form responses 1'!$A$2:$A1001, "&gt;=2024-01-01", 'Form responses 1'!$A$2:$A1001, "&lt;=2024-03-31"),
    COUNTIFS('Form responses 1'!$B$2:$B1001, A52, 'Form responses 1'!$A$2:$A1001, "&gt;=2024-01-01", 'Form responses 1'!$A$2:$A1001, "&lt;=2024-03-31"),
    COUNTIFS('Form responses 1'!$D$2:$D1001, A52, 'Form responses 1'!$A$2:$A1001, "&gt;=2024-01-01", 'Form responses 1'!$A$2:$A1001, "&lt;=2024-03-31"),
    COUNTIFS('Form responses 1'!$E$2:$E1001, A52, 'Form responses 1'!$A$2:$A1001, "&gt;=2024-01-01", 'Form responses 1'!$A$2:$A1001, "&lt;=2024-03-31"),
    COUNTIFS('Form responses 1'!$F$2:$F1001, A52, 'Form responses 1'!$A$2:$A1001, "&gt;=2024-01-01", 'Form responses 1'!$A$2:$A1001, "&lt;=2024-03-31"),
    COUNTIFS('Form responses 1'!$G$2:$G1001, A52, 'Form responses 1'!$A$2:$A1001, "&gt;=2024-01-01", 'Form responses 1'!$A$2:$A1001, "&lt;=2024-03-31")
)
</f>
        <v>4</v>
      </c>
      <c r="J52" s="2">
        <f>SUM(
    COUNTIFS('Form responses 1'!$C$2:$C1001, A52, 'Form responses 1'!$A$2:$A1001, "&gt;=2024-04-01", 'Form responses 1'!$A$2:$A1001, "&lt;=2024-06-30"),
    COUNTIFS('Form responses 1'!$B$2:$B1001, A52, 'Form responses 1'!$A$2:$A1001, "&gt;=2024-04-01", 'Form responses 1'!$A$2:$A1001, "&lt;=2024-06-30"),
    COUNTIFS('Form responses 1'!$D$2:$D1001, A52, 'Form responses 1'!$A$2:$A1001, "&gt;=2024-04-01", 'Form responses 1'!$A$2:$A1001, "&lt;=2024-06-30"),
    COUNTIFS('Form responses 1'!$E$2:$E1001, A52, 'Form responses 1'!$A$2:$A1001, "&gt;=2024-04-01", 'Form responses 1'!$A$2:$A1001, "&lt;=2024-06-30"),
    COUNTIFS('Form responses 1'!$F$2:$F1001, A52, 'Form responses 1'!$A$2:$A1001, "&gt;=2024-04-01", 'Form responses 1'!$A$2:$A1001, "&lt;=2024-06-30"),
    COUNTIFS('Form responses 1'!$G$2:$G1001, A52, 'Form responses 1'!$A$2:$A1001, "&gt;=2024-04-01", 'Form responses 1'!$A$2:$A1001, "&lt;=2024-06-30")
)
</f>
        <v>10</v>
      </c>
      <c r="K52" s="2">
        <f>SUM(
    COUNTIFS('Form responses 1'!$C$2:$C1001, A52, 'Form responses 1'!$A$2:$A1001, "&gt;=2024-07-01", 'Form responses 1'!$A$2:$A1001, "&lt;=2024-09-30"),
    COUNTIFS('Form responses 1'!$B$2:$B1001, A52, 'Form responses 1'!$A$2:$A1001, "&gt;=2024-07-01", 'Form responses 1'!$A$2:$A1001, "&lt;=2024-09-30"),
    COUNTIFS('Form responses 1'!$D$2:$D1001, A52, 'Form responses 1'!$A$2:$A1001, "&gt;=2024-07-01", 'Form responses 1'!$A$2:$A1001, "&lt;=2024-09-30"),
    COUNTIFS('Form responses 1'!$E$2:$E1001, A52, 'Form responses 1'!$A$2:$A1001, "&gt;=2024-07-01", 'Form responses 1'!$A$2:$A1001, "&lt;=2024-09-30"),
    COUNTIFS('Form responses 1'!$F$2:$F1001, A52, 'Form responses 1'!$A$2:$A1001, "&gt;=2024-07-01", 'Form responses 1'!$A$2:$A1001, "&lt;=2024-09-30"),
    COUNTIFS('Form responses 1'!$G$2:$G1001, A52, 'Form responses 1'!$A$2:$A1001, "&gt;=2024-07-01", 'Form responses 1'!$A$2:$A1001, "&lt;=2024-09-30")
)
</f>
        <v>2</v>
      </c>
      <c r="L52" s="2">
        <f>SUM(
    COUNTIFS('Form responses 1'!$C$2:$C1001, A52, 'Form responses 1'!$A$2:$A1001, "&gt;=2024-10-01", 'Form responses 1'!$A$2:$A1001, "&lt;=2024-12-31"),
    COUNTIFS('Form responses 1'!$B$2:$B1001, A52, 'Form responses 1'!$A$2:$A1001, "&gt;=2024-10-01", 'Form responses 1'!$A$2:$A1001, "&lt;=2024-12-31"),
    COUNTIFS('Form responses 1'!$D$2:$D1001, A52, 'Form responses 1'!$A$2:$A1001, "&gt;=2024-10-01", 'Form responses 1'!$A$2:$A1001, "&lt;=2024-12-31"),
    COUNTIFS('Form responses 1'!$E$2:$E1001, A52, 'Form responses 1'!$A$2:$A1001, "&gt;=2024-10-01", 'Form responses 1'!$A$2:$A1001, "&lt;=2024-12-31"),
    COUNTIFS('Form responses 1'!$F$2:$F1001, A52, 'Form responses 1'!$A$2:$A1001, "&gt;=2024-10-01", 'Form responses 1'!$A$2:$A1001, "&lt;=2024-12-31"),
    COUNTIFS('Form responses 1'!$G$2:$G1001, A52, 'Form responses 1'!$A$2:$A1001, "&gt;=2024-10-01", 'Form responses 1'!$A$2:$A1001, "&lt;=2024-12-31")
)
</f>
        <v>0</v>
      </c>
      <c r="M52" s="2">
        <f>SUM(
    COUNTIFS('Form responses 1'!$C$2:$C1001, A52, 'Form responses 1'!$A$2:$A1001, "&gt;=2025-01-01", 'Form responses 1'!$A$2:$A1001, "&lt;=2025-03-31"),
    COUNTIFS('Form responses 1'!$B$2:$B1001, A52, 'Form responses 1'!$A$2:$A1001, "&gt;=2025-01-01", 'Form responses 1'!$A$2:$A1001, "&lt;=2025-03-31"),
    COUNTIFS('Form responses 1'!$D$2:$D1001, A52, 'Form responses 1'!$A$2:$A1001, "&gt;=2025-01-01", 'Form responses 1'!$A$2:$A1001, "&lt;=2025-03-31"),
    COUNTIFS('Form responses 1'!$E$2:$E1001, A52, 'Form responses 1'!$A$2:$A1001, "&gt;=2025-01-01", 'Form responses 1'!$A$2:$A1001, "&lt;=2025-03-31"),
    COUNTIFS('Form responses 1'!$F$2:$F1001, A52, 'Form responses 1'!$A$2:$A1001, "&gt;=2025-01-01", 'Form responses 1'!$A$2:$A1001, "&lt;=2025-03-31"),
    COUNTIFS('Form responses 1'!$G$2:$G1001, A52, 'Form responses 1'!$A$2:$A1001, "&gt;=2025-01-01", 'Form responses 1'!$A$2:$A1001, "&lt;=2025-03-31")
)
</f>
        <v>1</v>
      </c>
      <c r="N52" s="2">
        <f>SUM(
    COUNTIFS('Form responses 1'!$C$2:$C1001, A52, 'Form responses 1'!$A$2:$A1001, "&gt;=2025-04-01", 'Form responses 1'!$A$2:$A1001, "&lt;2025-07-01"),
    COUNTIFS('Form responses 1'!$B$2:$B1001, A52, 'Form responses 1'!$A$2:$A1001, "&gt;=2025-04-01", 'Form responses 1'!$A$2:$A1001, "&lt;2025-07-01"),
    COUNTIFS('Form responses 1'!$D$2:$D1001, A52, 'Form responses 1'!$A$2:$A1001, "&gt;=2025-04-01", 'Form responses 1'!$A$2:$A1001, "&lt;2025-07-01"),
    COUNTIFS('Form responses 1'!$E$2:$E1001, A52, 'Form responses 1'!$A$2:$A1001, "&gt;=2025-04-01", 'Form responses 1'!$A$2:$A1001, "&lt;2025-07-01"),
    COUNTIFS('Form responses 1'!$F$2:$F1001, A52, 'Form responses 1'!$A$2:$A1001, "&gt;=2025-04-01", 'Form responses 1'!$A$2:$A1001, "&lt;2025-07-01"),
    COUNTIFS('Form responses 1'!$G$2:$G1001, A52, 'Form responses 1'!$A$2:$A1001, "&gt;=2025-04-01", 'Form responses 1'!$A$2:$A1001, "&lt;2025-07-01")
)
</f>
        <v>1</v>
      </c>
      <c r="O52" s="2">
        <f>SUM(
    COUNTIFS('Form responses 1'!$C$2:$C1001, A52, 'Form responses 1'!$A$2:$A1001, "&gt;=2025-07-01", 'Form responses 1'!$A$2:$A1001, "&lt;=2025-09-30"),
    COUNTIFS('Form responses 1'!$B$2:$B1001, A52, 'Form responses 1'!$A$2:$A1001, "&gt;=2025-07-01", 'Form responses 1'!$A$2:$A1001, "&lt;=2025-09-30"),
    COUNTIFS('Form responses 1'!$D$2:$D1001, A52, 'Form responses 1'!$A$2:$A1001, "&gt;=2025-07-01", 'Form responses 1'!$A$2:$A1001, "&lt;=2025-09-30"),
    COUNTIFS('Form responses 1'!$E$2:$E1001, A52, 'Form responses 1'!$A$2:$A1001, "&gt;=2025-07-01", 'Form responses 1'!$A$2:$A1001, "&lt;=2025-09-30"),
    COUNTIFS('Form responses 1'!$F$2:$F1001, A52, 'Form responses 1'!$A$2:$A1001, "&gt;=2025-07-01", 'Form responses 1'!$A$2:$A1001, "&lt;=2025-09-30"),
    COUNTIFS('Form responses 1'!$G$2:$G1001, A52, 'Form responses 1'!$A$2:$A1001, "&gt;=2025-07-01", 'Form responses 1'!$A$2:$A1001, "&lt;=2025-09-30")
)
</f>
        <v>0</v>
      </c>
      <c r="P52" s="2">
        <f>SUM(
    COUNTIFS('Form responses 1'!$C$2:$C1001, A52, 'Form responses 1'!$A$2:$A1001, "&gt;=2025-10-01", 'Form responses 1'!$A$2:$A1001, "&lt;=2025-12-31"),
    COUNTIFS('Form responses 1'!$B$2:$B1001, A52, 'Form responses 1'!$A$2:$A1001, "&gt;=2025-10-01", 'Form responses 1'!$A$2:$A1001, "&lt;=2025-12-31"),
    COUNTIFS('Form responses 1'!$D$2:$D1001, A52, 'Form responses 1'!$A$2:$A1001, "&gt;=2025-10-01", 'Form responses 1'!$A$2:$A1001, "&lt;=2025-12-31"),
    COUNTIFS('Form responses 1'!$E$2:$E1001, A52, 'Form responses 1'!$A$2:$A1001, "&gt;=2025-10-01", 'Form responses 1'!$A$2:$A1001, "&lt;=2025-12-31"),
    COUNTIFS('Form responses 1'!$F$2:$F1001, A52, 'Form responses 1'!$A$2:$A1001, "&gt;=2025-10-01", 'Form responses 1'!$A$2:$A1001, "&lt;=2025-12-31"),
    COUNTIFS('Form responses 1'!$G$2:$G1001, A52, 'Form responses 1'!$A$2:$A1001, "&gt;=2025-10-01", 'Form responses 1'!$A$2:$A1001, "&lt;=2025-12-31")
)
</f>
        <v>0</v>
      </c>
    </row>
    <row r="53">
      <c r="A53" s="6" t="str">
        <f>IFERROR(__xludf.DUMMYFUNCTION("""COMPUTED_VALUE"""),"Blauwe lange mouwen polo")</f>
        <v>Blauwe lange mouwen polo</v>
      </c>
      <c r="B53" s="2">
        <f>SUM(
    COUNTIFS('Form responses 1'!$C$2:$C1001, A53, 'Form responses 1'!$A$2:$A1001, "&gt;=2022-04-01", 'Form responses 1'!$A$2:$A1001, "&lt;=2022-06-30"),
    COUNTIFS('Form responses 1'!$B$2:$B1001, A53, 'Form responses 1'!$A$2:$A1001, "&gt;=2022-04-01", 'Form responses 1'!$A$2:$A1001, "&lt;=2022-06-30"),
    COUNTIFS('Form responses 1'!$D$2:$D1001, A53, 'Form responses 1'!$A$2:$A1001, "&gt;=2022-04-01", 'Form responses 1'!$A$2:$A1001, "&lt;=2022-06-30"),
    COUNTIFS('Form responses 1'!$E$2:$E1001, A53, 'Form responses 1'!$A$2:$A1001, "&gt;=2022-04-01", 'Form responses 1'!$A$2:$A1001, "&lt;=2022-06-30"),
    COUNTIFS('Form responses 1'!$F$2:$F1001, A53, 'Form responses 1'!$A$2:$A1001, "&gt;=2022-04-01", 'Form responses 1'!$A$2:$A1001, "&lt;=2022-06-30"),
    COUNTIFS('Form responses 1'!$G$2:$G1001, A53, 'Form responses 1'!$A$2:$A1001, "&gt;=2022-04-01", 'Form responses 1'!$A$2:$A1001, "&lt;=2022-06-30")
)
</f>
        <v>0</v>
      </c>
      <c r="C53" s="2">
        <f>SUM(
    COUNTIFS('Form responses 1'!$C$2:$C1001, A53, 'Form responses 1'!$A$2:$A1001, "&gt;=2022-07-01", 'Form responses 1'!$A$2:$A1001, "&lt;=2022-09-30"),
    COUNTIFS('Form responses 1'!$B$2:$B1001, A53, 'Form responses 1'!$A$2:$A1001, "&gt;=2022-07-01", 'Form responses 1'!$A$2:$A1001, "&lt;=2022-09-30"),
    COUNTIFS('Form responses 1'!$D$2:$D1001, A53, 'Form responses 1'!$A$2:$A1001, "&gt;=2022-07-01", 'Form responses 1'!$A$2:$A1001, "&lt;=2022-09-30"),
    COUNTIFS('Form responses 1'!$E$2:$E1001, A53, 'Form responses 1'!$A$2:$A1001, "&gt;=2022-07-01", 'Form responses 1'!$A$2:$A1001, "&lt;=2022-09-30"),
    COUNTIFS('Form responses 1'!$F$2:$F1001, A53, 'Form responses 1'!$A$2:$A1001, "&gt;=2022-07-01", 'Form responses 1'!$A$2:$A1001, "&lt;=2022-09-30"),
    COUNTIFS('Form responses 1'!$G$2:$G1001, A53, 'Form responses 1'!$A$2:$A1001, "&gt;=2022-07-01", 'Form responses 1'!$A$2:$A1001, "&lt;=2022-09-30")
)
</f>
        <v>0</v>
      </c>
      <c r="D53" s="2">
        <f>SUM(
    COUNTIFS('Form responses 1'!$C$2:$C1001, A53, 'Form responses 1'!$A$2:$A1001, "&gt;=2022-10-01", 'Form responses 1'!$A$2:$A1001, "&lt;=2022-12-31"),
    COUNTIFS('Form responses 1'!$B$2:$B1001, A53, 'Form responses 1'!$A$2:$A1001, "&gt;=2022-10-01", 'Form responses 1'!$A$2:$A1001, "&lt;=2022-12-31"),
    COUNTIFS('Form responses 1'!$D$2:$D1001, A53, 'Form responses 1'!$A$2:$A1001, "&gt;=2022-10-01", 'Form responses 1'!$A$2:$A1001, "&lt;=2022-12-31"),
    COUNTIFS('Form responses 1'!$E$2:$E1001, A53, 'Form responses 1'!$A$2:$A1001, "&gt;=2022-10-01", 'Form responses 1'!$A$2:$A1001, "&lt;=2022-12-31"),
    COUNTIFS('Form responses 1'!$F$2:$F1001, A53, 'Form responses 1'!$A$2:$A1001, "&gt;=2022-10-01", 'Form responses 1'!$A$2:$A1001, "&lt;=2022-12-31"),
    COUNTIFS('Form responses 1'!$G$2:$G1001, A53, 'Form responses 1'!$A$2:$A1001, "&gt;=2022-10-01", 'Form responses 1'!$A$2:$A1001, "&lt;=2022-12-31")
)
</f>
        <v>0</v>
      </c>
      <c r="E53" s="2">
        <f>SUM(
    COUNTIFS('Form responses 1'!$C$2:$C1001, A53, 'Form responses 1'!$A$2:$A1001, "&gt;=2023-01-01", 'Form responses 1'!$A$2:$A1001, "&lt;=2023-03-31"),
    COUNTIFS('Form responses 1'!$B$2:$B1001, A53, 'Form responses 1'!$A$2:$A1001, "&gt;=2023-01-01", 'Form responses 1'!$A$2:$A1001, "&lt;=2023-03-31"),
    COUNTIFS('Form responses 1'!$D$2:$D1001, A53, 'Form responses 1'!$A$2:$A1001, "&gt;=2023-01-01", 'Form responses 1'!$A$2:$A1001, "&lt;=2023-03-31"),
    COUNTIFS('Form responses 1'!$E$2:$E1001, A53, 'Form responses 1'!$A$2:$A1001, "&gt;=2023-01-01", 'Form responses 1'!$A$2:$A1001, "&lt;=2023-03-31"),
    COUNTIFS('Form responses 1'!$F$2:$F1001, A53, 'Form responses 1'!$A$2:$A1001, "&gt;=2023-01-01", 'Form responses 1'!$A$2:$A1001, "&lt;=2023-03-31"),
    COUNTIFS('Form responses 1'!$G$2:$G1001, A53, 'Form responses 1'!$A$2:$A1001, "&gt;=2023-01-01", 'Form responses 1'!$A$2:$A1001, "&lt;=2023-03-31")
)
</f>
        <v>0</v>
      </c>
      <c r="F53" s="2">
        <f>SUM(
    COUNTIFS('Form responses 1'!$C$2:$C1001, A53, 'Form responses 1'!$A$2:$A1001, "&gt;=2023-04-01", 'Form responses 1'!$A$2:$A1001, "&lt;=2023-06-30"),
    COUNTIFS('Form responses 1'!$B$2:$B1001, A53, 'Form responses 1'!$A$2:$A1001, "&gt;=2023-04-01", 'Form responses 1'!$A$2:$A1001, "&lt;=2023-06-30"),
    COUNTIFS('Form responses 1'!$D$2:$D1001, A53, 'Form responses 1'!$A$2:$A1001, "&gt;=2023-04-01", 'Form responses 1'!$A$2:$A1001, "&lt;=2023-06-30"),
    COUNTIFS('Form responses 1'!$E$2:$E1001, A53, 'Form responses 1'!$A$2:$A1001, "&gt;=2023-04-01", 'Form responses 1'!$A$2:$A1001, "&lt;=2023-06-30"),
    COUNTIFS('Form responses 1'!$F$2:$F1001, A53, 'Form responses 1'!$A$2:$A1001, "&gt;=2023-04-01", 'Form responses 1'!$A$2:$A1001, "&lt;=2023-06-30"),
    COUNTIFS('Form responses 1'!$G$2:$G1001, A53, 'Form responses 1'!$A$2:$A1001, "&gt;=2023-04-01", 'Form responses 1'!$A$2:$A1001, "&lt;=2023-06-30")
)
</f>
        <v>0</v>
      </c>
      <c r="G53" s="2">
        <f>SUM(
    COUNTIFS('Form responses 1'!$C$2:$C1001, A53, 'Form responses 1'!$A$2:$A1001, "&gt;=2023-07-01", 'Form responses 1'!$A$2:$A1001, "&lt;=2023-09-30"),
    COUNTIFS('Form responses 1'!$B$2:$B1001, A53, 'Form responses 1'!$A$2:$A1001, "&gt;=2023-07-01", 'Form responses 1'!$A$2:$A1001, "&lt;=2023-09-30"),
    COUNTIFS('Form responses 1'!$D$2:$D1001, A53, 'Form responses 1'!$A$2:$A1001, "&gt;=2023-07-01", 'Form responses 1'!$A$2:$A1001, "&lt;=2023-09-30"),
    COUNTIFS('Form responses 1'!$E$2:$E1001, A53, 'Form responses 1'!$A$2:$A1001, "&gt;=2023-07-01", 'Form responses 1'!$A$2:$A1001, "&lt;=2023-09-30"),
    COUNTIFS('Form responses 1'!$F$2:$F1001, A53, 'Form responses 1'!$A$2:$A1001, "&gt;=2023-07-01", 'Form responses 1'!$A$2:$A1001, "&lt;=2023-09-30"),
    COUNTIFS('Form responses 1'!$G$2:$G1001, A53, 'Form responses 1'!$A$2:$A1001, "&gt;=2023-07-01", 'Form responses 1'!$A$2:$A1001, "&lt;=2023-09-30")
)
</f>
        <v>0</v>
      </c>
      <c r="H53" s="2">
        <f>SUM(
    COUNTIFS('Form responses 1'!$C$2:$C1001, A53, 'Form responses 1'!$A$2:$A1001, "&gt;=2023-10-01", 'Form responses 1'!$A$2:$A1001, "&lt;=2023-12-31"),
    COUNTIFS('Form responses 1'!$B$2:$B1001, A53, 'Form responses 1'!$A$2:$A1001, "&gt;=2023-10-01", 'Form responses 1'!$A$2:$A1001, "&lt;=2023-12-31"),
    COUNTIFS('Form responses 1'!$D$2:$D1001, A53, 'Form responses 1'!$A$2:$A1001, "&gt;=2023-10-01", 'Form responses 1'!$A$2:$A1001, "&lt;=2023-12-31"),
    COUNTIFS('Form responses 1'!$E$2:$E1001, A53, 'Form responses 1'!$A$2:$A1001, "&gt;=2023-10-01", 'Form responses 1'!$A$2:$A1001, "&lt;=2023-12-31"),
    COUNTIFS('Form responses 1'!$F$2:$F1001, A53, 'Form responses 1'!$A$2:$A1001, "&gt;=2023-10-01", 'Form responses 1'!$A$2:$A1001, "&lt;=2023-12-31"),
    COUNTIFS('Form responses 1'!$G$2:$G1001, A53, 'Form responses 1'!$A$2:$A1001, "&gt;=2023-10-01", 'Form responses 1'!$A$2:$A1001, "&lt;=2023-12-31")
)
</f>
        <v>0</v>
      </c>
      <c r="I53" s="2">
        <f>SUM(
    COUNTIFS('Form responses 1'!$C$2:$C1001, A53, 'Form responses 1'!$A$2:$A1001, "&gt;=2024-01-01", 'Form responses 1'!$A$2:$A1001, "&lt;=2024-03-31"),
    COUNTIFS('Form responses 1'!$B$2:$B1001, A53, 'Form responses 1'!$A$2:$A1001, "&gt;=2024-01-01", 'Form responses 1'!$A$2:$A1001, "&lt;=2024-03-31"),
    COUNTIFS('Form responses 1'!$D$2:$D1001, A53, 'Form responses 1'!$A$2:$A1001, "&gt;=2024-01-01", 'Form responses 1'!$A$2:$A1001, "&lt;=2024-03-31"),
    COUNTIFS('Form responses 1'!$E$2:$E1001, A53, 'Form responses 1'!$A$2:$A1001, "&gt;=2024-01-01", 'Form responses 1'!$A$2:$A1001, "&lt;=2024-03-31"),
    COUNTIFS('Form responses 1'!$F$2:$F1001, A53, 'Form responses 1'!$A$2:$A1001, "&gt;=2024-01-01", 'Form responses 1'!$A$2:$A1001, "&lt;=2024-03-31"),
    COUNTIFS('Form responses 1'!$G$2:$G1001, A53, 'Form responses 1'!$A$2:$A1001, "&gt;=2024-01-01", 'Form responses 1'!$A$2:$A1001, "&lt;=2024-03-31")
)
</f>
        <v>13</v>
      </c>
      <c r="J53" s="2">
        <f>SUM(
    COUNTIFS('Form responses 1'!$C$2:$C1001, A53, 'Form responses 1'!$A$2:$A1001, "&gt;=2024-04-01", 'Form responses 1'!$A$2:$A1001, "&lt;=2024-06-30"),
    COUNTIFS('Form responses 1'!$B$2:$B1001, A53, 'Form responses 1'!$A$2:$A1001, "&gt;=2024-04-01", 'Form responses 1'!$A$2:$A1001, "&lt;=2024-06-30"),
    COUNTIFS('Form responses 1'!$D$2:$D1001, A53, 'Form responses 1'!$A$2:$A1001, "&gt;=2024-04-01", 'Form responses 1'!$A$2:$A1001, "&lt;=2024-06-30"),
    COUNTIFS('Form responses 1'!$E$2:$E1001, A53, 'Form responses 1'!$A$2:$A1001, "&gt;=2024-04-01", 'Form responses 1'!$A$2:$A1001, "&lt;=2024-06-30"),
    COUNTIFS('Form responses 1'!$F$2:$F1001, A53, 'Form responses 1'!$A$2:$A1001, "&gt;=2024-04-01", 'Form responses 1'!$A$2:$A1001, "&lt;=2024-06-30"),
    COUNTIFS('Form responses 1'!$G$2:$G1001, A53, 'Form responses 1'!$A$2:$A1001, "&gt;=2024-04-01", 'Form responses 1'!$A$2:$A1001, "&lt;=2024-06-30")
)
</f>
        <v>10</v>
      </c>
      <c r="K53" s="2">
        <f>SUM(
    COUNTIFS('Form responses 1'!$C$2:$C1001, A53, 'Form responses 1'!$A$2:$A1001, "&gt;=2024-07-01", 'Form responses 1'!$A$2:$A1001, "&lt;=2024-09-30"),
    COUNTIFS('Form responses 1'!$B$2:$B1001, A53, 'Form responses 1'!$A$2:$A1001, "&gt;=2024-07-01", 'Form responses 1'!$A$2:$A1001, "&lt;=2024-09-30"),
    COUNTIFS('Form responses 1'!$D$2:$D1001, A53, 'Form responses 1'!$A$2:$A1001, "&gt;=2024-07-01", 'Form responses 1'!$A$2:$A1001, "&lt;=2024-09-30"),
    COUNTIFS('Form responses 1'!$E$2:$E1001, A53, 'Form responses 1'!$A$2:$A1001, "&gt;=2024-07-01", 'Form responses 1'!$A$2:$A1001, "&lt;=2024-09-30"),
    COUNTIFS('Form responses 1'!$F$2:$F1001, A53, 'Form responses 1'!$A$2:$A1001, "&gt;=2024-07-01", 'Form responses 1'!$A$2:$A1001, "&lt;=2024-09-30"),
    COUNTIFS('Form responses 1'!$G$2:$G1001, A53, 'Form responses 1'!$A$2:$A1001, "&gt;=2024-07-01", 'Form responses 1'!$A$2:$A1001, "&lt;=2024-09-30")
)
</f>
        <v>4</v>
      </c>
      <c r="L53" s="2">
        <f>SUM(
    COUNTIFS('Form responses 1'!$C$2:$C1001, A53, 'Form responses 1'!$A$2:$A1001, "&gt;=2024-10-01", 'Form responses 1'!$A$2:$A1001, "&lt;=2024-12-31"),
    COUNTIFS('Form responses 1'!$B$2:$B1001, A53, 'Form responses 1'!$A$2:$A1001, "&gt;=2024-10-01", 'Form responses 1'!$A$2:$A1001, "&lt;=2024-12-31"),
    COUNTIFS('Form responses 1'!$D$2:$D1001, A53, 'Form responses 1'!$A$2:$A1001, "&gt;=2024-10-01", 'Form responses 1'!$A$2:$A1001, "&lt;=2024-12-31"),
    COUNTIFS('Form responses 1'!$E$2:$E1001, A53, 'Form responses 1'!$A$2:$A1001, "&gt;=2024-10-01", 'Form responses 1'!$A$2:$A1001, "&lt;=2024-12-31"),
    COUNTIFS('Form responses 1'!$F$2:$F1001, A53, 'Form responses 1'!$A$2:$A1001, "&gt;=2024-10-01", 'Form responses 1'!$A$2:$A1001, "&lt;=2024-12-31"),
    COUNTIFS('Form responses 1'!$G$2:$G1001, A53, 'Form responses 1'!$A$2:$A1001, "&gt;=2024-10-01", 'Form responses 1'!$A$2:$A1001, "&lt;=2024-12-31")
)
</f>
        <v>3</v>
      </c>
      <c r="M53" s="2">
        <f>SUM(
    COUNTIFS('Form responses 1'!$C$2:$C1001, A53, 'Form responses 1'!$A$2:$A1001, "&gt;=2025-01-01", 'Form responses 1'!$A$2:$A1001, "&lt;=2025-03-31"),
    COUNTIFS('Form responses 1'!$B$2:$B1001, A53, 'Form responses 1'!$A$2:$A1001, "&gt;=2025-01-01", 'Form responses 1'!$A$2:$A1001, "&lt;=2025-03-31"),
    COUNTIFS('Form responses 1'!$D$2:$D1001, A53, 'Form responses 1'!$A$2:$A1001, "&gt;=2025-01-01", 'Form responses 1'!$A$2:$A1001, "&lt;=2025-03-31"),
    COUNTIFS('Form responses 1'!$E$2:$E1001, A53, 'Form responses 1'!$A$2:$A1001, "&gt;=2025-01-01", 'Form responses 1'!$A$2:$A1001, "&lt;=2025-03-31"),
    COUNTIFS('Form responses 1'!$F$2:$F1001, A53, 'Form responses 1'!$A$2:$A1001, "&gt;=2025-01-01", 'Form responses 1'!$A$2:$A1001, "&lt;=2025-03-31"),
    COUNTIFS('Form responses 1'!$G$2:$G1001, A53, 'Form responses 1'!$A$2:$A1001, "&gt;=2025-01-01", 'Form responses 1'!$A$2:$A1001, "&lt;=2025-03-31")
)
</f>
        <v>5</v>
      </c>
      <c r="N53" s="2">
        <f>SUM(
    COUNTIFS('Form responses 1'!$C$2:$C1001, A53, 'Form responses 1'!$A$2:$A1001, "&gt;=2025-04-01", 'Form responses 1'!$A$2:$A1001, "&lt;2025-07-01"),
    COUNTIFS('Form responses 1'!$B$2:$B1001, A53, 'Form responses 1'!$A$2:$A1001, "&gt;=2025-04-01", 'Form responses 1'!$A$2:$A1001, "&lt;2025-07-01"),
    COUNTIFS('Form responses 1'!$D$2:$D1001, A53, 'Form responses 1'!$A$2:$A1001, "&gt;=2025-04-01", 'Form responses 1'!$A$2:$A1001, "&lt;2025-07-01"),
    COUNTIFS('Form responses 1'!$E$2:$E1001, A53, 'Form responses 1'!$A$2:$A1001, "&gt;=2025-04-01", 'Form responses 1'!$A$2:$A1001, "&lt;2025-07-01"),
    COUNTIFS('Form responses 1'!$F$2:$F1001, A53, 'Form responses 1'!$A$2:$A1001, "&gt;=2025-04-01", 'Form responses 1'!$A$2:$A1001, "&lt;2025-07-01"),
    COUNTIFS('Form responses 1'!$G$2:$G1001, A53, 'Form responses 1'!$A$2:$A1001, "&gt;=2025-04-01", 'Form responses 1'!$A$2:$A1001, "&lt;2025-07-01")
)
</f>
        <v>8</v>
      </c>
      <c r="O53" s="2">
        <f>SUM(
    COUNTIFS('Form responses 1'!$C$2:$C1001, A53, 'Form responses 1'!$A$2:$A1001, "&gt;=2025-07-01", 'Form responses 1'!$A$2:$A1001, "&lt;=2025-09-30"),
    COUNTIFS('Form responses 1'!$B$2:$B1001, A53, 'Form responses 1'!$A$2:$A1001, "&gt;=2025-07-01", 'Form responses 1'!$A$2:$A1001, "&lt;=2025-09-30"),
    COUNTIFS('Form responses 1'!$D$2:$D1001, A53, 'Form responses 1'!$A$2:$A1001, "&gt;=2025-07-01", 'Form responses 1'!$A$2:$A1001, "&lt;=2025-09-30"),
    COUNTIFS('Form responses 1'!$E$2:$E1001, A53, 'Form responses 1'!$A$2:$A1001, "&gt;=2025-07-01", 'Form responses 1'!$A$2:$A1001, "&lt;=2025-09-30"),
    COUNTIFS('Form responses 1'!$F$2:$F1001, A53, 'Form responses 1'!$A$2:$A1001, "&gt;=2025-07-01", 'Form responses 1'!$A$2:$A1001, "&lt;=2025-09-30"),
    COUNTIFS('Form responses 1'!$G$2:$G1001, A53, 'Form responses 1'!$A$2:$A1001, "&gt;=2025-07-01", 'Form responses 1'!$A$2:$A1001, "&lt;=2025-09-30")
)
</f>
        <v>0</v>
      </c>
      <c r="P53" s="2">
        <f>SUM(
    COUNTIFS('Form responses 1'!$C$2:$C1001, A53, 'Form responses 1'!$A$2:$A1001, "&gt;=2025-10-01", 'Form responses 1'!$A$2:$A1001, "&lt;=2025-12-31"),
    COUNTIFS('Form responses 1'!$B$2:$B1001, A53, 'Form responses 1'!$A$2:$A1001, "&gt;=2025-10-01", 'Form responses 1'!$A$2:$A1001, "&lt;=2025-12-31"),
    COUNTIFS('Form responses 1'!$D$2:$D1001, A53, 'Form responses 1'!$A$2:$A1001, "&gt;=2025-10-01", 'Form responses 1'!$A$2:$A1001, "&lt;=2025-12-31"),
    COUNTIFS('Form responses 1'!$E$2:$E1001, A53, 'Form responses 1'!$A$2:$A1001, "&gt;=2025-10-01", 'Form responses 1'!$A$2:$A1001, "&lt;=2025-12-31"),
    COUNTIFS('Form responses 1'!$F$2:$F1001, A53, 'Form responses 1'!$A$2:$A1001, "&gt;=2025-10-01", 'Form responses 1'!$A$2:$A1001, "&lt;=2025-12-31"),
    COUNTIFS('Form responses 1'!$G$2:$G1001, A53, 'Form responses 1'!$A$2:$A1001, "&gt;=2025-10-01", 'Form responses 1'!$A$2:$A1001, "&lt;=2025-12-31")
)
</f>
        <v>7</v>
      </c>
    </row>
    <row r="54">
      <c r="A54" s="6" t="str">
        <f>IFERROR(__xludf.DUMMYFUNCTION("""COMPUTED_VALUE"""),"Rood vest")</f>
        <v>Rood vest</v>
      </c>
      <c r="B54" s="2">
        <f>SUM(
    COUNTIFS('Form responses 1'!$C$2:$C1001, A54, 'Form responses 1'!$A$2:$A1001, "&gt;=2022-04-01", 'Form responses 1'!$A$2:$A1001, "&lt;=2022-06-30"),
    COUNTIFS('Form responses 1'!$B$2:$B1001, A54, 'Form responses 1'!$A$2:$A1001, "&gt;=2022-04-01", 'Form responses 1'!$A$2:$A1001, "&lt;=2022-06-30"),
    COUNTIFS('Form responses 1'!$D$2:$D1001, A54, 'Form responses 1'!$A$2:$A1001, "&gt;=2022-04-01", 'Form responses 1'!$A$2:$A1001, "&lt;=2022-06-30"),
    COUNTIFS('Form responses 1'!$E$2:$E1001, A54, 'Form responses 1'!$A$2:$A1001, "&gt;=2022-04-01", 'Form responses 1'!$A$2:$A1001, "&lt;=2022-06-30"),
    COUNTIFS('Form responses 1'!$F$2:$F1001, A54, 'Form responses 1'!$A$2:$A1001, "&gt;=2022-04-01", 'Form responses 1'!$A$2:$A1001, "&lt;=2022-06-30"),
    COUNTIFS('Form responses 1'!$G$2:$G1001, A54, 'Form responses 1'!$A$2:$A1001, "&gt;=2022-04-01", 'Form responses 1'!$A$2:$A1001, "&lt;=2022-06-30")
)
</f>
        <v>2</v>
      </c>
      <c r="C54" s="2">
        <f>SUM(
    COUNTIFS('Form responses 1'!$C$2:$C1001, A54, 'Form responses 1'!$A$2:$A1001, "&gt;=2022-07-01", 'Form responses 1'!$A$2:$A1001, "&lt;=2022-09-30"),
    COUNTIFS('Form responses 1'!$B$2:$B1001, A54, 'Form responses 1'!$A$2:$A1001, "&gt;=2022-07-01", 'Form responses 1'!$A$2:$A1001, "&lt;=2022-09-30"),
    COUNTIFS('Form responses 1'!$D$2:$D1001, A54, 'Form responses 1'!$A$2:$A1001, "&gt;=2022-07-01", 'Form responses 1'!$A$2:$A1001, "&lt;=2022-09-30"),
    COUNTIFS('Form responses 1'!$E$2:$E1001, A54, 'Form responses 1'!$A$2:$A1001, "&gt;=2022-07-01", 'Form responses 1'!$A$2:$A1001, "&lt;=2022-09-30"),
    COUNTIFS('Form responses 1'!$F$2:$F1001, A54, 'Form responses 1'!$A$2:$A1001, "&gt;=2022-07-01", 'Form responses 1'!$A$2:$A1001, "&lt;=2022-09-30"),
    COUNTIFS('Form responses 1'!$G$2:$G1001, A54, 'Form responses 1'!$A$2:$A1001, "&gt;=2022-07-01", 'Form responses 1'!$A$2:$A1001, "&lt;=2022-09-30")
)
</f>
        <v>0</v>
      </c>
      <c r="D54" s="2">
        <f>SUM(
    COUNTIFS('Form responses 1'!$C$2:$C1001, A54, 'Form responses 1'!$A$2:$A1001, "&gt;=2022-10-01", 'Form responses 1'!$A$2:$A1001, "&lt;=2022-12-31"),
    COUNTIFS('Form responses 1'!$B$2:$B1001, A54, 'Form responses 1'!$A$2:$A1001, "&gt;=2022-10-01", 'Form responses 1'!$A$2:$A1001, "&lt;=2022-12-31"),
    COUNTIFS('Form responses 1'!$D$2:$D1001, A54, 'Form responses 1'!$A$2:$A1001, "&gt;=2022-10-01", 'Form responses 1'!$A$2:$A1001, "&lt;=2022-12-31"),
    COUNTIFS('Form responses 1'!$E$2:$E1001, A54, 'Form responses 1'!$A$2:$A1001, "&gt;=2022-10-01", 'Form responses 1'!$A$2:$A1001, "&lt;=2022-12-31"),
    COUNTIFS('Form responses 1'!$F$2:$F1001, A54, 'Form responses 1'!$A$2:$A1001, "&gt;=2022-10-01", 'Form responses 1'!$A$2:$A1001, "&lt;=2022-12-31"),
    COUNTIFS('Form responses 1'!$G$2:$G1001, A54, 'Form responses 1'!$A$2:$A1001, "&gt;=2022-10-01", 'Form responses 1'!$A$2:$A1001, "&lt;=2022-12-31")
)
</f>
        <v>5</v>
      </c>
      <c r="E54" s="2">
        <f>SUM(
    COUNTIFS('Form responses 1'!$C$2:$C1001, A54, 'Form responses 1'!$A$2:$A1001, "&gt;=2023-01-01", 'Form responses 1'!$A$2:$A1001, "&lt;=2023-03-31"),
    COUNTIFS('Form responses 1'!$B$2:$B1001, A54, 'Form responses 1'!$A$2:$A1001, "&gt;=2023-01-01", 'Form responses 1'!$A$2:$A1001, "&lt;=2023-03-31"),
    COUNTIFS('Form responses 1'!$D$2:$D1001, A54, 'Form responses 1'!$A$2:$A1001, "&gt;=2023-01-01", 'Form responses 1'!$A$2:$A1001, "&lt;=2023-03-31"),
    COUNTIFS('Form responses 1'!$E$2:$E1001, A54, 'Form responses 1'!$A$2:$A1001, "&gt;=2023-01-01", 'Form responses 1'!$A$2:$A1001, "&lt;=2023-03-31"),
    COUNTIFS('Form responses 1'!$F$2:$F1001, A54, 'Form responses 1'!$A$2:$A1001, "&gt;=2023-01-01", 'Form responses 1'!$A$2:$A1001, "&lt;=2023-03-31"),
    COUNTIFS('Form responses 1'!$G$2:$G1001, A54, 'Form responses 1'!$A$2:$A1001, "&gt;=2023-01-01", 'Form responses 1'!$A$2:$A1001, "&lt;=2023-03-31")
)
</f>
        <v>3</v>
      </c>
      <c r="F54" s="2">
        <f>SUM(
    COUNTIFS('Form responses 1'!$C$2:$C1001, A54, 'Form responses 1'!$A$2:$A1001, "&gt;=2023-04-01", 'Form responses 1'!$A$2:$A1001, "&lt;=2023-06-30"),
    COUNTIFS('Form responses 1'!$B$2:$B1001, A54, 'Form responses 1'!$A$2:$A1001, "&gt;=2023-04-01", 'Form responses 1'!$A$2:$A1001, "&lt;=2023-06-30"),
    COUNTIFS('Form responses 1'!$D$2:$D1001, A54, 'Form responses 1'!$A$2:$A1001, "&gt;=2023-04-01", 'Form responses 1'!$A$2:$A1001, "&lt;=2023-06-30"),
    COUNTIFS('Form responses 1'!$E$2:$E1001, A54, 'Form responses 1'!$A$2:$A1001, "&gt;=2023-04-01", 'Form responses 1'!$A$2:$A1001, "&lt;=2023-06-30"),
    COUNTIFS('Form responses 1'!$F$2:$F1001, A54, 'Form responses 1'!$A$2:$A1001, "&gt;=2023-04-01", 'Form responses 1'!$A$2:$A1001, "&lt;=2023-06-30"),
    COUNTIFS('Form responses 1'!$G$2:$G1001, A54, 'Form responses 1'!$A$2:$A1001, "&gt;=2023-04-01", 'Form responses 1'!$A$2:$A1001, "&lt;=2023-06-30")
)
</f>
        <v>4</v>
      </c>
      <c r="G54" s="2">
        <f>SUM(
    COUNTIFS('Form responses 1'!$C$2:$C1001, A54, 'Form responses 1'!$A$2:$A1001, "&gt;=2023-07-01", 'Form responses 1'!$A$2:$A1001, "&lt;=2023-09-30"),
    COUNTIFS('Form responses 1'!$B$2:$B1001, A54, 'Form responses 1'!$A$2:$A1001, "&gt;=2023-07-01", 'Form responses 1'!$A$2:$A1001, "&lt;=2023-09-30"),
    COUNTIFS('Form responses 1'!$D$2:$D1001, A54, 'Form responses 1'!$A$2:$A1001, "&gt;=2023-07-01", 'Form responses 1'!$A$2:$A1001, "&lt;=2023-09-30"),
    COUNTIFS('Form responses 1'!$E$2:$E1001, A54, 'Form responses 1'!$A$2:$A1001, "&gt;=2023-07-01", 'Form responses 1'!$A$2:$A1001, "&lt;=2023-09-30"),
    COUNTIFS('Form responses 1'!$F$2:$F1001, A54, 'Form responses 1'!$A$2:$A1001, "&gt;=2023-07-01", 'Form responses 1'!$A$2:$A1001, "&lt;=2023-09-30"),
    COUNTIFS('Form responses 1'!$G$2:$G1001, A54, 'Form responses 1'!$A$2:$A1001, "&gt;=2023-07-01", 'Form responses 1'!$A$2:$A1001, "&lt;=2023-09-30")
)
</f>
        <v>0</v>
      </c>
      <c r="H54" s="2">
        <f>SUM(
    COUNTIFS('Form responses 1'!$C$2:$C1001, A54, 'Form responses 1'!$A$2:$A1001, "&gt;=2023-10-01", 'Form responses 1'!$A$2:$A1001, "&lt;=2023-12-31"),
    COUNTIFS('Form responses 1'!$B$2:$B1001, A54, 'Form responses 1'!$A$2:$A1001, "&gt;=2023-10-01", 'Form responses 1'!$A$2:$A1001, "&lt;=2023-12-31"),
    COUNTIFS('Form responses 1'!$D$2:$D1001, A54, 'Form responses 1'!$A$2:$A1001, "&gt;=2023-10-01", 'Form responses 1'!$A$2:$A1001, "&lt;=2023-12-31"),
    COUNTIFS('Form responses 1'!$E$2:$E1001, A54, 'Form responses 1'!$A$2:$A1001, "&gt;=2023-10-01", 'Form responses 1'!$A$2:$A1001, "&lt;=2023-12-31"),
    COUNTIFS('Form responses 1'!$F$2:$F1001, A54, 'Form responses 1'!$A$2:$A1001, "&gt;=2023-10-01", 'Form responses 1'!$A$2:$A1001, "&lt;=2023-12-31"),
    COUNTIFS('Form responses 1'!$G$2:$G1001, A54, 'Form responses 1'!$A$2:$A1001, "&gt;=2023-10-01", 'Form responses 1'!$A$2:$A1001, "&lt;=2023-12-31")
)
</f>
        <v>2</v>
      </c>
      <c r="I54" s="2">
        <f>SUM(
    COUNTIFS('Form responses 1'!$C$2:$C1001, A54, 'Form responses 1'!$A$2:$A1001, "&gt;=2024-01-01", 'Form responses 1'!$A$2:$A1001, "&lt;=2024-03-31"),
    COUNTIFS('Form responses 1'!$B$2:$B1001, A54, 'Form responses 1'!$A$2:$A1001, "&gt;=2024-01-01", 'Form responses 1'!$A$2:$A1001, "&lt;=2024-03-31"),
    COUNTIFS('Form responses 1'!$D$2:$D1001, A54, 'Form responses 1'!$A$2:$A1001, "&gt;=2024-01-01", 'Form responses 1'!$A$2:$A1001, "&lt;=2024-03-31"),
    COUNTIFS('Form responses 1'!$E$2:$E1001, A54, 'Form responses 1'!$A$2:$A1001, "&gt;=2024-01-01", 'Form responses 1'!$A$2:$A1001, "&lt;=2024-03-31"),
    COUNTIFS('Form responses 1'!$F$2:$F1001, A54, 'Form responses 1'!$A$2:$A1001, "&gt;=2024-01-01", 'Form responses 1'!$A$2:$A1001, "&lt;=2024-03-31"),
    COUNTIFS('Form responses 1'!$G$2:$G1001, A54, 'Form responses 1'!$A$2:$A1001, "&gt;=2024-01-01", 'Form responses 1'!$A$2:$A1001, "&lt;=2024-03-31")
)
</f>
        <v>0</v>
      </c>
      <c r="J54" s="2">
        <f>SUM(
    COUNTIFS('Form responses 1'!$C$2:$C1001, A54, 'Form responses 1'!$A$2:$A1001, "&gt;=2024-04-01", 'Form responses 1'!$A$2:$A1001, "&lt;=2024-06-30"),
    COUNTIFS('Form responses 1'!$B$2:$B1001, A54, 'Form responses 1'!$A$2:$A1001, "&gt;=2024-04-01", 'Form responses 1'!$A$2:$A1001, "&lt;=2024-06-30"),
    COUNTIFS('Form responses 1'!$D$2:$D1001, A54, 'Form responses 1'!$A$2:$A1001, "&gt;=2024-04-01", 'Form responses 1'!$A$2:$A1001, "&lt;=2024-06-30"),
    COUNTIFS('Form responses 1'!$E$2:$E1001, A54, 'Form responses 1'!$A$2:$A1001, "&gt;=2024-04-01", 'Form responses 1'!$A$2:$A1001, "&lt;=2024-06-30"),
    COUNTIFS('Form responses 1'!$F$2:$F1001, A54, 'Form responses 1'!$A$2:$A1001, "&gt;=2024-04-01", 'Form responses 1'!$A$2:$A1001, "&lt;=2024-06-30"),
    COUNTIFS('Form responses 1'!$G$2:$G1001, A54, 'Form responses 1'!$A$2:$A1001, "&gt;=2024-04-01", 'Form responses 1'!$A$2:$A1001, "&lt;=2024-06-30")
)
</f>
        <v>0</v>
      </c>
      <c r="K54" s="2">
        <f>SUM(
    COUNTIFS('Form responses 1'!$C$2:$C1001, A54, 'Form responses 1'!$A$2:$A1001, "&gt;=2024-07-01", 'Form responses 1'!$A$2:$A1001, "&lt;=2024-09-30"),
    COUNTIFS('Form responses 1'!$B$2:$B1001, A54, 'Form responses 1'!$A$2:$A1001, "&gt;=2024-07-01", 'Form responses 1'!$A$2:$A1001, "&lt;=2024-09-30"),
    COUNTIFS('Form responses 1'!$D$2:$D1001, A54, 'Form responses 1'!$A$2:$A1001, "&gt;=2024-07-01", 'Form responses 1'!$A$2:$A1001, "&lt;=2024-09-30"),
    COUNTIFS('Form responses 1'!$E$2:$E1001, A54, 'Form responses 1'!$A$2:$A1001, "&gt;=2024-07-01", 'Form responses 1'!$A$2:$A1001, "&lt;=2024-09-30"),
    COUNTIFS('Form responses 1'!$F$2:$F1001, A54, 'Form responses 1'!$A$2:$A1001, "&gt;=2024-07-01", 'Form responses 1'!$A$2:$A1001, "&lt;=2024-09-30"),
    COUNTIFS('Form responses 1'!$G$2:$G1001, A54, 'Form responses 1'!$A$2:$A1001, "&gt;=2024-07-01", 'Form responses 1'!$A$2:$A1001, "&lt;=2024-09-30")
)
</f>
        <v>0</v>
      </c>
      <c r="L54" s="2">
        <f>SUM(
    COUNTIFS('Form responses 1'!$C$2:$C1001, A54, 'Form responses 1'!$A$2:$A1001, "&gt;=2024-10-01", 'Form responses 1'!$A$2:$A1001, "&lt;=2024-12-31"),
    COUNTIFS('Form responses 1'!$B$2:$B1001, A54, 'Form responses 1'!$A$2:$A1001, "&gt;=2024-10-01", 'Form responses 1'!$A$2:$A1001, "&lt;=2024-12-31"),
    COUNTIFS('Form responses 1'!$D$2:$D1001, A54, 'Form responses 1'!$A$2:$A1001, "&gt;=2024-10-01", 'Form responses 1'!$A$2:$A1001, "&lt;=2024-12-31"),
    COUNTIFS('Form responses 1'!$E$2:$E1001, A54, 'Form responses 1'!$A$2:$A1001, "&gt;=2024-10-01", 'Form responses 1'!$A$2:$A1001, "&lt;=2024-12-31"),
    COUNTIFS('Form responses 1'!$F$2:$F1001, A54, 'Form responses 1'!$A$2:$A1001, "&gt;=2024-10-01", 'Form responses 1'!$A$2:$A1001, "&lt;=2024-12-31"),
    COUNTIFS('Form responses 1'!$G$2:$G1001, A54, 'Form responses 1'!$A$2:$A1001, "&gt;=2024-10-01", 'Form responses 1'!$A$2:$A1001, "&lt;=2024-12-31")
)
</f>
        <v>5</v>
      </c>
      <c r="M54" s="2">
        <f>SUM(
    COUNTIFS('Form responses 1'!$C$2:$C1001, A54, 'Form responses 1'!$A$2:$A1001, "&gt;=2025-01-01", 'Form responses 1'!$A$2:$A1001, "&lt;=2025-03-31"),
    COUNTIFS('Form responses 1'!$B$2:$B1001, A54, 'Form responses 1'!$A$2:$A1001, "&gt;=2025-01-01", 'Form responses 1'!$A$2:$A1001, "&lt;=2025-03-31"),
    COUNTIFS('Form responses 1'!$D$2:$D1001, A54, 'Form responses 1'!$A$2:$A1001, "&gt;=2025-01-01", 'Form responses 1'!$A$2:$A1001, "&lt;=2025-03-31"),
    COUNTIFS('Form responses 1'!$E$2:$E1001, A54, 'Form responses 1'!$A$2:$A1001, "&gt;=2025-01-01", 'Form responses 1'!$A$2:$A1001, "&lt;=2025-03-31"),
    COUNTIFS('Form responses 1'!$F$2:$F1001, A54, 'Form responses 1'!$A$2:$A1001, "&gt;=2025-01-01", 'Form responses 1'!$A$2:$A1001, "&lt;=2025-03-31"),
    COUNTIFS('Form responses 1'!$G$2:$G1001, A54, 'Form responses 1'!$A$2:$A1001, "&gt;=2025-01-01", 'Form responses 1'!$A$2:$A1001, "&lt;=2025-03-31")
)
</f>
        <v>17</v>
      </c>
      <c r="N54" s="2">
        <f>SUM(
    COUNTIFS('Form responses 1'!$C$2:$C1001, A54, 'Form responses 1'!$A$2:$A1001, "&gt;=2025-04-01", 'Form responses 1'!$A$2:$A1001, "&lt;2025-07-01"),
    COUNTIFS('Form responses 1'!$B$2:$B1001, A54, 'Form responses 1'!$A$2:$A1001, "&gt;=2025-04-01", 'Form responses 1'!$A$2:$A1001, "&lt;2025-07-01"),
    COUNTIFS('Form responses 1'!$D$2:$D1001, A54, 'Form responses 1'!$A$2:$A1001, "&gt;=2025-04-01", 'Form responses 1'!$A$2:$A1001, "&lt;2025-07-01"),
    COUNTIFS('Form responses 1'!$E$2:$E1001, A54, 'Form responses 1'!$A$2:$A1001, "&gt;=2025-04-01", 'Form responses 1'!$A$2:$A1001, "&lt;2025-07-01"),
    COUNTIFS('Form responses 1'!$F$2:$F1001, A54, 'Form responses 1'!$A$2:$A1001, "&gt;=2025-04-01", 'Form responses 1'!$A$2:$A1001, "&lt;2025-07-01"),
    COUNTIFS('Form responses 1'!$G$2:$G1001, A54, 'Form responses 1'!$A$2:$A1001, "&gt;=2025-04-01", 'Form responses 1'!$A$2:$A1001, "&lt;2025-07-01")
)
</f>
        <v>6</v>
      </c>
      <c r="O54" s="2">
        <f>SUM(
    COUNTIFS('Form responses 1'!$C$2:$C1001, A54, 'Form responses 1'!$A$2:$A1001, "&gt;=2025-07-01", 'Form responses 1'!$A$2:$A1001, "&lt;=2025-09-30"),
    COUNTIFS('Form responses 1'!$B$2:$B1001, A54, 'Form responses 1'!$A$2:$A1001, "&gt;=2025-07-01", 'Form responses 1'!$A$2:$A1001, "&lt;=2025-09-30"),
    COUNTIFS('Form responses 1'!$D$2:$D1001, A54, 'Form responses 1'!$A$2:$A1001, "&gt;=2025-07-01", 'Form responses 1'!$A$2:$A1001, "&lt;=2025-09-30"),
    COUNTIFS('Form responses 1'!$E$2:$E1001, A54, 'Form responses 1'!$A$2:$A1001, "&gt;=2025-07-01", 'Form responses 1'!$A$2:$A1001, "&lt;=2025-09-30"),
    COUNTIFS('Form responses 1'!$F$2:$F1001, A54, 'Form responses 1'!$A$2:$A1001, "&gt;=2025-07-01", 'Form responses 1'!$A$2:$A1001, "&lt;=2025-09-30"),
    COUNTIFS('Form responses 1'!$G$2:$G1001, A54, 'Form responses 1'!$A$2:$A1001, "&gt;=2025-07-01", 'Form responses 1'!$A$2:$A1001, "&lt;=2025-09-30")
)
</f>
        <v>0</v>
      </c>
      <c r="P54" s="2">
        <f>SUM(
    COUNTIFS('Form responses 1'!$C$2:$C1001, A54, 'Form responses 1'!$A$2:$A1001, "&gt;=2025-10-01", 'Form responses 1'!$A$2:$A1001, "&lt;=2025-12-31"),
    COUNTIFS('Form responses 1'!$B$2:$B1001, A54, 'Form responses 1'!$A$2:$A1001, "&gt;=2025-10-01", 'Form responses 1'!$A$2:$A1001, "&lt;=2025-12-31"),
    COUNTIFS('Form responses 1'!$D$2:$D1001, A54, 'Form responses 1'!$A$2:$A1001, "&gt;=2025-10-01", 'Form responses 1'!$A$2:$A1001, "&lt;=2025-12-31"),
    COUNTIFS('Form responses 1'!$E$2:$E1001, A54, 'Form responses 1'!$A$2:$A1001, "&gt;=2025-10-01", 'Form responses 1'!$A$2:$A1001, "&lt;=2025-12-31"),
    COUNTIFS('Form responses 1'!$F$2:$F1001, A54, 'Form responses 1'!$A$2:$A1001, "&gt;=2025-10-01", 'Form responses 1'!$A$2:$A1001, "&lt;=2025-12-31"),
    COUNTIFS('Form responses 1'!$G$2:$G1001, A54, 'Form responses 1'!$A$2:$A1001, "&gt;=2025-10-01", 'Form responses 1'!$A$2:$A1001, "&lt;=2025-12-31")
)
</f>
        <v>0</v>
      </c>
    </row>
    <row r="55">
      <c r="A55" s="6" t="str">
        <f>IFERROR(__xludf.DUMMYFUNCTION("""COMPUTED_VALUE"""),"Zwart/rood vest")</f>
        <v>Zwart/rood vest</v>
      </c>
      <c r="B55" s="2">
        <f>SUM(
    COUNTIFS('Form responses 1'!$C$2:$C1001, A55, 'Form responses 1'!$A$2:$A1001, "&gt;=2022-04-01", 'Form responses 1'!$A$2:$A1001, "&lt;=2022-06-30"),
    COUNTIFS('Form responses 1'!$B$2:$B1001, A55, 'Form responses 1'!$A$2:$A1001, "&gt;=2022-04-01", 'Form responses 1'!$A$2:$A1001, "&lt;=2022-06-30"),
    COUNTIFS('Form responses 1'!$D$2:$D1001, A55, 'Form responses 1'!$A$2:$A1001, "&gt;=2022-04-01", 'Form responses 1'!$A$2:$A1001, "&lt;=2022-06-30"),
    COUNTIFS('Form responses 1'!$E$2:$E1001, A55, 'Form responses 1'!$A$2:$A1001, "&gt;=2022-04-01", 'Form responses 1'!$A$2:$A1001, "&lt;=2022-06-30"),
    COUNTIFS('Form responses 1'!$F$2:$F1001, A55, 'Form responses 1'!$A$2:$A1001, "&gt;=2022-04-01", 'Form responses 1'!$A$2:$A1001, "&lt;=2022-06-30"),
    COUNTIFS('Form responses 1'!$G$2:$G1001, A55, 'Form responses 1'!$A$2:$A1001, "&gt;=2022-04-01", 'Form responses 1'!$A$2:$A1001, "&lt;=2022-06-30")
)
</f>
        <v>0</v>
      </c>
      <c r="C55" s="2">
        <f>SUM(
    COUNTIFS('Form responses 1'!$C$2:$C1001, A55, 'Form responses 1'!$A$2:$A1001, "&gt;=2022-07-01", 'Form responses 1'!$A$2:$A1001, "&lt;=2022-09-30"),
    COUNTIFS('Form responses 1'!$B$2:$B1001, A55, 'Form responses 1'!$A$2:$A1001, "&gt;=2022-07-01", 'Form responses 1'!$A$2:$A1001, "&lt;=2022-09-30"),
    COUNTIFS('Form responses 1'!$D$2:$D1001, A55, 'Form responses 1'!$A$2:$A1001, "&gt;=2022-07-01", 'Form responses 1'!$A$2:$A1001, "&lt;=2022-09-30"),
    COUNTIFS('Form responses 1'!$E$2:$E1001, A55, 'Form responses 1'!$A$2:$A1001, "&gt;=2022-07-01", 'Form responses 1'!$A$2:$A1001, "&lt;=2022-09-30"),
    COUNTIFS('Form responses 1'!$F$2:$F1001, A55, 'Form responses 1'!$A$2:$A1001, "&gt;=2022-07-01", 'Form responses 1'!$A$2:$A1001, "&lt;=2022-09-30"),
    COUNTIFS('Form responses 1'!$G$2:$G1001, A55, 'Form responses 1'!$A$2:$A1001, "&gt;=2022-07-01", 'Form responses 1'!$A$2:$A1001, "&lt;=2022-09-30")
)
</f>
        <v>0</v>
      </c>
      <c r="D55" s="2">
        <f>SUM(
    COUNTIFS('Form responses 1'!$C$2:$C1001, A55, 'Form responses 1'!$A$2:$A1001, "&gt;=2022-10-01", 'Form responses 1'!$A$2:$A1001, "&lt;=2022-12-31"),
    COUNTIFS('Form responses 1'!$B$2:$B1001, A55, 'Form responses 1'!$A$2:$A1001, "&gt;=2022-10-01", 'Form responses 1'!$A$2:$A1001, "&lt;=2022-12-31"),
    COUNTIFS('Form responses 1'!$D$2:$D1001, A55, 'Form responses 1'!$A$2:$A1001, "&gt;=2022-10-01", 'Form responses 1'!$A$2:$A1001, "&lt;=2022-12-31"),
    COUNTIFS('Form responses 1'!$E$2:$E1001, A55, 'Form responses 1'!$A$2:$A1001, "&gt;=2022-10-01", 'Form responses 1'!$A$2:$A1001, "&lt;=2022-12-31"),
    COUNTIFS('Form responses 1'!$F$2:$F1001, A55, 'Form responses 1'!$A$2:$A1001, "&gt;=2022-10-01", 'Form responses 1'!$A$2:$A1001, "&lt;=2022-12-31"),
    COUNTIFS('Form responses 1'!$G$2:$G1001, A55, 'Form responses 1'!$A$2:$A1001, "&gt;=2022-10-01", 'Form responses 1'!$A$2:$A1001, "&lt;=2022-12-31")
)
</f>
        <v>0</v>
      </c>
      <c r="E55" s="2">
        <f>SUM(
    COUNTIFS('Form responses 1'!$C$2:$C1001, A55, 'Form responses 1'!$A$2:$A1001, "&gt;=2023-01-01", 'Form responses 1'!$A$2:$A1001, "&lt;=2023-03-31"),
    COUNTIFS('Form responses 1'!$B$2:$B1001, A55, 'Form responses 1'!$A$2:$A1001, "&gt;=2023-01-01", 'Form responses 1'!$A$2:$A1001, "&lt;=2023-03-31"),
    COUNTIFS('Form responses 1'!$D$2:$D1001, A55, 'Form responses 1'!$A$2:$A1001, "&gt;=2023-01-01", 'Form responses 1'!$A$2:$A1001, "&lt;=2023-03-31"),
    COUNTIFS('Form responses 1'!$E$2:$E1001, A55, 'Form responses 1'!$A$2:$A1001, "&gt;=2023-01-01", 'Form responses 1'!$A$2:$A1001, "&lt;=2023-03-31"),
    COUNTIFS('Form responses 1'!$F$2:$F1001, A55, 'Form responses 1'!$A$2:$A1001, "&gt;=2023-01-01", 'Form responses 1'!$A$2:$A1001, "&lt;=2023-03-31"),
    COUNTIFS('Form responses 1'!$G$2:$G1001, A55, 'Form responses 1'!$A$2:$A1001, "&gt;=2023-01-01", 'Form responses 1'!$A$2:$A1001, "&lt;=2023-03-31")
)
</f>
        <v>0</v>
      </c>
      <c r="F55" s="2">
        <f>SUM(
    COUNTIFS('Form responses 1'!$C$2:$C1001, A55, 'Form responses 1'!$A$2:$A1001, "&gt;=2023-04-01", 'Form responses 1'!$A$2:$A1001, "&lt;=2023-06-30"),
    COUNTIFS('Form responses 1'!$B$2:$B1001, A55, 'Form responses 1'!$A$2:$A1001, "&gt;=2023-04-01", 'Form responses 1'!$A$2:$A1001, "&lt;=2023-06-30"),
    COUNTIFS('Form responses 1'!$D$2:$D1001, A55, 'Form responses 1'!$A$2:$A1001, "&gt;=2023-04-01", 'Form responses 1'!$A$2:$A1001, "&lt;=2023-06-30"),
    COUNTIFS('Form responses 1'!$E$2:$E1001, A55, 'Form responses 1'!$A$2:$A1001, "&gt;=2023-04-01", 'Form responses 1'!$A$2:$A1001, "&lt;=2023-06-30"),
    COUNTIFS('Form responses 1'!$F$2:$F1001, A55, 'Form responses 1'!$A$2:$A1001, "&gt;=2023-04-01", 'Form responses 1'!$A$2:$A1001, "&lt;=2023-06-30"),
    COUNTIFS('Form responses 1'!$G$2:$G1001, A55, 'Form responses 1'!$A$2:$A1001, "&gt;=2023-04-01", 'Form responses 1'!$A$2:$A1001, "&lt;=2023-06-30")
)
</f>
        <v>0</v>
      </c>
      <c r="G55" s="2">
        <f>SUM(
    COUNTIFS('Form responses 1'!$C$2:$C1001, A55, 'Form responses 1'!$A$2:$A1001, "&gt;=2023-07-01", 'Form responses 1'!$A$2:$A1001, "&lt;=2023-09-30"),
    COUNTIFS('Form responses 1'!$B$2:$B1001, A55, 'Form responses 1'!$A$2:$A1001, "&gt;=2023-07-01", 'Form responses 1'!$A$2:$A1001, "&lt;=2023-09-30"),
    COUNTIFS('Form responses 1'!$D$2:$D1001, A55, 'Form responses 1'!$A$2:$A1001, "&gt;=2023-07-01", 'Form responses 1'!$A$2:$A1001, "&lt;=2023-09-30"),
    COUNTIFS('Form responses 1'!$E$2:$E1001, A55, 'Form responses 1'!$A$2:$A1001, "&gt;=2023-07-01", 'Form responses 1'!$A$2:$A1001, "&lt;=2023-09-30"),
    COUNTIFS('Form responses 1'!$F$2:$F1001, A55, 'Form responses 1'!$A$2:$A1001, "&gt;=2023-07-01", 'Form responses 1'!$A$2:$A1001, "&lt;=2023-09-30"),
    COUNTIFS('Form responses 1'!$G$2:$G1001, A55, 'Form responses 1'!$A$2:$A1001, "&gt;=2023-07-01", 'Form responses 1'!$A$2:$A1001, "&lt;=2023-09-30")
)
</f>
        <v>0</v>
      </c>
      <c r="H55" s="2">
        <f>SUM(
    COUNTIFS('Form responses 1'!$C$2:$C1001, A55, 'Form responses 1'!$A$2:$A1001, "&gt;=2023-10-01", 'Form responses 1'!$A$2:$A1001, "&lt;=2023-12-31"),
    COUNTIFS('Form responses 1'!$B$2:$B1001, A55, 'Form responses 1'!$A$2:$A1001, "&gt;=2023-10-01", 'Form responses 1'!$A$2:$A1001, "&lt;=2023-12-31"),
    COUNTIFS('Form responses 1'!$D$2:$D1001, A55, 'Form responses 1'!$A$2:$A1001, "&gt;=2023-10-01", 'Form responses 1'!$A$2:$A1001, "&lt;=2023-12-31"),
    COUNTIFS('Form responses 1'!$E$2:$E1001, A55, 'Form responses 1'!$A$2:$A1001, "&gt;=2023-10-01", 'Form responses 1'!$A$2:$A1001, "&lt;=2023-12-31"),
    COUNTIFS('Form responses 1'!$F$2:$F1001, A55, 'Form responses 1'!$A$2:$A1001, "&gt;=2023-10-01", 'Form responses 1'!$A$2:$A1001, "&lt;=2023-12-31"),
    COUNTIFS('Form responses 1'!$G$2:$G1001, A55, 'Form responses 1'!$A$2:$A1001, "&gt;=2023-10-01", 'Form responses 1'!$A$2:$A1001, "&lt;=2023-12-31")
)
</f>
        <v>1</v>
      </c>
      <c r="I55" s="2">
        <f>SUM(
    COUNTIFS('Form responses 1'!$C$2:$C1001, A55, 'Form responses 1'!$A$2:$A1001, "&gt;=2024-01-01", 'Form responses 1'!$A$2:$A1001, "&lt;=2024-03-31"),
    COUNTIFS('Form responses 1'!$B$2:$B1001, A55, 'Form responses 1'!$A$2:$A1001, "&gt;=2024-01-01", 'Form responses 1'!$A$2:$A1001, "&lt;=2024-03-31"),
    COUNTIFS('Form responses 1'!$D$2:$D1001, A55, 'Form responses 1'!$A$2:$A1001, "&gt;=2024-01-01", 'Form responses 1'!$A$2:$A1001, "&lt;=2024-03-31"),
    COUNTIFS('Form responses 1'!$E$2:$E1001, A55, 'Form responses 1'!$A$2:$A1001, "&gt;=2024-01-01", 'Form responses 1'!$A$2:$A1001, "&lt;=2024-03-31"),
    COUNTIFS('Form responses 1'!$F$2:$F1001, A55, 'Form responses 1'!$A$2:$A1001, "&gt;=2024-01-01", 'Form responses 1'!$A$2:$A1001, "&lt;=2024-03-31"),
    COUNTIFS('Form responses 1'!$G$2:$G1001, A55, 'Form responses 1'!$A$2:$A1001, "&gt;=2024-01-01", 'Form responses 1'!$A$2:$A1001, "&lt;=2024-03-31")
)
</f>
        <v>0</v>
      </c>
      <c r="J55" s="2">
        <f>SUM(
    COUNTIFS('Form responses 1'!$C$2:$C1001, A55, 'Form responses 1'!$A$2:$A1001, "&gt;=2024-04-01", 'Form responses 1'!$A$2:$A1001, "&lt;=2024-06-30"),
    COUNTIFS('Form responses 1'!$B$2:$B1001, A55, 'Form responses 1'!$A$2:$A1001, "&gt;=2024-04-01", 'Form responses 1'!$A$2:$A1001, "&lt;=2024-06-30"),
    COUNTIFS('Form responses 1'!$D$2:$D1001, A55, 'Form responses 1'!$A$2:$A1001, "&gt;=2024-04-01", 'Form responses 1'!$A$2:$A1001, "&lt;=2024-06-30"),
    COUNTIFS('Form responses 1'!$E$2:$E1001, A55, 'Form responses 1'!$A$2:$A1001, "&gt;=2024-04-01", 'Form responses 1'!$A$2:$A1001, "&lt;=2024-06-30"),
    COUNTIFS('Form responses 1'!$F$2:$F1001, A55, 'Form responses 1'!$A$2:$A1001, "&gt;=2024-04-01", 'Form responses 1'!$A$2:$A1001, "&lt;=2024-06-30"),
    COUNTIFS('Form responses 1'!$G$2:$G1001, A55, 'Form responses 1'!$A$2:$A1001, "&gt;=2024-04-01", 'Form responses 1'!$A$2:$A1001, "&lt;=2024-06-30")
)
</f>
        <v>0</v>
      </c>
      <c r="K55" s="2">
        <f>SUM(
    COUNTIFS('Form responses 1'!$C$2:$C1001, A55, 'Form responses 1'!$A$2:$A1001, "&gt;=2024-07-01", 'Form responses 1'!$A$2:$A1001, "&lt;=2024-09-30"),
    COUNTIFS('Form responses 1'!$B$2:$B1001, A55, 'Form responses 1'!$A$2:$A1001, "&gt;=2024-07-01", 'Form responses 1'!$A$2:$A1001, "&lt;=2024-09-30"),
    COUNTIFS('Form responses 1'!$D$2:$D1001, A55, 'Form responses 1'!$A$2:$A1001, "&gt;=2024-07-01", 'Form responses 1'!$A$2:$A1001, "&lt;=2024-09-30"),
    COUNTIFS('Form responses 1'!$E$2:$E1001, A55, 'Form responses 1'!$A$2:$A1001, "&gt;=2024-07-01", 'Form responses 1'!$A$2:$A1001, "&lt;=2024-09-30"),
    COUNTIFS('Form responses 1'!$F$2:$F1001, A55, 'Form responses 1'!$A$2:$A1001, "&gt;=2024-07-01", 'Form responses 1'!$A$2:$A1001, "&lt;=2024-09-30"),
    COUNTIFS('Form responses 1'!$G$2:$G1001, A55, 'Form responses 1'!$A$2:$A1001, "&gt;=2024-07-01", 'Form responses 1'!$A$2:$A1001, "&lt;=2024-09-30")
)
</f>
        <v>0</v>
      </c>
      <c r="L55" s="2">
        <f>SUM(
    COUNTIFS('Form responses 1'!$C$2:$C1001, A55, 'Form responses 1'!$A$2:$A1001, "&gt;=2024-10-01", 'Form responses 1'!$A$2:$A1001, "&lt;=2024-12-31"),
    COUNTIFS('Form responses 1'!$B$2:$B1001, A55, 'Form responses 1'!$A$2:$A1001, "&gt;=2024-10-01", 'Form responses 1'!$A$2:$A1001, "&lt;=2024-12-31"),
    COUNTIFS('Form responses 1'!$D$2:$D1001, A55, 'Form responses 1'!$A$2:$A1001, "&gt;=2024-10-01", 'Form responses 1'!$A$2:$A1001, "&lt;=2024-12-31"),
    COUNTIFS('Form responses 1'!$E$2:$E1001, A55, 'Form responses 1'!$A$2:$A1001, "&gt;=2024-10-01", 'Form responses 1'!$A$2:$A1001, "&lt;=2024-12-31"),
    COUNTIFS('Form responses 1'!$F$2:$F1001, A55, 'Form responses 1'!$A$2:$A1001, "&gt;=2024-10-01", 'Form responses 1'!$A$2:$A1001, "&lt;=2024-12-31"),
    COUNTIFS('Form responses 1'!$G$2:$G1001, A55, 'Form responses 1'!$A$2:$A1001, "&gt;=2024-10-01", 'Form responses 1'!$A$2:$A1001, "&lt;=2024-12-31")
)
</f>
        <v>0</v>
      </c>
      <c r="M55" s="2">
        <f>SUM(
    COUNTIFS('Form responses 1'!$C$2:$C1001, A55, 'Form responses 1'!$A$2:$A1001, "&gt;=2025-01-01", 'Form responses 1'!$A$2:$A1001, "&lt;=2025-03-31"),
    COUNTIFS('Form responses 1'!$B$2:$B1001, A55, 'Form responses 1'!$A$2:$A1001, "&gt;=2025-01-01", 'Form responses 1'!$A$2:$A1001, "&lt;=2025-03-31"),
    COUNTIFS('Form responses 1'!$D$2:$D1001, A55, 'Form responses 1'!$A$2:$A1001, "&gt;=2025-01-01", 'Form responses 1'!$A$2:$A1001, "&lt;=2025-03-31"),
    COUNTIFS('Form responses 1'!$E$2:$E1001, A55, 'Form responses 1'!$A$2:$A1001, "&gt;=2025-01-01", 'Form responses 1'!$A$2:$A1001, "&lt;=2025-03-31"),
    COUNTIFS('Form responses 1'!$F$2:$F1001, A55, 'Form responses 1'!$A$2:$A1001, "&gt;=2025-01-01", 'Form responses 1'!$A$2:$A1001, "&lt;=2025-03-31"),
    COUNTIFS('Form responses 1'!$G$2:$G1001, A55, 'Form responses 1'!$A$2:$A1001, "&gt;=2025-01-01", 'Form responses 1'!$A$2:$A1001, "&lt;=2025-03-31")
)
</f>
        <v>1</v>
      </c>
      <c r="N55" s="2">
        <f>SUM(
    COUNTIFS('Form responses 1'!$C$2:$C1001, A55, 'Form responses 1'!$A$2:$A1001, "&gt;=2025-04-01", 'Form responses 1'!$A$2:$A1001, "&lt;2025-07-01"),
    COUNTIFS('Form responses 1'!$B$2:$B1001, A55, 'Form responses 1'!$A$2:$A1001, "&gt;=2025-04-01", 'Form responses 1'!$A$2:$A1001, "&lt;2025-07-01"),
    COUNTIFS('Form responses 1'!$D$2:$D1001, A55, 'Form responses 1'!$A$2:$A1001, "&gt;=2025-04-01", 'Form responses 1'!$A$2:$A1001, "&lt;2025-07-01"),
    COUNTIFS('Form responses 1'!$E$2:$E1001, A55, 'Form responses 1'!$A$2:$A1001, "&gt;=2025-04-01", 'Form responses 1'!$A$2:$A1001, "&lt;2025-07-01"),
    COUNTIFS('Form responses 1'!$F$2:$F1001, A55, 'Form responses 1'!$A$2:$A1001, "&gt;=2025-04-01", 'Form responses 1'!$A$2:$A1001, "&lt;2025-07-01"),
    COUNTIFS('Form responses 1'!$G$2:$G1001, A55, 'Form responses 1'!$A$2:$A1001, "&gt;=2025-04-01", 'Form responses 1'!$A$2:$A1001, "&lt;2025-07-01")
)
</f>
        <v>2</v>
      </c>
      <c r="O55" s="2">
        <f>SUM(
    COUNTIFS('Form responses 1'!$C$2:$C1001, A55, 'Form responses 1'!$A$2:$A1001, "&gt;=2025-07-01", 'Form responses 1'!$A$2:$A1001, "&lt;=2025-09-30"),
    COUNTIFS('Form responses 1'!$B$2:$B1001, A55, 'Form responses 1'!$A$2:$A1001, "&gt;=2025-07-01", 'Form responses 1'!$A$2:$A1001, "&lt;=2025-09-30"),
    COUNTIFS('Form responses 1'!$D$2:$D1001, A55, 'Form responses 1'!$A$2:$A1001, "&gt;=2025-07-01", 'Form responses 1'!$A$2:$A1001, "&lt;=2025-09-30"),
    COUNTIFS('Form responses 1'!$E$2:$E1001, A55, 'Form responses 1'!$A$2:$A1001, "&gt;=2025-07-01", 'Form responses 1'!$A$2:$A1001, "&lt;=2025-09-30"),
    COUNTIFS('Form responses 1'!$F$2:$F1001, A55, 'Form responses 1'!$A$2:$A1001, "&gt;=2025-07-01", 'Form responses 1'!$A$2:$A1001, "&lt;=2025-09-30"),
    COUNTIFS('Form responses 1'!$G$2:$G1001, A55, 'Form responses 1'!$A$2:$A1001, "&gt;=2025-07-01", 'Form responses 1'!$A$2:$A1001, "&lt;=2025-09-30")
)
</f>
        <v>5</v>
      </c>
      <c r="P55" s="2">
        <f>SUM(
    COUNTIFS('Form responses 1'!$C$2:$C1001, A55, 'Form responses 1'!$A$2:$A1001, "&gt;=2025-10-01", 'Form responses 1'!$A$2:$A1001, "&lt;=2025-12-31"),
    COUNTIFS('Form responses 1'!$B$2:$B1001, A55, 'Form responses 1'!$A$2:$A1001, "&gt;=2025-10-01", 'Form responses 1'!$A$2:$A1001, "&lt;=2025-12-31"),
    COUNTIFS('Form responses 1'!$D$2:$D1001, A55, 'Form responses 1'!$A$2:$A1001, "&gt;=2025-10-01", 'Form responses 1'!$A$2:$A1001, "&lt;=2025-12-31"),
    COUNTIFS('Form responses 1'!$E$2:$E1001, A55, 'Form responses 1'!$A$2:$A1001, "&gt;=2025-10-01", 'Form responses 1'!$A$2:$A1001, "&lt;=2025-12-31"),
    COUNTIFS('Form responses 1'!$F$2:$F1001, A55, 'Form responses 1'!$A$2:$A1001, "&gt;=2025-10-01", 'Form responses 1'!$A$2:$A1001, "&lt;=2025-12-31"),
    COUNTIFS('Form responses 1'!$G$2:$G1001, A55, 'Form responses 1'!$A$2:$A1001, "&gt;=2025-10-01", 'Form responses 1'!$A$2:$A1001, "&lt;=2025-12-31")
)
</f>
        <v>7</v>
      </c>
    </row>
    <row r="56">
      <c r="A56" s="6" t="str">
        <f>IFERROR(__xludf.DUMMYFUNCTION("""COMPUTED_VALUE"""),"Rood jasje")</f>
        <v>Rood jasje</v>
      </c>
      <c r="B56" s="2">
        <f>SUM(
    COUNTIFS('Form responses 1'!$C$2:$C1001, A56, 'Form responses 1'!$A$2:$A1001, "&gt;=2022-04-01", 'Form responses 1'!$A$2:$A1001, "&lt;=2022-06-30"),
    COUNTIFS('Form responses 1'!$B$2:$B1001, A56, 'Form responses 1'!$A$2:$A1001, "&gt;=2022-04-01", 'Form responses 1'!$A$2:$A1001, "&lt;=2022-06-30"),
    COUNTIFS('Form responses 1'!$D$2:$D1001, A56, 'Form responses 1'!$A$2:$A1001, "&gt;=2022-04-01", 'Form responses 1'!$A$2:$A1001, "&lt;=2022-06-30"),
    COUNTIFS('Form responses 1'!$E$2:$E1001, A56, 'Form responses 1'!$A$2:$A1001, "&gt;=2022-04-01", 'Form responses 1'!$A$2:$A1001, "&lt;=2022-06-30"),
    COUNTIFS('Form responses 1'!$F$2:$F1001, A56, 'Form responses 1'!$A$2:$A1001, "&gt;=2022-04-01", 'Form responses 1'!$A$2:$A1001, "&lt;=2022-06-30"),
    COUNTIFS('Form responses 1'!$G$2:$G1001, A56, 'Form responses 1'!$A$2:$A1001, "&gt;=2022-04-01", 'Form responses 1'!$A$2:$A1001, "&lt;=2022-06-30")
)
</f>
        <v>0</v>
      </c>
      <c r="C56" s="2">
        <f>SUM(
    COUNTIFS('Form responses 1'!$C$2:$C1001, A56, 'Form responses 1'!$A$2:$A1001, "&gt;=2022-07-01", 'Form responses 1'!$A$2:$A1001, "&lt;=2022-09-30"),
    COUNTIFS('Form responses 1'!$B$2:$B1001, A56, 'Form responses 1'!$A$2:$A1001, "&gt;=2022-07-01", 'Form responses 1'!$A$2:$A1001, "&lt;=2022-09-30"),
    COUNTIFS('Form responses 1'!$D$2:$D1001, A56, 'Form responses 1'!$A$2:$A1001, "&gt;=2022-07-01", 'Form responses 1'!$A$2:$A1001, "&lt;=2022-09-30"),
    COUNTIFS('Form responses 1'!$E$2:$E1001, A56, 'Form responses 1'!$A$2:$A1001, "&gt;=2022-07-01", 'Form responses 1'!$A$2:$A1001, "&lt;=2022-09-30"),
    COUNTIFS('Form responses 1'!$F$2:$F1001, A56, 'Form responses 1'!$A$2:$A1001, "&gt;=2022-07-01", 'Form responses 1'!$A$2:$A1001, "&lt;=2022-09-30"),
    COUNTIFS('Form responses 1'!$G$2:$G1001, A56, 'Form responses 1'!$A$2:$A1001, "&gt;=2022-07-01", 'Form responses 1'!$A$2:$A1001, "&lt;=2022-09-30")
)
</f>
        <v>0</v>
      </c>
      <c r="D56" s="2">
        <f>SUM(
    COUNTIFS('Form responses 1'!$C$2:$C1001, A56, 'Form responses 1'!$A$2:$A1001, "&gt;=2022-10-01", 'Form responses 1'!$A$2:$A1001, "&lt;=2022-12-31"),
    COUNTIFS('Form responses 1'!$B$2:$B1001, A56, 'Form responses 1'!$A$2:$A1001, "&gt;=2022-10-01", 'Form responses 1'!$A$2:$A1001, "&lt;=2022-12-31"),
    COUNTIFS('Form responses 1'!$D$2:$D1001, A56, 'Form responses 1'!$A$2:$A1001, "&gt;=2022-10-01", 'Form responses 1'!$A$2:$A1001, "&lt;=2022-12-31"),
    COUNTIFS('Form responses 1'!$E$2:$E1001, A56, 'Form responses 1'!$A$2:$A1001, "&gt;=2022-10-01", 'Form responses 1'!$A$2:$A1001, "&lt;=2022-12-31"),
    COUNTIFS('Form responses 1'!$F$2:$F1001, A56, 'Form responses 1'!$A$2:$A1001, "&gt;=2022-10-01", 'Form responses 1'!$A$2:$A1001, "&lt;=2022-12-31"),
    COUNTIFS('Form responses 1'!$G$2:$G1001, A56, 'Form responses 1'!$A$2:$A1001, "&gt;=2022-10-01", 'Form responses 1'!$A$2:$A1001, "&lt;=2022-12-31")
)
</f>
        <v>7</v>
      </c>
      <c r="E56" s="2">
        <f>SUM(
    COUNTIFS('Form responses 1'!$C$2:$C1001, A56, 'Form responses 1'!$A$2:$A1001, "&gt;=2023-01-01", 'Form responses 1'!$A$2:$A1001, "&lt;=2023-03-31"),
    COUNTIFS('Form responses 1'!$B$2:$B1001, A56, 'Form responses 1'!$A$2:$A1001, "&gt;=2023-01-01", 'Form responses 1'!$A$2:$A1001, "&lt;=2023-03-31"),
    COUNTIFS('Form responses 1'!$D$2:$D1001, A56, 'Form responses 1'!$A$2:$A1001, "&gt;=2023-01-01", 'Form responses 1'!$A$2:$A1001, "&lt;=2023-03-31"),
    COUNTIFS('Form responses 1'!$E$2:$E1001, A56, 'Form responses 1'!$A$2:$A1001, "&gt;=2023-01-01", 'Form responses 1'!$A$2:$A1001, "&lt;=2023-03-31"),
    COUNTIFS('Form responses 1'!$F$2:$F1001, A56, 'Form responses 1'!$A$2:$A1001, "&gt;=2023-01-01", 'Form responses 1'!$A$2:$A1001, "&lt;=2023-03-31"),
    COUNTIFS('Form responses 1'!$G$2:$G1001, A56, 'Form responses 1'!$A$2:$A1001, "&gt;=2023-01-01", 'Form responses 1'!$A$2:$A1001, "&lt;=2023-03-31")
)
</f>
        <v>0</v>
      </c>
      <c r="F56" s="2">
        <f>SUM(
    COUNTIFS('Form responses 1'!$C$2:$C1001, A56, 'Form responses 1'!$A$2:$A1001, "&gt;=2023-04-01", 'Form responses 1'!$A$2:$A1001, "&lt;=2023-06-30"),
    COUNTIFS('Form responses 1'!$B$2:$B1001, A56, 'Form responses 1'!$A$2:$A1001, "&gt;=2023-04-01", 'Form responses 1'!$A$2:$A1001, "&lt;=2023-06-30"),
    COUNTIFS('Form responses 1'!$D$2:$D1001, A56, 'Form responses 1'!$A$2:$A1001, "&gt;=2023-04-01", 'Form responses 1'!$A$2:$A1001, "&lt;=2023-06-30"),
    COUNTIFS('Form responses 1'!$E$2:$E1001, A56, 'Form responses 1'!$A$2:$A1001, "&gt;=2023-04-01", 'Form responses 1'!$A$2:$A1001, "&lt;=2023-06-30"),
    COUNTIFS('Form responses 1'!$F$2:$F1001, A56, 'Form responses 1'!$A$2:$A1001, "&gt;=2023-04-01", 'Form responses 1'!$A$2:$A1001, "&lt;=2023-06-30"),
    COUNTIFS('Form responses 1'!$G$2:$G1001, A56, 'Form responses 1'!$A$2:$A1001, "&gt;=2023-04-01", 'Form responses 1'!$A$2:$A1001, "&lt;=2023-06-30")
)
</f>
        <v>0</v>
      </c>
      <c r="G56" s="2">
        <f>SUM(
    COUNTIFS('Form responses 1'!$C$2:$C1001, A56, 'Form responses 1'!$A$2:$A1001, "&gt;=2023-07-01", 'Form responses 1'!$A$2:$A1001, "&lt;=2023-09-30"),
    COUNTIFS('Form responses 1'!$B$2:$B1001, A56, 'Form responses 1'!$A$2:$A1001, "&gt;=2023-07-01", 'Form responses 1'!$A$2:$A1001, "&lt;=2023-09-30"),
    COUNTIFS('Form responses 1'!$D$2:$D1001, A56, 'Form responses 1'!$A$2:$A1001, "&gt;=2023-07-01", 'Form responses 1'!$A$2:$A1001, "&lt;=2023-09-30"),
    COUNTIFS('Form responses 1'!$E$2:$E1001, A56, 'Form responses 1'!$A$2:$A1001, "&gt;=2023-07-01", 'Form responses 1'!$A$2:$A1001, "&lt;=2023-09-30"),
    COUNTIFS('Form responses 1'!$F$2:$F1001, A56, 'Form responses 1'!$A$2:$A1001, "&gt;=2023-07-01", 'Form responses 1'!$A$2:$A1001, "&lt;=2023-09-30"),
    COUNTIFS('Form responses 1'!$G$2:$G1001, A56, 'Form responses 1'!$A$2:$A1001, "&gt;=2023-07-01", 'Form responses 1'!$A$2:$A1001, "&lt;=2023-09-30")
)
</f>
        <v>0</v>
      </c>
      <c r="H56" s="2">
        <f>SUM(
    COUNTIFS('Form responses 1'!$C$2:$C1001, A56, 'Form responses 1'!$A$2:$A1001, "&gt;=2023-10-01", 'Form responses 1'!$A$2:$A1001, "&lt;=2023-12-31"),
    COUNTIFS('Form responses 1'!$B$2:$B1001, A56, 'Form responses 1'!$A$2:$A1001, "&gt;=2023-10-01", 'Form responses 1'!$A$2:$A1001, "&lt;=2023-12-31"),
    COUNTIFS('Form responses 1'!$D$2:$D1001, A56, 'Form responses 1'!$A$2:$A1001, "&gt;=2023-10-01", 'Form responses 1'!$A$2:$A1001, "&lt;=2023-12-31"),
    COUNTIFS('Form responses 1'!$E$2:$E1001, A56, 'Form responses 1'!$A$2:$A1001, "&gt;=2023-10-01", 'Form responses 1'!$A$2:$A1001, "&lt;=2023-12-31"),
    COUNTIFS('Form responses 1'!$F$2:$F1001, A56, 'Form responses 1'!$A$2:$A1001, "&gt;=2023-10-01", 'Form responses 1'!$A$2:$A1001, "&lt;=2023-12-31"),
    COUNTIFS('Form responses 1'!$G$2:$G1001, A56, 'Form responses 1'!$A$2:$A1001, "&gt;=2023-10-01", 'Form responses 1'!$A$2:$A1001, "&lt;=2023-12-31")
)
</f>
        <v>0</v>
      </c>
      <c r="I56" s="2">
        <f>SUM(
    COUNTIFS('Form responses 1'!$C$2:$C1001, A56, 'Form responses 1'!$A$2:$A1001, "&gt;=2024-01-01", 'Form responses 1'!$A$2:$A1001, "&lt;=2024-03-31"),
    COUNTIFS('Form responses 1'!$B$2:$B1001, A56, 'Form responses 1'!$A$2:$A1001, "&gt;=2024-01-01", 'Form responses 1'!$A$2:$A1001, "&lt;=2024-03-31"),
    COUNTIFS('Form responses 1'!$D$2:$D1001, A56, 'Form responses 1'!$A$2:$A1001, "&gt;=2024-01-01", 'Form responses 1'!$A$2:$A1001, "&lt;=2024-03-31"),
    COUNTIFS('Form responses 1'!$E$2:$E1001, A56, 'Form responses 1'!$A$2:$A1001, "&gt;=2024-01-01", 'Form responses 1'!$A$2:$A1001, "&lt;=2024-03-31"),
    COUNTIFS('Form responses 1'!$F$2:$F1001, A56, 'Form responses 1'!$A$2:$A1001, "&gt;=2024-01-01", 'Form responses 1'!$A$2:$A1001, "&lt;=2024-03-31"),
    COUNTIFS('Form responses 1'!$G$2:$G1001, A56, 'Form responses 1'!$A$2:$A1001, "&gt;=2024-01-01", 'Form responses 1'!$A$2:$A1001, "&lt;=2024-03-31")
)
</f>
        <v>0</v>
      </c>
      <c r="J56" s="2">
        <f>SUM(
    COUNTIFS('Form responses 1'!$C$2:$C1001, A56, 'Form responses 1'!$A$2:$A1001, "&gt;=2024-04-01", 'Form responses 1'!$A$2:$A1001, "&lt;=2024-06-30"),
    COUNTIFS('Form responses 1'!$B$2:$B1001, A56, 'Form responses 1'!$A$2:$A1001, "&gt;=2024-04-01", 'Form responses 1'!$A$2:$A1001, "&lt;=2024-06-30"),
    COUNTIFS('Form responses 1'!$D$2:$D1001, A56, 'Form responses 1'!$A$2:$A1001, "&gt;=2024-04-01", 'Form responses 1'!$A$2:$A1001, "&lt;=2024-06-30"),
    COUNTIFS('Form responses 1'!$E$2:$E1001, A56, 'Form responses 1'!$A$2:$A1001, "&gt;=2024-04-01", 'Form responses 1'!$A$2:$A1001, "&lt;=2024-06-30"),
    COUNTIFS('Form responses 1'!$F$2:$F1001, A56, 'Form responses 1'!$A$2:$A1001, "&gt;=2024-04-01", 'Form responses 1'!$A$2:$A1001, "&lt;=2024-06-30"),
    COUNTIFS('Form responses 1'!$G$2:$G1001, A56, 'Form responses 1'!$A$2:$A1001, "&gt;=2024-04-01", 'Form responses 1'!$A$2:$A1001, "&lt;=2024-06-30")
)
</f>
        <v>0</v>
      </c>
      <c r="K56" s="2">
        <f>SUM(
    COUNTIFS('Form responses 1'!$C$2:$C1001, A56, 'Form responses 1'!$A$2:$A1001, "&gt;=2024-07-01", 'Form responses 1'!$A$2:$A1001, "&lt;=2024-09-30"),
    COUNTIFS('Form responses 1'!$B$2:$B1001, A56, 'Form responses 1'!$A$2:$A1001, "&gt;=2024-07-01", 'Form responses 1'!$A$2:$A1001, "&lt;=2024-09-30"),
    COUNTIFS('Form responses 1'!$D$2:$D1001, A56, 'Form responses 1'!$A$2:$A1001, "&gt;=2024-07-01", 'Form responses 1'!$A$2:$A1001, "&lt;=2024-09-30"),
    COUNTIFS('Form responses 1'!$E$2:$E1001, A56, 'Form responses 1'!$A$2:$A1001, "&gt;=2024-07-01", 'Form responses 1'!$A$2:$A1001, "&lt;=2024-09-30"),
    COUNTIFS('Form responses 1'!$F$2:$F1001, A56, 'Form responses 1'!$A$2:$A1001, "&gt;=2024-07-01", 'Form responses 1'!$A$2:$A1001, "&lt;=2024-09-30"),
    COUNTIFS('Form responses 1'!$G$2:$G1001, A56, 'Form responses 1'!$A$2:$A1001, "&gt;=2024-07-01", 'Form responses 1'!$A$2:$A1001, "&lt;=2024-09-30")
)
</f>
        <v>0</v>
      </c>
      <c r="L56" s="2">
        <f>SUM(
    COUNTIFS('Form responses 1'!$C$2:$C1001, A56, 'Form responses 1'!$A$2:$A1001, "&gt;=2024-10-01", 'Form responses 1'!$A$2:$A1001, "&lt;=2024-12-31"),
    COUNTIFS('Form responses 1'!$B$2:$B1001, A56, 'Form responses 1'!$A$2:$A1001, "&gt;=2024-10-01", 'Form responses 1'!$A$2:$A1001, "&lt;=2024-12-31"),
    COUNTIFS('Form responses 1'!$D$2:$D1001, A56, 'Form responses 1'!$A$2:$A1001, "&gt;=2024-10-01", 'Form responses 1'!$A$2:$A1001, "&lt;=2024-12-31"),
    COUNTIFS('Form responses 1'!$E$2:$E1001, A56, 'Form responses 1'!$A$2:$A1001, "&gt;=2024-10-01", 'Form responses 1'!$A$2:$A1001, "&lt;=2024-12-31"),
    COUNTIFS('Form responses 1'!$F$2:$F1001, A56, 'Form responses 1'!$A$2:$A1001, "&gt;=2024-10-01", 'Form responses 1'!$A$2:$A1001, "&lt;=2024-12-31"),
    COUNTIFS('Form responses 1'!$G$2:$G1001, A56, 'Form responses 1'!$A$2:$A1001, "&gt;=2024-10-01", 'Form responses 1'!$A$2:$A1001, "&lt;=2024-12-31")
)
</f>
        <v>0</v>
      </c>
      <c r="M56" s="2">
        <f>SUM(
    COUNTIFS('Form responses 1'!$C$2:$C1001, A56, 'Form responses 1'!$A$2:$A1001, "&gt;=2025-01-01", 'Form responses 1'!$A$2:$A1001, "&lt;=2025-03-31"),
    COUNTIFS('Form responses 1'!$B$2:$B1001, A56, 'Form responses 1'!$A$2:$A1001, "&gt;=2025-01-01", 'Form responses 1'!$A$2:$A1001, "&lt;=2025-03-31"),
    COUNTIFS('Form responses 1'!$D$2:$D1001, A56, 'Form responses 1'!$A$2:$A1001, "&gt;=2025-01-01", 'Form responses 1'!$A$2:$A1001, "&lt;=2025-03-31"),
    COUNTIFS('Form responses 1'!$E$2:$E1001, A56, 'Form responses 1'!$A$2:$A1001, "&gt;=2025-01-01", 'Form responses 1'!$A$2:$A1001, "&lt;=2025-03-31"),
    COUNTIFS('Form responses 1'!$F$2:$F1001, A56, 'Form responses 1'!$A$2:$A1001, "&gt;=2025-01-01", 'Form responses 1'!$A$2:$A1001, "&lt;=2025-03-31"),
    COUNTIFS('Form responses 1'!$G$2:$G1001, A56, 'Form responses 1'!$A$2:$A1001, "&gt;=2025-01-01", 'Form responses 1'!$A$2:$A1001, "&lt;=2025-03-31")
)
</f>
        <v>0</v>
      </c>
      <c r="N56" s="2">
        <f>SUM(
    COUNTIFS('Form responses 1'!$C$2:$C1001, A56, 'Form responses 1'!$A$2:$A1001, "&gt;=2025-04-01", 'Form responses 1'!$A$2:$A1001, "&lt;2025-07-01"),
    COUNTIFS('Form responses 1'!$B$2:$B1001, A56, 'Form responses 1'!$A$2:$A1001, "&gt;=2025-04-01", 'Form responses 1'!$A$2:$A1001, "&lt;2025-07-01"),
    COUNTIFS('Form responses 1'!$D$2:$D1001, A56, 'Form responses 1'!$A$2:$A1001, "&gt;=2025-04-01", 'Form responses 1'!$A$2:$A1001, "&lt;2025-07-01"),
    COUNTIFS('Form responses 1'!$E$2:$E1001, A56, 'Form responses 1'!$A$2:$A1001, "&gt;=2025-04-01", 'Form responses 1'!$A$2:$A1001, "&lt;2025-07-01"),
    COUNTIFS('Form responses 1'!$F$2:$F1001, A56, 'Form responses 1'!$A$2:$A1001, "&gt;=2025-04-01", 'Form responses 1'!$A$2:$A1001, "&lt;2025-07-01"),
    COUNTIFS('Form responses 1'!$G$2:$G1001, A56, 'Form responses 1'!$A$2:$A1001, "&gt;=2025-04-01", 'Form responses 1'!$A$2:$A1001, "&lt;2025-07-01")
)
</f>
        <v>0</v>
      </c>
      <c r="O56" s="2">
        <f>SUM(
    COUNTIFS('Form responses 1'!$C$2:$C1001, A56, 'Form responses 1'!$A$2:$A1001, "&gt;=2025-07-01", 'Form responses 1'!$A$2:$A1001, "&lt;=2025-09-30"),
    COUNTIFS('Form responses 1'!$B$2:$B1001, A56, 'Form responses 1'!$A$2:$A1001, "&gt;=2025-07-01", 'Form responses 1'!$A$2:$A1001, "&lt;=2025-09-30"),
    COUNTIFS('Form responses 1'!$D$2:$D1001, A56, 'Form responses 1'!$A$2:$A1001, "&gt;=2025-07-01", 'Form responses 1'!$A$2:$A1001, "&lt;=2025-09-30"),
    COUNTIFS('Form responses 1'!$E$2:$E1001, A56, 'Form responses 1'!$A$2:$A1001, "&gt;=2025-07-01", 'Form responses 1'!$A$2:$A1001, "&lt;=2025-09-30"),
    COUNTIFS('Form responses 1'!$F$2:$F1001, A56, 'Form responses 1'!$A$2:$A1001, "&gt;=2025-07-01", 'Form responses 1'!$A$2:$A1001, "&lt;=2025-09-30"),
    COUNTIFS('Form responses 1'!$G$2:$G1001, A56, 'Form responses 1'!$A$2:$A1001, "&gt;=2025-07-01", 'Form responses 1'!$A$2:$A1001, "&lt;=2025-09-30")
)
</f>
        <v>0</v>
      </c>
      <c r="P56" s="2">
        <f>SUM(
    COUNTIFS('Form responses 1'!$C$2:$C1001, A56, 'Form responses 1'!$A$2:$A1001, "&gt;=2025-10-01", 'Form responses 1'!$A$2:$A1001, "&lt;=2025-12-31"),
    COUNTIFS('Form responses 1'!$B$2:$B1001, A56, 'Form responses 1'!$A$2:$A1001, "&gt;=2025-10-01", 'Form responses 1'!$A$2:$A1001, "&lt;=2025-12-31"),
    COUNTIFS('Form responses 1'!$D$2:$D1001, A56, 'Form responses 1'!$A$2:$A1001, "&gt;=2025-10-01", 'Form responses 1'!$A$2:$A1001, "&lt;=2025-12-31"),
    COUNTIFS('Form responses 1'!$E$2:$E1001, A56, 'Form responses 1'!$A$2:$A1001, "&gt;=2025-10-01", 'Form responses 1'!$A$2:$A1001, "&lt;=2025-12-31"),
    COUNTIFS('Form responses 1'!$F$2:$F1001, A56, 'Form responses 1'!$A$2:$A1001, "&gt;=2025-10-01", 'Form responses 1'!$A$2:$A1001, "&lt;=2025-12-31"),
    COUNTIFS('Form responses 1'!$G$2:$G1001, A56, 'Form responses 1'!$A$2:$A1001, "&gt;=2025-10-01", 'Form responses 1'!$A$2:$A1001, "&lt;=2025-12-31")
)
</f>
        <v>0</v>
      </c>
    </row>
    <row r="57">
      <c r="A57" s="6" t="str">
        <f>IFERROR(__xludf.DUMMYFUNCTION("""COMPUTED_VALUE"""),"Blauw/zwart/wit geblokt jasje")</f>
        <v>Blauw/zwart/wit geblokt jasje</v>
      </c>
      <c r="B57" s="2">
        <f>SUM(
    COUNTIFS('Form responses 1'!$C$2:$C1001, A57, 'Form responses 1'!$A$2:$A1001, "&gt;=2022-04-01", 'Form responses 1'!$A$2:$A1001, "&lt;=2022-06-30"),
    COUNTIFS('Form responses 1'!$B$2:$B1001, A57, 'Form responses 1'!$A$2:$A1001, "&gt;=2022-04-01", 'Form responses 1'!$A$2:$A1001, "&lt;=2022-06-30"),
    COUNTIFS('Form responses 1'!$D$2:$D1001, A57, 'Form responses 1'!$A$2:$A1001, "&gt;=2022-04-01", 'Form responses 1'!$A$2:$A1001, "&lt;=2022-06-30"),
    COUNTIFS('Form responses 1'!$E$2:$E1001, A57, 'Form responses 1'!$A$2:$A1001, "&gt;=2022-04-01", 'Form responses 1'!$A$2:$A1001, "&lt;=2022-06-30"),
    COUNTIFS('Form responses 1'!$F$2:$F1001, A57, 'Form responses 1'!$A$2:$A1001, "&gt;=2022-04-01", 'Form responses 1'!$A$2:$A1001, "&lt;=2022-06-30"),
    COUNTIFS('Form responses 1'!$G$2:$G1001, A57, 'Form responses 1'!$A$2:$A1001, "&gt;=2022-04-01", 'Form responses 1'!$A$2:$A1001, "&lt;=2022-06-30")
)
</f>
        <v>8</v>
      </c>
      <c r="C57" s="2">
        <f>SUM(
    COUNTIFS('Form responses 1'!$C$2:$C1001, A57, 'Form responses 1'!$A$2:$A1001, "&gt;=2022-07-01", 'Form responses 1'!$A$2:$A1001, "&lt;=2022-09-30"),
    COUNTIFS('Form responses 1'!$B$2:$B1001, A57, 'Form responses 1'!$A$2:$A1001, "&gt;=2022-07-01", 'Form responses 1'!$A$2:$A1001, "&lt;=2022-09-30"),
    COUNTIFS('Form responses 1'!$D$2:$D1001, A57, 'Form responses 1'!$A$2:$A1001, "&gt;=2022-07-01", 'Form responses 1'!$A$2:$A1001, "&lt;=2022-09-30"),
    COUNTIFS('Form responses 1'!$E$2:$E1001, A57, 'Form responses 1'!$A$2:$A1001, "&gt;=2022-07-01", 'Form responses 1'!$A$2:$A1001, "&lt;=2022-09-30"),
    COUNTIFS('Form responses 1'!$F$2:$F1001, A57, 'Form responses 1'!$A$2:$A1001, "&gt;=2022-07-01", 'Form responses 1'!$A$2:$A1001, "&lt;=2022-09-30"),
    COUNTIFS('Form responses 1'!$G$2:$G1001, A57, 'Form responses 1'!$A$2:$A1001, "&gt;=2022-07-01", 'Form responses 1'!$A$2:$A1001, "&lt;=2022-09-30")
)
</f>
        <v>3</v>
      </c>
      <c r="D57" s="2">
        <f>SUM(
    COUNTIFS('Form responses 1'!$C$2:$C1001, A57, 'Form responses 1'!$A$2:$A1001, "&gt;=2022-10-01", 'Form responses 1'!$A$2:$A1001, "&lt;=2022-12-31"),
    COUNTIFS('Form responses 1'!$B$2:$B1001, A57, 'Form responses 1'!$A$2:$A1001, "&gt;=2022-10-01", 'Form responses 1'!$A$2:$A1001, "&lt;=2022-12-31"),
    COUNTIFS('Form responses 1'!$D$2:$D1001, A57, 'Form responses 1'!$A$2:$A1001, "&gt;=2022-10-01", 'Form responses 1'!$A$2:$A1001, "&lt;=2022-12-31"),
    COUNTIFS('Form responses 1'!$E$2:$E1001, A57, 'Form responses 1'!$A$2:$A1001, "&gt;=2022-10-01", 'Form responses 1'!$A$2:$A1001, "&lt;=2022-12-31"),
    COUNTIFS('Form responses 1'!$F$2:$F1001, A57, 'Form responses 1'!$A$2:$A1001, "&gt;=2022-10-01", 'Form responses 1'!$A$2:$A1001, "&lt;=2022-12-31"),
    COUNTIFS('Form responses 1'!$G$2:$G1001, A57, 'Form responses 1'!$A$2:$A1001, "&gt;=2022-10-01", 'Form responses 1'!$A$2:$A1001, "&lt;=2022-12-31")
)
</f>
        <v>11</v>
      </c>
      <c r="E57" s="2">
        <f>SUM(
    COUNTIFS('Form responses 1'!$C$2:$C1001, A57, 'Form responses 1'!$A$2:$A1001, "&gt;=2023-01-01", 'Form responses 1'!$A$2:$A1001, "&lt;=2023-03-31"),
    COUNTIFS('Form responses 1'!$B$2:$B1001, A57, 'Form responses 1'!$A$2:$A1001, "&gt;=2023-01-01", 'Form responses 1'!$A$2:$A1001, "&lt;=2023-03-31"),
    COUNTIFS('Form responses 1'!$D$2:$D1001, A57, 'Form responses 1'!$A$2:$A1001, "&gt;=2023-01-01", 'Form responses 1'!$A$2:$A1001, "&lt;=2023-03-31"),
    COUNTIFS('Form responses 1'!$E$2:$E1001, A57, 'Form responses 1'!$A$2:$A1001, "&gt;=2023-01-01", 'Form responses 1'!$A$2:$A1001, "&lt;=2023-03-31"),
    COUNTIFS('Form responses 1'!$F$2:$F1001, A57, 'Form responses 1'!$A$2:$A1001, "&gt;=2023-01-01", 'Form responses 1'!$A$2:$A1001, "&lt;=2023-03-31"),
    COUNTIFS('Form responses 1'!$G$2:$G1001, A57, 'Form responses 1'!$A$2:$A1001, "&gt;=2023-01-01", 'Form responses 1'!$A$2:$A1001, "&lt;=2023-03-31")
)
</f>
        <v>5</v>
      </c>
      <c r="F57" s="2">
        <f>SUM(
    COUNTIFS('Form responses 1'!$C$2:$C1001, A57, 'Form responses 1'!$A$2:$A1001, "&gt;=2023-04-01", 'Form responses 1'!$A$2:$A1001, "&lt;=2023-06-30"),
    COUNTIFS('Form responses 1'!$B$2:$B1001, A57, 'Form responses 1'!$A$2:$A1001, "&gt;=2023-04-01", 'Form responses 1'!$A$2:$A1001, "&lt;=2023-06-30"),
    COUNTIFS('Form responses 1'!$D$2:$D1001, A57, 'Form responses 1'!$A$2:$A1001, "&gt;=2023-04-01", 'Form responses 1'!$A$2:$A1001, "&lt;=2023-06-30"),
    COUNTIFS('Form responses 1'!$E$2:$E1001, A57, 'Form responses 1'!$A$2:$A1001, "&gt;=2023-04-01", 'Form responses 1'!$A$2:$A1001, "&lt;=2023-06-30"),
    COUNTIFS('Form responses 1'!$F$2:$F1001, A57, 'Form responses 1'!$A$2:$A1001, "&gt;=2023-04-01", 'Form responses 1'!$A$2:$A1001, "&lt;=2023-06-30"),
    COUNTIFS('Form responses 1'!$G$2:$G1001, A57, 'Form responses 1'!$A$2:$A1001, "&gt;=2023-04-01", 'Form responses 1'!$A$2:$A1001, "&lt;=2023-06-30")
)
</f>
        <v>1</v>
      </c>
      <c r="G57" s="2">
        <f>SUM(
    COUNTIFS('Form responses 1'!$C$2:$C1001, A57, 'Form responses 1'!$A$2:$A1001, "&gt;=2023-07-01", 'Form responses 1'!$A$2:$A1001, "&lt;=2023-09-30"),
    COUNTIFS('Form responses 1'!$B$2:$B1001, A57, 'Form responses 1'!$A$2:$A1001, "&gt;=2023-07-01", 'Form responses 1'!$A$2:$A1001, "&lt;=2023-09-30"),
    COUNTIFS('Form responses 1'!$D$2:$D1001, A57, 'Form responses 1'!$A$2:$A1001, "&gt;=2023-07-01", 'Form responses 1'!$A$2:$A1001, "&lt;=2023-09-30"),
    COUNTIFS('Form responses 1'!$E$2:$E1001, A57, 'Form responses 1'!$A$2:$A1001, "&gt;=2023-07-01", 'Form responses 1'!$A$2:$A1001, "&lt;=2023-09-30"),
    COUNTIFS('Form responses 1'!$F$2:$F1001, A57, 'Form responses 1'!$A$2:$A1001, "&gt;=2023-07-01", 'Form responses 1'!$A$2:$A1001, "&lt;=2023-09-30"),
    COUNTIFS('Form responses 1'!$G$2:$G1001, A57, 'Form responses 1'!$A$2:$A1001, "&gt;=2023-07-01", 'Form responses 1'!$A$2:$A1001, "&lt;=2023-09-30")
)
</f>
        <v>2</v>
      </c>
      <c r="H57" s="2">
        <f>SUM(
    COUNTIFS('Form responses 1'!$C$2:$C1001, A57, 'Form responses 1'!$A$2:$A1001, "&gt;=2023-10-01", 'Form responses 1'!$A$2:$A1001, "&lt;=2023-12-31"),
    COUNTIFS('Form responses 1'!$B$2:$B1001, A57, 'Form responses 1'!$A$2:$A1001, "&gt;=2023-10-01", 'Form responses 1'!$A$2:$A1001, "&lt;=2023-12-31"),
    COUNTIFS('Form responses 1'!$D$2:$D1001, A57, 'Form responses 1'!$A$2:$A1001, "&gt;=2023-10-01", 'Form responses 1'!$A$2:$A1001, "&lt;=2023-12-31"),
    COUNTIFS('Form responses 1'!$E$2:$E1001, A57, 'Form responses 1'!$A$2:$A1001, "&gt;=2023-10-01", 'Form responses 1'!$A$2:$A1001, "&lt;=2023-12-31"),
    COUNTIFS('Form responses 1'!$F$2:$F1001, A57, 'Form responses 1'!$A$2:$A1001, "&gt;=2023-10-01", 'Form responses 1'!$A$2:$A1001, "&lt;=2023-12-31"),
    COUNTIFS('Form responses 1'!$G$2:$G1001, A57, 'Form responses 1'!$A$2:$A1001, "&gt;=2023-10-01", 'Form responses 1'!$A$2:$A1001, "&lt;=2023-12-31")
)
</f>
        <v>11</v>
      </c>
      <c r="I57" s="2">
        <f>SUM(
    COUNTIFS('Form responses 1'!$C$2:$C1001, A57, 'Form responses 1'!$A$2:$A1001, "&gt;=2024-01-01", 'Form responses 1'!$A$2:$A1001, "&lt;=2024-03-31"),
    COUNTIFS('Form responses 1'!$B$2:$B1001, A57, 'Form responses 1'!$A$2:$A1001, "&gt;=2024-01-01", 'Form responses 1'!$A$2:$A1001, "&lt;=2024-03-31"),
    COUNTIFS('Form responses 1'!$D$2:$D1001, A57, 'Form responses 1'!$A$2:$A1001, "&gt;=2024-01-01", 'Form responses 1'!$A$2:$A1001, "&lt;=2024-03-31"),
    COUNTIFS('Form responses 1'!$E$2:$E1001, A57, 'Form responses 1'!$A$2:$A1001, "&gt;=2024-01-01", 'Form responses 1'!$A$2:$A1001, "&lt;=2024-03-31"),
    COUNTIFS('Form responses 1'!$F$2:$F1001, A57, 'Form responses 1'!$A$2:$A1001, "&gt;=2024-01-01", 'Form responses 1'!$A$2:$A1001, "&lt;=2024-03-31"),
    COUNTIFS('Form responses 1'!$G$2:$G1001, A57, 'Form responses 1'!$A$2:$A1001, "&gt;=2024-01-01", 'Form responses 1'!$A$2:$A1001, "&lt;=2024-03-31")
)
</f>
        <v>5</v>
      </c>
      <c r="J57" s="2">
        <f>SUM(
    COUNTIFS('Form responses 1'!$C$2:$C1001, A57, 'Form responses 1'!$A$2:$A1001, "&gt;=2024-04-01", 'Form responses 1'!$A$2:$A1001, "&lt;=2024-06-30"),
    COUNTIFS('Form responses 1'!$B$2:$B1001, A57, 'Form responses 1'!$A$2:$A1001, "&gt;=2024-04-01", 'Form responses 1'!$A$2:$A1001, "&lt;=2024-06-30"),
    COUNTIFS('Form responses 1'!$D$2:$D1001, A57, 'Form responses 1'!$A$2:$A1001, "&gt;=2024-04-01", 'Form responses 1'!$A$2:$A1001, "&lt;=2024-06-30"),
    COUNTIFS('Form responses 1'!$E$2:$E1001, A57, 'Form responses 1'!$A$2:$A1001, "&gt;=2024-04-01", 'Form responses 1'!$A$2:$A1001, "&lt;=2024-06-30"),
    COUNTIFS('Form responses 1'!$F$2:$F1001, A57, 'Form responses 1'!$A$2:$A1001, "&gt;=2024-04-01", 'Form responses 1'!$A$2:$A1001, "&lt;=2024-06-30"),
    COUNTIFS('Form responses 1'!$G$2:$G1001, A57, 'Form responses 1'!$A$2:$A1001, "&gt;=2024-04-01", 'Form responses 1'!$A$2:$A1001, "&lt;=2024-06-30")
)
</f>
        <v>4</v>
      </c>
      <c r="K57" s="2">
        <f>SUM(
    COUNTIFS('Form responses 1'!$C$2:$C1001, A57, 'Form responses 1'!$A$2:$A1001, "&gt;=2024-07-01", 'Form responses 1'!$A$2:$A1001, "&lt;=2024-09-30"),
    COUNTIFS('Form responses 1'!$B$2:$B1001, A57, 'Form responses 1'!$A$2:$A1001, "&gt;=2024-07-01", 'Form responses 1'!$A$2:$A1001, "&lt;=2024-09-30"),
    COUNTIFS('Form responses 1'!$D$2:$D1001, A57, 'Form responses 1'!$A$2:$A1001, "&gt;=2024-07-01", 'Form responses 1'!$A$2:$A1001, "&lt;=2024-09-30"),
    COUNTIFS('Form responses 1'!$E$2:$E1001, A57, 'Form responses 1'!$A$2:$A1001, "&gt;=2024-07-01", 'Form responses 1'!$A$2:$A1001, "&lt;=2024-09-30"),
    COUNTIFS('Form responses 1'!$F$2:$F1001, A57, 'Form responses 1'!$A$2:$A1001, "&gt;=2024-07-01", 'Form responses 1'!$A$2:$A1001, "&lt;=2024-09-30"),
    COUNTIFS('Form responses 1'!$G$2:$G1001, A57, 'Form responses 1'!$A$2:$A1001, "&gt;=2024-07-01", 'Form responses 1'!$A$2:$A1001, "&lt;=2024-09-30")
)
</f>
        <v>5</v>
      </c>
      <c r="L57" s="2">
        <f>SUM(
    COUNTIFS('Form responses 1'!$C$2:$C1001, A57, 'Form responses 1'!$A$2:$A1001, "&gt;=2024-10-01", 'Form responses 1'!$A$2:$A1001, "&lt;=2024-12-31"),
    COUNTIFS('Form responses 1'!$B$2:$B1001, A57, 'Form responses 1'!$A$2:$A1001, "&gt;=2024-10-01", 'Form responses 1'!$A$2:$A1001, "&lt;=2024-12-31"),
    COUNTIFS('Form responses 1'!$D$2:$D1001, A57, 'Form responses 1'!$A$2:$A1001, "&gt;=2024-10-01", 'Form responses 1'!$A$2:$A1001, "&lt;=2024-12-31"),
    COUNTIFS('Form responses 1'!$E$2:$E1001, A57, 'Form responses 1'!$A$2:$A1001, "&gt;=2024-10-01", 'Form responses 1'!$A$2:$A1001, "&lt;=2024-12-31"),
    COUNTIFS('Form responses 1'!$F$2:$F1001, A57, 'Form responses 1'!$A$2:$A1001, "&gt;=2024-10-01", 'Form responses 1'!$A$2:$A1001, "&lt;=2024-12-31"),
    COUNTIFS('Form responses 1'!$G$2:$G1001, A57, 'Form responses 1'!$A$2:$A1001, "&gt;=2024-10-01", 'Form responses 1'!$A$2:$A1001, "&lt;=2024-12-31")
)
</f>
        <v>3</v>
      </c>
      <c r="M57" s="2">
        <f>SUM(
    COUNTIFS('Form responses 1'!$C$2:$C1001, A57, 'Form responses 1'!$A$2:$A1001, "&gt;=2025-01-01", 'Form responses 1'!$A$2:$A1001, "&lt;=2025-03-31"),
    COUNTIFS('Form responses 1'!$B$2:$B1001, A57, 'Form responses 1'!$A$2:$A1001, "&gt;=2025-01-01", 'Form responses 1'!$A$2:$A1001, "&lt;=2025-03-31"),
    COUNTIFS('Form responses 1'!$D$2:$D1001, A57, 'Form responses 1'!$A$2:$A1001, "&gt;=2025-01-01", 'Form responses 1'!$A$2:$A1001, "&lt;=2025-03-31"),
    COUNTIFS('Form responses 1'!$E$2:$E1001, A57, 'Form responses 1'!$A$2:$A1001, "&gt;=2025-01-01", 'Form responses 1'!$A$2:$A1001, "&lt;=2025-03-31"),
    COUNTIFS('Form responses 1'!$F$2:$F1001, A57, 'Form responses 1'!$A$2:$A1001, "&gt;=2025-01-01", 'Form responses 1'!$A$2:$A1001, "&lt;=2025-03-31"),
    COUNTIFS('Form responses 1'!$G$2:$G1001, A57, 'Form responses 1'!$A$2:$A1001, "&gt;=2025-01-01", 'Form responses 1'!$A$2:$A1001, "&lt;=2025-03-31")
)
</f>
        <v>5</v>
      </c>
      <c r="N57" s="2">
        <f>SUM(
    COUNTIFS('Form responses 1'!$C$2:$C1001, A57, 'Form responses 1'!$A$2:$A1001, "&gt;=2025-04-01", 'Form responses 1'!$A$2:$A1001, "&lt;2025-07-01"),
    COUNTIFS('Form responses 1'!$B$2:$B1001, A57, 'Form responses 1'!$A$2:$A1001, "&gt;=2025-04-01", 'Form responses 1'!$A$2:$A1001, "&lt;2025-07-01"),
    COUNTIFS('Form responses 1'!$D$2:$D1001, A57, 'Form responses 1'!$A$2:$A1001, "&gt;=2025-04-01", 'Form responses 1'!$A$2:$A1001, "&lt;2025-07-01"),
    COUNTIFS('Form responses 1'!$E$2:$E1001, A57, 'Form responses 1'!$A$2:$A1001, "&gt;=2025-04-01", 'Form responses 1'!$A$2:$A1001, "&lt;2025-07-01"),
    COUNTIFS('Form responses 1'!$F$2:$F1001, A57, 'Form responses 1'!$A$2:$A1001, "&gt;=2025-04-01", 'Form responses 1'!$A$2:$A1001, "&lt;2025-07-01"),
    COUNTIFS('Form responses 1'!$G$2:$G1001, A57, 'Form responses 1'!$A$2:$A1001, "&gt;=2025-04-01", 'Form responses 1'!$A$2:$A1001, "&lt;2025-07-01")
)
</f>
        <v>4</v>
      </c>
      <c r="O57" s="2">
        <f>SUM(
    COUNTIFS('Form responses 1'!$C$2:$C1001, A57, 'Form responses 1'!$A$2:$A1001, "&gt;=2025-07-01", 'Form responses 1'!$A$2:$A1001, "&lt;=2025-09-30"),
    COUNTIFS('Form responses 1'!$B$2:$B1001, A57, 'Form responses 1'!$A$2:$A1001, "&gt;=2025-07-01", 'Form responses 1'!$A$2:$A1001, "&lt;=2025-09-30"),
    COUNTIFS('Form responses 1'!$D$2:$D1001, A57, 'Form responses 1'!$A$2:$A1001, "&gt;=2025-07-01", 'Form responses 1'!$A$2:$A1001, "&lt;=2025-09-30"),
    COUNTIFS('Form responses 1'!$E$2:$E1001, A57, 'Form responses 1'!$A$2:$A1001, "&gt;=2025-07-01", 'Form responses 1'!$A$2:$A1001, "&lt;=2025-09-30"),
    COUNTIFS('Form responses 1'!$F$2:$F1001, A57, 'Form responses 1'!$A$2:$A1001, "&gt;=2025-07-01", 'Form responses 1'!$A$2:$A1001, "&lt;=2025-09-30"),
    COUNTIFS('Form responses 1'!$G$2:$G1001, A57, 'Form responses 1'!$A$2:$A1001, "&gt;=2025-07-01", 'Form responses 1'!$A$2:$A1001, "&lt;=2025-09-30")
)
</f>
        <v>4</v>
      </c>
      <c r="P57" s="2">
        <f>SUM(
    COUNTIFS('Form responses 1'!$C$2:$C1001, A57, 'Form responses 1'!$A$2:$A1001, "&gt;=2025-10-01", 'Form responses 1'!$A$2:$A1001, "&lt;=2025-12-31"),
    COUNTIFS('Form responses 1'!$B$2:$B1001, A57, 'Form responses 1'!$A$2:$A1001, "&gt;=2025-10-01", 'Form responses 1'!$A$2:$A1001, "&lt;=2025-12-31"),
    COUNTIFS('Form responses 1'!$D$2:$D1001, A57, 'Form responses 1'!$A$2:$A1001, "&gt;=2025-10-01", 'Form responses 1'!$A$2:$A1001, "&lt;=2025-12-31"),
    COUNTIFS('Form responses 1'!$E$2:$E1001, A57, 'Form responses 1'!$A$2:$A1001, "&gt;=2025-10-01", 'Form responses 1'!$A$2:$A1001, "&lt;=2025-12-31"),
    COUNTIFS('Form responses 1'!$F$2:$F1001, A57, 'Form responses 1'!$A$2:$A1001, "&gt;=2025-10-01", 'Form responses 1'!$A$2:$A1001, "&lt;=2025-12-31"),
    COUNTIFS('Form responses 1'!$G$2:$G1001, A57, 'Form responses 1'!$A$2:$A1001, "&gt;=2025-10-01", 'Form responses 1'!$A$2:$A1001, "&lt;=2025-12-31")
)
</f>
        <v>4</v>
      </c>
    </row>
    <row r="58">
      <c r="A58" s="3" t="str">
        <f>IFERROR(__xludf.DUMMYFUNCTION("""COMPUTED_VALUE"""),"Blauwe jas pak")</f>
        <v>Blauwe jas pak</v>
      </c>
      <c r="B58" s="2">
        <f>SUM(
    COUNTIFS('Form responses 1'!$C$2:$C1001, A58, 'Form responses 1'!$A$2:$A1001, "&gt;=2022-04-01", 'Form responses 1'!$A$2:$A1001, "&lt;=2022-06-30"),
    COUNTIFS('Form responses 1'!$B$2:$B1001, A58, 'Form responses 1'!$A$2:$A1001, "&gt;=2022-04-01", 'Form responses 1'!$A$2:$A1001, "&lt;=2022-06-30"),
    COUNTIFS('Form responses 1'!$D$2:$D1001, A58, 'Form responses 1'!$A$2:$A1001, "&gt;=2022-04-01", 'Form responses 1'!$A$2:$A1001, "&lt;=2022-06-30"),
    COUNTIFS('Form responses 1'!$E$2:$E1001, A58, 'Form responses 1'!$A$2:$A1001, "&gt;=2022-04-01", 'Form responses 1'!$A$2:$A1001, "&lt;=2022-06-30"),
    COUNTIFS('Form responses 1'!$F$2:$F1001, A58, 'Form responses 1'!$A$2:$A1001, "&gt;=2022-04-01", 'Form responses 1'!$A$2:$A1001, "&lt;=2022-06-30"),
    COUNTIFS('Form responses 1'!$G$2:$G1001, A58, 'Form responses 1'!$A$2:$A1001, "&gt;=2022-04-01", 'Form responses 1'!$A$2:$A1001, "&lt;=2022-06-30")
)
</f>
        <v>0</v>
      </c>
      <c r="C58" s="2">
        <f>SUM(
    COUNTIFS('Form responses 1'!$C$2:$C1001, A58, 'Form responses 1'!$A$2:$A1001, "&gt;=2022-07-01", 'Form responses 1'!$A$2:$A1001, "&lt;=2022-09-30"),
    COUNTIFS('Form responses 1'!$B$2:$B1001, A58, 'Form responses 1'!$A$2:$A1001, "&gt;=2022-07-01", 'Form responses 1'!$A$2:$A1001, "&lt;=2022-09-30"),
    COUNTIFS('Form responses 1'!$D$2:$D1001, A58, 'Form responses 1'!$A$2:$A1001, "&gt;=2022-07-01", 'Form responses 1'!$A$2:$A1001, "&lt;=2022-09-30"),
    COUNTIFS('Form responses 1'!$E$2:$E1001, A58, 'Form responses 1'!$A$2:$A1001, "&gt;=2022-07-01", 'Form responses 1'!$A$2:$A1001, "&lt;=2022-09-30"),
    COUNTIFS('Form responses 1'!$F$2:$F1001, A58, 'Form responses 1'!$A$2:$A1001, "&gt;=2022-07-01", 'Form responses 1'!$A$2:$A1001, "&lt;=2022-09-30"),
    COUNTIFS('Form responses 1'!$G$2:$G1001, A58, 'Form responses 1'!$A$2:$A1001, "&gt;=2022-07-01", 'Form responses 1'!$A$2:$A1001, "&lt;=2022-09-30")
)
</f>
        <v>0</v>
      </c>
      <c r="D58" s="2">
        <f>SUM(
    COUNTIFS('Form responses 1'!$C$2:$C1001, A58, 'Form responses 1'!$A$2:$A1001, "&gt;=2022-10-01", 'Form responses 1'!$A$2:$A1001, "&lt;=2022-12-31"),
    COUNTIFS('Form responses 1'!$B$2:$B1001, A58, 'Form responses 1'!$A$2:$A1001, "&gt;=2022-10-01", 'Form responses 1'!$A$2:$A1001, "&lt;=2022-12-31"),
    COUNTIFS('Form responses 1'!$D$2:$D1001, A58, 'Form responses 1'!$A$2:$A1001, "&gt;=2022-10-01", 'Form responses 1'!$A$2:$A1001, "&lt;=2022-12-31"),
    COUNTIFS('Form responses 1'!$E$2:$E1001, A58, 'Form responses 1'!$A$2:$A1001, "&gt;=2022-10-01", 'Form responses 1'!$A$2:$A1001, "&lt;=2022-12-31"),
    COUNTIFS('Form responses 1'!$F$2:$F1001, A58, 'Form responses 1'!$A$2:$A1001, "&gt;=2022-10-01", 'Form responses 1'!$A$2:$A1001, "&lt;=2022-12-31"),
    COUNTIFS('Form responses 1'!$G$2:$G1001, A58, 'Form responses 1'!$A$2:$A1001, "&gt;=2022-10-01", 'Form responses 1'!$A$2:$A1001, "&lt;=2022-12-31")
)
</f>
        <v>0</v>
      </c>
      <c r="E58" s="2">
        <f>SUM(
    COUNTIFS('Form responses 1'!$C$2:$C1001, A58, 'Form responses 1'!$A$2:$A1001, "&gt;=2023-01-01", 'Form responses 1'!$A$2:$A1001, "&lt;=2023-03-31"),
    COUNTIFS('Form responses 1'!$B$2:$B1001, A58, 'Form responses 1'!$A$2:$A1001, "&gt;=2023-01-01", 'Form responses 1'!$A$2:$A1001, "&lt;=2023-03-31"),
    COUNTIFS('Form responses 1'!$D$2:$D1001, A58, 'Form responses 1'!$A$2:$A1001, "&gt;=2023-01-01", 'Form responses 1'!$A$2:$A1001, "&lt;=2023-03-31"),
    COUNTIFS('Form responses 1'!$E$2:$E1001, A58, 'Form responses 1'!$A$2:$A1001, "&gt;=2023-01-01", 'Form responses 1'!$A$2:$A1001, "&lt;=2023-03-31"),
    COUNTIFS('Form responses 1'!$F$2:$F1001, A58, 'Form responses 1'!$A$2:$A1001, "&gt;=2023-01-01", 'Form responses 1'!$A$2:$A1001, "&lt;=2023-03-31"),
    COUNTIFS('Form responses 1'!$G$2:$G1001, A58, 'Form responses 1'!$A$2:$A1001, "&gt;=2023-01-01", 'Form responses 1'!$A$2:$A1001, "&lt;=2023-03-31")
)
</f>
        <v>0</v>
      </c>
      <c r="F58" s="2">
        <f>SUM(
    COUNTIFS('Form responses 1'!$C$2:$C1001, A58, 'Form responses 1'!$A$2:$A1001, "&gt;=2023-04-01", 'Form responses 1'!$A$2:$A1001, "&lt;=2023-06-30"),
    COUNTIFS('Form responses 1'!$B$2:$B1001, A58, 'Form responses 1'!$A$2:$A1001, "&gt;=2023-04-01", 'Form responses 1'!$A$2:$A1001, "&lt;=2023-06-30"),
    COUNTIFS('Form responses 1'!$D$2:$D1001, A58, 'Form responses 1'!$A$2:$A1001, "&gt;=2023-04-01", 'Form responses 1'!$A$2:$A1001, "&lt;=2023-06-30"),
    COUNTIFS('Form responses 1'!$E$2:$E1001, A58, 'Form responses 1'!$A$2:$A1001, "&gt;=2023-04-01", 'Form responses 1'!$A$2:$A1001, "&lt;=2023-06-30"),
    COUNTIFS('Form responses 1'!$F$2:$F1001, A58, 'Form responses 1'!$A$2:$A1001, "&gt;=2023-04-01", 'Form responses 1'!$A$2:$A1001, "&lt;=2023-06-30"),
    COUNTIFS('Form responses 1'!$G$2:$G1001, A58, 'Form responses 1'!$A$2:$A1001, "&gt;=2023-04-01", 'Form responses 1'!$A$2:$A1001, "&lt;=2023-06-30")
)
</f>
        <v>0</v>
      </c>
      <c r="G58" s="2">
        <f>SUM(
    COUNTIFS('Form responses 1'!$C$2:$C1001, A58, 'Form responses 1'!$A$2:$A1001, "&gt;=2023-07-01", 'Form responses 1'!$A$2:$A1001, "&lt;=2023-09-30"),
    COUNTIFS('Form responses 1'!$B$2:$B1001, A58, 'Form responses 1'!$A$2:$A1001, "&gt;=2023-07-01", 'Form responses 1'!$A$2:$A1001, "&lt;=2023-09-30"),
    COUNTIFS('Form responses 1'!$D$2:$D1001, A58, 'Form responses 1'!$A$2:$A1001, "&gt;=2023-07-01", 'Form responses 1'!$A$2:$A1001, "&lt;=2023-09-30"),
    COUNTIFS('Form responses 1'!$E$2:$E1001, A58, 'Form responses 1'!$A$2:$A1001, "&gt;=2023-07-01", 'Form responses 1'!$A$2:$A1001, "&lt;=2023-09-30"),
    COUNTIFS('Form responses 1'!$F$2:$F1001, A58, 'Form responses 1'!$A$2:$A1001, "&gt;=2023-07-01", 'Form responses 1'!$A$2:$A1001, "&lt;=2023-09-30"),
    COUNTIFS('Form responses 1'!$G$2:$G1001, A58, 'Form responses 1'!$A$2:$A1001, "&gt;=2023-07-01", 'Form responses 1'!$A$2:$A1001, "&lt;=2023-09-30")
)
</f>
        <v>0</v>
      </c>
      <c r="H58" s="2">
        <f>SUM(
    COUNTIFS('Form responses 1'!$C$2:$C1001, A58, 'Form responses 1'!$A$2:$A1001, "&gt;=2023-10-01", 'Form responses 1'!$A$2:$A1001, "&lt;=2023-12-31"),
    COUNTIFS('Form responses 1'!$B$2:$B1001, A58, 'Form responses 1'!$A$2:$A1001, "&gt;=2023-10-01", 'Form responses 1'!$A$2:$A1001, "&lt;=2023-12-31"),
    COUNTIFS('Form responses 1'!$D$2:$D1001, A58, 'Form responses 1'!$A$2:$A1001, "&gt;=2023-10-01", 'Form responses 1'!$A$2:$A1001, "&lt;=2023-12-31"),
    COUNTIFS('Form responses 1'!$E$2:$E1001, A58, 'Form responses 1'!$A$2:$A1001, "&gt;=2023-10-01", 'Form responses 1'!$A$2:$A1001, "&lt;=2023-12-31"),
    COUNTIFS('Form responses 1'!$F$2:$F1001, A58, 'Form responses 1'!$A$2:$A1001, "&gt;=2023-10-01", 'Form responses 1'!$A$2:$A1001, "&lt;=2023-12-31"),
    COUNTIFS('Form responses 1'!$G$2:$G1001, A58, 'Form responses 1'!$A$2:$A1001, "&gt;=2023-10-01", 'Form responses 1'!$A$2:$A1001, "&lt;=2023-12-31")
)
</f>
        <v>0</v>
      </c>
      <c r="I58" s="2">
        <f>SUM(
    COUNTIFS('Form responses 1'!$C$2:$C1001, A58, 'Form responses 1'!$A$2:$A1001, "&gt;=2024-01-01", 'Form responses 1'!$A$2:$A1001, "&lt;=2024-03-31"),
    COUNTIFS('Form responses 1'!$B$2:$B1001, A58, 'Form responses 1'!$A$2:$A1001, "&gt;=2024-01-01", 'Form responses 1'!$A$2:$A1001, "&lt;=2024-03-31"),
    COUNTIFS('Form responses 1'!$D$2:$D1001, A58, 'Form responses 1'!$A$2:$A1001, "&gt;=2024-01-01", 'Form responses 1'!$A$2:$A1001, "&lt;=2024-03-31"),
    COUNTIFS('Form responses 1'!$E$2:$E1001, A58, 'Form responses 1'!$A$2:$A1001, "&gt;=2024-01-01", 'Form responses 1'!$A$2:$A1001, "&lt;=2024-03-31"),
    COUNTIFS('Form responses 1'!$F$2:$F1001, A58, 'Form responses 1'!$A$2:$A1001, "&gt;=2024-01-01", 'Form responses 1'!$A$2:$A1001, "&lt;=2024-03-31"),
    COUNTIFS('Form responses 1'!$G$2:$G1001, A58, 'Form responses 1'!$A$2:$A1001, "&gt;=2024-01-01", 'Form responses 1'!$A$2:$A1001, "&lt;=2024-03-31")
)
</f>
        <v>0</v>
      </c>
      <c r="J58" s="2">
        <f>SUM(
    COUNTIFS('Form responses 1'!$C$2:$C1001, A58, 'Form responses 1'!$A$2:$A1001, "&gt;=2024-04-01", 'Form responses 1'!$A$2:$A1001, "&lt;=2024-06-30"),
    COUNTIFS('Form responses 1'!$B$2:$B1001, A58, 'Form responses 1'!$A$2:$A1001, "&gt;=2024-04-01", 'Form responses 1'!$A$2:$A1001, "&lt;=2024-06-30"),
    COUNTIFS('Form responses 1'!$D$2:$D1001, A58, 'Form responses 1'!$A$2:$A1001, "&gt;=2024-04-01", 'Form responses 1'!$A$2:$A1001, "&lt;=2024-06-30"),
    COUNTIFS('Form responses 1'!$E$2:$E1001, A58, 'Form responses 1'!$A$2:$A1001, "&gt;=2024-04-01", 'Form responses 1'!$A$2:$A1001, "&lt;=2024-06-30"),
    COUNTIFS('Form responses 1'!$F$2:$F1001, A58, 'Form responses 1'!$A$2:$A1001, "&gt;=2024-04-01", 'Form responses 1'!$A$2:$A1001, "&lt;=2024-06-30"),
    COUNTIFS('Form responses 1'!$G$2:$G1001, A58, 'Form responses 1'!$A$2:$A1001, "&gt;=2024-04-01", 'Form responses 1'!$A$2:$A1001, "&lt;=2024-06-30")
)
</f>
        <v>0</v>
      </c>
      <c r="K58" s="2">
        <f>SUM(
    COUNTIFS('Form responses 1'!$C$2:$C1001, A58, 'Form responses 1'!$A$2:$A1001, "&gt;=2024-07-01", 'Form responses 1'!$A$2:$A1001, "&lt;=2024-09-30"),
    COUNTIFS('Form responses 1'!$B$2:$B1001, A58, 'Form responses 1'!$A$2:$A1001, "&gt;=2024-07-01", 'Form responses 1'!$A$2:$A1001, "&lt;=2024-09-30"),
    COUNTIFS('Form responses 1'!$D$2:$D1001, A58, 'Form responses 1'!$A$2:$A1001, "&gt;=2024-07-01", 'Form responses 1'!$A$2:$A1001, "&lt;=2024-09-30"),
    COUNTIFS('Form responses 1'!$E$2:$E1001, A58, 'Form responses 1'!$A$2:$A1001, "&gt;=2024-07-01", 'Form responses 1'!$A$2:$A1001, "&lt;=2024-09-30"),
    COUNTIFS('Form responses 1'!$F$2:$F1001, A58, 'Form responses 1'!$A$2:$A1001, "&gt;=2024-07-01", 'Form responses 1'!$A$2:$A1001, "&lt;=2024-09-30"),
    COUNTIFS('Form responses 1'!$G$2:$G1001, A58, 'Form responses 1'!$A$2:$A1001, "&gt;=2024-07-01", 'Form responses 1'!$A$2:$A1001, "&lt;=2024-09-30")
)
</f>
        <v>2</v>
      </c>
      <c r="L58" s="2">
        <f>SUM(
    COUNTIFS('Form responses 1'!$C$2:$C1001, A58, 'Form responses 1'!$A$2:$A1001, "&gt;=2024-10-01", 'Form responses 1'!$A$2:$A1001, "&lt;=2024-12-31"),
    COUNTIFS('Form responses 1'!$B$2:$B1001, A58, 'Form responses 1'!$A$2:$A1001, "&gt;=2024-10-01", 'Form responses 1'!$A$2:$A1001, "&lt;=2024-12-31"),
    COUNTIFS('Form responses 1'!$D$2:$D1001, A58, 'Form responses 1'!$A$2:$A1001, "&gt;=2024-10-01", 'Form responses 1'!$A$2:$A1001, "&lt;=2024-12-31"),
    COUNTIFS('Form responses 1'!$E$2:$E1001, A58, 'Form responses 1'!$A$2:$A1001, "&gt;=2024-10-01", 'Form responses 1'!$A$2:$A1001, "&lt;=2024-12-31"),
    COUNTIFS('Form responses 1'!$F$2:$F1001, A58, 'Form responses 1'!$A$2:$A1001, "&gt;=2024-10-01", 'Form responses 1'!$A$2:$A1001, "&lt;=2024-12-31"),
    COUNTIFS('Form responses 1'!$G$2:$G1001, A58, 'Form responses 1'!$A$2:$A1001, "&gt;=2024-10-01", 'Form responses 1'!$A$2:$A1001, "&lt;=2024-12-31")
)
</f>
        <v>8</v>
      </c>
      <c r="M58" s="2">
        <f>SUM(
    COUNTIFS('Form responses 1'!$C$2:$C1001, A58, 'Form responses 1'!$A$2:$A1001, "&gt;=2025-01-01", 'Form responses 1'!$A$2:$A1001, "&lt;=2025-03-31"),
    COUNTIFS('Form responses 1'!$B$2:$B1001, A58, 'Form responses 1'!$A$2:$A1001, "&gt;=2025-01-01", 'Form responses 1'!$A$2:$A1001, "&lt;=2025-03-31"),
    COUNTIFS('Form responses 1'!$D$2:$D1001, A58, 'Form responses 1'!$A$2:$A1001, "&gt;=2025-01-01", 'Form responses 1'!$A$2:$A1001, "&lt;=2025-03-31"),
    COUNTIFS('Form responses 1'!$E$2:$E1001, A58, 'Form responses 1'!$A$2:$A1001, "&gt;=2025-01-01", 'Form responses 1'!$A$2:$A1001, "&lt;=2025-03-31"),
    COUNTIFS('Form responses 1'!$F$2:$F1001, A58, 'Form responses 1'!$A$2:$A1001, "&gt;=2025-01-01", 'Form responses 1'!$A$2:$A1001, "&lt;=2025-03-31"),
    COUNTIFS('Form responses 1'!$G$2:$G1001, A58, 'Form responses 1'!$A$2:$A1001, "&gt;=2025-01-01", 'Form responses 1'!$A$2:$A1001, "&lt;=2025-03-31")
)
</f>
        <v>1</v>
      </c>
      <c r="N58" s="2">
        <f>SUM(
    COUNTIFS('Form responses 1'!$C$2:$C1001, A58, 'Form responses 1'!$A$2:$A1001, "&gt;=2025-04-01", 'Form responses 1'!$A$2:$A1001, "&lt;2025-07-01"),
    COUNTIFS('Form responses 1'!$B$2:$B1001, A58, 'Form responses 1'!$A$2:$A1001, "&gt;=2025-04-01", 'Form responses 1'!$A$2:$A1001, "&lt;2025-07-01"),
    COUNTIFS('Form responses 1'!$D$2:$D1001, A58, 'Form responses 1'!$A$2:$A1001, "&gt;=2025-04-01", 'Form responses 1'!$A$2:$A1001, "&lt;2025-07-01"),
    COUNTIFS('Form responses 1'!$E$2:$E1001, A58, 'Form responses 1'!$A$2:$A1001, "&gt;=2025-04-01", 'Form responses 1'!$A$2:$A1001, "&lt;2025-07-01"),
    COUNTIFS('Form responses 1'!$F$2:$F1001, A58, 'Form responses 1'!$A$2:$A1001, "&gt;=2025-04-01", 'Form responses 1'!$A$2:$A1001, "&lt;2025-07-01"),
    COUNTIFS('Form responses 1'!$G$2:$G1001, A58, 'Form responses 1'!$A$2:$A1001, "&gt;=2025-04-01", 'Form responses 1'!$A$2:$A1001, "&lt;2025-07-01")
)
</f>
        <v>5</v>
      </c>
      <c r="O58" s="2">
        <f>SUM(
    COUNTIFS('Form responses 1'!$C$2:$C1001, A58, 'Form responses 1'!$A$2:$A1001, "&gt;=2025-07-01", 'Form responses 1'!$A$2:$A1001, "&lt;=2025-09-30"),
    COUNTIFS('Form responses 1'!$B$2:$B1001, A58, 'Form responses 1'!$A$2:$A1001, "&gt;=2025-07-01", 'Form responses 1'!$A$2:$A1001, "&lt;=2025-09-30"),
    COUNTIFS('Form responses 1'!$D$2:$D1001, A58, 'Form responses 1'!$A$2:$A1001, "&gt;=2025-07-01", 'Form responses 1'!$A$2:$A1001, "&lt;=2025-09-30"),
    COUNTIFS('Form responses 1'!$E$2:$E1001, A58, 'Form responses 1'!$A$2:$A1001, "&gt;=2025-07-01", 'Form responses 1'!$A$2:$A1001, "&lt;=2025-09-30"),
    COUNTIFS('Form responses 1'!$F$2:$F1001, A58, 'Form responses 1'!$A$2:$A1001, "&gt;=2025-07-01", 'Form responses 1'!$A$2:$A1001, "&lt;=2025-09-30"),
    COUNTIFS('Form responses 1'!$G$2:$G1001, A58, 'Form responses 1'!$A$2:$A1001, "&gt;=2025-07-01", 'Form responses 1'!$A$2:$A1001, "&lt;=2025-09-30")
)
</f>
        <v>0</v>
      </c>
      <c r="P58" s="2">
        <f>SUM(
    COUNTIFS('Form responses 1'!$C$2:$C1001, A58, 'Form responses 1'!$A$2:$A1001, "&gt;=2025-10-01", 'Form responses 1'!$A$2:$A1001, "&lt;=2025-12-31"),
    COUNTIFS('Form responses 1'!$B$2:$B1001, A58, 'Form responses 1'!$A$2:$A1001, "&gt;=2025-10-01", 'Form responses 1'!$A$2:$A1001, "&lt;=2025-12-31"),
    COUNTIFS('Form responses 1'!$D$2:$D1001, A58, 'Form responses 1'!$A$2:$A1001, "&gt;=2025-10-01", 'Form responses 1'!$A$2:$A1001, "&lt;=2025-12-31"),
    COUNTIFS('Form responses 1'!$E$2:$E1001, A58, 'Form responses 1'!$A$2:$A1001, "&gt;=2025-10-01", 'Form responses 1'!$A$2:$A1001, "&lt;=2025-12-31"),
    COUNTIFS('Form responses 1'!$F$2:$F1001, A58, 'Form responses 1'!$A$2:$A1001, "&gt;=2025-10-01", 'Form responses 1'!$A$2:$A1001, "&lt;=2025-12-31"),
    COUNTIFS('Form responses 1'!$G$2:$G1001, A58, 'Form responses 1'!$A$2:$A1001, "&gt;=2025-10-01", 'Form responses 1'!$A$2:$A1001, "&lt;=2025-12-31")
)
</f>
        <v>9</v>
      </c>
    </row>
    <row r="59">
      <c r="A59" s="3" t="str">
        <f>IFERROR(__xludf.DUMMYFUNCTION("""COMPUTED_VALUE"""),"Oude blouse papa")</f>
        <v>Oude blouse papa</v>
      </c>
      <c r="B59" s="2">
        <f>SUM(
    COUNTIFS('Form responses 1'!$C$2:$C1001, A59, 'Form responses 1'!$A$2:$A1001, "&gt;=2022-04-01", 'Form responses 1'!$A$2:$A1001, "&lt;=2022-06-30"),
    COUNTIFS('Form responses 1'!$B$2:$B1001, A59, 'Form responses 1'!$A$2:$A1001, "&gt;=2022-04-01", 'Form responses 1'!$A$2:$A1001, "&lt;=2022-06-30"),
    COUNTIFS('Form responses 1'!$D$2:$D1001, A59, 'Form responses 1'!$A$2:$A1001, "&gt;=2022-04-01", 'Form responses 1'!$A$2:$A1001, "&lt;=2022-06-30"),
    COUNTIFS('Form responses 1'!$E$2:$E1001, A59, 'Form responses 1'!$A$2:$A1001, "&gt;=2022-04-01", 'Form responses 1'!$A$2:$A1001, "&lt;=2022-06-30"),
    COUNTIFS('Form responses 1'!$F$2:$F1001, A59, 'Form responses 1'!$A$2:$A1001, "&gt;=2022-04-01", 'Form responses 1'!$A$2:$A1001, "&lt;=2022-06-30"),
    COUNTIFS('Form responses 1'!$G$2:$G1001, A59, 'Form responses 1'!$A$2:$A1001, "&gt;=2022-04-01", 'Form responses 1'!$A$2:$A1001, "&lt;=2022-06-30")
)
</f>
        <v>5</v>
      </c>
      <c r="C59" s="2">
        <f>SUM(
    COUNTIFS('Form responses 1'!$C$2:$C1001, A59, 'Form responses 1'!$A$2:$A1001, "&gt;=2022-07-01", 'Form responses 1'!$A$2:$A1001, "&lt;=2022-09-30"),
    COUNTIFS('Form responses 1'!$B$2:$B1001, A59, 'Form responses 1'!$A$2:$A1001, "&gt;=2022-07-01", 'Form responses 1'!$A$2:$A1001, "&lt;=2022-09-30"),
    COUNTIFS('Form responses 1'!$D$2:$D1001, A59, 'Form responses 1'!$A$2:$A1001, "&gt;=2022-07-01", 'Form responses 1'!$A$2:$A1001, "&lt;=2022-09-30"),
    COUNTIFS('Form responses 1'!$E$2:$E1001, A59, 'Form responses 1'!$A$2:$A1001, "&gt;=2022-07-01", 'Form responses 1'!$A$2:$A1001, "&lt;=2022-09-30"),
    COUNTIFS('Form responses 1'!$F$2:$F1001, A59, 'Form responses 1'!$A$2:$A1001, "&gt;=2022-07-01", 'Form responses 1'!$A$2:$A1001, "&lt;=2022-09-30"),
    COUNTIFS('Form responses 1'!$G$2:$G1001, A59, 'Form responses 1'!$A$2:$A1001, "&gt;=2022-07-01", 'Form responses 1'!$A$2:$A1001, "&lt;=2022-09-30")
)
</f>
        <v>0</v>
      </c>
      <c r="D59" s="2">
        <f>SUM(
    COUNTIFS('Form responses 1'!$C$2:$C1001, A59, 'Form responses 1'!$A$2:$A1001, "&gt;=2022-10-01", 'Form responses 1'!$A$2:$A1001, "&lt;=2022-12-31"),
    COUNTIFS('Form responses 1'!$B$2:$B1001, A59, 'Form responses 1'!$A$2:$A1001, "&gt;=2022-10-01", 'Form responses 1'!$A$2:$A1001, "&lt;=2022-12-31"),
    COUNTIFS('Form responses 1'!$D$2:$D1001, A59, 'Form responses 1'!$A$2:$A1001, "&gt;=2022-10-01", 'Form responses 1'!$A$2:$A1001, "&lt;=2022-12-31"),
    COUNTIFS('Form responses 1'!$E$2:$E1001, A59, 'Form responses 1'!$A$2:$A1001, "&gt;=2022-10-01", 'Form responses 1'!$A$2:$A1001, "&lt;=2022-12-31"),
    COUNTIFS('Form responses 1'!$F$2:$F1001, A59, 'Form responses 1'!$A$2:$A1001, "&gt;=2022-10-01", 'Form responses 1'!$A$2:$A1001, "&lt;=2022-12-31"),
    COUNTIFS('Form responses 1'!$G$2:$G1001, A59, 'Form responses 1'!$A$2:$A1001, "&gt;=2022-10-01", 'Form responses 1'!$A$2:$A1001, "&lt;=2022-12-31")
)
</f>
        <v>6</v>
      </c>
      <c r="E59" s="2">
        <f>SUM(
    COUNTIFS('Form responses 1'!$C$2:$C1001, A59, 'Form responses 1'!$A$2:$A1001, "&gt;=2023-01-01", 'Form responses 1'!$A$2:$A1001, "&lt;=2023-03-31"),
    COUNTIFS('Form responses 1'!$B$2:$B1001, A59, 'Form responses 1'!$A$2:$A1001, "&gt;=2023-01-01", 'Form responses 1'!$A$2:$A1001, "&lt;=2023-03-31"),
    COUNTIFS('Form responses 1'!$D$2:$D1001, A59, 'Form responses 1'!$A$2:$A1001, "&gt;=2023-01-01", 'Form responses 1'!$A$2:$A1001, "&lt;=2023-03-31"),
    COUNTIFS('Form responses 1'!$E$2:$E1001, A59, 'Form responses 1'!$A$2:$A1001, "&gt;=2023-01-01", 'Form responses 1'!$A$2:$A1001, "&lt;=2023-03-31"),
    COUNTIFS('Form responses 1'!$F$2:$F1001, A59, 'Form responses 1'!$A$2:$A1001, "&gt;=2023-01-01", 'Form responses 1'!$A$2:$A1001, "&lt;=2023-03-31"),
    COUNTIFS('Form responses 1'!$G$2:$G1001, A59, 'Form responses 1'!$A$2:$A1001, "&gt;=2023-01-01", 'Form responses 1'!$A$2:$A1001, "&lt;=2023-03-31")
)
</f>
        <v>3</v>
      </c>
      <c r="F59" s="2">
        <f>SUM(
    COUNTIFS('Form responses 1'!$C$2:$C1001, A59, 'Form responses 1'!$A$2:$A1001, "&gt;=2023-04-01", 'Form responses 1'!$A$2:$A1001, "&lt;=2023-06-30"),
    COUNTIFS('Form responses 1'!$B$2:$B1001, A59, 'Form responses 1'!$A$2:$A1001, "&gt;=2023-04-01", 'Form responses 1'!$A$2:$A1001, "&lt;=2023-06-30"),
    COUNTIFS('Form responses 1'!$D$2:$D1001, A59, 'Form responses 1'!$A$2:$A1001, "&gt;=2023-04-01", 'Form responses 1'!$A$2:$A1001, "&lt;=2023-06-30"),
    COUNTIFS('Form responses 1'!$E$2:$E1001, A59, 'Form responses 1'!$A$2:$A1001, "&gt;=2023-04-01", 'Form responses 1'!$A$2:$A1001, "&lt;=2023-06-30"),
    COUNTIFS('Form responses 1'!$F$2:$F1001, A59, 'Form responses 1'!$A$2:$A1001, "&gt;=2023-04-01", 'Form responses 1'!$A$2:$A1001, "&lt;=2023-06-30"),
    COUNTIFS('Form responses 1'!$G$2:$G1001, A59, 'Form responses 1'!$A$2:$A1001, "&gt;=2023-04-01", 'Form responses 1'!$A$2:$A1001, "&lt;=2023-06-30")
)
</f>
        <v>5</v>
      </c>
      <c r="G59" s="2">
        <f>SUM(
    COUNTIFS('Form responses 1'!$C$2:$C1001, A59, 'Form responses 1'!$A$2:$A1001, "&gt;=2023-07-01", 'Form responses 1'!$A$2:$A1001, "&lt;=2023-09-30"),
    COUNTIFS('Form responses 1'!$B$2:$B1001, A59, 'Form responses 1'!$A$2:$A1001, "&gt;=2023-07-01", 'Form responses 1'!$A$2:$A1001, "&lt;=2023-09-30"),
    COUNTIFS('Form responses 1'!$D$2:$D1001, A59, 'Form responses 1'!$A$2:$A1001, "&gt;=2023-07-01", 'Form responses 1'!$A$2:$A1001, "&lt;=2023-09-30"),
    COUNTIFS('Form responses 1'!$E$2:$E1001, A59, 'Form responses 1'!$A$2:$A1001, "&gt;=2023-07-01", 'Form responses 1'!$A$2:$A1001, "&lt;=2023-09-30"),
    COUNTIFS('Form responses 1'!$F$2:$F1001, A59, 'Form responses 1'!$A$2:$A1001, "&gt;=2023-07-01", 'Form responses 1'!$A$2:$A1001, "&lt;=2023-09-30"),
    COUNTIFS('Form responses 1'!$G$2:$G1001, A59, 'Form responses 1'!$A$2:$A1001, "&gt;=2023-07-01", 'Form responses 1'!$A$2:$A1001, "&lt;=2023-09-30")
)
</f>
        <v>2</v>
      </c>
      <c r="H59" s="2">
        <f>SUM(
    COUNTIFS('Form responses 1'!$C$2:$C1001, A59, 'Form responses 1'!$A$2:$A1001, "&gt;=2023-10-01", 'Form responses 1'!$A$2:$A1001, "&lt;=2023-12-31"),
    COUNTIFS('Form responses 1'!$B$2:$B1001, A59, 'Form responses 1'!$A$2:$A1001, "&gt;=2023-10-01", 'Form responses 1'!$A$2:$A1001, "&lt;=2023-12-31"),
    COUNTIFS('Form responses 1'!$D$2:$D1001, A59, 'Form responses 1'!$A$2:$A1001, "&gt;=2023-10-01", 'Form responses 1'!$A$2:$A1001, "&lt;=2023-12-31"),
    COUNTIFS('Form responses 1'!$E$2:$E1001, A59, 'Form responses 1'!$A$2:$A1001, "&gt;=2023-10-01", 'Form responses 1'!$A$2:$A1001, "&lt;=2023-12-31"),
    COUNTIFS('Form responses 1'!$F$2:$F1001, A59, 'Form responses 1'!$A$2:$A1001, "&gt;=2023-10-01", 'Form responses 1'!$A$2:$A1001, "&lt;=2023-12-31"),
    COUNTIFS('Form responses 1'!$G$2:$G1001, A59, 'Form responses 1'!$A$2:$A1001, "&gt;=2023-10-01", 'Form responses 1'!$A$2:$A1001, "&lt;=2023-12-31")
)
</f>
        <v>4</v>
      </c>
      <c r="I59" s="2">
        <f>SUM(
    COUNTIFS('Form responses 1'!$C$2:$C1001, A59, 'Form responses 1'!$A$2:$A1001, "&gt;=2024-01-01", 'Form responses 1'!$A$2:$A1001, "&lt;=2024-03-31"),
    COUNTIFS('Form responses 1'!$B$2:$B1001, A59, 'Form responses 1'!$A$2:$A1001, "&gt;=2024-01-01", 'Form responses 1'!$A$2:$A1001, "&lt;=2024-03-31"),
    COUNTIFS('Form responses 1'!$D$2:$D1001, A59, 'Form responses 1'!$A$2:$A1001, "&gt;=2024-01-01", 'Form responses 1'!$A$2:$A1001, "&lt;=2024-03-31"),
    COUNTIFS('Form responses 1'!$E$2:$E1001, A59, 'Form responses 1'!$A$2:$A1001, "&gt;=2024-01-01", 'Form responses 1'!$A$2:$A1001, "&lt;=2024-03-31"),
    COUNTIFS('Form responses 1'!$F$2:$F1001, A59, 'Form responses 1'!$A$2:$A1001, "&gt;=2024-01-01", 'Form responses 1'!$A$2:$A1001, "&lt;=2024-03-31"),
    COUNTIFS('Form responses 1'!$G$2:$G1001, A59, 'Form responses 1'!$A$2:$A1001, "&gt;=2024-01-01", 'Form responses 1'!$A$2:$A1001, "&lt;=2024-03-31")
)
</f>
        <v>3</v>
      </c>
      <c r="J59" s="2">
        <f>SUM(
    COUNTIFS('Form responses 1'!$C$2:$C1001, A59, 'Form responses 1'!$A$2:$A1001, "&gt;=2024-04-01", 'Form responses 1'!$A$2:$A1001, "&lt;=2024-06-30"),
    COUNTIFS('Form responses 1'!$B$2:$B1001, A59, 'Form responses 1'!$A$2:$A1001, "&gt;=2024-04-01", 'Form responses 1'!$A$2:$A1001, "&lt;=2024-06-30"),
    COUNTIFS('Form responses 1'!$D$2:$D1001, A59, 'Form responses 1'!$A$2:$A1001, "&gt;=2024-04-01", 'Form responses 1'!$A$2:$A1001, "&lt;=2024-06-30"),
    COUNTIFS('Form responses 1'!$E$2:$E1001, A59, 'Form responses 1'!$A$2:$A1001, "&gt;=2024-04-01", 'Form responses 1'!$A$2:$A1001, "&lt;=2024-06-30"),
    COUNTIFS('Form responses 1'!$F$2:$F1001, A59, 'Form responses 1'!$A$2:$A1001, "&gt;=2024-04-01", 'Form responses 1'!$A$2:$A1001, "&lt;=2024-06-30"),
    COUNTIFS('Form responses 1'!$G$2:$G1001, A59, 'Form responses 1'!$A$2:$A1001, "&gt;=2024-04-01", 'Form responses 1'!$A$2:$A1001, "&lt;=2024-06-30")
)
</f>
        <v>3</v>
      </c>
      <c r="K59" s="2">
        <f>SUM(
    COUNTIFS('Form responses 1'!$C$2:$C1001, A59, 'Form responses 1'!$A$2:$A1001, "&gt;=2024-07-01", 'Form responses 1'!$A$2:$A1001, "&lt;=2024-09-30"),
    COUNTIFS('Form responses 1'!$B$2:$B1001, A59, 'Form responses 1'!$A$2:$A1001, "&gt;=2024-07-01", 'Form responses 1'!$A$2:$A1001, "&lt;=2024-09-30"),
    COUNTIFS('Form responses 1'!$D$2:$D1001, A59, 'Form responses 1'!$A$2:$A1001, "&gt;=2024-07-01", 'Form responses 1'!$A$2:$A1001, "&lt;=2024-09-30"),
    COUNTIFS('Form responses 1'!$E$2:$E1001, A59, 'Form responses 1'!$A$2:$A1001, "&gt;=2024-07-01", 'Form responses 1'!$A$2:$A1001, "&lt;=2024-09-30"),
    COUNTIFS('Form responses 1'!$F$2:$F1001, A59, 'Form responses 1'!$A$2:$A1001, "&gt;=2024-07-01", 'Form responses 1'!$A$2:$A1001, "&lt;=2024-09-30"),
    COUNTIFS('Form responses 1'!$G$2:$G1001, A59, 'Form responses 1'!$A$2:$A1001, "&gt;=2024-07-01", 'Form responses 1'!$A$2:$A1001, "&lt;=2024-09-30")
)
</f>
        <v>1</v>
      </c>
      <c r="L59" s="2">
        <f>SUM(
    COUNTIFS('Form responses 1'!$C$2:$C1001, A59, 'Form responses 1'!$A$2:$A1001, "&gt;=2024-10-01", 'Form responses 1'!$A$2:$A1001, "&lt;=2024-12-31"),
    COUNTIFS('Form responses 1'!$B$2:$B1001, A59, 'Form responses 1'!$A$2:$A1001, "&gt;=2024-10-01", 'Form responses 1'!$A$2:$A1001, "&lt;=2024-12-31"),
    COUNTIFS('Form responses 1'!$D$2:$D1001, A59, 'Form responses 1'!$A$2:$A1001, "&gt;=2024-10-01", 'Form responses 1'!$A$2:$A1001, "&lt;=2024-12-31"),
    COUNTIFS('Form responses 1'!$E$2:$E1001, A59, 'Form responses 1'!$A$2:$A1001, "&gt;=2024-10-01", 'Form responses 1'!$A$2:$A1001, "&lt;=2024-12-31"),
    COUNTIFS('Form responses 1'!$F$2:$F1001, A59, 'Form responses 1'!$A$2:$A1001, "&gt;=2024-10-01", 'Form responses 1'!$A$2:$A1001, "&lt;=2024-12-31"),
    COUNTIFS('Form responses 1'!$G$2:$G1001, A59, 'Form responses 1'!$A$2:$A1001, "&gt;=2024-10-01", 'Form responses 1'!$A$2:$A1001, "&lt;=2024-12-31")
)
</f>
        <v>0</v>
      </c>
      <c r="M59" s="2">
        <f>SUM(
    COUNTIFS('Form responses 1'!$C$2:$C1001, A59, 'Form responses 1'!$A$2:$A1001, "&gt;=2025-01-01", 'Form responses 1'!$A$2:$A1001, "&lt;=2025-03-31"),
    COUNTIFS('Form responses 1'!$B$2:$B1001, A59, 'Form responses 1'!$A$2:$A1001, "&gt;=2025-01-01", 'Form responses 1'!$A$2:$A1001, "&lt;=2025-03-31"),
    COUNTIFS('Form responses 1'!$D$2:$D1001, A59, 'Form responses 1'!$A$2:$A1001, "&gt;=2025-01-01", 'Form responses 1'!$A$2:$A1001, "&lt;=2025-03-31"),
    COUNTIFS('Form responses 1'!$E$2:$E1001, A59, 'Form responses 1'!$A$2:$A1001, "&gt;=2025-01-01", 'Form responses 1'!$A$2:$A1001, "&lt;=2025-03-31"),
    COUNTIFS('Form responses 1'!$F$2:$F1001, A59, 'Form responses 1'!$A$2:$A1001, "&gt;=2025-01-01", 'Form responses 1'!$A$2:$A1001, "&lt;=2025-03-31"),
    COUNTIFS('Form responses 1'!$G$2:$G1001, A59, 'Form responses 1'!$A$2:$A1001, "&gt;=2025-01-01", 'Form responses 1'!$A$2:$A1001, "&lt;=2025-03-31")
)
</f>
        <v>0</v>
      </c>
      <c r="N59" s="2">
        <f>SUM(
    COUNTIFS('Form responses 1'!$C$2:$C1001, A59, 'Form responses 1'!$A$2:$A1001, "&gt;=2025-04-01", 'Form responses 1'!$A$2:$A1001, "&lt;2025-07-01"),
    COUNTIFS('Form responses 1'!$B$2:$B1001, A59, 'Form responses 1'!$A$2:$A1001, "&gt;=2025-04-01", 'Form responses 1'!$A$2:$A1001, "&lt;2025-07-01"),
    COUNTIFS('Form responses 1'!$D$2:$D1001, A59, 'Form responses 1'!$A$2:$A1001, "&gt;=2025-04-01", 'Form responses 1'!$A$2:$A1001, "&lt;2025-07-01"),
    COUNTIFS('Form responses 1'!$E$2:$E1001, A59, 'Form responses 1'!$A$2:$A1001, "&gt;=2025-04-01", 'Form responses 1'!$A$2:$A1001, "&lt;2025-07-01"),
    COUNTIFS('Form responses 1'!$F$2:$F1001, A59, 'Form responses 1'!$A$2:$A1001, "&gt;=2025-04-01", 'Form responses 1'!$A$2:$A1001, "&lt;2025-07-01"),
    COUNTIFS('Form responses 1'!$G$2:$G1001, A59, 'Form responses 1'!$A$2:$A1001, "&gt;=2025-04-01", 'Form responses 1'!$A$2:$A1001, "&lt;2025-07-01")
)
</f>
        <v>0</v>
      </c>
      <c r="O59" s="2">
        <f>SUM(
    COUNTIFS('Form responses 1'!$C$2:$C1001, A59, 'Form responses 1'!$A$2:$A1001, "&gt;=2025-07-01", 'Form responses 1'!$A$2:$A1001, "&lt;=2025-09-30"),
    COUNTIFS('Form responses 1'!$B$2:$B1001, A59, 'Form responses 1'!$A$2:$A1001, "&gt;=2025-07-01", 'Form responses 1'!$A$2:$A1001, "&lt;=2025-09-30"),
    COUNTIFS('Form responses 1'!$D$2:$D1001, A59, 'Form responses 1'!$A$2:$A1001, "&gt;=2025-07-01", 'Form responses 1'!$A$2:$A1001, "&lt;=2025-09-30"),
    COUNTIFS('Form responses 1'!$E$2:$E1001, A59, 'Form responses 1'!$A$2:$A1001, "&gt;=2025-07-01", 'Form responses 1'!$A$2:$A1001, "&lt;=2025-09-30"),
    COUNTIFS('Form responses 1'!$F$2:$F1001, A59, 'Form responses 1'!$A$2:$A1001, "&gt;=2025-07-01", 'Form responses 1'!$A$2:$A1001, "&lt;=2025-09-30"),
    COUNTIFS('Form responses 1'!$G$2:$G1001, A59, 'Form responses 1'!$A$2:$A1001, "&gt;=2025-07-01", 'Form responses 1'!$A$2:$A1001, "&lt;=2025-09-30")
)
</f>
        <v>0</v>
      </c>
      <c r="P59" s="2">
        <f>SUM(
    COUNTIFS('Form responses 1'!$C$2:$C1001, A59, 'Form responses 1'!$A$2:$A1001, "&gt;=2025-10-01", 'Form responses 1'!$A$2:$A1001, "&lt;=2025-12-31"),
    COUNTIFS('Form responses 1'!$B$2:$B1001, A59, 'Form responses 1'!$A$2:$A1001, "&gt;=2025-10-01", 'Form responses 1'!$A$2:$A1001, "&lt;=2025-12-31"),
    COUNTIFS('Form responses 1'!$D$2:$D1001, A59, 'Form responses 1'!$A$2:$A1001, "&gt;=2025-10-01", 'Form responses 1'!$A$2:$A1001, "&lt;=2025-12-31"),
    COUNTIFS('Form responses 1'!$E$2:$E1001, A59, 'Form responses 1'!$A$2:$A1001, "&gt;=2025-10-01", 'Form responses 1'!$A$2:$A1001, "&lt;=2025-12-31"),
    COUNTIFS('Form responses 1'!$F$2:$F1001, A59, 'Form responses 1'!$A$2:$A1001, "&gt;=2025-10-01", 'Form responses 1'!$A$2:$A1001, "&lt;=2025-12-31"),
    COUNTIFS('Form responses 1'!$G$2:$G1001, A59, 'Form responses 1'!$A$2:$A1001, "&gt;=2025-10-01", 'Form responses 1'!$A$2:$A1001, "&lt;=2025-12-31")
)
</f>
        <v>0</v>
      </c>
    </row>
    <row r="60">
      <c r="A60" s="3" t="str">
        <f>IFERROR(__xludf.DUMMYFUNCTION("""COMPUTED_VALUE"""),"Groene blouse")</f>
        <v>Groene blouse</v>
      </c>
      <c r="B60" s="2">
        <f>SUM(
    COUNTIFS('Form responses 1'!$C$2:$C1001, A60, 'Form responses 1'!$A$2:$A1001, "&gt;=2022-04-01", 'Form responses 1'!$A$2:$A1001, "&lt;=2022-06-30"),
    COUNTIFS('Form responses 1'!$B$2:$B1001, A60, 'Form responses 1'!$A$2:$A1001, "&gt;=2022-04-01", 'Form responses 1'!$A$2:$A1001, "&lt;=2022-06-30"),
    COUNTIFS('Form responses 1'!$D$2:$D1001, A60, 'Form responses 1'!$A$2:$A1001, "&gt;=2022-04-01", 'Form responses 1'!$A$2:$A1001, "&lt;=2022-06-30"),
    COUNTIFS('Form responses 1'!$E$2:$E1001, A60, 'Form responses 1'!$A$2:$A1001, "&gt;=2022-04-01", 'Form responses 1'!$A$2:$A1001, "&lt;=2022-06-30"),
    COUNTIFS('Form responses 1'!$F$2:$F1001, A60, 'Form responses 1'!$A$2:$A1001, "&gt;=2022-04-01", 'Form responses 1'!$A$2:$A1001, "&lt;=2022-06-30"),
    COUNTIFS('Form responses 1'!$G$2:$G1001, A60, 'Form responses 1'!$A$2:$A1001, "&gt;=2022-04-01", 'Form responses 1'!$A$2:$A1001, "&lt;=2022-06-30")
)
</f>
        <v>7</v>
      </c>
      <c r="C60" s="2">
        <f>SUM(
    COUNTIFS('Form responses 1'!$C$2:$C1001, A60, 'Form responses 1'!$A$2:$A1001, "&gt;=2022-07-01", 'Form responses 1'!$A$2:$A1001, "&lt;=2022-09-30"),
    COUNTIFS('Form responses 1'!$B$2:$B1001, A60, 'Form responses 1'!$A$2:$A1001, "&gt;=2022-07-01", 'Form responses 1'!$A$2:$A1001, "&lt;=2022-09-30"),
    COUNTIFS('Form responses 1'!$D$2:$D1001, A60, 'Form responses 1'!$A$2:$A1001, "&gt;=2022-07-01", 'Form responses 1'!$A$2:$A1001, "&lt;=2022-09-30"),
    COUNTIFS('Form responses 1'!$E$2:$E1001, A60, 'Form responses 1'!$A$2:$A1001, "&gt;=2022-07-01", 'Form responses 1'!$A$2:$A1001, "&lt;=2022-09-30"),
    COUNTIFS('Form responses 1'!$F$2:$F1001, A60, 'Form responses 1'!$A$2:$A1001, "&gt;=2022-07-01", 'Form responses 1'!$A$2:$A1001, "&lt;=2022-09-30"),
    COUNTIFS('Form responses 1'!$G$2:$G1001, A60, 'Form responses 1'!$A$2:$A1001, "&gt;=2022-07-01", 'Form responses 1'!$A$2:$A1001, "&lt;=2022-09-30")
)
</f>
        <v>6</v>
      </c>
      <c r="D60" s="2">
        <f>SUM(
    COUNTIFS('Form responses 1'!$C$2:$C1001, A60, 'Form responses 1'!$A$2:$A1001, "&gt;=2022-10-01", 'Form responses 1'!$A$2:$A1001, "&lt;=2022-12-31"),
    COUNTIFS('Form responses 1'!$B$2:$B1001, A60, 'Form responses 1'!$A$2:$A1001, "&gt;=2022-10-01", 'Form responses 1'!$A$2:$A1001, "&lt;=2022-12-31"),
    COUNTIFS('Form responses 1'!$D$2:$D1001, A60, 'Form responses 1'!$A$2:$A1001, "&gt;=2022-10-01", 'Form responses 1'!$A$2:$A1001, "&lt;=2022-12-31"),
    COUNTIFS('Form responses 1'!$E$2:$E1001, A60, 'Form responses 1'!$A$2:$A1001, "&gt;=2022-10-01", 'Form responses 1'!$A$2:$A1001, "&lt;=2022-12-31"),
    COUNTIFS('Form responses 1'!$F$2:$F1001, A60, 'Form responses 1'!$A$2:$A1001, "&gt;=2022-10-01", 'Form responses 1'!$A$2:$A1001, "&lt;=2022-12-31"),
    COUNTIFS('Form responses 1'!$G$2:$G1001, A60, 'Form responses 1'!$A$2:$A1001, "&gt;=2022-10-01", 'Form responses 1'!$A$2:$A1001, "&lt;=2022-12-31")
)
</f>
        <v>1</v>
      </c>
      <c r="E60" s="2">
        <f>SUM(
    COUNTIFS('Form responses 1'!$C$2:$C1001, A60, 'Form responses 1'!$A$2:$A1001, "&gt;=2023-01-01", 'Form responses 1'!$A$2:$A1001, "&lt;=2023-03-31"),
    COUNTIFS('Form responses 1'!$B$2:$B1001, A60, 'Form responses 1'!$A$2:$A1001, "&gt;=2023-01-01", 'Form responses 1'!$A$2:$A1001, "&lt;=2023-03-31"),
    COUNTIFS('Form responses 1'!$D$2:$D1001, A60, 'Form responses 1'!$A$2:$A1001, "&gt;=2023-01-01", 'Form responses 1'!$A$2:$A1001, "&lt;=2023-03-31"),
    COUNTIFS('Form responses 1'!$E$2:$E1001, A60, 'Form responses 1'!$A$2:$A1001, "&gt;=2023-01-01", 'Form responses 1'!$A$2:$A1001, "&lt;=2023-03-31"),
    COUNTIFS('Form responses 1'!$F$2:$F1001, A60, 'Form responses 1'!$A$2:$A1001, "&gt;=2023-01-01", 'Form responses 1'!$A$2:$A1001, "&lt;=2023-03-31"),
    COUNTIFS('Form responses 1'!$G$2:$G1001, A60, 'Form responses 1'!$A$2:$A1001, "&gt;=2023-01-01", 'Form responses 1'!$A$2:$A1001, "&lt;=2023-03-31")
)
</f>
        <v>0</v>
      </c>
      <c r="F60" s="2">
        <f>SUM(
    COUNTIFS('Form responses 1'!$C$2:$C1001, A60, 'Form responses 1'!$A$2:$A1001, "&gt;=2023-04-01", 'Form responses 1'!$A$2:$A1001, "&lt;=2023-06-30"),
    COUNTIFS('Form responses 1'!$B$2:$B1001, A60, 'Form responses 1'!$A$2:$A1001, "&gt;=2023-04-01", 'Form responses 1'!$A$2:$A1001, "&lt;=2023-06-30"),
    COUNTIFS('Form responses 1'!$D$2:$D1001, A60, 'Form responses 1'!$A$2:$A1001, "&gt;=2023-04-01", 'Form responses 1'!$A$2:$A1001, "&lt;=2023-06-30"),
    COUNTIFS('Form responses 1'!$E$2:$E1001, A60, 'Form responses 1'!$A$2:$A1001, "&gt;=2023-04-01", 'Form responses 1'!$A$2:$A1001, "&lt;=2023-06-30"),
    COUNTIFS('Form responses 1'!$F$2:$F1001, A60, 'Form responses 1'!$A$2:$A1001, "&gt;=2023-04-01", 'Form responses 1'!$A$2:$A1001, "&lt;=2023-06-30"),
    COUNTIFS('Form responses 1'!$G$2:$G1001, A60, 'Form responses 1'!$A$2:$A1001, "&gt;=2023-04-01", 'Form responses 1'!$A$2:$A1001, "&lt;=2023-06-30")
)
</f>
        <v>5</v>
      </c>
      <c r="G60" s="2">
        <f>SUM(
    COUNTIFS('Form responses 1'!$C$2:$C1001, A60, 'Form responses 1'!$A$2:$A1001, "&gt;=2023-07-01", 'Form responses 1'!$A$2:$A1001, "&lt;=2023-09-30"),
    COUNTIFS('Form responses 1'!$B$2:$B1001, A60, 'Form responses 1'!$A$2:$A1001, "&gt;=2023-07-01", 'Form responses 1'!$A$2:$A1001, "&lt;=2023-09-30"),
    COUNTIFS('Form responses 1'!$D$2:$D1001, A60, 'Form responses 1'!$A$2:$A1001, "&gt;=2023-07-01", 'Form responses 1'!$A$2:$A1001, "&lt;=2023-09-30"),
    COUNTIFS('Form responses 1'!$E$2:$E1001, A60, 'Form responses 1'!$A$2:$A1001, "&gt;=2023-07-01", 'Form responses 1'!$A$2:$A1001, "&lt;=2023-09-30"),
    COUNTIFS('Form responses 1'!$F$2:$F1001, A60, 'Form responses 1'!$A$2:$A1001, "&gt;=2023-07-01", 'Form responses 1'!$A$2:$A1001, "&lt;=2023-09-30"),
    COUNTIFS('Form responses 1'!$G$2:$G1001, A60, 'Form responses 1'!$A$2:$A1001, "&gt;=2023-07-01", 'Form responses 1'!$A$2:$A1001, "&lt;=2023-09-30")
)
</f>
        <v>10</v>
      </c>
      <c r="H60" s="2">
        <f>SUM(
    COUNTIFS('Form responses 1'!$C$2:$C1001, A60, 'Form responses 1'!$A$2:$A1001, "&gt;=2023-10-01", 'Form responses 1'!$A$2:$A1001, "&lt;=2023-12-31"),
    COUNTIFS('Form responses 1'!$B$2:$B1001, A60, 'Form responses 1'!$A$2:$A1001, "&gt;=2023-10-01", 'Form responses 1'!$A$2:$A1001, "&lt;=2023-12-31"),
    COUNTIFS('Form responses 1'!$D$2:$D1001, A60, 'Form responses 1'!$A$2:$A1001, "&gt;=2023-10-01", 'Form responses 1'!$A$2:$A1001, "&lt;=2023-12-31"),
    COUNTIFS('Form responses 1'!$E$2:$E1001, A60, 'Form responses 1'!$A$2:$A1001, "&gt;=2023-10-01", 'Form responses 1'!$A$2:$A1001, "&lt;=2023-12-31"),
    COUNTIFS('Form responses 1'!$F$2:$F1001, A60, 'Form responses 1'!$A$2:$A1001, "&gt;=2023-10-01", 'Form responses 1'!$A$2:$A1001, "&lt;=2023-12-31"),
    COUNTIFS('Form responses 1'!$G$2:$G1001, A60, 'Form responses 1'!$A$2:$A1001, "&gt;=2023-10-01", 'Form responses 1'!$A$2:$A1001, "&lt;=2023-12-31")
)
</f>
        <v>0</v>
      </c>
      <c r="I60" s="2">
        <f>SUM(
    COUNTIFS('Form responses 1'!$C$2:$C1001, A60, 'Form responses 1'!$A$2:$A1001, "&gt;=2024-01-01", 'Form responses 1'!$A$2:$A1001, "&lt;=2024-03-31"),
    COUNTIFS('Form responses 1'!$B$2:$B1001, A60, 'Form responses 1'!$A$2:$A1001, "&gt;=2024-01-01", 'Form responses 1'!$A$2:$A1001, "&lt;=2024-03-31"),
    COUNTIFS('Form responses 1'!$D$2:$D1001, A60, 'Form responses 1'!$A$2:$A1001, "&gt;=2024-01-01", 'Form responses 1'!$A$2:$A1001, "&lt;=2024-03-31"),
    COUNTIFS('Form responses 1'!$E$2:$E1001, A60, 'Form responses 1'!$A$2:$A1001, "&gt;=2024-01-01", 'Form responses 1'!$A$2:$A1001, "&lt;=2024-03-31"),
    COUNTIFS('Form responses 1'!$F$2:$F1001, A60, 'Form responses 1'!$A$2:$A1001, "&gt;=2024-01-01", 'Form responses 1'!$A$2:$A1001, "&lt;=2024-03-31"),
    COUNTIFS('Form responses 1'!$G$2:$G1001, A60, 'Form responses 1'!$A$2:$A1001, "&gt;=2024-01-01", 'Form responses 1'!$A$2:$A1001, "&lt;=2024-03-31")
)
</f>
        <v>0</v>
      </c>
      <c r="J60" s="2">
        <f>SUM(
    COUNTIFS('Form responses 1'!$C$2:$C1001, A60, 'Form responses 1'!$A$2:$A1001, "&gt;=2024-04-01", 'Form responses 1'!$A$2:$A1001, "&lt;=2024-06-30"),
    COUNTIFS('Form responses 1'!$B$2:$B1001, A60, 'Form responses 1'!$A$2:$A1001, "&gt;=2024-04-01", 'Form responses 1'!$A$2:$A1001, "&lt;=2024-06-30"),
    COUNTIFS('Form responses 1'!$D$2:$D1001, A60, 'Form responses 1'!$A$2:$A1001, "&gt;=2024-04-01", 'Form responses 1'!$A$2:$A1001, "&lt;=2024-06-30"),
    COUNTIFS('Form responses 1'!$E$2:$E1001, A60, 'Form responses 1'!$A$2:$A1001, "&gt;=2024-04-01", 'Form responses 1'!$A$2:$A1001, "&lt;=2024-06-30"),
    COUNTIFS('Form responses 1'!$F$2:$F1001, A60, 'Form responses 1'!$A$2:$A1001, "&gt;=2024-04-01", 'Form responses 1'!$A$2:$A1001, "&lt;=2024-06-30"),
    COUNTIFS('Form responses 1'!$G$2:$G1001, A60, 'Form responses 1'!$A$2:$A1001, "&gt;=2024-04-01", 'Form responses 1'!$A$2:$A1001, "&lt;=2024-06-30")
)
</f>
        <v>3</v>
      </c>
      <c r="K60" s="2">
        <f>SUM(
    COUNTIFS('Form responses 1'!$C$2:$C1001, A60, 'Form responses 1'!$A$2:$A1001, "&gt;=2024-07-01", 'Form responses 1'!$A$2:$A1001, "&lt;=2024-09-30"),
    COUNTIFS('Form responses 1'!$B$2:$B1001, A60, 'Form responses 1'!$A$2:$A1001, "&gt;=2024-07-01", 'Form responses 1'!$A$2:$A1001, "&lt;=2024-09-30"),
    COUNTIFS('Form responses 1'!$D$2:$D1001, A60, 'Form responses 1'!$A$2:$A1001, "&gt;=2024-07-01", 'Form responses 1'!$A$2:$A1001, "&lt;=2024-09-30"),
    COUNTIFS('Form responses 1'!$E$2:$E1001, A60, 'Form responses 1'!$A$2:$A1001, "&gt;=2024-07-01", 'Form responses 1'!$A$2:$A1001, "&lt;=2024-09-30"),
    COUNTIFS('Form responses 1'!$F$2:$F1001, A60, 'Form responses 1'!$A$2:$A1001, "&gt;=2024-07-01", 'Form responses 1'!$A$2:$A1001, "&lt;=2024-09-30"),
    COUNTIFS('Form responses 1'!$G$2:$G1001, A60, 'Form responses 1'!$A$2:$A1001, "&gt;=2024-07-01", 'Form responses 1'!$A$2:$A1001, "&lt;=2024-09-30")
)
</f>
        <v>6</v>
      </c>
      <c r="L60" s="2">
        <f>SUM(
    COUNTIFS('Form responses 1'!$C$2:$C1001, A60, 'Form responses 1'!$A$2:$A1001, "&gt;=2024-10-01", 'Form responses 1'!$A$2:$A1001, "&lt;=2024-12-31"),
    COUNTIFS('Form responses 1'!$B$2:$B1001, A60, 'Form responses 1'!$A$2:$A1001, "&gt;=2024-10-01", 'Form responses 1'!$A$2:$A1001, "&lt;=2024-12-31"),
    COUNTIFS('Form responses 1'!$D$2:$D1001, A60, 'Form responses 1'!$A$2:$A1001, "&gt;=2024-10-01", 'Form responses 1'!$A$2:$A1001, "&lt;=2024-12-31"),
    COUNTIFS('Form responses 1'!$E$2:$E1001, A60, 'Form responses 1'!$A$2:$A1001, "&gt;=2024-10-01", 'Form responses 1'!$A$2:$A1001, "&lt;=2024-12-31"),
    COUNTIFS('Form responses 1'!$F$2:$F1001, A60, 'Form responses 1'!$A$2:$A1001, "&gt;=2024-10-01", 'Form responses 1'!$A$2:$A1001, "&lt;=2024-12-31"),
    COUNTIFS('Form responses 1'!$G$2:$G1001, A60, 'Form responses 1'!$A$2:$A1001, "&gt;=2024-10-01", 'Form responses 1'!$A$2:$A1001, "&lt;=2024-12-31")
)
</f>
        <v>0</v>
      </c>
      <c r="M60" s="2">
        <f>SUM(
    COUNTIFS('Form responses 1'!$C$2:$C1001, A60, 'Form responses 1'!$A$2:$A1001, "&gt;=2025-01-01", 'Form responses 1'!$A$2:$A1001, "&lt;=2025-03-31"),
    COUNTIFS('Form responses 1'!$B$2:$B1001, A60, 'Form responses 1'!$A$2:$A1001, "&gt;=2025-01-01", 'Form responses 1'!$A$2:$A1001, "&lt;=2025-03-31"),
    COUNTIFS('Form responses 1'!$D$2:$D1001, A60, 'Form responses 1'!$A$2:$A1001, "&gt;=2025-01-01", 'Form responses 1'!$A$2:$A1001, "&lt;=2025-03-31"),
    COUNTIFS('Form responses 1'!$E$2:$E1001, A60, 'Form responses 1'!$A$2:$A1001, "&gt;=2025-01-01", 'Form responses 1'!$A$2:$A1001, "&lt;=2025-03-31"),
    COUNTIFS('Form responses 1'!$F$2:$F1001, A60, 'Form responses 1'!$A$2:$A1001, "&gt;=2025-01-01", 'Form responses 1'!$A$2:$A1001, "&lt;=2025-03-31"),
    COUNTIFS('Form responses 1'!$G$2:$G1001, A60, 'Form responses 1'!$A$2:$A1001, "&gt;=2025-01-01", 'Form responses 1'!$A$2:$A1001, "&lt;=2025-03-31")
)
</f>
        <v>0</v>
      </c>
      <c r="N60" s="2">
        <f>SUM(
    COUNTIFS('Form responses 1'!$C$2:$C1001, A60, 'Form responses 1'!$A$2:$A1001, "&gt;=2025-04-01", 'Form responses 1'!$A$2:$A1001, "&lt;2025-07-01"),
    COUNTIFS('Form responses 1'!$B$2:$B1001, A60, 'Form responses 1'!$A$2:$A1001, "&gt;=2025-04-01", 'Form responses 1'!$A$2:$A1001, "&lt;2025-07-01"),
    COUNTIFS('Form responses 1'!$D$2:$D1001, A60, 'Form responses 1'!$A$2:$A1001, "&gt;=2025-04-01", 'Form responses 1'!$A$2:$A1001, "&lt;2025-07-01"),
    COUNTIFS('Form responses 1'!$E$2:$E1001, A60, 'Form responses 1'!$A$2:$A1001, "&gt;=2025-04-01", 'Form responses 1'!$A$2:$A1001, "&lt;2025-07-01"),
    COUNTIFS('Form responses 1'!$F$2:$F1001, A60, 'Form responses 1'!$A$2:$A1001, "&gt;=2025-04-01", 'Form responses 1'!$A$2:$A1001, "&lt;2025-07-01"),
    COUNTIFS('Form responses 1'!$G$2:$G1001, A60, 'Form responses 1'!$A$2:$A1001, "&gt;=2025-04-01", 'Form responses 1'!$A$2:$A1001, "&lt;2025-07-01")
)
</f>
        <v>1</v>
      </c>
      <c r="O60" s="2">
        <f>SUM(
    COUNTIFS('Form responses 1'!$C$2:$C1001, A60, 'Form responses 1'!$A$2:$A1001, "&gt;=2025-07-01", 'Form responses 1'!$A$2:$A1001, "&lt;=2025-09-30"),
    COUNTIFS('Form responses 1'!$B$2:$B1001, A60, 'Form responses 1'!$A$2:$A1001, "&gt;=2025-07-01", 'Form responses 1'!$A$2:$A1001, "&lt;=2025-09-30"),
    COUNTIFS('Form responses 1'!$D$2:$D1001, A60, 'Form responses 1'!$A$2:$A1001, "&gt;=2025-07-01", 'Form responses 1'!$A$2:$A1001, "&lt;=2025-09-30"),
    COUNTIFS('Form responses 1'!$E$2:$E1001, A60, 'Form responses 1'!$A$2:$A1001, "&gt;=2025-07-01", 'Form responses 1'!$A$2:$A1001, "&lt;=2025-09-30"),
    COUNTIFS('Form responses 1'!$F$2:$F1001, A60, 'Form responses 1'!$A$2:$A1001, "&gt;=2025-07-01", 'Form responses 1'!$A$2:$A1001, "&lt;=2025-09-30"),
    COUNTIFS('Form responses 1'!$G$2:$G1001, A60, 'Form responses 1'!$A$2:$A1001, "&gt;=2025-07-01", 'Form responses 1'!$A$2:$A1001, "&lt;=2025-09-30")
)
</f>
        <v>2</v>
      </c>
      <c r="P60" s="2">
        <f>SUM(
    COUNTIFS('Form responses 1'!$C$2:$C1001, A60, 'Form responses 1'!$A$2:$A1001, "&gt;=2025-10-01", 'Form responses 1'!$A$2:$A1001, "&lt;=2025-12-31"),
    COUNTIFS('Form responses 1'!$B$2:$B1001, A60, 'Form responses 1'!$A$2:$A1001, "&gt;=2025-10-01", 'Form responses 1'!$A$2:$A1001, "&lt;=2025-12-31"),
    COUNTIFS('Form responses 1'!$D$2:$D1001, A60, 'Form responses 1'!$A$2:$A1001, "&gt;=2025-10-01", 'Form responses 1'!$A$2:$A1001, "&lt;=2025-12-31"),
    COUNTIFS('Form responses 1'!$E$2:$E1001, A60, 'Form responses 1'!$A$2:$A1001, "&gt;=2025-10-01", 'Form responses 1'!$A$2:$A1001, "&lt;=2025-12-31"),
    COUNTIFS('Form responses 1'!$F$2:$F1001, A60, 'Form responses 1'!$A$2:$A1001, "&gt;=2025-10-01", 'Form responses 1'!$A$2:$A1001, "&lt;=2025-12-31"),
    COUNTIFS('Form responses 1'!$G$2:$G1001, A60, 'Form responses 1'!$A$2:$A1001, "&gt;=2025-10-01", 'Form responses 1'!$A$2:$A1001, "&lt;=2025-12-31")
)
</f>
        <v>0</v>
      </c>
    </row>
    <row r="61">
      <c r="A61" s="3" t="str">
        <f>IFERROR(__xludf.DUMMYFUNCTION("""COMPUTED_VALUE"""),"Blauwe blouse")</f>
        <v>Blauwe blouse</v>
      </c>
      <c r="B61" s="2">
        <f>SUM(
    COUNTIFS('Form responses 1'!$C$2:$C1001, A61, 'Form responses 1'!$A$2:$A1001, "&gt;=2022-04-01", 'Form responses 1'!$A$2:$A1001, "&lt;=2022-06-30"),
    COUNTIFS('Form responses 1'!$B$2:$B1001, A61, 'Form responses 1'!$A$2:$A1001, "&gt;=2022-04-01", 'Form responses 1'!$A$2:$A1001, "&lt;=2022-06-30"),
    COUNTIFS('Form responses 1'!$D$2:$D1001, A61, 'Form responses 1'!$A$2:$A1001, "&gt;=2022-04-01", 'Form responses 1'!$A$2:$A1001, "&lt;=2022-06-30"),
    COUNTIFS('Form responses 1'!$E$2:$E1001, A61, 'Form responses 1'!$A$2:$A1001, "&gt;=2022-04-01", 'Form responses 1'!$A$2:$A1001, "&lt;=2022-06-30"),
    COUNTIFS('Form responses 1'!$F$2:$F1001, A61, 'Form responses 1'!$A$2:$A1001, "&gt;=2022-04-01", 'Form responses 1'!$A$2:$A1001, "&lt;=2022-06-30"),
    COUNTIFS('Form responses 1'!$G$2:$G1001, A61, 'Form responses 1'!$A$2:$A1001, "&gt;=2022-04-01", 'Form responses 1'!$A$2:$A1001, "&lt;=2022-06-30")
)
</f>
        <v>0</v>
      </c>
      <c r="C61" s="2">
        <f>SUM(
    COUNTIFS('Form responses 1'!$C$2:$C1001, A61, 'Form responses 1'!$A$2:$A1001, "&gt;=2022-07-01", 'Form responses 1'!$A$2:$A1001, "&lt;=2022-09-30"),
    COUNTIFS('Form responses 1'!$B$2:$B1001, A61, 'Form responses 1'!$A$2:$A1001, "&gt;=2022-07-01", 'Form responses 1'!$A$2:$A1001, "&lt;=2022-09-30"),
    COUNTIFS('Form responses 1'!$D$2:$D1001, A61, 'Form responses 1'!$A$2:$A1001, "&gt;=2022-07-01", 'Form responses 1'!$A$2:$A1001, "&lt;=2022-09-30"),
    COUNTIFS('Form responses 1'!$E$2:$E1001, A61, 'Form responses 1'!$A$2:$A1001, "&gt;=2022-07-01", 'Form responses 1'!$A$2:$A1001, "&lt;=2022-09-30"),
    COUNTIFS('Form responses 1'!$F$2:$F1001, A61, 'Form responses 1'!$A$2:$A1001, "&gt;=2022-07-01", 'Form responses 1'!$A$2:$A1001, "&lt;=2022-09-30"),
    COUNTIFS('Form responses 1'!$G$2:$G1001, A61, 'Form responses 1'!$A$2:$A1001, "&gt;=2022-07-01", 'Form responses 1'!$A$2:$A1001, "&lt;=2022-09-30")
)
</f>
        <v>0</v>
      </c>
      <c r="D61" s="2">
        <f>SUM(
    COUNTIFS('Form responses 1'!$C$2:$C1001, A61, 'Form responses 1'!$A$2:$A1001, "&gt;=2022-10-01", 'Form responses 1'!$A$2:$A1001, "&lt;=2022-12-31"),
    COUNTIFS('Form responses 1'!$B$2:$B1001, A61, 'Form responses 1'!$A$2:$A1001, "&gt;=2022-10-01", 'Form responses 1'!$A$2:$A1001, "&lt;=2022-12-31"),
    COUNTIFS('Form responses 1'!$D$2:$D1001, A61, 'Form responses 1'!$A$2:$A1001, "&gt;=2022-10-01", 'Form responses 1'!$A$2:$A1001, "&lt;=2022-12-31"),
    COUNTIFS('Form responses 1'!$E$2:$E1001, A61, 'Form responses 1'!$A$2:$A1001, "&gt;=2022-10-01", 'Form responses 1'!$A$2:$A1001, "&lt;=2022-12-31"),
    COUNTIFS('Form responses 1'!$F$2:$F1001, A61, 'Form responses 1'!$A$2:$A1001, "&gt;=2022-10-01", 'Form responses 1'!$A$2:$A1001, "&lt;=2022-12-31"),
    COUNTIFS('Form responses 1'!$G$2:$G1001, A61, 'Form responses 1'!$A$2:$A1001, "&gt;=2022-10-01", 'Form responses 1'!$A$2:$A1001, "&lt;=2022-12-31")
)
</f>
        <v>0</v>
      </c>
      <c r="E61" s="2">
        <f>SUM(
    COUNTIFS('Form responses 1'!$C$2:$C1001, A61, 'Form responses 1'!$A$2:$A1001, "&gt;=2023-01-01", 'Form responses 1'!$A$2:$A1001, "&lt;=2023-03-31"),
    COUNTIFS('Form responses 1'!$B$2:$B1001, A61, 'Form responses 1'!$A$2:$A1001, "&gt;=2023-01-01", 'Form responses 1'!$A$2:$A1001, "&lt;=2023-03-31"),
    COUNTIFS('Form responses 1'!$D$2:$D1001, A61, 'Form responses 1'!$A$2:$A1001, "&gt;=2023-01-01", 'Form responses 1'!$A$2:$A1001, "&lt;=2023-03-31"),
    COUNTIFS('Form responses 1'!$E$2:$E1001, A61, 'Form responses 1'!$A$2:$A1001, "&gt;=2023-01-01", 'Form responses 1'!$A$2:$A1001, "&lt;=2023-03-31"),
    COUNTIFS('Form responses 1'!$F$2:$F1001, A61, 'Form responses 1'!$A$2:$A1001, "&gt;=2023-01-01", 'Form responses 1'!$A$2:$A1001, "&lt;=2023-03-31"),
    COUNTIFS('Form responses 1'!$G$2:$G1001, A61, 'Form responses 1'!$A$2:$A1001, "&gt;=2023-01-01", 'Form responses 1'!$A$2:$A1001, "&lt;=2023-03-31")
)
</f>
        <v>0</v>
      </c>
      <c r="F61" s="2">
        <f>SUM(
    COUNTIFS('Form responses 1'!$C$2:$C1001, A61, 'Form responses 1'!$A$2:$A1001, "&gt;=2023-04-01", 'Form responses 1'!$A$2:$A1001, "&lt;=2023-06-30"),
    COUNTIFS('Form responses 1'!$B$2:$B1001, A61, 'Form responses 1'!$A$2:$A1001, "&gt;=2023-04-01", 'Form responses 1'!$A$2:$A1001, "&lt;=2023-06-30"),
    COUNTIFS('Form responses 1'!$D$2:$D1001, A61, 'Form responses 1'!$A$2:$A1001, "&gt;=2023-04-01", 'Form responses 1'!$A$2:$A1001, "&lt;=2023-06-30"),
    COUNTIFS('Form responses 1'!$E$2:$E1001, A61, 'Form responses 1'!$A$2:$A1001, "&gt;=2023-04-01", 'Form responses 1'!$A$2:$A1001, "&lt;=2023-06-30"),
    COUNTIFS('Form responses 1'!$F$2:$F1001, A61, 'Form responses 1'!$A$2:$A1001, "&gt;=2023-04-01", 'Form responses 1'!$A$2:$A1001, "&lt;=2023-06-30"),
    COUNTIFS('Form responses 1'!$G$2:$G1001, A61, 'Form responses 1'!$A$2:$A1001, "&gt;=2023-04-01", 'Form responses 1'!$A$2:$A1001, "&lt;=2023-06-30")
)
</f>
        <v>2</v>
      </c>
      <c r="G61" s="2">
        <f>SUM(
    COUNTIFS('Form responses 1'!$C$2:$C1001, A61, 'Form responses 1'!$A$2:$A1001, "&gt;=2023-07-01", 'Form responses 1'!$A$2:$A1001, "&lt;=2023-09-30"),
    COUNTIFS('Form responses 1'!$B$2:$B1001, A61, 'Form responses 1'!$A$2:$A1001, "&gt;=2023-07-01", 'Form responses 1'!$A$2:$A1001, "&lt;=2023-09-30"),
    COUNTIFS('Form responses 1'!$D$2:$D1001, A61, 'Form responses 1'!$A$2:$A1001, "&gt;=2023-07-01", 'Form responses 1'!$A$2:$A1001, "&lt;=2023-09-30"),
    COUNTIFS('Form responses 1'!$E$2:$E1001, A61, 'Form responses 1'!$A$2:$A1001, "&gt;=2023-07-01", 'Form responses 1'!$A$2:$A1001, "&lt;=2023-09-30"),
    COUNTIFS('Form responses 1'!$F$2:$F1001, A61, 'Form responses 1'!$A$2:$A1001, "&gt;=2023-07-01", 'Form responses 1'!$A$2:$A1001, "&lt;=2023-09-30"),
    COUNTIFS('Form responses 1'!$G$2:$G1001, A61, 'Form responses 1'!$A$2:$A1001, "&gt;=2023-07-01", 'Form responses 1'!$A$2:$A1001, "&lt;=2023-09-30")
)
</f>
        <v>3</v>
      </c>
      <c r="H61" s="2">
        <f>SUM(
    COUNTIFS('Form responses 1'!$C$2:$C1001, A61, 'Form responses 1'!$A$2:$A1001, "&gt;=2023-10-01", 'Form responses 1'!$A$2:$A1001, "&lt;=2023-12-31"),
    COUNTIFS('Form responses 1'!$B$2:$B1001, A61, 'Form responses 1'!$A$2:$A1001, "&gt;=2023-10-01", 'Form responses 1'!$A$2:$A1001, "&lt;=2023-12-31"),
    COUNTIFS('Form responses 1'!$D$2:$D1001, A61, 'Form responses 1'!$A$2:$A1001, "&gt;=2023-10-01", 'Form responses 1'!$A$2:$A1001, "&lt;=2023-12-31"),
    COUNTIFS('Form responses 1'!$E$2:$E1001, A61, 'Form responses 1'!$A$2:$A1001, "&gt;=2023-10-01", 'Form responses 1'!$A$2:$A1001, "&lt;=2023-12-31"),
    COUNTIFS('Form responses 1'!$F$2:$F1001, A61, 'Form responses 1'!$A$2:$A1001, "&gt;=2023-10-01", 'Form responses 1'!$A$2:$A1001, "&lt;=2023-12-31"),
    COUNTIFS('Form responses 1'!$G$2:$G1001, A61, 'Form responses 1'!$A$2:$A1001, "&gt;=2023-10-01", 'Form responses 1'!$A$2:$A1001, "&lt;=2023-12-31")
)
</f>
        <v>0</v>
      </c>
      <c r="I61" s="2">
        <f>SUM(
    COUNTIFS('Form responses 1'!$C$2:$C1001, A61, 'Form responses 1'!$A$2:$A1001, "&gt;=2024-01-01", 'Form responses 1'!$A$2:$A1001, "&lt;=2024-03-31"),
    COUNTIFS('Form responses 1'!$B$2:$B1001, A61, 'Form responses 1'!$A$2:$A1001, "&gt;=2024-01-01", 'Form responses 1'!$A$2:$A1001, "&lt;=2024-03-31"),
    COUNTIFS('Form responses 1'!$D$2:$D1001, A61, 'Form responses 1'!$A$2:$A1001, "&gt;=2024-01-01", 'Form responses 1'!$A$2:$A1001, "&lt;=2024-03-31"),
    COUNTIFS('Form responses 1'!$E$2:$E1001, A61, 'Form responses 1'!$A$2:$A1001, "&gt;=2024-01-01", 'Form responses 1'!$A$2:$A1001, "&lt;=2024-03-31"),
    COUNTIFS('Form responses 1'!$F$2:$F1001, A61, 'Form responses 1'!$A$2:$A1001, "&gt;=2024-01-01", 'Form responses 1'!$A$2:$A1001, "&lt;=2024-03-31"),
    COUNTIFS('Form responses 1'!$G$2:$G1001, A61, 'Form responses 1'!$A$2:$A1001, "&gt;=2024-01-01", 'Form responses 1'!$A$2:$A1001, "&lt;=2024-03-31")
)
</f>
        <v>0</v>
      </c>
      <c r="J61" s="2">
        <f>SUM(
    COUNTIFS('Form responses 1'!$C$2:$C1001, A61, 'Form responses 1'!$A$2:$A1001, "&gt;=2024-04-01", 'Form responses 1'!$A$2:$A1001, "&lt;=2024-06-30"),
    COUNTIFS('Form responses 1'!$B$2:$B1001, A61, 'Form responses 1'!$A$2:$A1001, "&gt;=2024-04-01", 'Form responses 1'!$A$2:$A1001, "&lt;=2024-06-30"),
    COUNTIFS('Form responses 1'!$D$2:$D1001, A61, 'Form responses 1'!$A$2:$A1001, "&gt;=2024-04-01", 'Form responses 1'!$A$2:$A1001, "&lt;=2024-06-30"),
    COUNTIFS('Form responses 1'!$E$2:$E1001, A61, 'Form responses 1'!$A$2:$A1001, "&gt;=2024-04-01", 'Form responses 1'!$A$2:$A1001, "&lt;=2024-06-30"),
    COUNTIFS('Form responses 1'!$F$2:$F1001, A61, 'Form responses 1'!$A$2:$A1001, "&gt;=2024-04-01", 'Form responses 1'!$A$2:$A1001, "&lt;=2024-06-30"),
    COUNTIFS('Form responses 1'!$G$2:$G1001, A61, 'Form responses 1'!$A$2:$A1001, "&gt;=2024-04-01", 'Form responses 1'!$A$2:$A1001, "&lt;=2024-06-30")
)
</f>
        <v>0</v>
      </c>
      <c r="K61" s="2">
        <f>SUM(
    COUNTIFS('Form responses 1'!$C$2:$C1001, A61, 'Form responses 1'!$A$2:$A1001, "&gt;=2024-07-01", 'Form responses 1'!$A$2:$A1001, "&lt;=2024-09-30"),
    COUNTIFS('Form responses 1'!$B$2:$B1001, A61, 'Form responses 1'!$A$2:$A1001, "&gt;=2024-07-01", 'Form responses 1'!$A$2:$A1001, "&lt;=2024-09-30"),
    COUNTIFS('Form responses 1'!$D$2:$D1001, A61, 'Form responses 1'!$A$2:$A1001, "&gt;=2024-07-01", 'Form responses 1'!$A$2:$A1001, "&lt;=2024-09-30"),
    COUNTIFS('Form responses 1'!$E$2:$E1001, A61, 'Form responses 1'!$A$2:$A1001, "&gt;=2024-07-01", 'Form responses 1'!$A$2:$A1001, "&lt;=2024-09-30"),
    COUNTIFS('Form responses 1'!$F$2:$F1001, A61, 'Form responses 1'!$A$2:$A1001, "&gt;=2024-07-01", 'Form responses 1'!$A$2:$A1001, "&lt;=2024-09-30"),
    COUNTIFS('Form responses 1'!$G$2:$G1001, A61, 'Form responses 1'!$A$2:$A1001, "&gt;=2024-07-01", 'Form responses 1'!$A$2:$A1001, "&lt;=2024-09-30")
)
</f>
        <v>0</v>
      </c>
      <c r="L61" s="2">
        <f>SUM(
    COUNTIFS('Form responses 1'!$C$2:$C1001, A61, 'Form responses 1'!$A$2:$A1001, "&gt;=2024-10-01", 'Form responses 1'!$A$2:$A1001, "&lt;=2024-12-31"),
    COUNTIFS('Form responses 1'!$B$2:$B1001, A61, 'Form responses 1'!$A$2:$A1001, "&gt;=2024-10-01", 'Form responses 1'!$A$2:$A1001, "&lt;=2024-12-31"),
    COUNTIFS('Form responses 1'!$D$2:$D1001, A61, 'Form responses 1'!$A$2:$A1001, "&gt;=2024-10-01", 'Form responses 1'!$A$2:$A1001, "&lt;=2024-12-31"),
    COUNTIFS('Form responses 1'!$E$2:$E1001, A61, 'Form responses 1'!$A$2:$A1001, "&gt;=2024-10-01", 'Form responses 1'!$A$2:$A1001, "&lt;=2024-12-31"),
    COUNTIFS('Form responses 1'!$F$2:$F1001, A61, 'Form responses 1'!$A$2:$A1001, "&gt;=2024-10-01", 'Form responses 1'!$A$2:$A1001, "&lt;=2024-12-31"),
    COUNTIFS('Form responses 1'!$G$2:$G1001, A61, 'Form responses 1'!$A$2:$A1001, "&gt;=2024-10-01", 'Form responses 1'!$A$2:$A1001, "&lt;=2024-12-31")
)
</f>
        <v>0</v>
      </c>
      <c r="M61" s="2">
        <f>SUM(
    COUNTIFS('Form responses 1'!$C$2:$C1001, A61, 'Form responses 1'!$A$2:$A1001, "&gt;=2025-01-01", 'Form responses 1'!$A$2:$A1001, "&lt;=2025-03-31"),
    COUNTIFS('Form responses 1'!$B$2:$B1001, A61, 'Form responses 1'!$A$2:$A1001, "&gt;=2025-01-01", 'Form responses 1'!$A$2:$A1001, "&lt;=2025-03-31"),
    COUNTIFS('Form responses 1'!$D$2:$D1001, A61, 'Form responses 1'!$A$2:$A1001, "&gt;=2025-01-01", 'Form responses 1'!$A$2:$A1001, "&lt;=2025-03-31"),
    COUNTIFS('Form responses 1'!$E$2:$E1001, A61, 'Form responses 1'!$A$2:$A1001, "&gt;=2025-01-01", 'Form responses 1'!$A$2:$A1001, "&lt;=2025-03-31"),
    COUNTIFS('Form responses 1'!$F$2:$F1001, A61, 'Form responses 1'!$A$2:$A1001, "&gt;=2025-01-01", 'Form responses 1'!$A$2:$A1001, "&lt;=2025-03-31"),
    COUNTIFS('Form responses 1'!$G$2:$G1001, A61, 'Form responses 1'!$A$2:$A1001, "&gt;=2025-01-01", 'Form responses 1'!$A$2:$A1001, "&lt;=2025-03-31")
)
</f>
        <v>0</v>
      </c>
      <c r="N61" s="2">
        <f>SUM(
    COUNTIFS('Form responses 1'!$C$2:$C1001, A61, 'Form responses 1'!$A$2:$A1001, "&gt;=2025-04-01", 'Form responses 1'!$A$2:$A1001, "&lt;2025-07-01"),
    COUNTIFS('Form responses 1'!$B$2:$B1001, A61, 'Form responses 1'!$A$2:$A1001, "&gt;=2025-04-01", 'Form responses 1'!$A$2:$A1001, "&lt;2025-07-01"),
    COUNTIFS('Form responses 1'!$D$2:$D1001, A61, 'Form responses 1'!$A$2:$A1001, "&gt;=2025-04-01", 'Form responses 1'!$A$2:$A1001, "&lt;2025-07-01"),
    COUNTIFS('Form responses 1'!$E$2:$E1001, A61, 'Form responses 1'!$A$2:$A1001, "&gt;=2025-04-01", 'Form responses 1'!$A$2:$A1001, "&lt;2025-07-01"),
    COUNTIFS('Form responses 1'!$F$2:$F1001, A61, 'Form responses 1'!$A$2:$A1001, "&gt;=2025-04-01", 'Form responses 1'!$A$2:$A1001, "&lt;2025-07-01"),
    COUNTIFS('Form responses 1'!$G$2:$G1001, A61, 'Form responses 1'!$A$2:$A1001, "&gt;=2025-04-01", 'Form responses 1'!$A$2:$A1001, "&lt;2025-07-01")
)
</f>
        <v>0</v>
      </c>
      <c r="O61" s="2">
        <f>SUM(
    COUNTIFS('Form responses 1'!$C$2:$C1001, A61, 'Form responses 1'!$A$2:$A1001, "&gt;=2025-07-01", 'Form responses 1'!$A$2:$A1001, "&lt;=2025-09-30"),
    COUNTIFS('Form responses 1'!$B$2:$B1001, A61, 'Form responses 1'!$A$2:$A1001, "&gt;=2025-07-01", 'Form responses 1'!$A$2:$A1001, "&lt;=2025-09-30"),
    COUNTIFS('Form responses 1'!$D$2:$D1001, A61, 'Form responses 1'!$A$2:$A1001, "&gt;=2025-07-01", 'Form responses 1'!$A$2:$A1001, "&lt;=2025-09-30"),
    COUNTIFS('Form responses 1'!$E$2:$E1001, A61, 'Form responses 1'!$A$2:$A1001, "&gt;=2025-07-01", 'Form responses 1'!$A$2:$A1001, "&lt;=2025-09-30"),
    COUNTIFS('Form responses 1'!$F$2:$F1001, A61, 'Form responses 1'!$A$2:$A1001, "&gt;=2025-07-01", 'Form responses 1'!$A$2:$A1001, "&lt;=2025-09-30"),
    COUNTIFS('Form responses 1'!$G$2:$G1001, A61, 'Form responses 1'!$A$2:$A1001, "&gt;=2025-07-01", 'Form responses 1'!$A$2:$A1001, "&lt;=2025-09-30")
)
</f>
        <v>0</v>
      </c>
      <c r="P61" s="2">
        <f>SUM(
    COUNTIFS('Form responses 1'!$C$2:$C1001, A61, 'Form responses 1'!$A$2:$A1001, "&gt;=2025-10-01", 'Form responses 1'!$A$2:$A1001, "&lt;=2025-12-31"),
    COUNTIFS('Form responses 1'!$B$2:$B1001, A61, 'Form responses 1'!$A$2:$A1001, "&gt;=2025-10-01", 'Form responses 1'!$A$2:$A1001, "&lt;=2025-12-31"),
    COUNTIFS('Form responses 1'!$D$2:$D1001, A61, 'Form responses 1'!$A$2:$A1001, "&gt;=2025-10-01", 'Form responses 1'!$A$2:$A1001, "&lt;=2025-12-31"),
    COUNTIFS('Form responses 1'!$E$2:$E1001, A61, 'Form responses 1'!$A$2:$A1001, "&gt;=2025-10-01", 'Form responses 1'!$A$2:$A1001, "&lt;=2025-12-31"),
    COUNTIFS('Form responses 1'!$F$2:$F1001, A61, 'Form responses 1'!$A$2:$A1001, "&gt;=2025-10-01", 'Form responses 1'!$A$2:$A1001, "&lt;=2025-12-31"),
    COUNTIFS('Form responses 1'!$G$2:$G1001, A61, 'Form responses 1'!$A$2:$A1001, "&gt;=2025-10-01", 'Form responses 1'!$A$2:$A1001, "&lt;=2025-12-31")
)
</f>
        <v>0</v>
      </c>
    </row>
    <row r="62">
      <c r="A62" s="6" t="str">
        <f>IFERROR(__xludf.DUMMYFUNCTION("""COMPUTED_VALUE"""),"Blauwe Ralph Lauren blouse")</f>
        <v>Blauwe Ralph Lauren blouse</v>
      </c>
      <c r="B62" s="2">
        <f>SUM(
    COUNTIFS('Form responses 1'!$C$2:$C1001, A62, 'Form responses 1'!$A$2:$A1001, "&gt;=2022-04-01", 'Form responses 1'!$A$2:$A1001, "&lt;=2022-06-30"),
    COUNTIFS('Form responses 1'!$B$2:$B1001, A62, 'Form responses 1'!$A$2:$A1001, "&gt;=2022-04-01", 'Form responses 1'!$A$2:$A1001, "&lt;=2022-06-30"),
    COUNTIFS('Form responses 1'!$D$2:$D1001, A62, 'Form responses 1'!$A$2:$A1001, "&gt;=2022-04-01", 'Form responses 1'!$A$2:$A1001, "&lt;=2022-06-30"),
    COUNTIFS('Form responses 1'!$E$2:$E1001, A62, 'Form responses 1'!$A$2:$A1001, "&gt;=2022-04-01", 'Form responses 1'!$A$2:$A1001, "&lt;=2022-06-30"),
    COUNTIFS('Form responses 1'!$F$2:$F1001, A62, 'Form responses 1'!$A$2:$A1001, "&gt;=2022-04-01", 'Form responses 1'!$A$2:$A1001, "&lt;=2022-06-30"),
    COUNTIFS('Form responses 1'!$G$2:$G1001, A62, 'Form responses 1'!$A$2:$A1001, "&gt;=2022-04-01", 'Form responses 1'!$A$2:$A1001, "&lt;=2022-06-30")
)
</f>
        <v>0</v>
      </c>
      <c r="C62" s="2">
        <f>SUM(
    COUNTIFS('Form responses 1'!$C$2:$C1001, A62, 'Form responses 1'!$A$2:$A1001, "&gt;=2022-07-01", 'Form responses 1'!$A$2:$A1001, "&lt;=2022-09-30"),
    COUNTIFS('Form responses 1'!$B$2:$B1001, A62, 'Form responses 1'!$A$2:$A1001, "&gt;=2022-07-01", 'Form responses 1'!$A$2:$A1001, "&lt;=2022-09-30"),
    COUNTIFS('Form responses 1'!$D$2:$D1001, A62, 'Form responses 1'!$A$2:$A1001, "&gt;=2022-07-01", 'Form responses 1'!$A$2:$A1001, "&lt;=2022-09-30"),
    COUNTIFS('Form responses 1'!$E$2:$E1001, A62, 'Form responses 1'!$A$2:$A1001, "&gt;=2022-07-01", 'Form responses 1'!$A$2:$A1001, "&lt;=2022-09-30"),
    COUNTIFS('Form responses 1'!$F$2:$F1001, A62, 'Form responses 1'!$A$2:$A1001, "&gt;=2022-07-01", 'Form responses 1'!$A$2:$A1001, "&lt;=2022-09-30"),
    COUNTIFS('Form responses 1'!$G$2:$G1001, A62, 'Form responses 1'!$A$2:$A1001, "&gt;=2022-07-01", 'Form responses 1'!$A$2:$A1001, "&lt;=2022-09-30")
)
</f>
        <v>0</v>
      </c>
      <c r="D62" s="2">
        <f>SUM(
    COUNTIFS('Form responses 1'!$C$2:$C1001, A62, 'Form responses 1'!$A$2:$A1001, "&gt;=2022-10-01", 'Form responses 1'!$A$2:$A1001, "&lt;=2022-12-31"),
    COUNTIFS('Form responses 1'!$B$2:$B1001, A62, 'Form responses 1'!$A$2:$A1001, "&gt;=2022-10-01", 'Form responses 1'!$A$2:$A1001, "&lt;=2022-12-31"),
    COUNTIFS('Form responses 1'!$D$2:$D1001, A62, 'Form responses 1'!$A$2:$A1001, "&gt;=2022-10-01", 'Form responses 1'!$A$2:$A1001, "&lt;=2022-12-31"),
    COUNTIFS('Form responses 1'!$E$2:$E1001, A62, 'Form responses 1'!$A$2:$A1001, "&gt;=2022-10-01", 'Form responses 1'!$A$2:$A1001, "&lt;=2022-12-31"),
    COUNTIFS('Form responses 1'!$F$2:$F1001, A62, 'Form responses 1'!$A$2:$A1001, "&gt;=2022-10-01", 'Form responses 1'!$A$2:$A1001, "&lt;=2022-12-31"),
    COUNTIFS('Form responses 1'!$G$2:$G1001, A62, 'Form responses 1'!$A$2:$A1001, "&gt;=2022-10-01", 'Form responses 1'!$A$2:$A1001, "&lt;=2022-12-31")
)
</f>
        <v>0</v>
      </c>
      <c r="E62" s="2">
        <f>SUM(
    COUNTIFS('Form responses 1'!$C$2:$C1001, A62, 'Form responses 1'!$A$2:$A1001, "&gt;=2023-01-01", 'Form responses 1'!$A$2:$A1001, "&lt;=2023-03-31"),
    COUNTIFS('Form responses 1'!$B$2:$B1001, A62, 'Form responses 1'!$A$2:$A1001, "&gt;=2023-01-01", 'Form responses 1'!$A$2:$A1001, "&lt;=2023-03-31"),
    COUNTIFS('Form responses 1'!$D$2:$D1001, A62, 'Form responses 1'!$A$2:$A1001, "&gt;=2023-01-01", 'Form responses 1'!$A$2:$A1001, "&lt;=2023-03-31"),
    COUNTIFS('Form responses 1'!$E$2:$E1001, A62, 'Form responses 1'!$A$2:$A1001, "&gt;=2023-01-01", 'Form responses 1'!$A$2:$A1001, "&lt;=2023-03-31"),
    COUNTIFS('Form responses 1'!$F$2:$F1001, A62, 'Form responses 1'!$A$2:$A1001, "&gt;=2023-01-01", 'Form responses 1'!$A$2:$A1001, "&lt;=2023-03-31"),
    COUNTIFS('Form responses 1'!$G$2:$G1001, A62, 'Form responses 1'!$A$2:$A1001, "&gt;=2023-01-01", 'Form responses 1'!$A$2:$A1001, "&lt;=2023-03-31")
)
</f>
        <v>0</v>
      </c>
      <c r="F62" s="2">
        <f>SUM(
    COUNTIFS('Form responses 1'!$C$2:$C1001, A62, 'Form responses 1'!$A$2:$A1001, "&gt;=2023-04-01", 'Form responses 1'!$A$2:$A1001, "&lt;=2023-06-30"),
    COUNTIFS('Form responses 1'!$B$2:$B1001, A62, 'Form responses 1'!$A$2:$A1001, "&gt;=2023-04-01", 'Form responses 1'!$A$2:$A1001, "&lt;=2023-06-30"),
    COUNTIFS('Form responses 1'!$D$2:$D1001, A62, 'Form responses 1'!$A$2:$A1001, "&gt;=2023-04-01", 'Form responses 1'!$A$2:$A1001, "&lt;=2023-06-30"),
    COUNTIFS('Form responses 1'!$E$2:$E1001, A62, 'Form responses 1'!$A$2:$A1001, "&gt;=2023-04-01", 'Form responses 1'!$A$2:$A1001, "&lt;=2023-06-30"),
    COUNTIFS('Form responses 1'!$F$2:$F1001, A62, 'Form responses 1'!$A$2:$A1001, "&gt;=2023-04-01", 'Form responses 1'!$A$2:$A1001, "&lt;=2023-06-30"),
    COUNTIFS('Form responses 1'!$G$2:$G1001, A62, 'Form responses 1'!$A$2:$A1001, "&gt;=2023-04-01", 'Form responses 1'!$A$2:$A1001, "&lt;=2023-06-30")
)
</f>
        <v>0</v>
      </c>
      <c r="G62" s="2">
        <f>SUM(
    COUNTIFS('Form responses 1'!$C$2:$C1001, A62, 'Form responses 1'!$A$2:$A1001, "&gt;=2023-07-01", 'Form responses 1'!$A$2:$A1001, "&lt;=2023-09-30"),
    COUNTIFS('Form responses 1'!$B$2:$B1001, A62, 'Form responses 1'!$A$2:$A1001, "&gt;=2023-07-01", 'Form responses 1'!$A$2:$A1001, "&lt;=2023-09-30"),
    COUNTIFS('Form responses 1'!$D$2:$D1001, A62, 'Form responses 1'!$A$2:$A1001, "&gt;=2023-07-01", 'Form responses 1'!$A$2:$A1001, "&lt;=2023-09-30"),
    COUNTIFS('Form responses 1'!$E$2:$E1001, A62, 'Form responses 1'!$A$2:$A1001, "&gt;=2023-07-01", 'Form responses 1'!$A$2:$A1001, "&lt;=2023-09-30"),
    COUNTIFS('Form responses 1'!$F$2:$F1001, A62, 'Form responses 1'!$A$2:$A1001, "&gt;=2023-07-01", 'Form responses 1'!$A$2:$A1001, "&lt;=2023-09-30"),
    COUNTIFS('Form responses 1'!$G$2:$G1001, A62, 'Form responses 1'!$A$2:$A1001, "&gt;=2023-07-01", 'Form responses 1'!$A$2:$A1001, "&lt;=2023-09-30")
)
</f>
        <v>0</v>
      </c>
      <c r="H62" s="2">
        <f>SUM(
    COUNTIFS('Form responses 1'!$C$2:$C1001, A62, 'Form responses 1'!$A$2:$A1001, "&gt;=2023-10-01", 'Form responses 1'!$A$2:$A1001, "&lt;=2023-12-31"),
    COUNTIFS('Form responses 1'!$B$2:$B1001, A62, 'Form responses 1'!$A$2:$A1001, "&gt;=2023-10-01", 'Form responses 1'!$A$2:$A1001, "&lt;=2023-12-31"),
    COUNTIFS('Form responses 1'!$D$2:$D1001, A62, 'Form responses 1'!$A$2:$A1001, "&gt;=2023-10-01", 'Form responses 1'!$A$2:$A1001, "&lt;=2023-12-31"),
    COUNTIFS('Form responses 1'!$E$2:$E1001, A62, 'Form responses 1'!$A$2:$A1001, "&gt;=2023-10-01", 'Form responses 1'!$A$2:$A1001, "&lt;=2023-12-31"),
    COUNTIFS('Form responses 1'!$F$2:$F1001, A62, 'Form responses 1'!$A$2:$A1001, "&gt;=2023-10-01", 'Form responses 1'!$A$2:$A1001, "&lt;=2023-12-31"),
    COUNTIFS('Form responses 1'!$G$2:$G1001, A62, 'Form responses 1'!$A$2:$A1001, "&gt;=2023-10-01", 'Form responses 1'!$A$2:$A1001, "&lt;=2023-12-31")
)
</f>
        <v>0</v>
      </c>
      <c r="I62" s="2">
        <f>SUM(
    COUNTIFS('Form responses 1'!$C$2:$C1001, A62, 'Form responses 1'!$A$2:$A1001, "&gt;=2024-01-01", 'Form responses 1'!$A$2:$A1001, "&lt;=2024-03-31"),
    COUNTIFS('Form responses 1'!$B$2:$B1001, A62, 'Form responses 1'!$A$2:$A1001, "&gt;=2024-01-01", 'Form responses 1'!$A$2:$A1001, "&lt;=2024-03-31"),
    COUNTIFS('Form responses 1'!$D$2:$D1001, A62, 'Form responses 1'!$A$2:$A1001, "&gt;=2024-01-01", 'Form responses 1'!$A$2:$A1001, "&lt;=2024-03-31"),
    COUNTIFS('Form responses 1'!$E$2:$E1001, A62, 'Form responses 1'!$A$2:$A1001, "&gt;=2024-01-01", 'Form responses 1'!$A$2:$A1001, "&lt;=2024-03-31"),
    COUNTIFS('Form responses 1'!$F$2:$F1001, A62, 'Form responses 1'!$A$2:$A1001, "&gt;=2024-01-01", 'Form responses 1'!$A$2:$A1001, "&lt;=2024-03-31"),
    COUNTIFS('Form responses 1'!$G$2:$G1001, A62, 'Form responses 1'!$A$2:$A1001, "&gt;=2024-01-01", 'Form responses 1'!$A$2:$A1001, "&lt;=2024-03-31")
)
</f>
        <v>0</v>
      </c>
      <c r="J62" s="2">
        <f>SUM(
    COUNTIFS('Form responses 1'!$C$2:$C1001, A62, 'Form responses 1'!$A$2:$A1001, "&gt;=2024-04-01", 'Form responses 1'!$A$2:$A1001, "&lt;=2024-06-30"),
    COUNTIFS('Form responses 1'!$B$2:$B1001, A62, 'Form responses 1'!$A$2:$A1001, "&gt;=2024-04-01", 'Form responses 1'!$A$2:$A1001, "&lt;=2024-06-30"),
    COUNTIFS('Form responses 1'!$D$2:$D1001, A62, 'Form responses 1'!$A$2:$A1001, "&gt;=2024-04-01", 'Form responses 1'!$A$2:$A1001, "&lt;=2024-06-30"),
    COUNTIFS('Form responses 1'!$E$2:$E1001, A62, 'Form responses 1'!$A$2:$A1001, "&gt;=2024-04-01", 'Form responses 1'!$A$2:$A1001, "&lt;=2024-06-30"),
    COUNTIFS('Form responses 1'!$F$2:$F1001, A62, 'Form responses 1'!$A$2:$A1001, "&gt;=2024-04-01", 'Form responses 1'!$A$2:$A1001, "&lt;=2024-06-30"),
    COUNTIFS('Form responses 1'!$G$2:$G1001, A62, 'Form responses 1'!$A$2:$A1001, "&gt;=2024-04-01", 'Form responses 1'!$A$2:$A1001, "&lt;=2024-06-30")
)
</f>
        <v>0</v>
      </c>
      <c r="K62" s="2">
        <f>SUM(
    COUNTIFS('Form responses 1'!$C$2:$C1001, A62, 'Form responses 1'!$A$2:$A1001, "&gt;=2024-07-01", 'Form responses 1'!$A$2:$A1001, "&lt;=2024-09-30"),
    COUNTIFS('Form responses 1'!$B$2:$B1001, A62, 'Form responses 1'!$A$2:$A1001, "&gt;=2024-07-01", 'Form responses 1'!$A$2:$A1001, "&lt;=2024-09-30"),
    COUNTIFS('Form responses 1'!$D$2:$D1001, A62, 'Form responses 1'!$A$2:$A1001, "&gt;=2024-07-01", 'Form responses 1'!$A$2:$A1001, "&lt;=2024-09-30"),
    COUNTIFS('Form responses 1'!$E$2:$E1001, A62, 'Form responses 1'!$A$2:$A1001, "&gt;=2024-07-01", 'Form responses 1'!$A$2:$A1001, "&lt;=2024-09-30"),
    COUNTIFS('Form responses 1'!$F$2:$F1001, A62, 'Form responses 1'!$A$2:$A1001, "&gt;=2024-07-01", 'Form responses 1'!$A$2:$A1001, "&lt;=2024-09-30"),
    COUNTIFS('Form responses 1'!$G$2:$G1001, A62, 'Form responses 1'!$A$2:$A1001, "&gt;=2024-07-01", 'Form responses 1'!$A$2:$A1001, "&lt;=2024-09-30")
)
</f>
        <v>6</v>
      </c>
      <c r="L62" s="2">
        <f>SUM(
    COUNTIFS('Form responses 1'!$C$2:$C1001, A62, 'Form responses 1'!$A$2:$A1001, "&gt;=2024-10-01", 'Form responses 1'!$A$2:$A1001, "&lt;=2024-12-31"),
    COUNTIFS('Form responses 1'!$B$2:$B1001, A62, 'Form responses 1'!$A$2:$A1001, "&gt;=2024-10-01", 'Form responses 1'!$A$2:$A1001, "&lt;=2024-12-31"),
    COUNTIFS('Form responses 1'!$D$2:$D1001, A62, 'Form responses 1'!$A$2:$A1001, "&gt;=2024-10-01", 'Form responses 1'!$A$2:$A1001, "&lt;=2024-12-31"),
    COUNTIFS('Form responses 1'!$E$2:$E1001, A62, 'Form responses 1'!$A$2:$A1001, "&gt;=2024-10-01", 'Form responses 1'!$A$2:$A1001, "&lt;=2024-12-31"),
    COUNTIFS('Form responses 1'!$F$2:$F1001, A62, 'Form responses 1'!$A$2:$A1001, "&gt;=2024-10-01", 'Form responses 1'!$A$2:$A1001, "&lt;=2024-12-31"),
    COUNTIFS('Form responses 1'!$G$2:$G1001, A62, 'Form responses 1'!$A$2:$A1001, "&gt;=2024-10-01", 'Form responses 1'!$A$2:$A1001, "&lt;=2024-12-31")
)
</f>
        <v>0</v>
      </c>
      <c r="M62" s="2">
        <f>SUM(
    COUNTIFS('Form responses 1'!$C$2:$C1001, A62, 'Form responses 1'!$A$2:$A1001, "&gt;=2025-01-01", 'Form responses 1'!$A$2:$A1001, "&lt;=2025-03-31"),
    COUNTIFS('Form responses 1'!$B$2:$B1001, A62, 'Form responses 1'!$A$2:$A1001, "&gt;=2025-01-01", 'Form responses 1'!$A$2:$A1001, "&lt;=2025-03-31"),
    COUNTIFS('Form responses 1'!$D$2:$D1001, A62, 'Form responses 1'!$A$2:$A1001, "&gt;=2025-01-01", 'Form responses 1'!$A$2:$A1001, "&lt;=2025-03-31"),
    COUNTIFS('Form responses 1'!$E$2:$E1001, A62, 'Form responses 1'!$A$2:$A1001, "&gt;=2025-01-01", 'Form responses 1'!$A$2:$A1001, "&lt;=2025-03-31"),
    COUNTIFS('Form responses 1'!$F$2:$F1001, A62, 'Form responses 1'!$A$2:$A1001, "&gt;=2025-01-01", 'Form responses 1'!$A$2:$A1001, "&lt;=2025-03-31"),
    COUNTIFS('Form responses 1'!$G$2:$G1001, A62, 'Form responses 1'!$A$2:$A1001, "&gt;=2025-01-01", 'Form responses 1'!$A$2:$A1001, "&lt;=2025-03-31")
)
</f>
        <v>2</v>
      </c>
      <c r="N62" s="2">
        <f>SUM(
    COUNTIFS('Form responses 1'!$C$2:$C1001, A62, 'Form responses 1'!$A$2:$A1001, "&gt;=2025-04-01", 'Form responses 1'!$A$2:$A1001, "&lt;2025-07-01"),
    COUNTIFS('Form responses 1'!$B$2:$B1001, A62, 'Form responses 1'!$A$2:$A1001, "&gt;=2025-04-01", 'Form responses 1'!$A$2:$A1001, "&lt;2025-07-01"),
    COUNTIFS('Form responses 1'!$D$2:$D1001, A62, 'Form responses 1'!$A$2:$A1001, "&gt;=2025-04-01", 'Form responses 1'!$A$2:$A1001, "&lt;2025-07-01"),
    COUNTIFS('Form responses 1'!$E$2:$E1001, A62, 'Form responses 1'!$A$2:$A1001, "&gt;=2025-04-01", 'Form responses 1'!$A$2:$A1001, "&lt;2025-07-01"),
    COUNTIFS('Form responses 1'!$F$2:$F1001, A62, 'Form responses 1'!$A$2:$A1001, "&gt;=2025-04-01", 'Form responses 1'!$A$2:$A1001, "&lt;2025-07-01"),
    COUNTIFS('Form responses 1'!$G$2:$G1001, A62, 'Form responses 1'!$A$2:$A1001, "&gt;=2025-04-01", 'Form responses 1'!$A$2:$A1001, "&lt;2025-07-01")
)
</f>
        <v>4</v>
      </c>
      <c r="O62" s="2">
        <f>SUM(
    COUNTIFS('Form responses 1'!$C$2:$C1001, A62, 'Form responses 1'!$A$2:$A1001, "&gt;=2025-07-01", 'Form responses 1'!$A$2:$A1001, "&lt;=2025-09-30"),
    COUNTIFS('Form responses 1'!$B$2:$B1001, A62, 'Form responses 1'!$A$2:$A1001, "&gt;=2025-07-01", 'Form responses 1'!$A$2:$A1001, "&lt;=2025-09-30"),
    COUNTIFS('Form responses 1'!$D$2:$D1001, A62, 'Form responses 1'!$A$2:$A1001, "&gt;=2025-07-01", 'Form responses 1'!$A$2:$A1001, "&lt;=2025-09-30"),
    COUNTIFS('Form responses 1'!$E$2:$E1001, A62, 'Form responses 1'!$A$2:$A1001, "&gt;=2025-07-01", 'Form responses 1'!$A$2:$A1001, "&lt;=2025-09-30"),
    COUNTIFS('Form responses 1'!$F$2:$F1001, A62, 'Form responses 1'!$A$2:$A1001, "&gt;=2025-07-01", 'Form responses 1'!$A$2:$A1001, "&lt;=2025-09-30"),
    COUNTIFS('Form responses 1'!$G$2:$G1001, A62, 'Form responses 1'!$A$2:$A1001, "&gt;=2025-07-01", 'Form responses 1'!$A$2:$A1001, "&lt;=2025-09-30")
)
</f>
        <v>2</v>
      </c>
      <c r="P62" s="2">
        <f>SUM(
    COUNTIFS('Form responses 1'!$C$2:$C1001, A62, 'Form responses 1'!$A$2:$A1001, "&gt;=2025-10-01", 'Form responses 1'!$A$2:$A1001, "&lt;=2025-12-31"),
    COUNTIFS('Form responses 1'!$B$2:$B1001, A62, 'Form responses 1'!$A$2:$A1001, "&gt;=2025-10-01", 'Form responses 1'!$A$2:$A1001, "&lt;=2025-12-31"),
    COUNTIFS('Form responses 1'!$D$2:$D1001, A62, 'Form responses 1'!$A$2:$A1001, "&gt;=2025-10-01", 'Form responses 1'!$A$2:$A1001, "&lt;=2025-12-31"),
    COUNTIFS('Form responses 1'!$E$2:$E1001, A62, 'Form responses 1'!$A$2:$A1001, "&gt;=2025-10-01", 'Form responses 1'!$A$2:$A1001, "&lt;=2025-12-31"),
    COUNTIFS('Form responses 1'!$F$2:$F1001, A62, 'Form responses 1'!$A$2:$A1001, "&gt;=2025-10-01", 'Form responses 1'!$A$2:$A1001, "&lt;=2025-12-31"),
    COUNTIFS('Form responses 1'!$G$2:$G1001, A62, 'Form responses 1'!$A$2:$A1001, "&gt;=2025-10-01", 'Form responses 1'!$A$2:$A1001, "&lt;=2025-12-31")
)
</f>
        <v>0</v>
      </c>
    </row>
    <row r="63">
      <c r="A63" s="6" t="str">
        <f>IFERROR(__xludf.DUMMYFUNCTION("""COMPUTED_VALUE"""),"Bruine blouse")</f>
        <v>Bruine blouse</v>
      </c>
      <c r="B63" s="2">
        <f>SUM(
    COUNTIFS('Form responses 1'!$C$2:$C1001, A63, 'Form responses 1'!$A$2:$A1001, "&gt;=2022-04-01", 'Form responses 1'!$A$2:$A1001, "&lt;=2022-06-30"),
    COUNTIFS('Form responses 1'!$B$2:$B1001, A63, 'Form responses 1'!$A$2:$A1001, "&gt;=2022-04-01", 'Form responses 1'!$A$2:$A1001, "&lt;=2022-06-30"),
    COUNTIFS('Form responses 1'!$D$2:$D1001, A63, 'Form responses 1'!$A$2:$A1001, "&gt;=2022-04-01", 'Form responses 1'!$A$2:$A1001, "&lt;=2022-06-30"),
    COUNTIFS('Form responses 1'!$E$2:$E1001, A63, 'Form responses 1'!$A$2:$A1001, "&gt;=2022-04-01", 'Form responses 1'!$A$2:$A1001, "&lt;=2022-06-30"),
    COUNTIFS('Form responses 1'!$F$2:$F1001, A63, 'Form responses 1'!$A$2:$A1001, "&gt;=2022-04-01", 'Form responses 1'!$A$2:$A1001, "&lt;=2022-06-30"),
    COUNTIFS('Form responses 1'!$G$2:$G1001, A63, 'Form responses 1'!$A$2:$A1001, "&gt;=2022-04-01", 'Form responses 1'!$A$2:$A1001, "&lt;=2022-06-30")
)
</f>
        <v>0</v>
      </c>
      <c r="C63" s="2">
        <f>SUM(
    COUNTIFS('Form responses 1'!$C$2:$C1001, A63, 'Form responses 1'!$A$2:$A1001, "&gt;=2022-07-01", 'Form responses 1'!$A$2:$A1001, "&lt;=2022-09-30"),
    COUNTIFS('Form responses 1'!$B$2:$B1001, A63, 'Form responses 1'!$A$2:$A1001, "&gt;=2022-07-01", 'Form responses 1'!$A$2:$A1001, "&lt;=2022-09-30"),
    COUNTIFS('Form responses 1'!$D$2:$D1001, A63, 'Form responses 1'!$A$2:$A1001, "&gt;=2022-07-01", 'Form responses 1'!$A$2:$A1001, "&lt;=2022-09-30"),
    COUNTIFS('Form responses 1'!$E$2:$E1001, A63, 'Form responses 1'!$A$2:$A1001, "&gt;=2022-07-01", 'Form responses 1'!$A$2:$A1001, "&lt;=2022-09-30"),
    COUNTIFS('Form responses 1'!$F$2:$F1001, A63, 'Form responses 1'!$A$2:$A1001, "&gt;=2022-07-01", 'Form responses 1'!$A$2:$A1001, "&lt;=2022-09-30"),
    COUNTIFS('Form responses 1'!$G$2:$G1001, A63, 'Form responses 1'!$A$2:$A1001, "&gt;=2022-07-01", 'Form responses 1'!$A$2:$A1001, "&lt;=2022-09-30")
)
</f>
        <v>0</v>
      </c>
      <c r="D63" s="2">
        <f>SUM(
    COUNTIFS('Form responses 1'!$C$2:$C1001, A63, 'Form responses 1'!$A$2:$A1001, "&gt;=2022-10-01", 'Form responses 1'!$A$2:$A1001, "&lt;=2022-12-31"),
    COUNTIFS('Form responses 1'!$B$2:$B1001, A63, 'Form responses 1'!$A$2:$A1001, "&gt;=2022-10-01", 'Form responses 1'!$A$2:$A1001, "&lt;=2022-12-31"),
    COUNTIFS('Form responses 1'!$D$2:$D1001, A63, 'Form responses 1'!$A$2:$A1001, "&gt;=2022-10-01", 'Form responses 1'!$A$2:$A1001, "&lt;=2022-12-31"),
    COUNTIFS('Form responses 1'!$E$2:$E1001, A63, 'Form responses 1'!$A$2:$A1001, "&gt;=2022-10-01", 'Form responses 1'!$A$2:$A1001, "&lt;=2022-12-31"),
    COUNTIFS('Form responses 1'!$F$2:$F1001, A63, 'Form responses 1'!$A$2:$A1001, "&gt;=2022-10-01", 'Form responses 1'!$A$2:$A1001, "&lt;=2022-12-31"),
    COUNTIFS('Form responses 1'!$G$2:$G1001, A63, 'Form responses 1'!$A$2:$A1001, "&gt;=2022-10-01", 'Form responses 1'!$A$2:$A1001, "&lt;=2022-12-31")
)
</f>
        <v>0</v>
      </c>
      <c r="E63" s="2">
        <f>SUM(
    COUNTIFS('Form responses 1'!$C$2:$C1001, A63, 'Form responses 1'!$A$2:$A1001, "&gt;=2023-01-01", 'Form responses 1'!$A$2:$A1001, "&lt;=2023-03-31"),
    COUNTIFS('Form responses 1'!$B$2:$B1001, A63, 'Form responses 1'!$A$2:$A1001, "&gt;=2023-01-01", 'Form responses 1'!$A$2:$A1001, "&lt;=2023-03-31"),
    COUNTIFS('Form responses 1'!$D$2:$D1001, A63, 'Form responses 1'!$A$2:$A1001, "&gt;=2023-01-01", 'Form responses 1'!$A$2:$A1001, "&lt;=2023-03-31"),
    COUNTIFS('Form responses 1'!$E$2:$E1001, A63, 'Form responses 1'!$A$2:$A1001, "&gt;=2023-01-01", 'Form responses 1'!$A$2:$A1001, "&lt;=2023-03-31"),
    COUNTIFS('Form responses 1'!$F$2:$F1001, A63, 'Form responses 1'!$A$2:$A1001, "&gt;=2023-01-01", 'Form responses 1'!$A$2:$A1001, "&lt;=2023-03-31"),
    COUNTIFS('Form responses 1'!$G$2:$G1001, A63, 'Form responses 1'!$A$2:$A1001, "&gt;=2023-01-01", 'Form responses 1'!$A$2:$A1001, "&lt;=2023-03-31")
)
</f>
        <v>0</v>
      </c>
      <c r="F63" s="2">
        <f>SUM(
    COUNTIFS('Form responses 1'!$C$2:$C1001, A63, 'Form responses 1'!$A$2:$A1001, "&gt;=2023-04-01", 'Form responses 1'!$A$2:$A1001, "&lt;=2023-06-30"),
    COUNTIFS('Form responses 1'!$B$2:$B1001, A63, 'Form responses 1'!$A$2:$A1001, "&gt;=2023-04-01", 'Form responses 1'!$A$2:$A1001, "&lt;=2023-06-30"),
    COUNTIFS('Form responses 1'!$D$2:$D1001, A63, 'Form responses 1'!$A$2:$A1001, "&gt;=2023-04-01", 'Form responses 1'!$A$2:$A1001, "&lt;=2023-06-30"),
    COUNTIFS('Form responses 1'!$E$2:$E1001, A63, 'Form responses 1'!$A$2:$A1001, "&gt;=2023-04-01", 'Form responses 1'!$A$2:$A1001, "&lt;=2023-06-30"),
    COUNTIFS('Form responses 1'!$F$2:$F1001, A63, 'Form responses 1'!$A$2:$A1001, "&gt;=2023-04-01", 'Form responses 1'!$A$2:$A1001, "&lt;=2023-06-30"),
    COUNTIFS('Form responses 1'!$G$2:$G1001, A63, 'Form responses 1'!$A$2:$A1001, "&gt;=2023-04-01", 'Form responses 1'!$A$2:$A1001, "&lt;=2023-06-30")
)
</f>
        <v>5</v>
      </c>
      <c r="G63" s="2">
        <f>SUM(
    COUNTIFS('Form responses 1'!$C$2:$C1001, A63, 'Form responses 1'!$A$2:$A1001, "&gt;=2023-07-01", 'Form responses 1'!$A$2:$A1001, "&lt;=2023-09-30"),
    COUNTIFS('Form responses 1'!$B$2:$B1001, A63, 'Form responses 1'!$A$2:$A1001, "&gt;=2023-07-01", 'Form responses 1'!$A$2:$A1001, "&lt;=2023-09-30"),
    COUNTIFS('Form responses 1'!$D$2:$D1001, A63, 'Form responses 1'!$A$2:$A1001, "&gt;=2023-07-01", 'Form responses 1'!$A$2:$A1001, "&lt;=2023-09-30"),
    COUNTIFS('Form responses 1'!$E$2:$E1001, A63, 'Form responses 1'!$A$2:$A1001, "&gt;=2023-07-01", 'Form responses 1'!$A$2:$A1001, "&lt;=2023-09-30"),
    COUNTIFS('Form responses 1'!$F$2:$F1001, A63, 'Form responses 1'!$A$2:$A1001, "&gt;=2023-07-01", 'Form responses 1'!$A$2:$A1001, "&lt;=2023-09-30"),
    COUNTIFS('Form responses 1'!$G$2:$G1001, A63, 'Form responses 1'!$A$2:$A1001, "&gt;=2023-07-01", 'Form responses 1'!$A$2:$A1001, "&lt;=2023-09-30")
)
</f>
        <v>4</v>
      </c>
      <c r="H63" s="2">
        <f>SUM(
    COUNTIFS('Form responses 1'!$C$2:$C1001, A63, 'Form responses 1'!$A$2:$A1001, "&gt;=2023-10-01", 'Form responses 1'!$A$2:$A1001, "&lt;=2023-12-31"),
    COUNTIFS('Form responses 1'!$B$2:$B1001, A63, 'Form responses 1'!$A$2:$A1001, "&gt;=2023-10-01", 'Form responses 1'!$A$2:$A1001, "&lt;=2023-12-31"),
    COUNTIFS('Form responses 1'!$D$2:$D1001, A63, 'Form responses 1'!$A$2:$A1001, "&gt;=2023-10-01", 'Form responses 1'!$A$2:$A1001, "&lt;=2023-12-31"),
    COUNTIFS('Form responses 1'!$E$2:$E1001, A63, 'Form responses 1'!$A$2:$A1001, "&gt;=2023-10-01", 'Form responses 1'!$A$2:$A1001, "&lt;=2023-12-31"),
    COUNTIFS('Form responses 1'!$F$2:$F1001, A63, 'Form responses 1'!$A$2:$A1001, "&gt;=2023-10-01", 'Form responses 1'!$A$2:$A1001, "&lt;=2023-12-31"),
    COUNTIFS('Form responses 1'!$G$2:$G1001, A63, 'Form responses 1'!$A$2:$A1001, "&gt;=2023-10-01", 'Form responses 1'!$A$2:$A1001, "&lt;=2023-12-31")
)
</f>
        <v>2</v>
      </c>
      <c r="I63" s="2">
        <f>SUM(
    COUNTIFS('Form responses 1'!$C$2:$C1001, A63, 'Form responses 1'!$A$2:$A1001, "&gt;=2024-01-01", 'Form responses 1'!$A$2:$A1001, "&lt;=2024-03-31"),
    COUNTIFS('Form responses 1'!$B$2:$B1001, A63, 'Form responses 1'!$A$2:$A1001, "&gt;=2024-01-01", 'Form responses 1'!$A$2:$A1001, "&lt;=2024-03-31"),
    COUNTIFS('Form responses 1'!$D$2:$D1001, A63, 'Form responses 1'!$A$2:$A1001, "&gt;=2024-01-01", 'Form responses 1'!$A$2:$A1001, "&lt;=2024-03-31"),
    COUNTIFS('Form responses 1'!$E$2:$E1001, A63, 'Form responses 1'!$A$2:$A1001, "&gt;=2024-01-01", 'Form responses 1'!$A$2:$A1001, "&lt;=2024-03-31"),
    COUNTIFS('Form responses 1'!$F$2:$F1001, A63, 'Form responses 1'!$A$2:$A1001, "&gt;=2024-01-01", 'Form responses 1'!$A$2:$A1001, "&lt;=2024-03-31"),
    COUNTIFS('Form responses 1'!$G$2:$G1001, A63, 'Form responses 1'!$A$2:$A1001, "&gt;=2024-01-01", 'Form responses 1'!$A$2:$A1001, "&lt;=2024-03-31")
)
</f>
        <v>0</v>
      </c>
      <c r="J63" s="2">
        <f>SUM(
    COUNTIFS('Form responses 1'!$C$2:$C1001, A63, 'Form responses 1'!$A$2:$A1001, "&gt;=2024-04-01", 'Form responses 1'!$A$2:$A1001, "&lt;=2024-06-30"),
    COUNTIFS('Form responses 1'!$B$2:$B1001, A63, 'Form responses 1'!$A$2:$A1001, "&gt;=2024-04-01", 'Form responses 1'!$A$2:$A1001, "&lt;=2024-06-30"),
    COUNTIFS('Form responses 1'!$D$2:$D1001, A63, 'Form responses 1'!$A$2:$A1001, "&gt;=2024-04-01", 'Form responses 1'!$A$2:$A1001, "&lt;=2024-06-30"),
    COUNTIFS('Form responses 1'!$E$2:$E1001, A63, 'Form responses 1'!$A$2:$A1001, "&gt;=2024-04-01", 'Form responses 1'!$A$2:$A1001, "&lt;=2024-06-30"),
    COUNTIFS('Form responses 1'!$F$2:$F1001, A63, 'Form responses 1'!$A$2:$A1001, "&gt;=2024-04-01", 'Form responses 1'!$A$2:$A1001, "&lt;=2024-06-30"),
    COUNTIFS('Form responses 1'!$G$2:$G1001, A63, 'Form responses 1'!$A$2:$A1001, "&gt;=2024-04-01", 'Form responses 1'!$A$2:$A1001, "&lt;=2024-06-30")
)
</f>
        <v>0</v>
      </c>
      <c r="K63" s="2">
        <f>SUM(
    COUNTIFS('Form responses 1'!$C$2:$C1001, A63, 'Form responses 1'!$A$2:$A1001, "&gt;=2024-07-01", 'Form responses 1'!$A$2:$A1001, "&lt;=2024-09-30"),
    COUNTIFS('Form responses 1'!$B$2:$B1001, A63, 'Form responses 1'!$A$2:$A1001, "&gt;=2024-07-01", 'Form responses 1'!$A$2:$A1001, "&lt;=2024-09-30"),
    COUNTIFS('Form responses 1'!$D$2:$D1001, A63, 'Form responses 1'!$A$2:$A1001, "&gt;=2024-07-01", 'Form responses 1'!$A$2:$A1001, "&lt;=2024-09-30"),
    COUNTIFS('Form responses 1'!$E$2:$E1001, A63, 'Form responses 1'!$A$2:$A1001, "&gt;=2024-07-01", 'Form responses 1'!$A$2:$A1001, "&lt;=2024-09-30"),
    COUNTIFS('Form responses 1'!$F$2:$F1001, A63, 'Form responses 1'!$A$2:$A1001, "&gt;=2024-07-01", 'Form responses 1'!$A$2:$A1001, "&lt;=2024-09-30"),
    COUNTIFS('Form responses 1'!$G$2:$G1001, A63, 'Form responses 1'!$A$2:$A1001, "&gt;=2024-07-01", 'Form responses 1'!$A$2:$A1001, "&lt;=2024-09-30")
)
</f>
        <v>0</v>
      </c>
      <c r="L63" s="2">
        <f>SUM(
    COUNTIFS('Form responses 1'!$C$2:$C1001, A63, 'Form responses 1'!$A$2:$A1001, "&gt;=2024-10-01", 'Form responses 1'!$A$2:$A1001, "&lt;=2024-12-31"),
    COUNTIFS('Form responses 1'!$B$2:$B1001, A63, 'Form responses 1'!$A$2:$A1001, "&gt;=2024-10-01", 'Form responses 1'!$A$2:$A1001, "&lt;=2024-12-31"),
    COUNTIFS('Form responses 1'!$D$2:$D1001, A63, 'Form responses 1'!$A$2:$A1001, "&gt;=2024-10-01", 'Form responses 1'!$A$2:$A1001, "&lt;=2024-12-31"),
    COUNTIFS('Form responses 1'!$E$2:$E1001, A63, 'Form responses 1'!$A$2:$A1001, "&gt;=2024-10-01", 'Form responses 1'!$A$2:$A1001, "&lt;=2024-12-31"),
    COUNTIFS('Form responses 1'!$F$2:$F1001, A63, 'Form responses 1'!$A$2:$A1001, "&gt;=2024-10-01", 'Form responses 1'!$A$2:$A1001, "&lt;=2024-12-31"),
    COUNTIFS('Form responses 1'!$G$2:$G1001, A63, 'Form responses 1'!$A$2:$A1001, "&gt;=2024-10-01", 'Form responses 1'!$A$2:$A1001, "&lt;=2024-12-31")
)
</f>
        <v>0</v>
      </c>
      <c r="M63" s="2">
        <f>SUM(
    COUNTIFS('Form responses 1'!$C$2:$C1001, A63, 'Form responses 1'!$A$2:$A1001, "&gt;=2025-01-01", 'Form responses 1'!$A$2:$A1001, "&lt;=2025-03-31"),
    COUNTIFS('Form responses 1'!$B$2:$B1001, A63, 'Form responses 1'!$A$2:$A1001, "&gt;=2025-01-01", 'Form responses 1'!$A$2:$A1001, "&lt;=2025-03-31"),
    COUNTIFS('Form responses 1'!$D$2:$D1001, A63, 'Form responses 1'!$A$2:$A1001, "&gt;=2025-01-01", 'Form responses 1'!$A$2:$A1001, "&lt;=2025-03-31"),
    COUNTIFS('Form responses 1'!$E$2:$E1001, A63, 'Form responses 1'!$A$2:$A1001, "&gt;=2025-01-01", 'Form responses 1'!$A$2:$A1001, "&lt;=2025-03-31"),
    COUNTIFS('Form responses 1'!$F$2:$F1001, A63, 'Form responses 1'!$A$2:$A1001, "&gt;=2025-01-01", 'Form responses 1'!$A$2:$A1001, "&lt;=2025-03-31"),
    COUNTIFS('Form responses 1'!$G$2:$G1001, A63, 'Form responses 1'!$A$2:$A1001, "&gt;=2025-01-01", 'Form responses 1'!$A$2:$A1001, "&lt;=2025-03-31")
)
</f>
        <v>0</v>
      </c>
      <c r="N63" s="2">
        <f>SUM(
    COUNTIFS('Form responses 1'!$C$2:$C1001, A63, 'Form responses 1'!$A$2:$A1001, "&gt;=2025-04-01", 'Form responses 1'!$A$2:$A1001, "&lt;2025-07-01"),
    COUNTIFS('Form responses 1'!$B$2:$B1001, A63, 'Form responses 1'!$A$2:$A1001, "&gt;=2025-04-01", 'Form responses 1'!$A$2:$A1001, "&lt;2025-07-01"),
    COUNTIFS('Form responses 1'!$D$2:$D1001, A63, 'Form responses 1'!$A$2:$A1001, "&gt;=2025-04-01", 'Form responses 1'!$A$2:$A1001, "&lt;2025-07-01"),
    COUNTIFS('Form responses 1'!$E$2:$E1001, A63, 'Form responses 1'!$A$2:$A1001, "&gt;=2025-04-01", 'Form responses 1'!$A$2:$A1001, "&lt;2025-07-01"),
    COUNTIFS('Form responses 1'!$F$2:$F1001, A63, 'Form responses 1'!$A$2:$A1001, "&gt;=2025-04-01", 'Form responses 1'!$A$2:$A1001, "&lt;2025-07-01"),
    COUNTIFS('Form responses 1'!$G$2:$G1001, A63, 'Form responses 1'!$A$2:$A1001, "&gt;=2025-04-01", 'Form responses 1'!$A$2:$A1001, "&lt;2025-07-01")
)
</f>
        <v>0</v>
      </c>
      <c r="O63" s="2">
        <f>SUM(
    COUNTIFS('Form responses 1'!$C$2:$C1001, A63, 'Form responses 1'!$A$2:$A1001, "&gt;=2025-07-01", 'Form responses 1'!$A$2:$A1001, "&lt;=2025-09-30"),
    COUNTIFS('Form responses 1'!$B$2:$B1001, A63, 'Form responses 1'!$A$2:$A1001, "&gt;=2025-07-01", 'Form responses 1'!$A$2:$A1001, "&lt;=2025-09-30"),
    COUNTIFS('Form responses 1'!$D$2:$D1001, A63, 'Form responses 1'!$A$2:$A1001, "&gt;=2025-07-01", 'Form responses 1'!$A$2:$A1001, "&lt;=2025-09-30"),
    COUNTIFS('Form responses 1'!$E$2:$E1001, A63, 'Form responses 1'!$A$2:$A1001, "&gt;=2025-07-01", 'Form responses 1'!$A$2:$A1001, "&lt;=2025-09-30"),
    COUNTIFS('Form responses 1'!$F$2:$F1001, A63, 'Form responses 1'!$A$2:$A1001, "&gt;=2025-07-01", 'Form responses 1'!$A$2:$A1001, "&lt;=2025-09-30"),
    COUNTIFS('Form responses 1'!$G$2:$G1001, A63, 'Form responses 1'!$A$2:$A1001, "&gt;=2025-07-01", 'Form responses 1'!$A$2:$A1001, "&lt;=2025-09-30")
)
</f>
        <v>0</v>
      </c>
      <c r="P63" s="2">
        <f>SUM(
    COUNTIFS('Form responses 1'!$C$2:$C1001, A63, 'Form responses 1'!$A$2:$A1001, "&gt;=2025-10-01", 'Form responses 1'!$A$2:$A1001, "&lt;=2025-12-31"),
    COUNTIFS('Form responses 1'!$B$2:$B1001, A63, 'Form responses 1'!$A$2:$A1001, "&gt;=2025-10-01", 'Form responses 1'!$A$2:$A1001, "&lt;=2025-12-31"),
    COUNTIFS('Form responses 1'!$D$2:$D1001, A63, 'Form responses 1'!$A$2:$A1001, "&gt;=2025-10-01", 'Form responses 1'!$A$2:$A1001, "&lt;=2025-12-31"),
    COUNTIFS('Form responses 1'!$E$2:$E1001, A63, 'Form responses 1'!$A$2:$A1001, "&gt;=2025-10-01", 'Form responses 1'!$A$2:$A1001, "&lt;=2025-12-31"),
    COUNTIFS('Form responses 1'!$F$2:$F1001, A63, 'Form responses 1'!$A$2:$A1001, "&gt;=2025-10-01", 'Form responses 1'!$A$2:$A1001, "&lt;=2025-12-31"),
    COUNTIFS('Form responses 1'!$G$2:$G1001, A63, 'Form responses 1'!$A$2:$A1001, "&gt;=2025-10-01", 'Form responses 1'!$A$2:$A1001, "&lt;=2025-12-31")
)
</f>
        <v>0</v>
      </c>
    </row>
    <row r="64">
      <c r="A64" s="6" t="str">
        <f>IFERROR(__xludf.DUMMYFUNCTION("""COMPUTED_VALUE"""),"Zwarte blouse")</f>
        <v>Zwarte blouse</v>
      </c>
      <c r="B64" s="2">
        <f>SUM(
    COUNTIFS('Form responses 1'!$C$2:$C1001, A64, 'Form responses 1'!$A$2:$A1001, "&gt;=2022-04-01", 'Form responses 1'!$A$2:$A1001, "&lt;=2022-06-30"),
    COUNTIFS('Form responses 1'!$B$2:$B1001, A64, 'Form responses 1'!$A$2:$A1001, "&gt;=2022-04-01", 'Form responses 1'!$A$2:$A1001, "&lt;=2022-06-30"),
    COUNTIFS('Form responses 1'!$D$2:$D1001, A64, 'Form responses 1'!$A$2:$A1001, "&gt;=2022-04-01", 'Form responses 1'!$A$2:$A1001, "&lt;=2022-06-30"),
    COUNTIFS('Form responses 1'!$E$2:$E1001, A64, 'Form responses 1'!$A$2:$A1001, "&gt;=2022-04-01", 'Form responses 1'!$A$2:$A1001, "&lt;=2022-06-30"),
    COUNTIFS('Form responses 1'!$F$2:$F1001, A64, 'Form responses 1'!$A$2:$A1001, "&gt;=2022-04-01", 'Form responses 1'!$A$2:$A1001, "&lt;=2022-06-30"),
    COUNTIFS('Form responses 1'!$G$2:$G1001, A64, 'Form responses 1'!$A$2:$A1001, "&gt;=2022-04-01", 'Form responses 1'!$A$2:$A1001, "&lt;=2022-06-30")
)
</f>
        <v>0</v>
      </c>
      <c r="C64" s="2">
        <f>SUM(
    COUNTIFS('Form responses 1'!$C$2:$C1001, A64, 'Form responses 1'!$A$2:$A1001, "&gt;=2022-07-01", 'Form responses 1'!$A$2:$A1001, "&lt;=2022-09-30"),
    COUNTIFS('Form responses 1'!$B$2:$B1001, A64, 'Form responses 1'!$A$2:$A1001, "&gt;=2022-07-01", 'Form responses 1'!$A$2:$A1001, "&lt;=2022-09-30"),
    COUNTIFS('Form responses 1'!$D$2:$D1001, A64, 'Form responses 1'!$A$2:$A1001, "&gt;=2022-07-01", 'Form responses 1'!$A$2:$A1001, "&lt;=2022-09-30"),
    COUNTIFS('Form responses 1'!$E$2:$E1001, A64, 'Form responses 1'!$A$2:$A1001, "&gt;=2022-07-01", 'Form responses 1'!$A$2:$A1001, "&lt;=2022-09-30"),
    COUNTIFS('Form responses 1'!$F$2:$F1001, A64, 'Form responses 1'!$A$2:$A1001, "&gt;=2022-07-01", 'Form responses 1'!$A$2:$A1001, "&lt;=2022-09-30"),
    COUNTIFS('Form responses 1'!$G$2:$G1001, A64, 'Form responses 1'!$A$2:$A1001, "&gt;=2022-07-01", 'Form responses 1'!$A$2:$A1001, "&lt;=2022-09-30")
)
</f>
        <v>0</v>
      </c>
      <c r="D64" s="2">
        <f>SUM(
    COUNTIFS('Form responses 1'!$C$2:$C1001, A64, 'Form responses 1'!$A$2:$A1001, "&gt;=2022-10-01", 'Form responses 1'!$A$2:$A1001, "&lt;=2022-12-31"),
    COUNTIFS('Form responses 1'!$B$2:$B1001, A64, 'Form responses 1'!$A$2:$A1001, "&gt;=2022-10-01", 'Form responses 1'!$A$2:$A1001, "&lt;=2022-12-31"),
    COUNTIFS('Form responses 1'!$D$2:$D1001, A64, 'Form responses 1'!$A$2:$A1001, "&gt;=2022-10-01", 'Form responses 1'!$A$2:$A1001, "&lt;=2022-12-31"),
    COUNTIFS('Form responses 1'!$E$2:$E1001, A64, 'Form responses 1'!$A$2:$A1001, "&gt;=2022-10-01", 'Form responses 1'!$A$2:$A1001, "&lt;=2022-12-31"),
    COUNTIFS('Form responses 1'!$F$2:$F1001, A64, 'Form responses 1'!$A$2:$A1001, "&gt;=2022-10-01", 'Form responses 1'!$A$2:$A1001, "&lt;=2022-12-31"),
    COUNTIFS('Form responses 1'!$G$2:$G1001, A64, 'Form responses 1'!$A$2:$A1001, "&gt;=2022-10-01", 'Form responses 1'!$A$2:$A1001, "&lt;=2022-12-31")
)
</f>
        <v>0</v>
      </c>
      <c r="E64" s="2">
        <f>SUM(
    COUNTIFS('Form responses 1'!$C$2:$C1001, A64, 'Form responses 1'!$A$2:$A1001, "&gt;=2023-01-01", 'Form responses 1'!$A$2:$A1001, "&lt;=2023-03-31"),
    COUNTIFS('Form responses 1'!$B$2:$B1001, A64, 'Form responses 1'!$A$2:$A1001, "&gt;=2023-01-01", 'Form responses 1'!$A$2:$A1001, "&lt;=2023-03-31"),
    COUNTIFS('Form responses 1'!$D$2:$D1001, A64, 'Form responses 1'!$A$2:$A1001, "&gt;=2023-01-01", 'Form responses 1'!$A$2:$A1001, "&lt;=2023-03-31"),
    COUNTIFS('Form responses 1'!$E$2:$E1001, A64, 'Form responses 1'!$A$2:$A1001, "&gt;=2023-01-01", 'Form responses 1'!$A$2:$A1001, "&lt;=2023-03-31"),
    COUNTIFS('Form responses 1'!$F$2:$F1001, A64, 'Form responses 1'!$A$2:$A1001, "&gt;=2023-01-01", 'Form responses 1'!$A$2:$A1001, "&lt;=2023-03-31"),
    COUNTIFS('Form responses 1'!$G$2:$G1001, A64, 'Form responses 1'!$A$2:$A1001, "&gt;=2023-01-01", 'Form responses 1'!$A$2:$A1001, "&lt;=2023-03-31")
)
</f>
        <v>0</v>
      </c>
      <c r="F64" s="2">
        <f>SUM(
    COUNTIFS('Form responses 1'!$C$2:$C1001, A64, 'Form responses 1'!$A$2:$A1001, "&gt;=2023-04-01", 'Form responses 1'!$A$2:$A1001, "&lt;=2023-06-30"),
    COUNTIFS('Form responses 1'!$B$2:$B1001, A64, 'Form responses 1'!$A$2:$A1001, "&gt;=2023-04-01", 'Form responses 1'!$A$2:$A1001, "&lt;=2023-06-30"),
    COUNTIFS('Form responses 1'!$D$2:$D1001, A64, 'Form responses 1'!$A$2:$A1001, "&gt;=2023-04-01", 'Form responses 1'!$A$2:$A1001, "&lt;=2023-06-30"),
    COUNTIFS('Form responses 1'!$E$2:$E1001, A64, 'Form responses 1'!$A$2:$A1001, "&gt;=2023-04-01", 'Form responses 1'!$A$2:$A1001, "&lt;=2023-06-30"),
    COUNTIFS('Form responses 1'!$F$2:$F1001, A64, 'Form responses 1'!$A$2:$A1001, "&gt;=2023-04-01", 'Form responses 1'!$A$2:$A1001, "&lt;=2023-06-30"),
    COUNTIFS('Form responses 1'!$G$2:$G1001, A64, 'Form responses 1'!$A$2:$A1001, "&gt;=2023-04-01", 'Form responses 1'!$A$2:$A1001, "&lt;=2023-06-30")
)
</f>
        <v>0</v>
      </c>
      <c r="G64" s="2">
        <f>SUM(
    COUNTIFS('Form responses 1'!$C$2:$C1001, A64, 'Form responses 1'!$A$2:$A1001, "&gt;=2023-07-01", 'Form responses 1'!$A$2:$A1001, "&lt;=2023-09-30"),
    COUNTIFS('Form responses 1'!$B$2:$B1001, A64, 'Form responses 1'!$A$2:$A1001, "&gt;=2023-07-01", 'Form responses 1'!$A$2:$A1001, "&lt;=2023-09-30"),
    COUNTIFS('Form responses 1'!$D$2:$D1001, A64, 'Form responses 1'!$A$2:$A1001, "&gt;=2023-07-01", 'Form responses 1'!$A$2:$A1001, "&lt;=2023-09-30"),
    COUNTIFS('Form responses 1'!$E$2:$E1001, A64, 'Form responses 1'!$A$2:$A1001, "&gt;=2023-07-01", 'Form responses 1'!$A$2:$A1001, "&lt;=2023-09-30"),
    COUNTIFS('Form responses 1'!$F$2:$F1001, A64, 'Form responses 1'!$A$2:$A1001, "&gt;=2023-07-01", 'Form responses 1'!$A$2:$A1001, "&lt;=2023-09-30"),
    COUNTIFS('Form responses 1'!$G$2:$G1001, A64, 'Form responses 1'!$A$2:$A1001, "&gt;=2023-07-01", 'Form responses 1'!$A$2:$A1001, "&lt;=2023-09-30")
)
</f>
        <v>0</v>
      </c>
      <c r="H64" s="2">
        <f>SUM(
    COUNTIFS('Form responses 1'!$C$2:$C1001, A64, 'Form responses 1'!$A$2:$A1001, "&gt;=2023-10-01", 'Form responses 1'!$A$2:$A1001, "&lt;=2023-12-31"),
    COUNTIFS('Form responses 1'!$B$2:$B1001, A64, 'Form responses 1'!$A$2:$A1001, "&gt;=2023-10-01", 'Form responses 1'!$A$2:$A1001, "&lt;=2023-12-31"),
    COUNTIFS('Form responses 1'!$D$2:$D1001, A64, 'Form responses 1'!$A$2:$A1001, "&gt;=2023-10-01", 'Form responses 1'!$A$2:$A1001, "&lt;=2023-12-31"),
    COUNTIFS('Form responses 1'!$E$2:$E1001, A64, 'Form responses 1'!$A$2:$A1001, "&gt;=2023-10-01", 'Form responses 1'!$A$2:$A1001, "&lt;=2023-12-31"),
    COUNTIFS('Form responses 1'!$F$2:$F1001, A64, 'Form responses 1'!$A$2:$A1001, "&gt;=2023-10-01", 'Form responses 1'!$A$2:$A1001, "&lt;=2023-12-31"),
    COUNTIFS('Form responses 1'!$G$2:$G1001, A64, 'Form responses 1'!$A$2:$A1001, "&gt;=2023-10-01", 'Form responses 1'!$A$2:$A1001, "&lt;=2023-12-31")
)
</f>
        <v>3</v>
      </c>
      <c r="I64" s="2">
        <f>SUM(
    COUNTIFS('Form responses 1'!$C$2:$C1001, A64, 'Form responses 1'!$A$2:$A1001, "&gt;=2024-01-01", 'Form responses 1'!$A$2:$A1001, "&lt;=2024-03-31"),
    COUNTIFS('Form responses 1'!$B$2:$B1001, A64, 'Form responses 1'!$A$2:$A1001, "&gt;=2024-01-01", 'Form responses 1'!$A$2:$A1001, "&lt;=2024-03-31"),
    COUNTIFS('Form responses 1'!$D$2:$D1001, A64, 'Form responses 1'!$A$2:$A1001, "&gt;=2024-01-01", 'Form responses 1'!$A$2:$A1001, "&lt;=2024-03-31"),
    COUNTIFS('Form responses 1'!$E$2:$E1001, A64, 'Form responses 1'!$A$2:$A1001, "&gt;=2024-01-01", 'Form responses 1'!$A$2:$A1001, "&lt;=2024-03-31"),
    COUNTIFS('Form responses 1'!$F$2:$F1001, A64, 'Form responses 1'!$A$2:$A1001, "&gt;=2024-01-01", 'Form responses 1'!$A$2:$A1001, "&lt;=2024-03-31"),
    COUNTIFS('Form responses 1'!$G$2:$G1001, A64, 'Form responses 1'!$A$2:$A1001, "&gt;=2024-01-01", 'Form responses 1'!$A$2:$A1001, "&lt;=2024-03-31")
)
</f>
        <v>1</v>
      </c>
      <c r="J64" s="2">
        <f>SUM(
    COUNTIFS('Form responses 1'!$C$2:$C1001, A64, 'Form responses 1'!$A$2:$A1001, "&gt;=2024-04-01", 'Form responses 1'!$A$2:$A1001, "&lt;=2024-06-30"),
    COUNTIFS('Form responses 1'!$B$2:$B1001, A64, 'Form responses 1'!$A$2:$A1001, "&gt;=2024-04-01", 'Form responses 1'!$A$2:$A1001, "&lt;=2024-06-30"),
    COUNTIFS('Form responses 1'!$D$2:$D1001, A64, 'Form responses 1'!$A$2:$A1001, "&gt;=2024-04-01", 'Form responses 1'!$A$2:$A1001, "&lt;=2024-06-30"),
    COUNTIFS('Form responses 1'!$E$2:$E1001, A64, 'Form responses 1'!$A$2:$A1001, "&gt;=2024-04-01", 'Form responses 1'!$A$2:$A1001, "&lt;=2024-06-30"),
    COUNTIFS('Form responses 1'!$F$2:$F1001, A64, 'Form responses 1'!$A$2:$A1001, "&gt;=2024-04-01", 'Form responses 1'!$A$2:$A1001, "&lt;=2024-06-30"),
    COUNTIFS('Form responses 1'!$G$2:$G1001, A64, 'Form responses 1'!$A$2:$A1001, "&gt;=2024-04-01", 'Form responses 1'!$A$2:$A1001, "&lt;=2024-06-30")
)
</f>
        <v>0</v>
      </c>
      <c r="K64" s="2">
        <f>SUM(
    COUNTIFS('Form responses 1'!$C$2:$C1001, A64, 'Form responses 1'!$A$2:$A1001, "&gt;=2024-07-01", 'Form responses 1'!$A$2:$A1001, "&lt;=2024-09-30"),
    COUNTIFS('Form responses 1'!$B$2:$B1001, A64, 'Form responses 1'!$A$2:$A1001, "&gt;=2024-07-01", 'Form responses 1'!$A$2:$A1001, "&lt;=2024-09-30"),
    COUNTIFS('Form responses 1'!$D$2:$D1001, A64, 'Form responses 1'!$A$2:$A1001, "&gt;=2024-07-01", 'Form responses 1'!$A$2:$A1001, "&lt;=2024-09-30"),
    COUNTIFS('Form responses 1'!$E$2:$E1001, A64, 'Form responses 1'!$A$2:$A1001, "&gt;=2024-07-01", 'Form responses 1'!$A$2:$A1001, "&lt;=2024-09-30"),
    COUNTIFS('Form responses 1'!$F$2:$F1001, A64, 'Form responses 1'!$A$2:$A1001, "&gt;=2024-07-01", 'Form responses 1'!$A$2:$A1001, "&lt;=2024-09-30"),
    COUNTIFS('Form responses 1'!$G$2:$G1001, A64, 'Form responses 1'!$A$2:$A1001, "&gt;=2024-07-01", 'Form responses 1'!$A$2:$A1001, "&lt;=2024-09-30")
)
</f>
        <v>0</v>
      </c>
      <c r="L64" s="2">
        <f>SUM(
    COUNTIFS('Form responses 1'!$C$2:$C1001, A64, 'Form responses 1'!$A$2:$A1001, "&gt;=2024-10-01", 'Form responses 1'!$A$2:$A1001, "&lt;=2024-12-31"),
    COUNTIFS('Form responses 1'!$B$2:$B1001, A64, 'Form responses 1'!$A$2:$A1001, "&gt;=2024-10-01", 'Form responses 1'!$A$2:$A1001, "&lt;=2024-12-31"),
    COUNTIFS('Form responses 1'!$D$2:$D1001, A64, 'Form responses 1'!$A$2:$A1001, "&gt;=2024-10-01", 'Form responses 1'!$A$2:$A1001, "&lt;=2024-12-31"),
    COUNTIFS('Form responses 1'!$E$2:$E1001, A64, 'Form responses 1'!$A$2:$A1001, "&gt;=2024-10-01", 'Form responses 1'!$A$2:$A1001, "&lt;=2024-12-31"),
    COUNTIFS('Form responses 1'!$F$2:$F1001, A64, 'Form responses 1'!$A$2:$A1001, "&gt;=2024-10-01", 'Form responses 1'!$A$2:$A1001, "&lt;=2024-12-31"),
    COUNTIFS('Form responses 1'!$G$2:$G1001, A64, 'Form responses 1'!$A$2:$A1001, "&gt;=2024-10-01", 'Form responses 1'!$A$2:$A1001, "&lt;=2024-12-31")
)
</f>
        <v>0</v>
      </c>
      <c r="M64" s="2">
        <f>SUM(
    COUNTIFS('Form responses 1'!$C$2:$C1001, A64, 'Form responses 1'!$A$2:$A1001, "&gt;=2025-01-01", 'Form responses 1'!$A$2:$A1001, "&lt;=2025-03-31"),
    COUNTIFS('Form responses 1'!$B$2:$B1001, A64, 'Form responses 1'!$A$2:$A1001, "&gt;=2025-01-01", 'Form responses 1'!$A$2:$A1001, "&lt;=2025-03-31"),
    COUNTIFS('Form responses 1'!$D$2:$D1001, A64, 'Form responses 1'!$A$2:$A1001, "&gt;=2025-01-01", 'Form responses 1'!$A$2:$A1001, "&lt;=2025-03-31"),
    COUNTIFS('Form responses 1'!$E$2:$E1001, A64, 'Form responses 1'!$A$2:$A1001, "&gt;=2025-01-01", 'Form responses 1'!$A$2:$A1001, "&lt;=2025-03-31"),
    COUNTIFS('Form responses 1'!$F$2:$F1001, A64, 'Form responses 1'!$A$2:$A1001, "&gt;=2025-01-01", 'Form responses 1'!$A$2:$A1001, "&lt;=2025-03-31"),
    COUNTIFS('Form responses 1'!$G$2:$G1001, A64, 'Form responses 1'!$A$2:$A1001, "&gt;=2025-01-01", 'Form responses 1'!$A$2:$A1001, "&lt;=2025-03-31")
)
</f>
        <v>0</v>
      </c>
      <c r="N64" s="2">
        <f>SUM(
    COUNTIFS('Form responses 1'!$C$2:$C1001, A64, 'Form responses 1'!$A$2:$A1001, "&gt;=2025-04-01", 'Form responses 1'!$A$2:$A1001, "&lt;2025-07-01"),
    COUNTIFS('Form responses 1'!$B$2:$B1001, A64, 'Form responses 1'!$A$2:$A1001, "&gt;=2025-04-01", 'Form responses 1'!$A$2:$A1001, "&lt;2025-07-01"),
    COUNTIFS('Form responses 1'!$D$2:$D1001, A64, 'Form responses 1'!$A$2:$A1001, "&gt;=2025-04-01", 'Form responses 1'!$A$2:$A1001, "&lt;2025-07-01"),
    COUNTIFS('Form responses 1'!$E$2:$E1001, A64, 'Form responses 1'!$A$2:$A1001, "&gt;=2025-04-01", 'Form responses 1'!$A$2:$A1001, "&lt;2025-07-01"),
    COUNTIFS('Form responses 1'!$F$2:$F1001, A64, 'Form responses 1'!$A$2:$A1001, "&gt;=2025-04-01", 'Form responses 1'!$A$2:$A1001, "&lt;2025-07-01"),
    COUNTIFS('Form responses 1'!$G$2:$G1001, A64, 'Form responses 1'!$A$2:$A1001, "&gt;=2025-04-01", 'Form responses 1'!$A$2:$A1001, "&lt;2025-07-01")
)
</f>
        <v>0</v>
      </c>
      <c r="O64" s="2">
        <f>SUM(
    COUNTIFS('Form responses 1'!$C$2:$C1001, A64, 'Form responses 1'!$A$2:$A1001, "&gt;=2025-07-01", 'Form responses 1'!$A$2:$A1001, "&lt;=2025-09-30"),
    COUNTIFS('Form responses 1'!$B$2:$B1001, A64, 'Form responses 1'!$A$2:$A1001, "&gt;=2025-07-01", 'Form responses 1'!$A$2:$A1001, "&lt;=2025-09-30"),
    COUNTIFS('Form responses 1'!$D$2:$D1001, A64, 'Form responses 1'!$A$2:$A1001, "&gt;=2025-07-01", 'Form responses 1'!$A$2:$A1001, "&lt;=2025-09-30"),
    COUNTIFS('Form responses 1'!$E$2:$E1001, A64, 'Form responses 1'!$A$2:$A1001, "&gt;=2025-07-01", 'Form responses 1'!$A$2:$A1001, "&lt;=2025-09-30"),
    COUNTIFS('Form responses 1'!$F$2:$F1001, A64, 'Form responses 1'!$A$2:$A1001, "&gt;=2025-07-01", 'Form responses 1'!$A$2:$A1001, "&lt;=2025-09-30"),
    COUNTIFS('Form responses 1'!$G$2:$G1001, A64, 'Form responses 1'!$A$2:$A1001, "&gt;=2025-07-01", 'Form responses 1'!$A$2:$A1001, "&lt;=2025-09-30")
)
</f>
        <v>0</v>
      </c>
      <c r="P64" s="2">
        <f>SUM(
    COUNTIFS('Form responses 1'!$C$2:$C1001, A64, 'Form responses 1'!$A$2:$A1001, "&gt;=2025-10-01", 'Form responses 1'!$A$2:$A1001, "&lt;=2025-12-31"),
    COUNTIFS('Form responses 1'!$B$2:$B1001, A64, 'Form responses 1'!$A$2:$A1001, "&gt;=2025-10-01", 'Form responses 1'!$A$2:$A1001, "&lt;=2025-12-31"),
    COUNTIFS('Form responses 1'!$D$2:$D1001, A64, 'Form responses 1'!$A$2:$A1001, "&gt;=2025-10-01", 'Form responses 1'!$A$2:$A1001, "&lt;=2025-12-31"),
    COUNTIFS('Form responses 1'!$E$2:$E1001, A64, 'Form responses 1'!$A$2:$A1001, "&gt;=2025-10-01", 'Form responses 1'!$A$2:$A1001, "&lt;=2025-12-31"),
    COUNTIFS('Form responses 1'!$F$2:$F1001, A64, 'Form responses 1'!$A$2:$A1001, "&gt;=2025-10-01", 'Form responses 1'!$A$2:$A1001, "&lt;=2025-12-31"),
    COUNTIFS('Form responses 1'!$G$2:$G1001, A64, 'Form responses 1'!$A$2:$A1001, "&gt;=2025-10-01", 'Form responses 1'!$A$2:$A1001, "&lt;=2025-12-31")
)
</f>
        <v>0</v>
      </c>
    </row>
    <row r="65">
      <c r="A65" s="6" t="str">
        <f>IFERROR(__xludf.DUMMYFUNCTION("""COMPUTED_VALUE"""),"Beige, v-neck, strepen")</f>
        <v>Beige, v-neck, strepen</v>
      </c>
      <c r="B65" s="2">
        <f>SUM(
    COUNTIFS('Form responses 1'!$C$2:$C1001, A65, 'Form responses 1'!$A$2:$A1001, "&gt;=2022-04-01", 'Form responses 1'!$A$2:$A1001, "&lt;=2022-06-30"),
    COUNTIFS('Form responses 1'!$B$2:$B1001, A65, 'Form responses 1'!$A$2:$A1001, "&gt;=2022-04-01", 'Form responses 1'!$A$2:$A1001, "&lt;=2022-06-30"),
    COUNTIFS('Form responses 1'!$D$2:$D1001, A65, 'Form responses 1'!$A$2:$A1001, "&gt;=2022-04-01", 'Form responses 1'!$A$2:$A1001, "&lt;=2022-06-30"),
    COUNTIFS('Form responses 1'!$E$2:$E1001, A65, 'Form responses 1'!$A$2:$A1001, "&gt;=2022-04-01", 'Form responses 1'!$A$2:$A1001, "&lt;=2022-06-30"),
    COUNTIFS('Form responses 1'!$F$2:$F1001, A65, 'Form responses 1'!$A$2:$A1001, "&gt;=2022-04-01", 'Form responses 1'!$A$2:$A1001, "&lt;=2022-06-30"),
    COUNTIFS('Form responses 1'!$G$2:$G1001, A65, 'Form responses 1'!$A$2:$A1001, "&gt;=2022-04-01", 'Form responses 1'!$A$2:$A1001, "&lt;=2022-06-30")
)
</f>
        <v>6</v>
      </c>
      <c r="C65" s="2">
        <f>SUM(
    COUNTIFS('Form responses 1'!$C$2:$C1001, A65, 'Form responses 1'!$A$2:$A1001, "&gt;=2022-07-01", 'Form responses 1'!$A$2:$A1001, "&lt;=2022-09-30"),
    COUNTIFS('Form responses 1'!$B$2:$B1001, A65, 'Form responses 1'!$A$2:$A1001, "&gt;=2022-07-01", 'Form responses 1'!$A$2:$A1001, "&lt;=2022-09-30"),
    COUNTIFS('Form responses 1'!$D$2:$D1001, A65, 'Form responses 1'!$A$2:$A1001, "&gt;=2022-07-01", 'Form responses 1'!$A$2:$A1001, "&lt;=2022-09-30"),
    COUNTIFS('Form responses 1'!$E$2:$E1001, A65, 'Form responses 1'!$A$2:$A1001, "&gt;=2022-07-01", 'Form responses 1'!$A$2:$A1001, "&lt;=2022-09-30"),
    COUNTIFS('Form responses 1'!$F$2:$F1001, A65, 'Form responses 1'!$A$2:$A1001, "&gt;=2022-07-01", 'Form responses 1'!$A$2:$A1001, "&lt;=2022-09-30"),
    COUNTIFS('Form responses 1'!$G$2:$G1001, A65, 'Form responses 1'!$A$2:$A1001, "&gt;=2022-07-01", 'Form responses 1'!$A$2:$A1001, "&lt;=2022-09-30")
)
</f>
        <v>2</v>
      </c>
      <c r="D65" s="2">
        <f>SUM(
    COUNTIFS('Form responses 1'!$C$2:$C1001, A65, 'Form responses 1'!$A$2:$A1001, "&gt;=2022-10-01", 'Form responses 1'!$A$2:$A1001, "&lt;=2022-12-31"),
    COUNTIFS('Form responses 1'!$B$2:$B1001, A65, 'Form responses 1'!$A$2:$A1001, "&gt;=2022-10-01", 'Form responses 1'!$A$2:$A1001, "&lt;=2022-12-31"),
    COUNTIFS('Form responses 1'!$D$2:$D1001, A65, 'Form responses 1'!$A$2:$A1001, "&gt;=2022-10-01", 'Form responses 1'!$A$2:$A1001, "&lt;=2022-12-31"),
    COUNTIFS('Form responses 1'!$E$2:$E1001, A65, 'Form responses 1'!$A$2:$A1001, "&gt;=2022-10-01", 'Form responses 1'!$A$2:$A1001, "&lt;=2022-12-31"),
    COUNTIFS('Form responses 1'!$F$2:$F1001, A65, 'Form responses 1'!$A$2:$A1001, "&gt;=2022-10-01", 'Form responses 1'!$A$2:$A1001, "&lt;=2022-12-31"),
    COUNTIFS('Form responses 1'!$G$2:$G1001, A65, 'Form responses 1'!$A$2:$A1001, "&gt;=2022-10-01", 'Form responses 1'!$A$2:$A1001, "&lt;=2022-12-31")
)
</f>
        <v>0</v>
      </c>
      <c r="E65" s="2">
        <f>SUM(
    COUNTIFS('Form responses 1'!$C$2:$C1001, A65, 'Form responses 1'!$A$2:$A1001, "&gt;=2023-01-01", 'Form responses 1'!$A$2:$A1001, "&lt;=2023-03-31"),
    COUNTIFS('Form responses 1'!$B$2:$B1001, A65, 'Form responses 1'!$A$2:$A1001, "&gt;=2023-01-01", 'Form responses 1'!$A$2:$A1001, "&lt;=2023-03-31"),
    COUNTIFS('Form responses 1'!$D$2:$D1001, A65, 'Form responses 1'!$A$2:$A1001, "&gt;=2023-01-01", 'Form responses 1'!$A$2:$A1001, "&lt;=2023-03-31"),
    COUNTIFS('Form responses 1'!$E$2:$E1001, A65, 'Form responses 1'!$A$2:$A1001, "&gt;=2023-01-01", 'Form responses 1'!$A$2:$A1001, "&lt;=2023-03-31"),
    COUNTIFS('Form responses 1'!$F$2:$F1001, A65, 'Form responses 1'!$A$2:$A1001, "&gt;=2023-01-01", 'Form responses 1'!$A$2:$A1001, "&lt;=2023-03-31"),
    COUNTIFS('Form responses 1'!$G$2:$G1001, A65, 'Form responses 1'!$A$2:$A1001, "&gt;=2023-01-01", 'Form responses 1'!$A$2:$A1001, "&lt;=2023-03-31")
)
</f>
        <v>0</v>
      </c>
      <c r="F65" s="2">
        <f>SUM(
    COUNTIFS('Form responses 1'!$C$2:$C1001, A65, 'Form responses 1'!$A$2:$A1001, "&gt;=2023-04-01", 'Form responses 1'!$A$2:$A1001, "&lt;=2023-06-30"),
    COUNTIFS('Form responses 1'!$B$2:$B1001, A65, 'Form responses 1'!$A$2:$A1001, "&gt;=2023-04-01", 'Form responses 1'!$A$2:$A1001, "&lt;=2023-06-30"),
    COUNTIFS('Form responses 1'!$D$2:$D1001, A65, 'Form responses 1'!$A$2:$A1001, "&gt;=2023-04-01", 'Form responses 1'!$A$2:$A1001, "&lt;=2023-06-30"),
    COUNTIFS('Form responses 1'!$E$2:$E1001, A65, 'Form responses 1'!$A$2:$A1001, "&gt;=2023-04-01", 'Form responses 1'!$A$2:$A1001, "&lt;=2023-06-30"),
    COUNTIFS('Form responses 1'!$F$2:$F1001, A65, 'Form responses 1'!$A$2:$A1001, "&gt;=2023-04-01", 'Form responses 1'!$A$2:$A1001, "&lt;=2023-06-30"),
    COUNTIFS('Form responses 1'!$G$2:$G1001, A65, 'Form responses 1'!$A$2:$A1001, "&gt;=2023-04-01", 'Form responses 1'!$A$2:$A1001, "&lt;=2023-06-30")
)
</f>
        <v>0</v>
      </c>
      <c r="G65" s="2">
        <f>SUM(
    COUNTIFS('Form responses 1'!$C$2:$C1001, A65, 'Form responses 1'!$A$2:$A1001, "&gt;=2023-07-01", 'Form responses 1'!$A$2:$A1001, "&lt;=2023-09-30"),
    COUNTIFS('Form responses 1'!$B$2:$B1001, A65, 'Form responses 1'!$A$2:$A1001, "&gt;=2023-07-01", 'Form responses 1'!$A$2:$A1001, "&lt;=2023-09-30"),
    COUNTIFS('Form responses 1'!$D$2:$D1001, A65, 'Form responses 1'!$A$2:$A1001, "&gt;=2023-07-01", 'Form responses 1'!$A$2:$A1001, "&lt;=2023-09-30"),
    COUNTIFS('Form responses 1'!$E$2:$E1001, A65, 'Form responses 1'!$A$2:$A1001, "&gt;=2023-07-01", 'Form responses 1'!$A$2:$A1001, "&lt;=2023-09-30"),
    COUNTIFS('Form responses 1'!$F$2:$F1001, A65, 'Form responses 1'!$A$2:$A1001, "&gt;=2023-07-01", 'Form responses 1'!$A$2:$A1001, "&lt;=2023-09-30"),
    COUNTIFS('Form responses 1'!$G$2:$G1001, A65, 'Form responses 1'!$A$2:$A1001, "&gt;=2023-07-01", 'Form responses 1'!$A$2:$A1001, "&lt;=2023-09-30")
)
</f>
        <v>0</v>
      </c>
      <c r="H65" s="2">
        <f>SUM(
    COUNTIFS('Form responses 1'!$C$2:$C1001, A65, 'Form responses 1'!$A$2:$A1001, "&gt;=2023-10-01", 'Form responses 1'!$A$2:$A1001, "&lt;=2023-12-31"),
    COUNTIFS('Form responses 1'!$B$2:$B1001, A65, 'Form responses 1'!$A$2:$A1001, "&gt;=2023-10-01", 'Form responses 1'!$A$2:$A1001, "&lt;=2023-12-31"),
    COUNTIFS('Form responses 1'!$D$2:$D1001, A65, 'Form responses 1'!$A$2:$A1001, "&gt;=2023-10-01", 'Form responses 1'!$A$2:$A1001, "&lt;=2023-12-31"),
    COUNTIFS('Form responses 1'!$E$2:$E1001, A65, 'Form responses 1'!$A$2:$A1001, "&gt;=2023-10-01", 'Form responses 1'!$A$2:$A1001, "&lt;=2023-12-31"),
    COUNTIFS('Form responses 1'!$F$2:$F1001, A65, 'Form responses 1'!$A$2:$A1001, "&gt;=2023-10-01", 'Form responses 1'!$A$2:$A1001, "&lt;=2023-12-31"),
    COUNTIFS('Form responses 1'!$G$2:$G1001, A65, 'Form responses 1'!$A$2:$A1001, "&gt;=2023-10-01", 'Form responses 1'!$A$2:$A1001, "&lt;=2023-12-31")
)
</f>
        <v>0</v>
      </c>
      <c r="I65" s="2">
        <f>SUM(
    COUNTIFS('Form responses 1'!$C$2:$C1001, A65, 'Form responses 1'!$A$2:$A1001, "&gt;=2024-01-01", 'Form responses 1'!$A$2:$A1001, "&lt;=2024-03-31"),
    COUNTIFS('Form responses 1'!$B$2:$B1001, A65, 'Form responses 1'!$A$2:$A1001, "&gt;=2024-01-01", 'Form responses 1'!$A$2:$A1001, "&lt;=2024-03-31"),
    COUNTIFS('Form responses 1'!$D$2:$D1001, A65, 'Form responses 1'!$A$2:$A1001, "&gt;=2024-01-01", 'Form responses 1'!$A$2:$A1001, "&lt;=2024-03-31"),
    COUNTIFS('Form responses 1'!$E$2:$E1001, A65, 'Form responses 1'!$A$2:$A1001, "&gt;=2024-01-01", 'Form responses 1'!$A$2:$A1001, "&lt;=2024-03-31"),
    COUNTIFS('Form responses 1'!$F$2:$F1001, A65, 'Form responses 1'!$A$2:$A1001, "&gt;=2024-01-01", 'Form responses 1'!$A$2:$A1001, "&lt;=2024-03-31"),
    COUNTIFS('Form responses 1'!$G$2:$G1001, A65, 'Form responses 1'!$A$2:$A1001, "&gt;=2024-01-01", 'Form responses 1'!$A$2:$A1001, "&lt;=2024-03-31")
)
</f>
        <v>0</v>
      </c>
      <c r="J65" s="2">
        <f>SUM(
    COUNTIFS('Form responses 1'!$C$2:$C1001, A65, 'Form responses 1'!$A$2:$A1001, "&gt;=2024-04-01", 'Form responses 1'!$A$2:$A1001, "&lt;=2024-06-30"),
    COUNTIFS('Form responses 1'!$B$2:$B1001, A65, 'Form responses 1'!$A$2:$A1001, "&gt;=2024-04-01", 'Form responses 1'!$A$2:$A1001, "&lt;=2024-06-30"),
    COUNTIFS('Form responses 1'!$D$2:$D1001, A65, 'Form responses 1'!$A$2:$A1001, "&gt;=2024-04-01", 'Form responses 1'!$A$2:$A1001, "&lt;=2024-06-30"),
    COUNTIFS('Form responses 1'!$E$2:$E1001, A65, 'Form responses 1'!$A$2:$A1001, "&gt;=2024-04-01", 'Form responses 1'!$A$2:$A1001, "&lt;=2024-06-30"),
    COUNTIFS('Form responses 1'!$F$2:$F1001, A65, 'Form responses 1'!$A$2:$A1001, "&gt;=2024-04-01", 'Form responses 1'!$A$2:$A1001, "&lt;=2024-06-30"),
    COUNTIFS('Form responses 1'!$G$2:$G1001, A65, 'Form responses 1'!$A$2:$A1001, "&gt;=2024-04-01", 'Form responses 1'!$A$2:$A1001, "&lt;=2024-06-30")
)
</f>
        <v>2</v>
      </c>
      <c r="K65" s="2">
        <f>SUM(
    COUNTIFS('Form responses 1'!$C$2:$C1001, A65, 'Form responses 1'!$A$2:$A1001, "&gt;=2024-07-01", 'Form responses 1'!$A$2:$A1001, "&lt;=2024-09-30"),
    COUNTIFS('Form responses 1'!$B$2:$B1001, A65, 'Form responses 1'!$A$2:$A1001, "&gt;=2024-07-01", 'Form responses 1'!$A$2:$A1001, "&lt;=2024-09-30"),
    COUNTIFS('Form responses 1'!$D$2:$D1001, A65, 'Form responses 1'!$A$2:$A1001, "&gt;=2024-07-01", 'Form responses 1'!$A$2:$A1001, "&lt;=2024-09-30"),
    COUNTIFS('Form responses 1'!$E$2:$E1001, A65, 'Form responses 1'!$A$2:$A1001, "&gt;=2024-07-01", 'Form responses 1'!$A$2:$A1001, "&lt;=2024-09-30"),
    COUNTIFS('Form responses 1'!$F$2:$F1001, A65, 'Form responses 1'!$A$2:$A1001, "&gt;=2024-07-01", 'Form responses 1'!$A$2:$A1001, "&lt;=2024-09-30"),
    COUNTIFS('Form responses 1'!$G$2:$G1001, A65, 'Form responses 1'!$A$2:$A1001, "&gt;=2024-07-01", 'Form responses 1'!$A$2:$A1001, "&lt;=2024-09-30")
)
</f>
        <v>1</v>
      </c>
      <c r="L65" s="2">
        <f>SUM(
    COUNTIFS('Form responses 1'!$C$2:$C1001, A65, 'Form responses 1'!$A$2:$A1001, "&gt;=2024-10-01", 'Form responses 1'!$A$2:$A1001, "&lt;=2024-12-31"),
    COUNTIFS('Form responses 1'!$B$2:$B1001, A65, 'Form responses 1'!$A$2:$A1001, "&gt;=2024-10-01", 'Form responses 1'!$A$2:$A1001, "&lt;=2024-12-31"),
    COUNTIFS('Form responses 1'!$D$2:$D1001, A65, 'Form responses 1'!$A$2:$A1001, "&gt;=2024-10-01", 'Form responses 1'!$A$2:$A1001, "&lt;=2024-12-31"),
    COUNTIFS('Form responses 1'!$E$2:$E1001, A65, 'Form responses 1'!$A$2:$A1001, "&gt;=2024-10-01", 'Form responses 1'!$A$2:$A1001, "&lt;=2024-12-31"),
    COUNTIFS('Form responses 1'!$F$2:$F1001, A65, 'Form responses 1'!$A$2:$A1001, "&gt;=2024-10-01", 'Form responses 1'!$A$2:$A1001, "&lt;=2024-12-31"),
    COUNTIFS('Form responses 1'!$G$2:$G1001, A65, 'Form responses 1'!$A$2:$A1001, "&gt;=2024-10-01", 'Form responses 1'!$A$2:$A1001, "&lt;=2024-12-31")
)
</f>
        <v>0</v>
      </c>
      <c r="M65" s="2">
        <f>SUM(
    COUNTIFS('Form responses 1'!$C$2:$C1001, A65, 'Form responses 1'!$A$2:$A1001, "&gt;=2025-01-01", 'Form responses 1'!$A$2:$A1001, "&lt;=2025-03-31"),
    COUNTIFS('Form responses 1'!$B$2:$B1001, A65, 'Form responses 1'!$A$2:$A1001, "&gt;=2025-01-01", 'Form responses 1'!$A$2:$A1001, "&lt;=2025-03-31"),
    COUNTIFS('Form responses 1'!$D$2:$D1001, A65, 'Form responses 1'!$A$2:$A1001, "&gt;=2025-01-01", 'Form responses 1'!$A$2:$A1001, "&lt;=2025-03-31"),
    COUNTIFS('Form responses 1'!$E$2:$E1001, A65, 'Form responses 1'!$A$2:$A1001, "&gt;=2025-01-01", 'Form responses 1'!$A$2:$A1001, "&lt;=2025-03-31"),
    COUNTIFS('Form responses 1'!$F$2:$F1001, A65, 'Form responses 1'!$A$2:$A1001, "&gt;=2025-01-01", 'Form responses 1'!$A$2:$A1001, "&lt;=2025-03-31"),
    COUNTIFS('Form responses 1'!$G$2:$G1001, A65, 'Form responses 1'!$A$2:$A1001, "&gt;=2025-01-01", 'Form responses 1'!$A$2:$A1001, "&lt;=2025-03-31")
)
</f>
        <v>0</v>
      </c>
      <c r="N65" s="2">
        <f>SUM(
    COUNTIFS('Form responses 1'!$C$2:$C1001, A65, 'Form responses 1'!$A$2:$A1001, "&gt;=2025-04-01", 'Form responses 1'!$A$2:$A1001, "&lt;2025-07-01"),
    COUNTIFS('Form responses 1'!$B$2:$B1001, A65, 'Form responses 1'!$A$2:$A1001, "&gt;=2025-04-01", 'Form responses 1'!$A$2:$A1001, "&lt;2025-07-01"),
    COUNTIFS('Form responses 1'!$D$2:$D1001, A65, 'Form responses 1'!$A$2:$A1001, "&gt;=2025-04-01", 'Form responses 1'!$A$2:$A1001, "&lt;2025-07-01"),
    COUNTIFS('Form responses 1'!$E$2:$E1001, A65, 'Form responses 1'!$A$2:$A1001, "&gt;=2025-04-01", 'Form responses 1'!$A$2:$A1001, "&lt;2025-07-01"),
    COUNTIFS('Form responses 1'!$F$2:$F1001, A65, 'Form responses 1'!$A$2:$A1001, "&gt;=2025-04-01", 'Form responses 1'!$A$2:$A1001, "&lt;2025-07-01"),
    COUNTIFS('Form responses 1'!$G$2:$G1001, A65, 'Form responses 1'!$A$2:$A1001, "&gt;=2025-04-01", 'Form responses 1'!$A$2:$A1001, "&lt;2025-07-01")
)
</f>
        <v>0</v>
      </c>
      <c r="O65" s="2">
        <f>SUM(
    COUNTIFS('Form responses 1'!$C$2:$C1001, A65, 'Form responses 1'!$A$2:$A1001, "&gt;=2025-07-01", 'Form responses 1'!$A$2:$A1001, "&lt;=2025-09-30"),
    COUNTIFS('Form responses 1'!$B$2:$B1001, A65, 'Form responses 1'!$A$2:$A1001, "&gt;=2025-07-01", 'Form responses 1'!$A$2:$A1001, "&lt;=2025-09-30"),
    COUNTIFS('Form responses 1'!$D$2:$D1001, A65, 'Form responses 1'!$A$2:$A1001, "&gt;=2025-07-01", 'Form responses 1'!$A$2:$A1001, "&lt;=2025-09-30"),
    COUNTIFS('Form responses 1'!$E$2:$E1001, A65, 'Form responses 1'!$A$2:$A1001, "&gt;=2025-07-01", 'Form responses 1'!$A$2:$A1001, "&lt;=2025-09-30"),
    COUNTIFS('Form responses 1'!$F$2:$F1001, A65, 'Form responses 1'!$A$2:$A1001, "&gt;=2025-07-01", 'Form responses 1'!$A$2:$A1001, "&lt;=2025-09-30"),
    COUNTIFS('Form responses 1'!$G$2:$G1001, A65, 'Form responses 1'!$A$2:$A1001, "&gt;=2025-07-01", 'Form responses 1'!$A$2:$A1001, "&lt;=2025-09-30")
)
</f>
        <v>0</v>
      </c>
      <c r="P65" s="2">
        <f>SUM(
    COUNTIFS('Form responses 1'!$C$2:$C1001, A65, 'Form responses 1'!$A$2:$A1001, "&gt;=2025-10-01", 'Form responses 1'!$A$2:$A1001, "&lt;=2025-12-31"),
    COUNTIFS('Form responses 1'!$B$2:$B1001, A65, 'Form responses 1'!$A$2:$A1001, "&gt;=2025-10-01", 'Form responses 1'!$A$2:$A1001, "&lt;=2025-12-31"),
    COUNTIFS('Form responses 1'!$D$2:$D1001, A65, 'Form responses 1'!$A$2:$A1001, "&gt;=2025-10-01", 'Form responses 1'!$A$2:$A1001, "&lt;=2025-12-31"),
    COUNTIFS('Form responses 1'!$E$2:$E1001, A65, 'Form responses 1'!$A$2:$A1001, "&gt;=2025-10-01", 'Form responses 1'!$A$2:$A1001, "&lt;=2025-12-31"),
    COUNTIFS('Form responses 1'!$F$2:$F1001, A65, 'Form responses 1'!$A$2:$A1001, "&gt;=2025-10-01", 'Form responses 1'!$A$2:$A1001, "&lt;=2025-12-31"),
    COUNTIFS('Form responses 1'!$G$2:$G1001, A65, 'Form responses 1'!$A$2:$A1001, "&gt;=2025-10-01", 'Form responses 1'!$A$2:$A1001, "&lt;=2025-12-31")
)
</f>
        <v>0</v>
      </c>
    </row>
    <row r="66">
      <c r="A66" s="6" t="str">
        <f>IFERROR(__xludf.DUMMYFUNCTION("""COMPUTED_VALUE"""),"Witte blouse doorzichtig")</f>
        <v>Witte blouse doorzichtig</v>
      </c>
      <c r="B66" s="2">
        <f>SUM(
    COUNTIFS('Form responses 1'!$C$2:$C1001, A66, 'Form responses 1'!$A$2:$A1001, "&gt;=2022-04-01", 'Form responses 1'!$A$2:$A1001, "&lt;=2022-06-30"),
    COUNTIFS('Form responses 1'!$B$2:$B1001, A66, 'Form responses 1'!$A$2:$A1001, "&gt;=2022-04-01", 'Form responses 1'!$A$2:$A1001, "&lt;=2022-06-30"),
    COUNTIFS('Form responses 1'!$D$2:$D1001, A66, 'Form responses 1'!$A$2:$A1001, "&gt;=2022-04-01", 'Form responses 1'!$A$2:$A1001, "&lt;=2022-06-30"),
    COUNTIFS('Form responses 1'!$E$2:$E1001, A66, 'Form responses 1'!$A$2:$A1001, "&gt;=2022-04-01", 'Form responses 1'!$A$2:$A1001, "&lt;=2022-06-30"),
    COUNTIFS('Form responses 1'!$F$2:$F1001, A66, 'Form responses 1'!$A$2:$A1001, "&gt;=2022-04-01", 'Form responses 1'!$A$2:$A1001, "&lt;=2022-06-30"),
    COUNTIFS('Form responses 1'!$G$2:$G1001, A66, 'Form responses 1'!$A$2:$A1001, "&gt;=2022-04-01", 'Form responses 1'!$A$2:$A1001, "&lt;=2022-06-30")
)
</f>
        <v>0</v>
      </c>
      <c r="C66" s="2">
        <f>SUM(
    COUNTIFS('Form responses 1'!$C$2:$C1001, A66, 'Form responses 1'!$A$2:$A1001, "&gt;=2022-07-01", 'Form responses 1'!$A$2:$A1001, "&lt;=2022-09-30"),
    COUNTIFS('Form responses 1'!$B$2:$B1001, A66, 'Form responses 1'!$A$2:$A1001, "&gt;=2022-07-01", 'Form responses 1'!$A$2:$A1001, "&lt;=2022-09-30"),
    COUNTIFS('Form responses 1'!$D$2:$D1001, A66, 'Form responses 1'!$A$2:$A1001, "&gt;=2022-07-01", 'Form responses 1'!$A$2:$A1001, "&lt;=2022-09-30"),
    COUNTIFS('Form responses 1'!$E$2:$E1001, A66, 'Form responses 1'!$A$2:$A1001, "&gt;=2022-07-01", 'Form responses 1'!$A$2:$A1001, "&lt;=2022-09-30"),
    COUNTIFS('Form responses 1'!$F$2:$F1001, A66, 'Form responses 1'!$A$2:$A1001, "&gt;=2022-07-01", 'Form responses 1'!$A$2:$A1001, "&lt;=2022-09-30"),
    COUNTIFS('Form responses 1'!$G$2:$G1001, A66, 'Form responses 1'!$A$2:$A1001, "&gt;=2022-07-01", 'Form responses 1'!$A$2:$A1001, "&lt;=2022-09-30")
)
</f>
        <v>0</v>
      </c>
      <c r="D66" s="2">
        <f>SUM(
    COUNTIFS('Form responses 1'!$C$2:$C1001, A66, 'Form responses 1'!$A$2:$A1001, "&gt;=2022-10-01", 'Form responses 1'!$A$2:$A1001, "&lt;=2022-12-31"),
    COUNTIFS('Form responses 1'!$B$2:$B1001, A66, 'Form responses 1'!$A$2:$A1001, "&gt;=2022-10-01", 'Form responses 1'!$A$2:$A1001, "&lt;=2022-12-31"),
    COUNTIFS('Form responses 1'!$D$2:$D1001, A66, 'Form responses 1'!$A$2:$A1001, "&gt;=2022-10-01", 'Form responses 1'!$A$2:$A1001, "&lt;=2022-12-31"),
    COUNTIFS('Form responses 1'!$E$2:$E1001, A66, 'Form responses 1'!$A$2:$A1001, "&gt;=2022-10-01", 'Form responses 1'!$A$2:$A1001, "&lt;=2022-12-31"),
    COUNTIFS('Form responses 1'!$F$2:$F1001, A66, 'Form responses 1'!$A$2:$A1001, "&gt;=2022-10-01", 'Form responses 1'!$A$2:$A1001, "&lt;=2022-12-31"),
    COUNTIFS('Form responses 1'!$G$2:$G1001, A66, 'Form responses 1'!$A$2:$A1001, "&gt;=2022-10-01", 'Form responses 1'!$A$2:$A1001, "&lt;=2022-12-31")
)
</f>
        <v>5</v>
      </c>
      <c r="E66" s="2">
        <f>SUM(
    COUNTIFS('Form responses 1'!$C$2:$C1001, A66, 'Form responses 1'!$A$2:$A1001, "&gt;=2023-01-01", 'Form responses 1'!$A$2:$A1001, "&lt;=2023-03-31"),
    COUNTIFS('Form responses 1'!$B$2:$B1001, A66, 'Form responses 1'!$A$2:$A1001, "&gt;=2023-01-01", 'Form responses 1'!$A$2:$A1001, "&lt;=2023-03-31"),
    COUNTIFS('Form responses 1'!$D$2:$D1001, A66, 'Form responses 1'!$A$2:$A1001, "&gt;=2023-01-01", 'Form responses 1'!$A$2:$A1001, "&lt;=2023-03-31"),
    COUNTIFS('Form responses 1'!$E$2:$E1001, A66, 'Form responses 1'!$A$2:$A1001, "&gt;=2023-01-01", 'Form responses 1'!$A$2:$A1001, "&lt;=2023-03-31"),
    COUNTIFS('Form responses 1'!$F$2:$F1001, A66, 'Form responses 1'!$A$2:$A1001, "&gt;=2023-01-01", 'Form responses 1'!$A$2:$A1001, "&lt;=2023-03-31"),
    COUNTIFS('Form responses 1'!$G$2:$G1001, A66, 'Form responses 1'!$A$2:$A1001, "&gt;=2023-01-01", 'Form responses 1'!$A$2:$A1001, "&lt;=2023-03-31")
)
</f>
        <v>2</v>
      </c>
      <c r="F66" s="2">
        <f>SUM(
    COUNTIFS('Form responses 1'!$C$2:$C1001, A66, 'Form responses 1'!$A$2:$A1001, "&gt;=2023-04-01", 'Form responses 1'!$A$2:$A1001, "&lt;=2023-06-30"),
    COUNTIFS('Form responses 1'!$B$2:$B1001, A66, 'Form responses 1'!$A$2:$A1001, "&gt;=2023-04-01", 'Form responses 1'!$A$2:$A1001, "&lt;=2023-06-30"),
    COUNTIFS('Form responses 1'!$D$2:$D1001, A66, 'Form responses 1'!$A$2:$A1001, "&gt;=2023-04-01", 'Form responses 1'!$A$2:$A1001, "&lt;=2023-06-30"),
    COUNTIFS('Form responses 1'!$E$2:$E1001, A66, 'Form responses 1'!$A$2:$A1001, "&gt;=2023-04-01", 'Form responses 1'!$A$2:$A1001, "&lt;=2023-06-30"),
    COUNTIFS('Form responses 1'!$F$2:$F1001, A66, 'Form responses 1'!$A$2:$A1001, "&gt;=2023-04-01", 'Form responses 1'!$A$2:$A1001, "&lt;=2023-06-30"),
    COUNTIFS('Form responses 1'!$G$2:$G1001, A66, 'Form responses 1'!$A$2:$A1001, "&gt;=2023-04-01", 'Form responses 1'!$A$2:$A1001, "&lt;=2023-06-30")
)
</f>
        <v>0</v>
      </c>
      <c r="G66" s="2">
        <f>SUM(
    COUNTIFS('Form responses 1'!$C$2:$C1001, A66, 'Form responses 1'!$A$2:$A1001, "&gt;=2023-07-01", 'Form responses 1'!$A$2:$A1001, "&lt;=2023-09-30"),
    COUNTIFS('Form responses 1'!$B$2:$B1001, A66, 'Form responses 1'!$A$2:$A1001, "&gt;=2023-07-01", 'Form responses 1'!$A$2:$A1001, "&lt;=2023-09-30"),
    COUNTIFS('Form responses 1'!$D$2:$D1001, A66, 'Form responses 1'!$A$2:$A1001, "&gt;=2023-07-01", 'Form responses 1'!$A$2:$A1001, "&lt;=2023-09-30"),
    COUNTIFS('Form responses 1'!$E$2:$E1001, A66, 'Form responses 1'!$A$2:$A1001, "&gt;=2023-07-01", 'Form responses 1'!$A$2:$A1001, "&lt;=2023-09-30"),
    COUNTIFS('Form responses 1'!$F$2:$F1001, A66, 'Form responses 1'!$A$2:$A1001, "&gt;=2023-07-01", 'Form responses 1'!$A$2:$A1001, "&lt;=2023-09-30"),
    COUNTIFS('Form responses 1'!$G$2:$G1001, A66, 'Form responses 1'!$A$2:$A1001, "&gt;=2023-07-01", 'Form responses 1'!$A$2:$A1001, "&lt;=2023-09-30")
)
</f>
        <v>1</v>
      </c>
      <c r="H66" s="2">
        <f>SUM(
    COUNTIFS('Form responses 1'!$C$2:$C1001, A66, 'Form responses 1'!$A$2:$A1001, "&gt;=2023-10-01", 'Form responses 1'!$A$2:$A1001, "&lt;=2023-12-31"),
    COUNTIFS('Form responses 1'!$B$2:$B1001, A66, 'Form responses 1'!$A$2:$A1001, "&gt;=2023-10-01", 'Form responses 1'!$A$2:$A1001, "&lt;=2023-12-31"),
    COUNTIFS('Form responses 1'!$D$2:$D1001, A66, 'Form responses 1'!$A$2:$A1001, "&gt;=2023-10-01", 'Form responses 1'!$A$2:$A1001, "&lt;=2023-12-31"),
    COUNTIFS('Form responses 1'!$E$2:$E1001, A66, 'Form responses 1'!$A$2:$A1001, "&gt;=2023-10-01", 'Form responses 1'!$A$2:$A1001, "&lt;=2023-12-31"),
    COUNTIFS('Form responses 1'!$F$2:$F1001, A66, 'Form responses 1'!$A$2:$A1001, "&gt;=2023-10-01", 'Form responses 1'!$A$2:$A1001, "&lt;=2023-12-31"),
    COUNTIFS('Form responses 1'!$G$2:$G1001, A66, 'Form responses 1'!$A$2:$A1001, "&gt;=2023-10-01", 'Form responses 1'!$A$2:$A1001, "&lt;=2023-12-31")
)
</f>
        <v>3</v>
      </c>
      <c r="I66" s="2">
        <f>SUM(
    COUNTIFS('Form responses 1'!$C$2:$C1001, A66, 'Form responses 1'!$A$2:$A1001, "&gt;=2024-01-01", 'Form responses 1'!$A$2:$A1001, "&lt;=2024-03-31"),
    COUNTIFS('Form responses 1'!$B$2:$B1001, A66, 'Form responses 1'!$A$2:$A1001, "&gt;=2024-01-01", 'Form responses 1'!$A$2:$A1001, "&lt;=2024-03-31"),
    COUNTIFS('Form responses 1'!$D$2:$D1001, A66, 'Form responses 1'!$A$2:$A1001, "&gt;=2024-01-01", 'Form responses 1'!$A$2:$A1001, "&lt;=2024-03-31"),
    COUNTIFS('Form responses 1'!$E$2:$E1001, A66, 'Form responses 1'!$A$2:$A1001, "&gt;=2024-01-01", 'Form responses 1'!$A$2:$A1001, "&lt;=2024-03-31"),
    COUNTIFS('Form responses 1'!$F$2:$F1001, A66, 'Form responses 1'!$A$2:$A1001, "&gt;=2024-01-01", 'Form responses 1'!$A$2:$A1001, "&lt;=2024-03-31"),
    COUNTIFS('Form responses 1'!$G$2:$G1001, A66, 'Form responses 1'!$A$2:$A1001, "&gt;=2024-01-01", 'Form responses 1'!$A$2:$A1001, "&lt;=2024-03-31")
)
</f>
        <v>2</v>
      </c>
      <c r="J66" s="2">
        <f>SUM(
    COUNTIFS('Form responses 1'!$C$2:$C1001, A66, 'Form responses 1'!$A$2:$A1001, "&gt;=2024-04-01", 'Form responses 1'!$A$2:$A1001, "&lt;=2024-06-30"),
    COUNTIFS('Form responses 1'!$B$2:$B1001, A66, 'Form responses 1'!$A$2:$A1001, "&gt;=2024-04-01", 'Form responses 1'!$A$2:$A1001, "&lt;=2024-06-30"),
    COUNTIFS('Form responses 1'!$D$2:$D1001, A66, 'Form responses 1'!$A$2:$A1001, "&gt;=2024-04-01", 'Form responses 1'!$A$2:$A1001, "&lt;=2024-06-30"),
    COUNTIFS('Form responses 1'!$E$2:$E1001, A66, 'Form responses 1'!$A$2:$A1001, "&gt;=2024-04-01", 'Form responses 1'!$A$2:$A1001, "&lt;=2024-06-30"),
    COUNTIFS('Form responses 1'!$F$2:$F1001, A66, 'Form responses 1'!$A$2:$A1001, "&gt;=2024-04-01", 'Form responses 1'!$A$2:$A1001, "&lt;=2024-06-30"),
    COUNTIFS('Form responses 1'!$G$2:$G1001, A66, 'Form responses 1'!$A$2:$A1001, "&gt;=2024-04-01", 'Form responses 1'!$A$2:$A1001, "&lt;=2024-06-30")
)
</f>
        <v>0</v>
      </c>
      <c r="K66" s="2">
        <f>SUM(
    COUNTIFS('Form responses 1'!$C$2:$C1001, A66, 'Form responses 1'!$A$2:$A1001, "&gt;=2024-07-01", 'Form responses 1'!$A$2:$A1001, "&lt;=2024-09-30"),
    COUNTIFS('Form responses 1'!$B$2:$B1001, A66, 'Form responses 1'!$A$2:$A1001, "&gt;=2024-07-01", 'Form responses 1'!$A$2:$A1001, "&lt;=2024-09-30"),
    COUNTIFS('Form responses 1'!$D$2:$D1001, A66, 'Form responses 1'!$A$2:$A1001, "&gt;=2024-07-01", 'Form responses 1'!$A$2:$A1001, "&lt;=2024-09-30"),
    COUNTIFS('Form responses 1'!$E$2:$E1001, A66, 'Form responses 1'!$A$2:$A1001, "&gt;=2024-07-01", 'Form responses 1'!$A$2:$A1001, "&lt;=2024-09-30"),
    COUNTIFS('Form responses 1'!$F$2:$F1001, A66, 'Form responses 1'!$A$2:$A1001, "&gt;=2024-07-01", 'Form responses 1'!$A$2:$A1001, "&lt;=2024-09-30"),
    COUNTIFS('Form responses 1'!$G$2:$G1001, A66, 'Form responses 1'!$A$2:$A1001, "&gt;=2024-07-01", 'Form responses 1'!$A$2:$A1001, "&lt;=2024-09-30")
)
</f>
        <v>0</v>
      </c>
      <c r="L66" s="2">
        <f>SUM(
    COUNTIFS('Form responses 1'!$C$2:$C1001, A66, 'Form responses 1'!$A$2:$A1001, "&gt;=2024-10-01", 'Form responses 1'!$A$2:$A1001, "&lt;=2024-12-31"),
    COUNTIFS('Form responses 1'!$B$2:$B1001, A66, 'Form responses 1'!$A$2:$A1001, "&gt;=2024-10-01", 'Form responses 1'!$A$2:$A1001, "&lt;=2024-12-31"),
    COUNTIFS('Form responses 1'!$D$2:$D1001, A66, 'Form responses 1'!$A$2:$A1001, "&gt;=2024-10-01", 'Form responses 1'!$A$2:$A1001, "&lt;=2024-12-31"),
    COUNTIFS('Form responses 1'!$E$2:$E1001, A66, 'Form responses 1'!$A$2:$A1001, "&gt;=2024-10-01", 'Form responses 1'!$A$2:$A1001, "&lt;=2024-12-31"),
    COUNTIFS('Form responses 1'!$F$2:$F1001, A66, 'Form responses 1'!$A$2:$A1001, "&gt;=2024-10-01", 'Form responses 1'!$A$2:$A1001, "&lt;=2024-12-31"),
    COUNTIFS('Form responses 1'!$G$2:$G1001, A66, 'Form responses 1'!$A$2:$A1001, "&gt;=2024-10-01", 'Form responses 1'!$A$2:$A1001, "&lt;=2024-12-31")
)
</f>
        <v>1</v>
      </c>
      <c r="M66" s="2">
        <f>SUM(
    COUNTIFS('Form responses 1'!$C$2:$C1001, A66, 'Form responses 1'!$A$2:$A1001, "&gt;=2025-01-01", 'Form responses 1'!$A$2:$A1001, "&lt;=2025-03-31"),
    COUNTIFS('Form responses 1'!$B$2:$B1001, A66, 'Form responses 1'!$A$2:$A1001, "&gt;=2025-01-01", 'Form responses 1'!$A$2:$A1001, "&lt;=2025-03-31"),
    COUNTIFS('Form responses 1'!$D$2:$D1001, A66, 'Form responses 1'!$A$2:$A1001, "&gt;=2025-01-01", 'Form responses 1'!$A$2:$A1001, "&lt;=2025-03-31"),
    COUNTIFS('Form responses 1'!$E$2:$E1001, A66, 'Form responses 1'!$A$2:$A1001, "&gt;=2025-01-01", 'Form responses 1'!$A$2:$A1001, "&lt;=2025-03-31"),
    COUNTIFS('Form responses 1'!$F$2:$F1001, A66, 'Form responses 1'!$A$2:$A1001, "&gt;=2025-01-01", 'Form responses 1'!$A$2:$A1001, "&lt;=2025-03-31"),
    COUNTIFS('Form responses 1'!$G$2:$G1001, A66, 'Form responses 1'!$A$2:$A1001, "&gt;=2025-01-01", 'Form responses 1'!$A$2:$A1001, "&lt;=2025-03-31")
)
</f>
        <v>1</v>
      </c>
      <c r="N66" s="2">
        <f>SUM(
    COUNTIFS('Form responses 1'!$C$2:$C1001, A66, 'Form responses 1'!$A$2:$A1001, "&gt;=2025-04-01", 'Form responses 1'!$A$2:$A1001, "&lt;2025-07-01"),
    COUNTIFS('Form responses 1'!$B$2:$B1001, A66, 'Form responses 1'!$A$2:$A1001, "&gt;=2025-04-01", 'Form responses 1'!$A$2:$A1001, "&lt;2025-07-01"),
    COUNTIFS('Form responses 1'!$D$2:$D1001, A66, 'Form responses 1'!$A$2:$A1001, "&gt;=2025-04-01", 'Form responses 1'!$A$2:$A1001, "&lt;2025-07-01"),
    COUNTIFS('Form responses 1'!$E$2:$E1001, A66, 'Form responses 1'!$A$2:$A1001, "&gt;=2025-04-01", 'Form responses 1'!$A$2:$A1001, "&lt;2025-07-01"),
    COUNTIFS('Form responses 1'!$F$2:$F1001, A66, 'Form responses 1'!$A$2:$A1001, "&gt;=2025-04-01", 'Form responses 1'!$A$2:$A1001, "&lt;2025-07-01"),
    COUNTIFS('Form responses 1'!$G$2:$G1001, A66, 'Form responses 1'!$A$2:$A1001, "&gt;=2025-04-01", 'Form responses 1'!$A$2:$A1001, "&lt;2025-07-01")
)
</f>
        <v>0</v>
      </c>
      <c r="O66" s="2">
        <f>SUM(
    COUNTIFS('Form responses 1'!$C$2:$C1001, A66, 'Form responses 1'!$A$2:$A1001, "&gt;=2025-07-01", 'Form responses 1'!$A$2:$A1001, "&lt;=2025-09-30"),
    COUNTIFS('Form responses 1'!$B$2:$B1001, A66, 'Form responses 1'!$A$2:$A1001, "&gt;=2025-07-01", 'Form responses 1'!$A$2:$A1001, "&lt;=2025-09-30"),
    COUNTIFS('Form responses 1'!$D$2:$D1001, A66, 'Form responses 1'!$A$2:$A1001, "&gt;=2025-07-01", 'Form responses 1'!$A$2:$A1001, "&lt;=2025-09-30"),
    COUNTIFS('Form responses 1'!$E$2:$E1001, A66, 'Form responses 1'!$A$2:$A1001, "&gt;=2025-07-01", 'Form responses 1'!$A$2:$A1001, "&lt;=2025-09-30"),
    COUNTIFS('Form responses 1'!$F$2:$F1001, A66, 'Form responses 1'!$A$2:$A1001, "&gt;=2025-07-01", 'Form responses 1'!$A$2:$A1001, "&lt;=2025-09-30"),
    COUNTIFS('Form responses 1'!$G$2:$G1001, A66, 'Form responses 1'!$A$2:$A1001, "&gt;=2025-07-01", 'Form responses 1'!$A$2:$A1001, "&lt;=2025-09-30")
)
</f>
        <v>0</v>
      </c>
      <c r="P66" s="2">
        <f>SUM(
    COUNTIFS('Form responses 1'!$C$2:$C1001, A66, 'Form responses 1'!$A$2:$A1001, "&gt;=2025-10-01", 'Form responses 1'!$A$2:$A1001, "&lt;=2025-12-31"),
    COUNTIFS('Form responses 1'!$B$2:$B1001, A66, 'Form responses 1'!$A$2:$A1001, "&gt;=2025-10-01", 'Form responses 1'!$A$2:$A1001, "&lt;=2025-12-31"),
    COUNTIFS('Form responses 1'!$D$2:$D1001, A66, 'Form responses 1'!$A$2:$A1001, "&gt;=2025-10-01", 'Form responses 1'!$A$2:$A1001, "&lt;=2025-12-31"),
    COUNTIFS('Form responses 1'!$E$2:$E1001, A66, 'Form responses 1'!$A$2:$A1001, "&gt;=2025-10-01", 'Form responses 1'!$A$2:$A1001, "&lt;=2025-12-31"),
    COUNTIFS('Form responses 1'!$F$2:$F1001, A66, 'Form responses 1'!$A$2:$A1001, "&gt;=2025-10-01", 'Form responses 1'!$A$2:$A1001, "&lt;=2025-12-31"),
    COUNTIFS('Form responses 1'!$G$2:$G1001, A66, 'Form responses 1'!$A$2:$A1001, "&gt;=2025-10-01", 'Form responses 1'!$A$2:$A1001, "&lt;=2025-12-31")
)
</f>
        <v>0</v>
      </c>
    </row>
    <row r="67">
      <c r="A67" s="6" t="str">
        <f>IFERROR(__xludf.DUMMYFUNCTION("""COMPUTED_VALUE"""),"Witte blouse, zwarte strepen")</f>
        <v>Witte blouse, zwarte strepen</v>
      </c>
      <c r="B67" s="2">
        <f>SUM(
    COUNTIFS('Form responses 1'!$C$2:$C1001, A67, 'Form responses 1'!$A$2:$A1001, "&gt;=2022-04-01", 'Form responses 1'!$A$2:$A1001, "&lt;=2022-06-30"),
    COUNTIFS('Form responses 1'!$B$2:$B1001, A67, 'Form responses 1'!$A$2:$A1001, "&gt;=2022-04-01", 'Form responses 1'!$A$2:$A1001, "&lt;=2022-06-30"),
    COUNTIFS('Form responses 1'!$D$2:$D1001, A67, 'Form responses 1'!$A$2:$A1001, "&gt;=2022-04-01", 'Form responses 1'!$A$2:$A1001, "&lt;=2022-06-30"),
    COUNTIFS('Form responses 1'!$E$2:$E1001, A67, 'Form responses 1'!$A$2:$A1001, "&gt;=2022-04-01", 'Form responses 1'!$A$2:$A1001, "&lt;=2022-06-30"),
    COUNTIFS('Form responses 1'!$F$2:$F1001, A67, 'Form responses 1'!$A$2:$A1001, "&gt;=2022-04-01", 'Form responses 1'!$A$2:$A1001, "&lt;=2022-06-30"),
    COUNTIFS('Form responses 1'!$G$2:$G1001, A67, 'Form responses 1'!$A$2:$A1001, "&gt;=2022-04-01", 'Form responses 1'!$A$2:$A1001, "&lt;=2022-06-30")
)
</f>
        <v>0</v>
      </c>
      <c r="C67" s="2">
        <f>SUM(
    COUNTIFS('Form responses 1'!$C$2:$C1001, A67, 'Form responses 1'!$A$2:$A1001, "&gt;=2022-07-01", 'Form responses 1'!$A$2:$A1001, "&lt;=2022-09-30"),
    COUNTIFS('Form responses 1'!$B$2:$B1001, A67, 'Form responses 1'!$A$2:$A1001, "&gt;=2022-07-01", 'Form responses 1'!$A$2:$A1001, "&lt;=2022-09-30"),
    COUNTIFS('Form responses 1'!$D$2:$D1001, A67, 'Form responses 1'!$A$2:$A1001, "&gt;=2022-07-01", 'Form responses 1'!$A$2:$A1001, "&lt;=2022-09-30"),
    COUNTIFS('Form responses 1'!$E$2:$E1001, A67, 'Form responses 1'!$A$2:$A1001, "&gt;=2022-07-01", 'Form responses 1'!$A$2:$A1001, "&lt;=2022-09-30"),
    COUNTIFS('Form responses 1'!$F$2:$F1001, A67, 'Form responses 1'!$A$2:$A1001, "&gt;=2022-07-01", 'Form responses 1'!$A$2:$A1001, "&lt;=2022-09-30"),
    COUNTIFS('Form responses 1'!$G$2:$G1001, A67, 'Form responses 1'!$A$2:$A1001, "&gt;=2022-07-01", 'Form responses 1'!$A$2:$A1001, "&lt;=2022-09-30")
)
</f>
        <v>0</v>
      </c>
      <c r="D67" s="2">
        <f>SUM(
    COUNTIFS('Form responses 1'!$C$2:$C1001, A67, 'Form responses 1'!$A$2:$A1001, "&gt;=2022-10-01", 'Form responses 1'!$A$2:$A1001, "&lt;=2022-12-31"),
    COUNTIFS('Form responses 1'!$B$2:$B1001, A67, 'Form responses 1'!$A$2:$A1001, "&gt;=2022-10-01", 'Form responses 1'!$A$2:$A1001, "&lt;=2022-12-31"),
    COUNTIFS('Form responses 1'!$D$2:$D1001, A67, 'Form responses 1'!$A$2:$A1001, "&gt;=2022-10-01", 'Form responses 1'!$A$2:$A1001, "&lt;=2022-12-31"),
    COUNTIFS('Form responses 1'!$E$2:$E1001, A67, 'Form responses 1'!$A$2:$A1001, "&gt;=2022-10-01", 'Form responses 1'!$A$2:$A1001, "&lt;=2022-12-31"),
    COUNTIFS('Form responses 1'!$F$2:$F1001, A67, 'Form responses 1'!$A$2:$A1001, "&gt;=2022-10-01", 'Form responses 1'!$A$2:$A1001, "&lt;=2022-12-31"),
    COUNTIFS('Form responses 1'!$G$2:$G1001, A67, 'Form responses 1'!$A$2:$A1001, "&gt;=2022-10-01", 'Form responses 1'!$A$2:$A1001, "&lt;=2022-12-31")
)
</f>
        <v>0</v>
      </c>
      <c r="E67" s="2">
        <f>SUM(
    COUNTIFS('Form responses 1'!$C$2:$C1001, A67, 'Form responses 1'!$A$2:$A1001, "&gt;=2023-01-01", 'Form responses 1'!$A$2:$A1001, "&lt;=2023-03-31"),
    COUNTIFS('Form responses 1'!$B$2:$B1001, A67, 'Form responses 1'!$A$2:$A1001, "&gt;=2023-01-01", 'Form responses 1'!$A$2:$A1001, "&lt;=2023-03-31"),
    COUNTIFS('Form responses 1'!$D$2:$D1001, A67, 'Form responses 1'!$A$2:$A1001, "&gt;=2023-01-01", 'Form responses 1'!$A$2:$A1001, "&lt;=2023-03-31"),
    COUNTIFS('Form responses 1'!$E$2:$E1001, A67, 'Form responses 1'!$A$2:$A1001, "&gt;=2023-01-01", 'Form responses 1'!$A$2:$A1001, "&lt;=2023-03-31"),
    COUNTIFS('Form responses 1'!$F$2:$F1001, A67, 'Form responses 1'!$A$2:$A1001, "&gt;=2023-01-01", 'Form responses 1'!$A$2:$A1001, "&lt;=2023-03-31"),
    COUNTIFS('Form responses 1'!$G$2:$G1001, A67, 'Form responses 1'!$A$2:$A1001, "&gt;=2023-01-01", 'Form responses 1'!$A$2:$A1001, "&lt;=2023-03-31")
)
</f>
        <v>0</v>
      </c>
      <c r="F67" s="2">
        <f>SUM(
    COUNTIFS('Form responses 1'!$C$2:$C1001, A67, 'Form responses 1'!$A$2:$A1001, "&gt;=2023-04-01", 'Form responses 1'!$A$2:$A1001, "&lt;=2023-06-30"),
    COUNTIFS('Form responses 1'!$B$2:$B1001, A67, 'Form responses 1'!$A$2:$A1001, "&gt;=2023-04-01", 'Form responses 1'!$A$2:$A1001, "&lt;=2023-06-30"),
    COUNTIFS('Form responses 1'!$D$2:$D1001, A67, 'Form responses 1'!$A$2:$A1001, "&gt;=2023-04-01", 'Form responses 1'!$A$2:$A1001, "&lt;=2023-06-30"),
    COUNTIFS('Form responses 1'!$E$2:$E1001, A67, 'Form responses 1'!$A$2:$A1001, "&gt;=2023-04-01", 'Form responses 1'!$A$2:$A1001, "&lt;=2023-06-30"),
    COUNTIFS('Form responses 1'!$F$2:$F1001, A67, 'Form responses 1'!$A$2:$A1001, "&gt;=2023-04-01", 'Form responses 1'!$A$2:$A1001, "&lt;=2023-06-30"),
    COUNTIFS('Form responses 1'!$G$2:$G1001, A67, 'Form responses 1'!$A$2:$A1001, "&gt;=2023-04-01", 'Form responses 1'!$A$2:$A1001, "&lt;=2023-06-30")
)
</f>
        <v>0</v>
      </c>
      <c r="G67" s="2">
        <f>SUM(
    COUNTIFS('Form responses 1'!$C$2:$C1001, A67, 'Form responses 1'!$A$2:$A1001, "&gt;=2023-07-01", 'Form responses 1'!$A$2:$A1001, "&lt;=2023-09-30"),
    COUNTIFS('Form responses 1'!$B$2:$B1001, A67, 'Form responses 1'!$A$2:$A1001, "&gt;=2023-07-01", 'Form responses 1'!$A$2:$A1001, "&lt;=2023-09-30"),
    COUNTIFS('Form responses 1'!$D$2:$D1001, A67, 'Form responses 1'!$A$2:$A1001, "&gt;=2023-07-01", 'Form responses 1'!$A$2:$A1001, "&lt;=2023-09-30"),
    COUNTIFS('Form responses 1'!$E$2:$E1001, A67, 'Form responses 1'!$A$2:$A1001, "&gt;=2023-07-01", 'Form responses 1'!$A$2:$A1001, "&lt;=2023-09-30"),
    COUNTIFS('Form responses 1'!$F$2:$F1001, A67, 'Form responses 1'!$A$2:$A1001, "&gt;=2023-07-01", 'Form responses 1'!$A$2:$A1001, "&lt;=2023-09-30"),
    COUNTIFS('Form responses 1'!$G$2:$G1001, A67, 'Form responses 1'!$A$2:$A1001, "&gt;=2023-07-01", 'Form responses 1'!$A$2:$A1001, "&lt;=2023-09-30")
)
</f>
        <v>0</v>
      </c>
      <c r="H67" s="2">
        <f>SUM(
    COUNTIFS('Form responses 1'!$C$2:$C1001, A67, 'Form responses 1'!$A$2:$A1001, "&gt;=2023-10-01", 'Form responses 1'!$A$2:$A1001, "&lt;=2023-12-31"),
    COUNTIFS('Form responses 1'!$B$2:$B1001, A67, 'Form responses 1'!$A$2:$A1001, "&gt;=2023-10-01", 'Form responses 1'!$A$2:$A1001, "&lt;=2023-12-31"),
    COUNTIFS('Form responses 1'!$D$2:$D1001, A67, 'Form responses 1'!$A$2:$A1001, "&gt;=2023-10-01", 'Form responses 1'!$A$2:$A1001, "&lt;=2023-12-31"),
    COUNTIFS('Form responses 1'!$E$2:$E1001, A67, 'Form responses 1'!$A$2:$A1001, "&gt;=2023-10-01", 'Form responses 1'!$A$2:$A1001, "&lt;=2023-12-31"),
    COUNTIFS('Form responses 1'!$F$2:$F1001, A67, 'Form responses 1'!$A$2:$A1001, "&gt;=2023-10-01", 'Form responses 1'!$A$2:$A1001, "&lt;=2023-12-31"),
    COUNTIFS('Form responses 1'!$G$2:$G1001, A67, 'Form responses 1'!$A$2:$A1001, "&gt;=2023-10-01", 'Form responses 1'!$A$2:$A1001, "&lt;=2023-12-31")
)
</f>
        <v>0</v>
      </c>
      <c r="I67" s="2">
        <f>SUM(
    COUNTIFS('Form responses 1'!$C$2:$C1001, A67, 'Form responses 1'!$A$2:$A1001, "&gt;=2024-01-01", 'Form responses 1'!$A$2:$A1001, "&lt;=2024-03-31"),
    COUNTIFS('Form responses 1'!$B$2:$B1001, A67, 'Form responses 1'!$A$2:$A1001, "&gt;=2024-01-01", 'Form responses 1'!$A$2:$A1001, "&lt;=2024-03-31"),
    COUNTIFS('Form responses 1'!$D$2:$D1001, A67, 'Form responses 1'!$A$2:$A1001, "&gt;=2024-01-01", 'Form responses 1'!$A$2:$A1001, "&lt;=2024-03-31"),
    COUNTIFS('Form responses 1'!$E$2:$E1001, A67, 'Form responses 1'!$A$2:$A1001, "&gt;=2024-01-01", 'Form responses 1'!$A$2:$A1001, "&lt;=2024-03-31"),
    COUNTIFS('Form responses 1'!$F$2:$F1001, A67, 'Form responses 1'!$A$2:$A1001, "&gt;=2024-01-01", 'Form responses 1'!$A$2:$A1001, "&lt;=2024-03-31"),
    COUNTIFS('Form responses 1'!$G$2:$G1001, A67, 'Form responses 1'!$A$2:$A1001, "&gt;=2024-01-01", 'Form responses 1'!$A$2:$A1001, "&lt;=2024-03-31")
)
</f>
        <v>0</v>
      </c>
      <c r="J67" s="2">
        <f>SUM(
    COUNTIFS('Form responses 1'!$C$2:$C1001, A67, 'Form responses 1'!$A$2:$A1001, "&gt;=2024-04-01", 'Form responses 1'!$A$2:$A1001, "&lt;=2024-06-30"),
    COUNTIFS('Form responses 1'!$B$2:$B1001, A67, 'Form responses 1'!$A$2:$A1001, "&gt;=2024-04-01", 'Form responses 1'!$A$2:$A1001, "&lt;=2024-06-30"),
    COUNTIFS('Form responses 1'!$D$2:$D1001, A67, 'Form responses 1'!$A$2:$A1001, "&gt;=2024-04-01", 'Form responses 1'!$A$2:$A1001, "&lt;=2024-06-30"),
    COUNTIFS('Form responses 1'!$E$2:$E1001, A67, 'Form responses 1'!$A$2:$A1001, "&gt;=2024-04-01", 'Form responses 1'!$A$2:$A1001, "&lt;=2024-06-30"),
    COUNTIFS('Form responses 1'!$F$2:$F1001, A67, 'Form responses 1'!$A$2:$A1001, "&gt;=2024-04-01", 'Form responses 1'!$A$2:$A1001, "&lt;=2024-06-30"),
    COUNTIFS('Form responses 1'!$G$2:$G1001, A67, 'Form responses 1'!$A$2:$A1001, "&gt;=2024-04-01", 'Form responses 1'!$A$2:$A1001, "&lt;=2024-06-30")
)
</f>
        <v>0</v>
      </c>
      <c r="K67" s="2">
        <f>SUM(
    COUNTIFS('Form responses 1'!$C$2:$C1001, A67, 'Form responses 1'!$A$2:$A1001, "&gt;=2024-07-01", 'Form responses 1'!$A$2:$A1001, "&lt;=2024-09-30"),
    COUNTIFS('Form responses 1'!$B$2:$B1001, A67, 'Form responses 1'!$A$2:$A1001, "&gt;=2024-07-01", 'Form responses 1'!$A$2:$A1001, "&lt;=2024-09-30"),
    COUNTIFS('Form responses 1'!$D$2:$D1001, A67, 'Form responses 1'!$A$2:$A1001, "&gt;=2024-07-01", 'Form responses 1'!$A$2:$A1001, "&lt;=2024-09-30"),
    COUNTIFS('Form responses 1'!$E$2:$E1001, A67, 'Form responses 1'!$A$2:$A1001, "&gt;=2024-07-01", 'Form responses 1'!$A$2:$A1001, "&lt;=2024-09-30"),
    COUNTIFS('Form responses 1'!$F$2:$F1001, A67, 'Form responses 1'!$A$2:$A1001, "&gt;=2024-07-01", 'Form responses 1'!$A$2:$A1001, "&lt;=2024-09-30"),
    COUNTIFS('Form responses 1'!$G$2:$G1001, A67, 'Form responses 1'!$A$2:$A1001, "&gt;=2024-07-01", 'Form responses 1'!$A$2:$A1001, "&lt;=2024-09-30")
)
</f>
        <v>0</v>
      </c>
      <c r="L67" s="2">
        <f>SUM(
    COUNTIFS('Form responses 1'!$C$2:$C1001, A67, 'Form responses 1'!$A$2:$A1001, "&gt;=2024-10-01", 'Form responses 1'!$A$2:$A1001, "&lt;=2024-12-31"),
    COUNTIFS('Form responses 1'!$B$2:$B1001, A67, 'Form responses 1'!$A$2:$A1001, "&gt;=2024-10-01", 'Form responses 1'!$A$2:$A1001, "&lt;=2024-12-31"),
    COUNTIFS('Form responses 1'!$D$2:$D1001, A67, 'Form responses 1'!$A$2:$A1001, "&gt;=2024-10-01", 'Form responses 1'!$A$2:$A1001, "&lt;=2024-12-31"),
    COUNTIFS('Form responses 1'!$E$2:$E1001, A67, 'Form responses 1'!$A$2:$A1001, "&gt;=2024-10-01", 'Form responses 1'!$A$2:$A1001, "&lt;=2024-12-31"),
    COUNTIFS('Form responses 1'!$F$2:$F1001, A67, 'Form responses 1'!$A$2:$A1001, "&gt;=2024-10-01", 'Form responses 1'!$A$2:$A1001, "&lt;=2024-12-31"),
    COUNTIFS('Form responses 1'!$G$2:$G1001, A67, 'Form responses 1'!$A$2:$A1001, "&gt;=2024-10-01", 'Form responses 1'!$A$2:$A1001, "&lt;=2024-12-31")
)
</f>
        <v>0</v>
      </c>
      <c r="M67" s="2">
        <f>SUM(
    COUNTIFS('Form responses 1'!$C$2:$C1001, A67, 'Form responses 1'!$A$2:$A1001, "&gt;=2025-01-01", 'Form responses 1'!$A$2:$A1001, "&lt;=2025-03-31"),
    COUNTIFS('Form responses 1'!$B$2:$B1001, A67, 'Form responses 1'!$A$2:$A1001, "&gt;=2025-01-01", 'Form responses 1'!$A$2:$A1001, "&lt;=2025-03-31"),
    COUNTIFS('Form responses 1'!$D$2:$D1001, A67, 'Form responses 1'!$A$2:$A1001, "&gt;=2025-01-01", 'Form responses 1'!$A$2:$A1001, "&lt;=2025-03-31"),
    COUNTIFS('Form responses 1'!$E$2:$E1001, A67, 'Form responses 1'!$A$2:$A1001, "&gt;=2025-01-01", 'Form responses 1'!$A$2:$A1001, "&lt;=2025-03-31"),
    COUNTIFS('Form responses 1'!$F$2:$F1001, A67, 'Form responses 1'!$A$2:$A1001, "&gt;=2025-01-01", 'Form responses 1'!$A$2:$A1001, "&lt;=2025-03-31"),
    COUNTIFS('Form responses 1'!$G$2:$G1001, A67, 'Form responses 1'!$A$2:$A1001, "&gt;=2025-01-01", 'Form responses 1'!$A$2:$A1001, "&lt;=2025-03-31")
)
</f>
        <v>0</v>
      </c>
      <c r="N67" s="2">
        <f>SUM(
    COUNTIFS('Form responses 1'!$C$2:$C1001, A67, 'Form responses 1'!$A$2:$A1001, "&gt;=2025-04-01", 'Form responses 1'!$A$2:$A1001, "&lt;2025-07-01"),
    COUNTIFS('Form responses 1'!$B$2:$B1001, A67, 'Form responses 1'!$A$2:$A1001, "&gt;=2025-04-01", 'Form responses 1'!$A$2:$A1001, "&lt;2025-07-01"),
    COUNTIFS('Form responses 1'!$D$2:$D1001, A67, 'Form responses 1'!$A$2:$A1001, "&gt;=2025-04-01", 'Form responses 1'!$A$2:$A1001, "&lt;2025-07-01"),
    COUNTIFS('Form responses 1'!$E$2:$E1001, A67, 'Form responses 1'!$A$2:$A1001, "&gt;=2025-04-01", 'Form responses 1'!$A$2:$A1001, "&lt;2025-07-01"),
    COUNTIFS('Form responses 1'!$F$2:$F1001, A67, 'Form responses 1'!$A$2:$A1001, "&gt;=2025-04-01", 'Form responses 1'!$A$2:$A1001, "&lt;2025-07-01"),
    COUNTIFS('Form responses 1'!$G$2:$G1001, A67, 'Form responses 1'!$A$2:$A1001, "&gt;=2025-04-01", 'Form responses 1'!$A$2:$A1001, "&lt;2025-07-01")
)
</f>
        <v>0</v>
      </c>
      <c r="O67" s="2">
        <f>SUM(
    COUNTIFS('Form responses 1'!$C$2:$C1001, A67, 'Form responses 1'!$A$2:$A1001, "&gt;=2025-07-01", 'Form responses 1'!$A$2:$A1001, "&lt;=2025-09-30"),
    COUNTIFS('Form responses 1'!$B$2:$B1001, A67, 'Form responses 1'!$A$2:$A1001, "&gt;=2025-07-01", 'Form responses 1'!$A$2:$A1001, "&lt;=2025-09-30"),
    COUNTIFS('Form responses 1'!$D$2:$D1001, A67, 'Form responses 1'!$A$2:$A1001, "&gt;=2025-07-01", 'Form responses 1'!$A$2:$A1001, "&lt;=2025-09-30"),
    COUNTIFS('Form responses 1'!$E$2:$E1001, A67, 'Form responses 1'!$A$2:$A1001, "&gt;=2025-07-01", 'Form responses 1'!$A$2:$A1001, "&lt;=2025-09-30"),
    COUNTIFS('Form responses 1'!$F$2:$F1001, A67, 'Form responses 1'!$A$2:$A1001, "&gt;=2025-07-01", 'Form responses 1'!$A$2:$A1001, "&lt;=2025-09-30"),
    COUNTIFS('Form responses 1'!$G$2:$G1001, A67, 'Form responses 1'!$A$2:$A1001, "&gt;=2025-07-01", 'Form responses 1'!$A$2:$A1001, "&lt;=2025-09-30")
)
</f>
        <v>0</v>
      </c>
      <c r="P67" s="2">
        <f>SUM(
    COUNTIFS('Form responses 1'!$C$2:$C1001, A67, 'Form responses 1'!$A$2:$A1001, "&gt;=2025-10-01", 'Form responses 1'!$A$2:$A1001, "&lt;=2025-12-31"),
    COUNTIFS('Form responses 1'!$B$2:$B1001, A67, 'Form responses 1'!$A$2:$A1001, "&gt;=2025-10-01", 'Form responses 1'!$A$2:$A1001, "&lt;=2025-12-31"),
    COUNTIFS('Form responses 1'!$D$2:$D1001, A67, 'Form responses 1'!$A$2:$A1001, "&gt;=2025-10-01", 'Form responses 1'!$A$2:$A1001, "&lt;=2025-12-31"),
    COUNTIFS('Form responses 1'!$E$2:$E1001, A67, 'Form responses 1'!$A$2:$A1001, "&gt;=2025-10-01", 'Form responses 1'!$A$2:$A1001, "&lt;=2025-12-31"),
    COUNTIFS('Form responses 1'!$F$2:$F1001, A67, 'Form responses 1'!$A$2:$A1001, "&gt;=2025-10-01", 'Form responses 1'!$A$2:$A1001, "&lt;=2025-12-31"),
    COUNTIFS('Form responses 1'!$G$2:$G1001, A67, 'Form responses 1'!$A$2:$A1001, "&gt;=2025-10-01", 'Form responses 1'!$A$2:$A1001, "&lt;=2025-12-31")
)
</f>
        <v>0</v>
      </c>
    </row>
    <row r="68">
      <c r="A68" s="6" t="str">
        <f>IFERROR(__xludf.DUMMYFUNCTION("""COMPUTED_VALUE"""),"Witte blouse oud")</f>
        <v>Witte blouse oud</v>
      </c>
      <c r="B68" s="2">
        <f>SUM(
    COUNTIFS('Form responses 1'!$C$2:$C1001, A68, 'Form responses 1'!$A$2:$A1001, "&gt;=2022-04-01", 'Form responses 1'!$A$2:$A1001, "&lt;=2022-06-30"),
    COUNTIFS('Form responses 1'!$B$2:$B1001, A68, 'Form responses 1'!$A$2:$A1001, "&gt;=2022-04-01", 'Form responses 1'!$A$2:$A1001, "&lt;=2022-06-30"),
    COUNTIFS('Form responses 1'!$D$2:$D1001, A68, 'Form responses 1'!$A$2:$A1001, "&gt;=2022-04-01", 'Form responses 1'!$A$2:$A1001, "&lt;=2022-06-30"),
    COUNTIFS('Form responses 1'!$E$2:$E1001, A68, 'Form responses 1'!$A$2:$A1001, "&gt;=2022-04-01", 'Form responses 1'!$A$2:$A1001, "&lt;=2022-06-30"),
    COUNTIFS('Form responses 1'!$F$2:$F1001, A68, 'Form responses 1'!$A$2:$A1001, "&gt;=2022-04-01", 'Form responses 1'!$A$2:$A1001, "&lt;=2022-06-30"),
    COUNTIFS('Form responses 1'!$G$2:$G1001, A68, 'Form responses 1'!$A$2:$A1001, "&gt;=2022-04-01", 'Form responses 1'!$A$2:$A1001, "&lt;=2022-06-30")
)
</f>
        <v>0</v>
      </c>
      <c r="C68" s="2">
        <f>SUM(
    COUNTIFS('Form responses 1'!$C$2:$C1001, A68, 'Form responses 1'!$A$2:$A1001, "&gt;=2022-07-01", 'Form responses 1'!$A$2:$A1001, "&lt;=2022-09-30"),
    COUNTIFS('Form responses 1'!$B$2:$B1001, A68, 'Form responses 1'!$A$2:$A1001, "&gt;=2022-07-01", 'Form responses 1'!$A$2:$A1001, "&lt;=2022-09-30"),
    COUNTIFS('Form responses 1'!$D$2:$D1001, A68, 'Form responses 1'!$A$2:$A1001, "&gt;=2022-07-01", 'Form responses 1'!$A$2:$A1001, "&lt;=2022-09-30"),
    COUNTIFS('Form responses 1'!$E$2:$E1001, A68, 'Form responses 1'!$A$2:$A1001, "&gt;=2022-07-01", 'Form responses 1'!$A$2:$A1001, "&lt;=2022-09-30"),
    COUNTIFS('Form responses 1'!$F$2:$F1001, A68, 'Form responses 1'!$A$2:$A1001, "&gt;=2022-07-01", 'Form responses 1'!$A$2:$A1001, "&lt;=2022-09-30"),
    COUNTIFS('Form responses 1'!$G$2:$G1001, A68, 'Form responses 1'!$A$2:$A1001, "&gt;=2022-07-01", 'Form responses 1'!$A$2:$A1001, "&lt;=2022-09-30")
)
</f>
        <v>0</v>
      </c>
      <c r="D68" s="2">
        <f>SUM(
    COUNTIFS('Form responses 1'!$C$2:$C1001, A68, 'Form responses 1'!$A$2:$A1001, "&gt;=2022-10-01", 'Form responses 1'!$A$2:$A1001, "&lt;=2022-12-31"),
    COUNTIFS('Form responses 1'!$B$2:$B1001, A68, 'Form responses 1'!$A$2:$A1001, "&gt;=2022-10-01", 'Form responses 1'!$A$2:$A1001, "&lt;=2022-12-31"),
    COUNTIFS('Form responses 1'!$D$2:$D1001, A68, 'Form responses 1'!$A$2:$A1001, "&gt;=2022-10-01", 'Form responses 1'!$A$2:$A1001, "&lt;=2022-12-31"),
    COUNTIFS('Form responses 1'!$E$2:$E1001, A68, 'Form responses 1'!$A$2:$A1001, "&gt;=2022-10-01", 'Form responses 1'!$A$2:$A1001, "&lt;=2022-12-31"),
    COUNTIFS('Form responses 1'!$F$2:$F1001, A68, 'Form responses 1'!$A$2:$A1001, "&gt;=2022-10-01", 'Form responses 1'!$A$2:$A1001, "&lt;=2022-12-31"),
    COUNTIFS('Form responses 1'!$G$2:$G1001, A68, 'Form responses 1'!$A$2:$A1001, "&gt;=2022-10-01", 'Form responses 1'!$A$2:$A1001, "&lt;=2022-12-31")
)
</f>
        <v>0</v>
      </c>
      <c r="E68" s="2">
        <f>SUM(
    COUNTIFS('Form responses 1'!$C$2:$C1001, A68, 'Form responses 1'!$A$2:$A1001, "&gt;=2023-01-01", 'Form responses 1'!$A$2:$A1001, "&lt;=2023-03-31"),
    COUNTIFS('Form responses 1'!$B$2:$B1001, A68, 'Form responses 1'!$A$2:$A1001, "&gt;=2023-01-01", 'Form responses 1'!$A$2:$A1001, "&lt;=2023-03-31"),
    COUNTIFS('Form responses 1'!$D$2:$D1001, A68, 'Form responses 1'!$A$2:$A1001, "&gt;=2023-01-01", 'Form responses 1'!$A$2:$A1001, "&lt;=2023-03-31"),
    COUNTIFS('Form responses 1'!$E$2:$E1001, A68, 'Form responses 1'!$A$2:$A1001, "&gt;=2023-01-01", 'Form responses 1'!$A$2:$A1001, "&lt;=2023-03-31"),
    COUNTIFS('Form responses 1'!$F$2:$F1001, A68, 'Form responses 1'!$A$2:$A1001, "&gt;=2023-01-01", 'Form responses 1'!$A$2:$A1001, "&lt;=2023-03-31"),
    COUNTIFS('Form responses 1'!$G$2:$G1001, A68, 'Form responses 1'!$A$2:$A1001, "&gt;=2023-01-01", 'Form responses 1'!$A$2:$A1001, "&lt;=2023-03-31")
)
</f>
        <v>0</v>
      </c>
      <c r="F68" s="2">
        <f>SUM(
    COUNTIFS('Form responses 1'!$C$2:$C1001, A68, 'Form responses 1'!$A$2:$A1001, "&gt;=2023-04-01", 'Form responses 1'!$A$2:$A1001, "&lt;=2023-06-30"),
    COUNTIFS('Form responses 1'!$B$2:$B1001, A68, 'Form responses 1'!$A$2:$A1001, "&gt;=2023-04-01", 'Form responses 1'!$A$2:$A1001, "&lt;=2023-06-30"),
    COUNTIFS('Form responses 1'!$D$2:$D1001, A68, 'Form responses 1'!$A$2:$A1001, "&gt;=2023-04-01", 'Form responses 1'!$A$2:$A1001, "&lt;=2023-06-30"),
    COUNTIFS('Form responses 1'!$E$2:$E1001, A68, 'Form responses 1'!$A$2:$A1001, "&gt;=2023-04-01", 'Form responses 1'!$A$2:$A1001, "&lt;=2023-06-30"),
    COUNTIFS('Form responses 1'!$F$2:$F1001, A68, 'Form responses 1'!$A$2:$A1001, "&gt;=2023-04-01", 'Form responses 1'!$A$2:$A1001, "&lt;=2023-06-30"),
    COUNTIFS('Form responses 1'!$G$2:$G1001, A68, 'Form responses 1'!$A$2:$A1001, "&gt;=2023-04-01", 'Form responses 1'!$A$2:$A1001, "&lt;=2023-06-30")
)
</f>
        <v>0</v>
      </c>
      <c r="G68" s="2">
        <f>SUM(
    COUNTIFS('Form responses 1'!$C$2:$C1001, A68, 'Form responses 1'!$A$2:$A1001, "&gt;=2023-07-01", 'Form responses 1'!$A$2:$A1001, "&lt;=2023-09-30"),
    COUNTIFS('Form responses 1'!$B$2:$B1001, A68, 'Form responses 1'!$A$2:$A1001, "&gt;=2023-07-01", 'Form responses 1'!$A$2:$A1001, "&lt;=2023-09-30"),
    COUNTIFS('Form responses 1'!$D$2:$D1001, A68, 'Form responses 1'!$A$2:$A1001, "&gt;=2023-07-01", 'Form responses 1'!$A$2:$A1001, "&lt;=2023-09-30"),
    COUNTIFS('Form responses 1'!$E$2:$E1001, A68, 'Form responses 1'!$A$2:$A1001, "&gt;=2023-07-01", 'Form responses 1'!$A$2:$A1001, "&lt;=2023-09-30"),
    COUNTIFS('Form responses 1'!$F$2:$F1001, A68, 'Form responses 1'!$A$2:$A1001, "&gt;=2023-07-01", 'Form responses 1'!$A$2:$A1001, "&lt;=2023-09-30"),
    COUNTIFS('Form responses 1'!$G$2:$G1001, A68, 'Form responses 1'!$A$2:$A1001, "&gt;=2023-07-01", 'Form responses 1'!$A$2:$A1001, "&lt;=2023-09-30")
)
</f>
        <v>0</v>
      </c>
      <c r="H68" s="2">
        <f>SUM(
    COUNTIFS('Form responses 1'!$C$2:$C1001, A68, 'Form responses 1'!$A$2:$A1001, "&gt;=2023-10-01", 'Form responses 1'!$A$2:$A1001, "&lt;=2023-12-31"),
    COUNTIFS('Form responses 1'!$B$2:$B1001, A68, 'Form responses 1'!$A$2:$A1001, "&gt;=2023-10-01", 'Form responses 1'!$A$2:$A1001, "&lt;=2023-12-31"),
    COUNTIFS('Form responses 1'!$D$2:$D1001, A68, 'Form responses 1'!$A$2:$A1001, "&gt;=2023-10-01", 'Form responses 1'!$A$2:$A1001, "&lt;=2023-12-31"),
    COUNTIFS('Form responses 1'!$E$2:$E1001, A68, 'Form responses 1'!$A$2:$A1001, "&gt;=2023-10-01", 'Form responses 1'!$A$2:$A1001, "&lt;=2023-12-31"),
    COUNTIFS('Form responses 1'!$F$2:$F1001, A68, 'Form responses 1'!$A$2:$A1001, "&gt;=2023-10-01", 'Form responses 1'!$A$2:$A1001, "&lt;=2023-12-31"),
    COUNTIFS('Form responses 1'!$G$2:$G1001, A68, 'Form responses 1'!$A$2:$A1001, "&gt;=2023-10-01", 'Form responses 1'!$A$2:$A1001, "&lt;=2023-12-31")
)
</f>
        <v>0</v>
      </c>
      <c r="I68" s="2">
        <f>SUM(
    COUNTIFS('Form responses 1'!$C$2:$C1001, A68, 'Form responses 1'!$A$2:$A1001, "&gt;=2024-01-01", 'Form responses 1'!$A$2:$A1001, "&lt;=2024-03-31"),
    COUNTIFS('Form responses 1'!$B$2:$B1001, A68, 'Form responses 1'!$A$2:$A1001, "&gt;=2024-01-01", 'Form responses 1'!$A$2:$A1001, "&lt;=2024-03-31"),
    COUNTIFS('Form responses 1'!$D$2:$D1001, A68, 'Form responses 1'!$A$2:$A1001, "&gt;=2024-01-01", 'Form responses 1'!$A$2:$A1001, "&lt;=2024-03-31"),
    COUNTIFS('Form responses 1'!$E$2:$E1001, A68, 'Form responses 1'!$A$2:$A1001, "&gt;=2024-01-01", 'Form responses 1'!$A$2:$A1001, "&lt;=2024-03-31"),
    COUNTIFS('Form responses 1'!$F$2:$F1001, A68, 'Form responses 1'!$A$2:$A1001, "&gt;=2024-01-01", 'Form responses 1'!$A$2:$A1001, "&lt;=2024-03-31"),
    COUNTIFS('Form responses 1'!$G$2:$G1001, A68, 'Form responses 1'!$A$2:$A1001, "&gt;=2024-01-01", 'Form responses 1'!$A$2:$A1001, "&lt;=2024-03-31")
)
</f>
        <v>0</v>
      </c>
      <c r="J68" s="2">
        <f>SUM(
    COUNTIFS('Form responses 1'!$C$2:$C1001, A68, 'Form responses 1'!$A$2:$A1001, "&gt;=2024-04-01", 'Form responses 1'!$A$2:$A1001, "&lt;=2024-06-30"),
    COUNTIFS('Form responses 1'!$B$2:$B1001, A68, 'Form responses 1'!$A$2:$A1001, "&gt;=2024-04-01", 'Form responses 1'!$A$2:$A1001, "&lt;=2024-06-30"),
    COUNTIFS('Form responses 1'!$D$2:$D1001, A68, 'Form responses 1'!$A$2:$A1001, "&gt;=2024-04-01", 'Form responses 1'!$A$2:$A1001, "&lt;=2024-06-30"),
    COUNTIFS('Form responses 1'!$E$2:$E1001, A68, 'Form responses 1'!$A$2:$A1001, "&gt;=2024-04-01", 'Form responses 1'!$A$2:$A1001, "&lt;=2024-06-30"),
    COUNTIFS('Form responses 1'!$F$2:$F1001, A68, 'Form responses 1'!$A$2:$A1001, "&gt;=2024-04-01", 'Form responses 1'!$A$2:$A1001, "&lt;=2024-06-30"),
    COUNTIFS('Form responses 1'!$G$2:$G1001, A68, 'Form responses 1'!$A$2:$A1001, "&gt;=2024-04-01", 'Form responses 1'!$A$2:$A1001, "&lt;=2024-06-30")
)
</f>
        <v>0</v>
      </c>
      <c r="K68" s="2">
        <f>SUM(
    COUNTIFS('Form responses 1'!$C$2:$C1001, A68, 'Form responses 1'!$A$2:$A1001, "&gt;=2024-07-01", 'Form responses 1'!$A$2:$A1001, "&lt;=2024-09-30"),
    COUNTIFS('Form responses 1'!$B$2:$B1001, A68, 'Form responses 1'!$A$2:$A1001, "&gt;=2024-07-01", 'Form responses 1'!$A$2:$A1001, "&lt;=2024-09-30"),
    COUNTIFS('Form responses 1'!$D$2:$D1001, A68, 'Form responses 1'!$A$2:$A1001, "&gt;=2024-07-01", 'Form responses 1'!$A$2:$A1001, "&lt;=2024-09-30"),
    COUNTIFS('Form responses 1'!$E$2:$E1001, A68, 'Form responses 1'!$A$2:$A1001, "&gt;=2024-07-01", 'Form responses 1'!$A$2:$A1001, "&lt;=2024-09-30"),
    COUNTIFS('Form responses 1'!$F$2:$F1001, A68, 'Form responses 1'!$A$2:$A1001, "&gt;=2024-07-01", 'Form responses 1'!$A$2:$A1001, "&lt;=2024-09-30"),
    COUNTIFS('Form responses 1'!$G$2:$G1001, A68, 'Form responses 1'!$A$2:$A1001, "&gt;=2024-07-01", 'Form responses 1'!$A$2:$A1001, "&lt;=2024-09-30")
)
</f>
        <v>2</v>
      </c>
      <c r="L68" s="2">
        <f>SUM(
    COUNTIFS('Form responses 1'!$C$2:$C1001, A68, 'Form responses 1'!$A$2:$A1001, "&gt;=2024-10-01", 'Form responses 1'!$A$2:$A1001, "&lt;=2024-12-31"),
    COUNTIFS('Form responses 1'!$B$2:$B1001, A68, 'Form responses 1'!$A$2:$A1001, "&gt;=2024-10-01", 'Form responses 1'!$A$2:$A1001, "&lt;=2024-12-31"),
    COUNTIFS('Form responses 1'!$D$2:$D1001, A68, 'Form responses 1'!$A$2:$A1001, "&gt;=2024-10-01", 'Form responses 1'!$A$2:$A1001, "&lt;=2024-12-31"),
    COUNTIFS('Form responses 1'!$E$2:$E1001, A68, 'Form responses 1'!$A$2:$A1001, "&gt;=2024-10-01", 'Form responses 1'!$A$2:$A1001, "&lt;=2024-12-31"),
    COUNTIFS('Form responses 1'!$F$2:$F1001, A68, 'Form responses 1'!$A$2:$A1001, "&gt;=2024-10-01", 'Form responses 1'!$A$2:$A1001, "&lt;=2024-12-31"),
    COUNTIFS('Form responses 1'!$G$2:$G1001, A68, 'Form responses 1'!$A$2:$A1001, "&gt;=2024-10-01", 'Form responses 1'!$A$2:$A1001, "&lt;=2024-12-31")
)
</f>
        <v>0</v>
      </c>
      <c r="M68" s="2">
        <f>SUM(
    COUNTIFS('Form responses 1'!$C$2:$C1001, A68, 'Form responses 1'!$A$2:$A1001, "&gt;=2025-01-01", 'Form responses 1'!$A$2:$A1001, "&lt;=2025-03-31"),
    COUNTIFS('Form responses 1'!$B$2:$B1001, A68, 'Form responses 1'!$A$2:$A1001, "&gt;=2025-01-01", 'Form responses 1'!$A$2:$A1001, "&lt;=2025-03-31"),
    COUNTIFS('Form responses 1'!$D$2:$D1001, A68, 'Form responses 1'!$A$2:$A1001, "&gt;=2025-01-01", 'Form responses 1'!$A$2:$A1001, "&lt;=2025-03-31"),
    COUNTIFS('Form responses 1'!$E$2:$E1001, A68, 'Form responses 1'!$A$2:$A1001, "&gt;=2025-01-01", 'Form responses 1'!$A$2:$A1001, "&lt;=2025-03-31"),
    COUNTIFS('Form responses 1'!$F$2:$F1001, A68, 'Form responses 1'!$A$2:$A1001, "&gt;=2025-01-01", 'Form responses 1'!$A$2:$A1001, "&lt;=2025-03-31"),
    COUNTIFS('Form responses 1'!$G$2:$G1001, A68, 'Form responses 1'!$A$2:$A1001, "&gt;=2025-01-01", 'Form responses 1'!$A$2:$A1001, "&lt;=2025-03-31")
)
</f>
        <v>1</v>
      </c>
      <c r="N68" s="2">
        <f>SUM(
    COUNTIFS('Form responses 1'!$C$2:$C1001, A68, 'Form responses 1'!$A$2:$A1001, "&gt;=2025-04-01", 'Form responses 1'!$A$2:$A1001, "&lt;2025-07-01"),
    COUNTIFS('Form responses 1'!$B$2:$B1001, A68, 'Form responses 1'!$A$2:$A1001, "&gt;=2025-04-01", 'Form responses 1'!$A$2:$A1001, "&lt;2025-07-01"),
    COUNTIFS('Form responses 1'!$D$2:$D1001, A68, 'Form responses 1'!$A$2:$A1001, "&gt;=2025-04-01", 'Form responses 1'!$A$2:$A1001, "&lt;2025-07-01"),
    COUNTIFS('Form responses 1'!$E$2:$E1001, A68, 'Form responses 1'!$A$2:$A1001, "&gt;=2025-04-01", 'Form responses 1'!$A$2:$A1001, "&lt;2025-07-01"),
    COUNTIFS('Form responses 1'!$F$2:$F1001, A68, 'Form responses 1'!$A$2:$A1001, "&gt;=2025-04-01", 'Form responses 1'!$A$2:$A1001, "&lt;2025-07-01"),
    COUNTIFS('Form responses 1'!$G$2:$G1001, A68, 'Form responses 1'!$A$2:$A1001, "&gt;=2025-04-01", 'Form responses 1'!$A$2:$A1001, "&lt;2025-07-01")
)
</f>
        <v>0</v>
      </c>
      <c r="O68" s="2">
        <f>SUM(
    COUNTIFS('Form responses 1'!$C$2:$C1001, A68, 'Form responses 1'!$A$2:$A1001, "&gt;=2025-07-01", 'Form responses 1'!$A$2:$A1001, "&lt;=2025-09-30"),
    COUNTIFS('Form responses 1'!$B$2:$B1001, A68, 'Form responses 1'!$A$2:$A1001, "&gt;=2025-07-01", 'Form responses 1'!$A$2:$A1001, "&lt;=2025-09-30"),
    COUNTIFS('Form responses 1'!$D$2:$D1001, A68, 'Form responses 1'!$A$2:$A1001, "&gt;=2025-07-01", 'Form responses 1'!$A$2:$A1001, "&lt;=2025-09-30"),
    COUNTIFS('Form responses 1'!$E$2:$E1001, A68, 'Form responses 1'!$A$2:$A1001, "&gt;=2025-07-01", 'Form responses 1'!$A$2:$A1001, "&lt;=2025-09-30"),
    COUNTIFS('Form responses 1'!$F$2:$F1001, A68, 'Form responses 1'!$A$2:$A1001, "&gt;=2025-07-01", 'Form responses 1'!$A$2:$A1001, "&lt;=2025-09-30"),
    COUNTIFS('Form responses 1'!$G$2:$G1001, A68, 'Form responses 1'!$A$2:$A1001, "&gt;=2025-07-01", 'Form responses 1'!$A$2:$A1001, "&lt;=2025-09-30")
)
</f>
        <v>0</v>
      </c>
      <c r="P68" s="2">
        <f>SUM(
    COUNTIFS('Form responses 1'!$C$2:$C1001, A68, 'Form responses 1'!$A$2:$A1001, "&gt;=2025-10-01", 'Form responses 1'!$A$2:$A1001, "&lt;=2025-12-31"),
    COUNTIFS('Form responses 1'!$B$2:$B1001, A68, 'Form responses 1'!$A$2:$A1001, "&gt;=2025-10-01", 'Form responses 1'!$A$2:$A1001, "&lt;=2025-12-31"),
    COUNTIFS('Form responses 1'!$D$2:$D1001, A68, 'Form responses 1'!$A$2:$A1001, "&gt;=2025-10-01", 'Form responses 1'!$A$2:$A1001, "&lt;=2025-12-31"),
    COUNTIFS('Form responses 1'!$E$2:$E1001, A68, 'Form responses 1'!$A$2:$A1001, "&gt;=2025-10-01", 'Form responses 1'!$A$2:$A1001, "&lt;=2025-12-31"),
    COUNTIFS('Form responses 1'!$F$2:$F1001, A68, 'Form responses 1'!$A$2:$A1001, "&gt;=2025-10-01", 'Form responses 1'!$A$2:$A1001, "&lt;=2025-12-31"),
    COUNTIFS('Form responses 1'!$G$2:$G1001, A68, 'Form responses 1'!$A$2:$A1001, "&gt;=2025-10-01", 'Form responses 1'!$A$2:$A1001, "&lt;=2025-12-31")
)
</f>
        <v>0</v>
      </c>
    </row>
    <row r="69">
      <c r="A69" s="3" t="str">
        <f>IFERROR(__xludf.DUMMYFUNCTION("""COMPUTED_VALUE"""),"Witte blouse Society Shop")</f>
        <v>Witte blouse Society Shop</v>
      </c>
      <c r="B69" s="2">
        <f>SUM(
    COUNTIFS('Form responses 1'!$C$2:$C1001, A69, 'Form responses 1'!$A$2:$A1001, "&gt;=2022-04-01", 'Form responses 1'!$A$2:$A1001, "&lt;=2022-06-30"),
    COUNTIFS('Form responses 1'!$B$2:$B1001, A69, 'Form responses 1'!$A$2:$A1001, "&gt;=2022-04-01", 'Form responses 1'!$A$2:$A1001, "&lt;=2022-06-30"),
    COUNTIFS('Form responses 1'!$D$2:$D1001, A69, 'Form responses 1'!$A$2:$A1001, "&gt;=2022-04-01", 'Form responses 1'!$A$2:$A1001, "&lt;=2022-06-30"),
    COUNTIFS('Form responses 1'!$E$2:$E1001, A69, 'Form responses 1'!$A$2:$A1001, "&gt;=2022-04-01", 'Form responses 1'!$A$2:$A1001, "&lt;=2022-06-30"),
    COUNTIFS('Form responses 1'!$F$2:$F1001, A69, 'Form responses 1'!$A$2:$A1001, "&gt;=2022-04-01", 'Form responses 1'!$A$2:$A1001, "&lt;=2022-06-30"),
    COUNTIFS('Form responses 1'!$G$2:$G1001, A69, 'Form responses 1'!$A$2:$A1001, "&gt;=2022-04-01", 'Form responses 1'!$A$2:$A1001, "&lt;=2022-06-30")
)
</f>
        <v>0</v>
      </c>
      <c r="C69" s="2">
        <f>SUM(
    COUNTIFS('Form responses 1'!$C$2:$C1001, A69, 'Form responses 1'!$A$2:$A1001, "&gt;=2022-07-01", 'Form responses 1'!$A$2:$A1001, "&lt;=2022-09-30"),
    COUNTIFS('Form responses 1'!$B$2:$B1001, A69, 'Form responses 1'!$A$2:$A1001, "&gt;=2022-07-01", 'Form responses 1'!$A$2:$A1001, "&lt;=2022-09-30"),
    COUNTIFS('Form responses 1'!$D$2:$D1001, A69, 'Form responses 1'!$A$2:$A1001, "&gt;=2022-07-01", 'Form responses 1'!$A$2:$A1001, "&lt;=2022-09-30"),
    COUNTIFS('Form responses 1'!$E$2:$E1001, A69, 'Form responses 1'!$A$2:$A1001, "&gt;=2022-07-01", 'Form responses 1'!$A$2:$A1001, "&lt;=2022-09-30"),
    COUNTIFS('Form responses 1'!$F$2:$F1001, A69, 'Form responses 1'!$A$2:$A1001, "&gt;=2022-07-01", 'Form responses 1'!$A$2:$A1001, "&lt;=2022-09-30"),
    COUNTIFS('Form responses 1'!$G$2:$G1001, A69, 'Form responses 1'!$A$2:$A1001, "&gt;=2022-07-01", 'Form responses 1'!$A$2:$A1001, "&lt;=2022-09-30")
)
</f>
        <v>0</v>
      </c>
      <c r="D69" s="2">
        <f>SUM(
    COUNTIFS('Form responses 1'!$C$2:$C1001, A69, 'Form responses 1'!$A$2:$A1001, "&gt;=2022-10-01", 'Form responses 1'!$A$2:$A1001, "&lt;=2022-12-31"),
    COUNTIFS('Form responses 1'!$B$2:$B1001, A69, 'Form responses 1'!$A$2:$A1001, "&gt;=2022-10-01", 'Form responses 1'!$A$2:$A1001, "&lt;=2022-12-31"),
    COUNTIFS('Form responses 1'!$D$2:$D1001, A69, 'Form responses 1'!$A$2:$A1001, "&gt;=2022-10-01", 'Form responses 1'!$A$2:$A1001, "&lt;=2022-12-31"),
    COUNTIFS('Form responses 1'!$E$2:$E1001, A69, 'Form responses 1'!$A$2:$A1001, "&gt;=2022-10-01", 'Form responses 1'!$A$2:$A1001, "&lt;=2022-12-31"),
    COUNTIFS('Form responses 1'!$F$2:$F1001, A69, 'Form responses 1'!$A$2:$A1001, "&gt;=2022-10-01", 'Form responses 1'!$A$2:$A1001, "&lt;=2022-12-31"),
    COUNTIFS('Form responses 1'!$G$2:$G1001, A69, 'Form responses 1'!$A$2:$A1001, "&gt;=2022-10-01", 'Form responses 1'!$A$2:$A1001, "&lt;=2022-12-31")
)
</f>
        <v>0</v>
      </c>
      <c r="E69" s="2">
        <f>SUM(
    COUNTIFS('Form responses 1'!$C$2:$C1001, A69, 'Form responses 1'!$A$2:$A1001, "&gt;=2023-01-01", 'Form responses 1'!$A$2:$A1001, "&lt;=2023-03-31"),
    COUNTIFS('Form responses 1'!$B$2:$B1001, A69, 'Form responses 1'!$A$2:$A1001, "&gt;=2023-01-01", 'Form responses 1'!$A$2:$A1001, "&lt;=2023-03-31"),
    COUNTIFS('Form responses 1'!$D$2:$D1001, A69, 'Form responses 1'!$A$2:$A1001, "&gt;=2023-01-01", 'Form responses 1'!$A$2:$A1001, "&lt;=2023-03-31"),
    COUNTIFS('Form responses 1'!$E$2:$E1001, A69, 'Form responses 1'!$A$2:$A1001, "&gt;=2023-01-01", 'Form responses 1'!$A$2:$A1001, "&lt;=2023-03-31"),
    COUNTIFS('Form responses 1'!$F$2:$F1001, A69, 'Form responses 1'!$A$2:$A1001, "&gt;=2023-01-01", 'Form responses 1'!$A$2:$A1001, "&lt;=2023-03-31"),
    COUNTIFS('Form responses 1'!$G$2:$G1001, A69, 'Form responses 1'!$A$2:$A1001, "&gt;=2023-01-01", 'Form responses 1'!$A$2:$A1001, "&lt;=2023-03-31")
)
</f>
        <v>0</v>
      </c>
      <c r="F69" s="2">
        <f>SUM(
    COUNTIFS('Form responses 1'!$C$2:$C1001, A69, 'Form responses 1'!$A$2:$A1001, "&gt;=2023-04-01", 'Form responses 1'!$A$2:$A1001, "&lt;=2023-06-30"),
    COUNTIFS('Form responses 1'!$B$2:$B1001, A69, 'Form responses 1'!$A$2:$A1001, "&gt;=2023-04-01", 'Form responses 1'!$A$2:$A1001, "&lt;=2023-06-30"),
    COUNTIFS('Form responses 1'!$D$2:$D1001, A69, 'Form responses 1'!$A$2:$A1001, "&gt;=2023-04-01", 'Form responses 1'!$A$2:$A1001, "&lt;=2023-06-30"),
    COUNTIFS('Form responses 1'!$E$2:$E1001, A69, 'Form responses 1'!$A$2:$A1001, "&gt;=2023-04-01", 'Form responses 1'!$A$2:$A1001, "&lt;=2023-06-30"),
    COUNTIFS('Form responses 1'!$F$2:$F1001, A69, 'Form responses 1'!$A$2:$A1001, "&gt;=2023-04-01", 'Form responses 1'!$A$2:$A1001, "&lt;=2023-06-30"),
    COUNTIFS('Form responses 1'!$G$2:$G1001, A69, 'Form responses 1'!$A$2:$A1001, "&gt;=2023-04-01", 'Form responses 1'!$A$2:$A1001, "&lt;=2023-06-30")
)
</f>
        <v>0</v>
      </c>
      <c r="G69" s="2">
        <f>SUM(
    COUNTIFS('Form responses 1'!$C$2:$C1001, A69, 'Form responses 1'!$A$2:$A1001, "&gt;=2023-07-01", 'Form responses 1'!$A$2:$A1001, "&lt;=2023-09-30"),
    COUNTIFS('Form responses 1'!$B$2:$B1001, A69, 'Form responses 1'!$A$2:$A1001, "&gt;=2023-07-01", 'Form responses 1'!$A$2:$A1001, "&lt;=2023-09-30"),
    COUNTIFS('Form responses 1'!$D$2:$D1001, A69, 'Form responses 1'!$A$2:$A1001, "&gt;=2023-07-01", 'Form responses 1'!$A$2:$A1001, "&lt;=2023-09-30"),
    COUNTIFS('Form responses 1'!$E$2:$E1001, A69, 'Form responses 1'!$A$2:$A1001, "&gt;=2023-07-01", 'Form responses 1'!$A$2:$A1001, "&lt;=2023-09-30"),
    COUNTIFS('Form responses 1'!$F$2:$F1001, A69, 'Form responses 1'!$A$2:$A1001, "&gt;=2023-07-01", 'Form responses 1'!$A$2:$A1001, "&lt;=2023-09-30"),
    COUNTIFS('Form responses 1'!$G$2:$G1001, A69, 'Form responses 1'!$A$2:$A1001, "&gt;=2023-07-01", 'Form responses 1'!$A$2:$A1001, "&lt;=2023-09-30")
)
</f>
        <v>0</v>
      </c>
      <c r="H69" s="2">
        <f>SUM(
    COUNTIFS('Form responses 1'!$C$2:$C1001, A69, 'Form responses 1'!$A$2:$A1001, "&gt;=2023-10-01", 'Form responses 1'!$A$2:$A1001, "&lt;=2023-12-31"),
    COUNTIFS('Form responses 1'!$B$2:$B1001, A69, 'Form responses 1'!$A$2:$A1001, "&gt;=2023-10-01", 'Form responses 1'!$A$2:$A1001, "&lt;=2023-12-31"),
    COUNTIFS('Form responses 1'!$D$2:$D1001, A69, 'Form responses 1'!$A$2:$A1001, "&gt;=2023-10-01", 'Form responses 1'!$A$2:$A1001, "&lt;=2023-12-31"),
    COUNTIFS('Form responses 1'!$E$2:$E1001, A69, 'Form responses 1'!$A$2:$A1001, "&gt;=2023-10-01", 'Form responses 1'!$A$2:$A1001, "&lt;=2023-12-31"),
    COUNTIFS('Form responses 1'!$F$2:$F1001, A69, 'Form responses 1'!$A$2:$A1001, "&gt;=2023-10-01", 'Form responses 1'!$A$2:$A1001, "&lt;=2023-12-31"),
    COUNTIFS('Form responses 1'!$G$2:$G1001, A69, 'Form responses 1'!$A$2:$A1001, "&gt;=2023-10-01", 'Form responses 1'!$A$2:$A1001, "&lt;=2023-12-31")
)
</f>
        <v>0</v>
      </c>
      <c r="I69" s="2">
        <f>SUM(
    COUNTIFS('Form responses 1'!$C$2:$C1001, A69, 'Form responses 1'!$A$2:$A1001, "&gt;=2024-01-01", 'Form responses 1'!$A$2:$A1001, "&lt;=2024-03-31"),
    COUNTIFS('Form responses 1'!$B$2:$B1001, A69, 'Form responses 1'!$A$2:$A1001, "&gt;=2024-01-01", 'Form responses 1'!$A$2:$A1001, "&lt;=2024-03-31"),
    COUNTIFS('Form responses 1'!$D$2:$D1001, A69, 'Form responses 1'!$A$2:$A1001, "&gt;=2024-01-01", 'Form responses 1'!$A$2:$A1001, "&lt;=2024-03-31"),
    COUNTIFS('Form responses 1'!$E$2:$E1001, A69, 'Form responses 1'!$A$2:$A1001, "&gt;=2024-01-01", 'Form responses 1'!$A$2:$A1001, "&lt;=2024-03-31"),
    COUNTIFS('Form responses 1'!$F$2:$F1001, A69, 'Form responses 1'!$A$2:$A1001, "&gt;=2024-01-01", 'Form responses 1'!$A$2:$A1001, "&lt;=2024-03-31"),
    COUNTIFS('Form responses 1'!$G$2:$G1001, A69, 'Form responses 1'!$A$2:$A1001, "&gt;=2024-01-01", 'Form responses 1'!$A$2:$A1001, "&lt;=2024-03-31")
)
</f>
        <v>0</v>
      </c>
      <c r="J69" s="2">
        <f>SUM(
    COUNTIFS('Form responses 1'!$C$2:$C1001, A69, 'Form responses 1'!$A$2:$A1001, "&gt;=2024-04-01", 'Form responses 1'!$A$2:$A1001, "&lt;=2024-06-30"),
    COUNTIFS('Form responses 1'!$B$2:$B1001, A69, 'Form responses 1'!$A$2:$A1001, "&gt;=2024-04-01", 'Form responses 1'!$A$2:$A1001, "&lt;=2024-06-30"),
    COUNTIFS('Form responses 1'!$D$2:$D1001, A69, 'Form responses 1'!$A$2:$A1001, "&gt;=2024-04-01", 'Form responses 1'!$A$2:$A1001, "&lt;=2024-06-30"),
    COUNTIFS('Form responses 1'!$E$2:$E1001, A69, 'Form responses 1'!$A$2:$A1001, "&gt;=2024-04-01", 'Form responses 1'!$A$2:$A1001, "&lt;=2024-06-30"),
    COUNTIFS('Form responses 1'!$F$2:$F1001, A69, 'Form responses 1'!$A$2:$A1001, "&gt;=2024-04-01", 'Form responses 1'!$A$2:$A1001, "&lt;=2024-06-30"),
    COUNTIFS('Form responses 1'!$G$2:$G1001, A69, 'Form responses 1'!$A$2:$A1001, "&gt;=2024-04-01", 'Form responses 1'!$A$2:$A1001, "&lt;=2024-06-30")
)
</f>
        <v>0</v>
      </c>
      <c r="K69" s="2">
        <f>SUM(
    COUNTIFS('Form responses 1'!$C$2:$C1001, A69, 'Form responses 1'!$A$2:$A1001, "&gt;=2024-07-01", 'Form responses 1'!$A$2:$A1001, "&lt;=2024-09-30"),
    COUNTIFS('Form responses 1'!$B$2:$B1001, A69, 'Form responses 1'!$A$2:$A1001, "&gt;=2024-07-01", 'Form responses 1'!$A$2:$A1001, "&lt;=2024-09-30"),
    COUNTIFS('Form responses 1'!$D$2:$D1001, A69, 'Form responses 1'!$A$2:$A1001, "&gt;=2024-07-01", 'Form responses 1'!$A$2:$A1001, "&lt;=2024-09-30"),
    COUNTIFS('Form responses 1'!$E$2:$E1001, A69, 'Form responses 1'!$A$2:$A1001, "&gt;=2024-07-01", 'Form responses 1'!$A$2:$A1001, "&lt;=2024-09-30"),
    COUNTIFS('Form responses 1'!$F$2:$F1001, A69, 'Form responses 1'!$A$2:$A1001, "&gt;=2024-07-01", 'Form responses 1'!$A$2:$A1001, "&lt;=2024-09-30"),
    COUNTIFS('Form responses 1'!$G$2:$G1001, A69, 'Form responses 1'!$A$2:$A1001, "&gt;=2024-07-01", 'Form responses 1'!$A$2:$A1001, "&lt;=2024-09-30")
)
</f>
        <v>3</v>
      </c>
      <c r="L69" s="2">
        <f>SUM(
    COUNTIFS('Form responses 1'!$C$2:$C1001, A69, 'Form responses 1'!$A$2:$A1001, "&gt;=2024-10-01", 'Form responses 1'!$A$2:$A1001, "&lt;=2024-12-31"),
    COUNTIFS('Form responses 1'!$B$2:$B1001, A69, 'Form responses 1'!$A$2:$A1001, "&gt;=2024-10-01", 'Form responses 1'!$A$2:$A1001, "&lt;=2024-12-31"),
    COUNTIFS('Form responses 1'!$D$2:$D1001, A69, 'Form responses 1'!$A$2:$A1001, "&gt;=2024-10-01", 'Form responses 1'!$A$2:$A1001, "&lt;=2024-12-31"),
    COUNTIFS('Form responses 1'!$E$2:$E1001, A69, 'Form responses 1'!$A$2:$A1001, "&gt;=2024-10-01", 'Form responses 1'!$A$2:$A1001, "&lt;=2024-12-31"),
    COUNTIFS('Form responses 1'!$F$2:$F1001, A69, 'Form responses 1'!$A$2:$A1001, "&gt;=2024-10-01", 'Form responses 1'!$A$2:$A1001, "&lt;=2024-12-31"),
    COUNTIFS('Form responses 1'!$G$2:$G1001, A69, 'Form responses 1'!$A$2:$A1001, "&gt;=2024-10-01", 'Form responses 1'!$A$2:$A1001, "&lt;=2024-12-31")
)
</f>
        <v>8</v>
      </c>
      <c r="M69" s="2">
        <f>SUM(
    COUNTIFS('Form responses 1'!$C$2:$C1001, A69, 'Form responses 1'!$A$2:$A1001, "&gt;=2025-01-01", 'Form responses 1'!$A$2:$A1001, "&lt;=2025-03-31"),
    COUNTIFS('Form responses 1'!$B$2:$B1001, A69, 'Form responses 1'!$A$2:$A1001, "&gt;=2025-01-01", 'Form responses 1'!$A$2:$A1001, "&lt;=2025-03-31"),
    COUNTIFS('Form responses 1'!$D$2:$D1001, A69, 'Form responses 1'!$A$2:$A1001, "&gt;=2025-01-01", 'Form responses 1'!$A$2:$A1001, "&lt;=2025-03-31"),
    COUNTIFS('Form responses 1'!$E$2:$E1001, A69, 'Form responses 1'!$A$2:$A1001, "&gt;=2025-01-01", 'Form responses 1'!$A$2:$A1001, "&lt;=2025-03-31"),
    COUNTIFS('Form responses 1'!$F$2:$F1001, A69, 'Form responses 1'!$A$2:$A1001, "&gt;=2025-01-01", 'Form responses 1'!$A$2:$A1001, "&lt;=2025-03-31"),
    COUNTIFS('Form responses 1'!$G$2:$G1001, A69, 'Form responses 1'!$A$2:$A1001, "&gt;=2025-01-01", 'Form responses 1'!$A$2:$A1001, "&lt;=2025-03-31")
)
</f>
        <v>1</v>
      </c>
      <c r="N69" s="2">
        <f>SUM(
    COUNTIFS('Form responses 1'!$C$2:$C1001, A69, 'Form responses 1'!$A$2:$A1001, "&gt;=2025-04-01", 'Form responses 1'!$A$2:$A1001, "&lt;2025-07-01"),
    COUNTIFS('Form responses 1'!$B$2:$B1001, A69, 'Form responses 1'!$A$2:$A1001, "&gt;=2025-04-01", 'Form responses 1'!$A$2:$A1001, "&lt;2025-07-01"),
    COUNTIFS('Form responses 1'!$D$2:$D1001, A69, 'Form responses 1'!$A$2:$A1001, "&gt;=2025-04-01", 'Form responses 1'!$A$2:$A1001, "&lt;2025-07-01"),
    COUNTIFS('Form responses 1'!$E$2:$E1001, A69, 'Form responses 1'!$A$2:$A1001, "&gt;=2025-04-01", 'Form responses 1'!$A$2:$A1001, "&lt;2025-07-01"),
    COUNTIFS('Form responses 1'!$F$2:$F1001, A69, 'Form responses 1'!$A$2:$A1001, "&gt;=2025-04-01", 'Form responses 1'!$A$2:$A1001, "&lt;2025-07-01"),
    COUNTIFS('Form responses 1'!$G$2:$G1001, A69, 'Form responses 1'!$A$2:$A1001, "&gt;=2025-04-01", 'Form responses 1'!$A$2:$A1001, "&lt;2025-07-01")
)
</f>
        <v>6</v>
      </c>
      <c r="O69" s="2">
        <f>SUM(
    COUNTIFS('Form responses 1'!$C$2:$C1001, A69, 'Form responses 1'!$A$2:$A1001, "&gt;=2025-07-01", 'Form responses 1'!$A$2:$A1001, "&lt;=2025-09-30"),
    COUNTIFS('Form responses 1'!$B$2:$B1001, A69, 'Form responses 1'!$A$2:$A1001, "&gt;=2025-07-01", 'Form responses 1'!$A$2:$A1001, "&lt;=2025-09-30"),
    COUNTIFS('Form responses 1'!$D$2:$D1001, A69, 'Form responses 1'!$A$2:$A1001, "&gt;=2025-07-01", 'Form responses 1'!$A$2:$A1001, "&lt;=2025-09-30"),
    COUNTIFS('Form responses 1'!$E$2:$E1001, A69, 'Form responses 1'!$A$2:$A1001, "&gt;=2025-07-01", 'Form responses 1'!$A$2:$A1001, "&lt;=2025-09-30"),
    COUNTIFS('Form responses 1'!$F$2:$F1001, A69, 'Form responses 1'!$A$2:$A1001, "&gt;=2025-07-01", 'Form responses 1'!$A$2:$A1001, "&lt;=2025-09-30"),
    COUNTIFS('Form responses 1'!$G$2:$G1001, A69, 'Form responses 1'!$A$2:$A1001, "&gt;=2025-07-01", 'Form responses 1'!$A$2:$A1001, "&lt;=2025-09-30")
)
</f>
        <v>0</v>
      </c>
      <c r="P69" s="2">
        <f>SUM(
    COUNTIFS('Form responses 1'!$C$2:$C1001, A69, 'Form responses 1'!$A$2:$A1001, "&gt;=2025-10-01", 'Form responses 1'!$A$2:$A1001, "&lt;=2025-12-31"),
    COUNTIFS('Form responses 1'!$B$2:$B1001, A69, 'Form responses 1'!$A$2:$A1001, "&gt;=2025-10-01", 'Form responses 1'!$A$2:$A1001, "&lt;=2025-12-31"),
    COUNTIFS('Form responses 1'!$D$2:$D1001, A69, 'Form responses 1'!$A$2:$A1001, "&gt;=2025-10-01", 'Form responses 1'!$A$2:$A1001, "&lt;=2025-12-31"),
    COUNTIFS('Form responses 1'!$E$2:$E1001, A69, 'Form responses 1'!$A$2:$A1001, "&gt;=2025-10-01", 'Form responses 1'!$A$2:$A1001, "&lt;=2025-12-31"),
    COUNTIFS('Form responses 1'!$F$2:$F1001, A69, 'Form responses 1'!$A$2:$A1001, "&gt;=2025-10-01", 'Form responses 1'!$A$2:$A1001, "&lt;=2025-12-31"),
    COUNTIFS('Form responses 1'!$G$2:$G1001, A69, 'Form responses 1'!$A$2:$A1001, "&gt;=2025-10-01", 'Form responses 1'!$A$2:$A1001, "&lt;=2025-12-31")
)
</f>
        <v>4</v>
      </c>
    </row>
    <row r="70">
      <c r="A70" s="6" t="str">
        <f>IFERROR(__xludf.DUMMYFUNCTION("""COMPUTED_VALUE"""),"Rood geblokte blouse")</f>
        <v>Rood geblokte blouse</v>
      </c>
      <c r="B70" s="2">
        <f>SUM(
    COUNTIFS('Form responses 1'!$C$2:$C1001, A70, 'Form responses 1'!$A$2:$A1001, "&gt;=2022-04-01", 'Form responses 1'!$A$2:$A1001, "&lt;=2022-06-30"),
    COUNTIFS('Form responses 1'!$B$2:$B1001, A70, 'Form responses 1'!$A$2:$A1001, "&gt;=2022-04-01", 'Form responses 1'!$A$2:$A1001, "&lt;=2022-06-30"),
    COUNTIFS('Form responses 1'!$D$2:$D1001, A70, 'Form responses 1'!$A$2:$A1001, "&gt;=2022-04-01", 'Form responses 1'!$A$2:$A1001, "&lt;=2022-06-30"),
    COUNTIFS('Form responses 1'!$E$2:$E1001, A70, 'Form responses 1'!$A$2:$A1001, "&gt;=2022-04-01", 'Form responses 1'!$A$2:$A1001, "&lt;=2022-06-30"),
    COUNTIFS('Form responses 1'!$F$2:$F1001, A70, 'Form responses 1'!$A$2:$A1001, "&gt;=2022-04-01", 'Form responses 1'!$A$2:$A1001, "&lt;=2022-06-30"),
    COUNTIFS('Form responses 1'!$G$2:$G1001, A70, 'Form responses 1'!$A$2:$A1001, "&gt;=2022-04-01", 'Form responses 1'!$A$2:$A1001, "&lt;=2022-06-30")
)
</f>
        <v>0</v>
      </c>
      <c r="C70" s="2">
        <f>SUM(
    COUNTIFS('Form responses 1'!$C$2:$C1001, A70, 'Form responses 1'!$A$2:$A1001, "&gt;=2022-07-01", 'Form responses 1'!$A$2:$A1001, "&lt;=2022-09-30"),
    COUNTIFS('Form responses 1'!$B$2:$B1001, A70, 'Form responses 1'!$A$2:$A1001, "&gt;=2022-07-01", 'Form responses 1'!$A$2:$A1001, "&lt;=2022-09-30"),
    COUNTIFS('Form responses 1'!$D$2:$D1001, A70, 'Form responses 1'!$A$2:$A1001, "&gt;=2022-07-01", 'Form responses 1'!$A$2:$A1001, "&lt;=2022-09-30"),
    COUNTIFS('Form responses 1'!$E$2:$E1001, A70, 'Form responses 1'!$A$2:$A1001, "&gt;=2022-07-01", 'Form responses 1'!$A$2:$A1001, "&lt;=2022-09-30"),
    COUNTIFS('Form responses 1'!$F$2:$F1001, A70, 'Form responses 1'!$A$2:$A1001, "&gt;=2022-07-01", 'Form responses 1'!$A$2:$A1001, "&lt;=2022-09-30"),
    COUNTIFS('Form responses 1'!$G$2:$G1001, A70, 'Form responses 1'!$A$2:$A1001, "&gt;=2022-07-01", 'Form responses 1'!$A$2:$A1001, "&lt;=2022-09-30")
)
</f>
        <v>2</v>
      </c>
      <c r="D70" s="2">
        <f>SUM(
    COUNTIFS('Form responses 1'!$C$2:$C1001, A70, 'Form responses 1'!$A$2:$A1001, "&gt;=2022-10-01", 'Form responses 1'!$A$2:$A1001, "&lt;=2022-12-31"),
    COUNTIFS('Form responses 1'!$B$2:$B1001, A70, 'Form responses 1'!$A$2:$A1001, "&gt;=2022-10-01", 'Form responses 1'!$A$2:$A1001, "&lt;=2022-12-31"),
    COUNTIFS('Form responses 1'!$D$2:$D1001, A70, 'Form responses 1'!$A$2:$A1001, "&gt;=2022-10-01", 'Form responses 1'!$A$2:$A1001, "&lt;=2022-12-31"),
    COUNTIFS('Form responses 1'!$E$2:$E1001, A70, 'Form responses 1'!$A$2:$A1001, "&gt;=2022-10-01", 'Form responses 1'!$A$2:$A1001, "&lt;=2022-12-31"),
    COUNTIFS('Form responses 1'!$F$2:$F1001, A70, 'Form responses 1'!$A$2:$A1001, "&gt;=2022-10-01", 'Form responses 1'!$A$2:$A1001, "&lt;=2022-12-31"),
    COUNTIFS('Form responses 1'!$G$2:$G1001, A70, 'Form responses 1'!$A$2:$A1001, "&gt;=2022-10-01", 'Form responses 1'!$A$2:$A1001, "&lt;=2022-12-31")
)
</f>
        <v>0</v>
      </c>
      <c r="E70" s="2">
        <f>SUM(
    COUNTIFS('Form responses 1'!$C$2:$C1001, A70, 'Form responses 1'!$A$2:$A1001, "&gt;=2023-01-01", 'Form responses 1'!$A$2:$A1001, "&lt;=2023-03-31"),
    COUNTIFS('Form responses 1'!$B$2:$B1001, A70, 'Form responses 1'!$A$2:$A1001, "&gt;=2023-01-01", 'Form responses 1'!$A$2:$A1001, "&lt;=2023-03-31"),
    COUNTIFS('Form responses 1'!$D$2:$D1001, A70, 'Form responses 1'!$A$2:$A1001, "&gt;=2023-01-01", 'Form responses 1'!$A$2:$A1001, "&lt;=2023-03-31"),
    COUNTIFS('Form responses 1'!$E$2:$E1001, A70, 'Form responses 1'!$A$2:$A1001, "&gt;=2023-01-01", 'Form responses 1'!$A$2:$A1001, "&lt;=2023-03-31"),
    COUNTIFS('Form responses 1'!$F$2:$F1001, A70, 'Form responses 1'!$A$2:$A1001, "&gt;=2023-01-01", 'Form responses 1'!$A$2:$A1001, "&lt;=2023-03-31"),
    COUNTIFS('Form responses 1'!$G$2:$G1001, A70, 'Form responses 1'!$A$2:$A1001, "&gt;=2023-01-01", 'Form responses 1'!$A$2:$A1001, "&lt;=2023-03-31")
)
</f>
        <v>0</v>
      </c>
      <c r="F70" s="2">
        <f>SUM(
    COUNTIFS('Form responses 1'!$C$2:$C1001, A70, 'Form responses 1'!$A$2:$A1001, "&gt;=2023-04-01", 'Form responses 1'!$A$2:$A1001, "&lt;=2023-06-30"),
    COUNTIFS('Form responses 1'!$B$2:$B1001, A70, 'Form responses 1'!$A$2:$A1001, "&gt;=2023-04-01", 'Form responses 1'!$A$2:$A1001, "&lt;=2023-06-30"),
    COUNTIFS('Form responses 1'!$D$2:$D1001, A70, 'Form responses 1'!$A$2:$A1001, "&gt;=2023-04-01", 'Form responses 1'!$A$2:$A1001, "&lt;=2023-06-30"),
    COUNTIFS('Form responses 1'!$E$2:$E1001, A70, 'Form responses 1'!$A$2:$A1001, "&gt;=2023-04-01", 'Form responses 1'!$A$2:$A1001, "&lt;=2023-06-30"),
    COUNTIFS('Form responses 1'!$F$2:$F1001, A70, 'Form responses 1'!$A$2:$A1001, "&gt;=2023-04-01", 'Form responses 1'!$A$2:$A1001, "&lt;=2023-06-30"),
    COUNTIFS('Form responses 1'!$G$2:$G1001, A70, 'Form responses 1'!$A$2:$A1001, "&gt;=2023-04-01", 'Form responses 1'!$A$2:$A1001, "&lt;=2023-06-30")
)
</f>
        <v>2</v>
      </c>
      <c r="G70" s="2">
        <f>SUM(
    COUNTIFS('Form responses 1'!$C$2:$C1001, A70, 'Form responses 1'!$A$2:$A1001, "&gt;=2023-07-01", 'Form responses 1'!$A$2:$A1001, "&lt;=2023-09-30"),
    COUNTIFS('Form responses 1'!$B$2:$B1001, A70, 'Form responses 1'!$A$2:$A1001, "&gt;=2023-07-01", 'Form responses 1'!$A$2:$A1001, "&lt;=2023-09-30"),
    COUNTIFS('Form responses 1'!$D$2:$D1001, A70, 'Form responses 1'!$A$2:$A1001, "&gt;=2023-07-01", 'Form responses 1'!$A$2:$A1001, "&lt;=2023-09-30"),
    COUNTIFS('Form responses 1'!$E$2:$E1001, A70, 'Form responses 1'!$A$2:$A1001, "&gt;=2023-07-01", 'Form responses 1'!$A$2:$A1001, "&lt;=2023-09-30"),
    COUNTIFS('Form responses 1'!$F$2:$F1001, A70, 'Form responses 1'!$A$2:$A1001, "&gt;=2023-07-01", 'Form responses 1'!$A$2:$A1001, "&lt;=2023-09-30"),
    COUNTIFS('Form responses 1'!$G$2:$G1001, A70, 'Form responses 1'!$A$2:$A1001, "&gt;=2023-07-01", 'Form responses 1'!$A$2:$A1001, "&lt;=2023-09-30")
)
</f>
        <v>0</v>
      </c>
      <c r="H70" s="2">
        <f>SUM(
    COUNTIFS('Form responses 1'!$C$2:$C1001, A70, 'Form responses 1'!$A$2:$A1001, "&gt;=2023-10-01", 'Form responses 1'!$A$2:$A1001, "&lt;=2023-12-31"),
    COUNTIFS('Form responses 1'!$B$2:$B1001, A70, 'Form responses 1'!$A$2:$A1001, "&gt;=2023-10-01", 'Form responses 1'!$A$2:$A1001, "&lt;=2023-12-31"),
    COUNTIFS('Form responses 1'!$D$2:$D1001, A70, 'Form responses 1'!$A$2:$A1001, "&gt;=2023-10-01", 'Form responses 1'!$A$2:$A1001, "&lt;=2023-12-31"),
    COUNTIFS('Form responses 1'!$E$2:$E1001, A70, 'Form responses 1'!$A$2:$A1001, "&gt;=2023-10-01", 'Form responses 1'!$A$2:$A1001, "&lt;=2023-12-31"),
    COUNTIFS('Form responses 1'!$F$2:$F1001, A70, 'Form responses 1'!$A$2:$A1001, "&gt;=2023-10-01", 'Form responses 1'!$A$2:$A1001, "&lt;=2023-12-31"),
    COUNTIFS('Form responses 1'!$G$2:$G1001, A70, 'Form responses 1'!$A$2:$A1001, "&gt;=2023-10-01", 'Form responses 1'!$A$2:$A1001, "&lt;=2023-12-31")
)
</f>
        <v>0</v>
      </c>
      <c r="I70" s="2">
        <f>SUM(
    COUNTIFS('Form responses 1'!$C$2:$C1001, A70, 'Form responses 1'!$A$2:$A1001, "&gt;=2024-01-01", 'Form responses 1'!$A$2:$A1001, "&lt;=2024-03-31"),
    COUNTIFS('Form responses 1'!$B$2:$B1001, A70, 'Form responses 1'!$A$2:$A1001, "&gt;=2024-01-01", 'Form responses 1'!$A$2:$A1001, "&lt;=2024-03-31"),
    COUNTIFS('Form responses 1'!$D$2:$D1001, A70, 'Form responses 1'!$A$2:$A1001, "&gt;=2024-01-01", 'Form responses 1'!$A$2:$A1001, "&lt;=2024-03-31"),
    COUNTIFS('Form responses 1'!$E$2:$E1001, A70, 'Form responses 1'!$A$2:$A1001, "&gt;=2024-01-01", 'Form responses 1'!$A$2:$A1001, "&lt;=2024-03-31"),
    COUNTIFS('Form responses 1'!$F$2:$F1001, A70, 'Form responses 1'!$A$2:$A1001, "&gt;=2024-01-01", 'Form responses 1'!$A$2:$A1001, "&lt;=2024-03-31"),
    COUNTIFS('Form responses 1'!$G$2:$G1001, A70, 'Form responses 1'!$A$2:$A1001, "&gt;=2024-01-01", 'Form responses 1'!$A$2:$A1001, "&lt;=2024-03-31")
)
</f>
        <v>0</v>
      </c>
      <c r="J70" s="2">
        <f>SUM(
    COUNTIFS('Form responses 1'!$C$2:$C1001, A70, 'Form responses 1'!$A$2:$A1001, "&gt;=2024-04-01", 'Form responses 1'!$A$2:$A1001, "&lt;=2024-06-30"),
    COUNTIFS('Form responses 1'!$B$2:$B1001, A70, 'Form responses 1'!$A$2:$A1001, "&gt;=2024-04-01", 'Form responses 1'!$A$2:$A1001, "&lt;=2024-06-30"),
    COUNTIFS('Form responses 1'!$D$2:$D1001, A70, 'Form responses 1'!$A$2:$A1001, "&gt;=2024-04-01", 'Form responses 1'!$A$2:$A1001, "&lt;=2024-06-30"),
    COUNTIFS('Form responses 1'!$E$2:$E1001, A70, 'Form responses 1'!$A$2:$A1001, "&gt;=2024-04-01", 'Form responses 1'!$A$2:$A1001, "&lt;=2024-06-30"),
    COUNTIFS('Form responses 1'!$F$2:$F1001, A70, 'Form responses 1'!$A$2:$A1001, "&gt;=2024-04-01", 'Form responses 1'!$A$2:$A1001, "&lt;=2024-06-30"),
    COUNTIFS('Form responses 1'!$G$2:$G1001, A70, 'Form responses 1'!$A$2:$A1001, "&gt;=2024-04-01", 'Form responses 1'!$A$2:$A1001, "&lt;=2024-06-30")
)
</f>
        <v>0</v>
      </c>
      <c r="K70" s="2">
        <f>SUM(
    COUNTIFS('Form responses 1'!$C$2:$C1001, A70, 'Form responses 1'!$A$2:$A1001, "&gt;=2024-07-01", 'Form responses 1'!$A$2:$A1001, "&lt;=2024-09-30"),
    COUNTIFS('Form responses 1'!$B$2:$B1001, A70, 'Form responses 1'!$A$2:$A1001, "&gt;=2024-07-01", 'Form responses 1'!$A$2:$A1001, "&lt;=2024-09-30"),
    COUNTIFS('Form responses 1'!$D$2:$D1001, A70, 'Form responses 1'!$A$2:$A1001, "&gt;=2024-07-01", 'Form responses 1'!$A$2:$A1001, "&lt;=2024-09-30"),
    COUNTIFS('Form responses 1'!$E$2:$E1001, A70, 'Form responses 1'!$A$2:$A1001, "&gt;=2024-07-01", 'Form responses 1'!$A$2:$A1001, "&lt;=2024-09-30"),
    COUNTIFS('Form responses 1'!$F$2:$F1001, A70, 'Form responses 1'!$A$2:$A1001, "&gt;=2024-07-01", 'Form responses 1'!$A$2:$A1001, "&lt;=2024-09-30"),
    COUNTIFS('Form responses 1'!$G$2:$G1001, A70, 'Form responses 1'!$A$2:$A1001, "&gt;=2024-07-01", 'Form responses 1'!$A$2:$A1001, "&lt;=2024-09-30")
)
</f>
        <v>0</v>
      </c>
      <c r="L70" s="2">
        <f>SUM(
    COUNTIFS('Form responses 1'!$C$2:$C1001, A70, 'Form responses 1'!$A$2:$A1001, "&gt;=2024-10-01", 'Form responses 1'!$A$2:$A1001, "&lt;=2024-12-31"),
    COUNTIFS('Form responses 1'!$B$2:$B1001, A70, 'Form responses 1'!$A$2:$A1001, "&gt;=2024-10-01", 'Form responses 1'!$A$2:$A1001, "&lt;=2024-12-31"),
    COUNTIFS('Form responses 1'!$D$2:$D1001, A70, 'Form responses 1'!$A$2:$A1001, "&gt;=2024-10-01", 'Form responses 1'!$A$2:$A1001, "&lt;=2024-12-31"),
    COUNTIFS('Form responses 1'!$E$2:$E1001, A70, 'Form responses 1'!$A$2:$A1001, "&gt;=2024-10-01", 'Form responses 1'!$A$2:$A1001, "&lt;=2024-12-31"),
    COUNTIFS('Form responses 1'!$F$2:$F1001, A70, 'Form responses 1'!$A$2:$A1001, "&gt;=2024-10-01", 'Form responses 1'!$A$2:$A1001, "&lt;=2024-12-31"),
    COUNTIFS('Form responses 1'!$G$2:$G1001, A70, 'Form responses 1'!$A$2:$A1001, "&gt;=2024-10-01", 'Form responses 1'!$A$2:$A1001, "&lt;=2024-12-31")
)
</f>
        <v>0</v>
      </c>
      <c r="M70" s="2">
        <f>SUM(
    COUNTIFS('Form responses 1'!$C$2:$C1001, A70, 'Form responses 1'!$A$2:$A1001, "&gt;=2025-01-01", 'Form responses 1'!$A$2:$A1001, "&lt;=2025-03-31"),
    COUNTIFS('Form responses 1'!$B$2:$B1001, A70, 'Form responses 1'!$A$2:$A1001, "&gt;=2025-01-01", 'Form responses 1'!$A$2:$A1001, "&lt;=2025-03-31"),
    COUNTIFS('Form responses 1'!$D$2:$D1001, A70, 'Form responses 1'!$A$2:$A1001, "&gt;=2025-01-01", 'Form responses 1'!$A$2:$A1001, "&lt;=2025-03-31"),
    COUNTIFS('Form responses 1'!$E$2:$E1001, A70, 'Form responses 1'!$A$2:$A1001, "&gt;=2025-01-01", 'Form responses 1'!$A$2:$A1001, "&lt;=2025-03-31"),
    COUNTIFS('Form responses 1'!$F$2:$F1001, A70, 'Form responses 1'!$A$2:$A1001, "&gt;=2025-01-01", 'Form responses 1'!$A$2:$A1001, "&lt;=2025-03-31"),
    COUNTIFS('Form responses 1'!$G$2:$G1001, A70, 'Form responses 1'!$A$2:$A1001, "&gt;=2025-01-01", 'Form responses 1'!$A$2:$A1001, "&lt;=2025-03-31")
)
</f>
        <v>0</v>
      </c>
      <c r="N70" s="2">
        <f>SUM(
    COUNTIFS('Form responses 1'!$C$2:$C1001, A70, 'Form responses 1'!$A$2:$A1001, "&gt;=2025-04-01", 'Form responses 1'!$A$2:$A1001, "&lt;2025-07-01"),
    COUNTIFS('Form responses 1'!$B$2:$B1001, A70, 'Form responses 1'!$A$2:$A1001, "&gt;=2025-04-01", 'Form responses 1'!$A$2:$A1001, "&lt;2025-07-01"),
    COUNTIFS('Form responses 1'!$D$2:$D1001, A70, 'Form responses 1'!$A$2:$A1001, "&gt;=2025-04-01", 'Form responses 1'!$A$2:$A1001, "&lt;2025-07-01"),
    COUNTIFS('Form responses 1'!$E$2:$E1001, A70, 'Form responses 1'!$A$2:$A1001, "&gt;=2025-04-01", 'Form responses 1'!$A$2:$A1001, "&lt;2025-07-01"),
    COUNTIFS('Form responses 1'!$F$2:$F1001, A70, 'Form responses 1'!$A$2:$A1001, "&gt;=2025-04-01", 'Form responses 1'!$A$2:$A1001, "&lt;2025-07-01"),
    COUNTIFS('Form responses 1'!$G$2:$G1001, A70, 'Form responses 1'!$A$2:$A1001, "&gt;=2025-04-01", 'Form responses 1'!$A$2:$A1001, "&lt;2025-07-01")
)
</f>
        <v>0</v>
      </c>
      <c r="O70" s="2">
        <f>SUM(
    COUNTIFS('Form responses 1'!$C$2:$C1001, A70, 'Form responses 1'!$A$2:$A1001, "&gt;=2025-07-01", 'Form responses 1'!$A$2:$A1001, "&lt;=2025-09-30"),
    COUNTIFS('Form responses 1'!$B$2:$B1001, A70, 'Form responses 1'!$A$2:$A1001, "&gt;=2025-07-01", 'Form responses 1'!$A$2:$A1001, "&lt;=2025-09-30"),
    COUNTIFS('Form responses 1'!$D$2:$D1001, A70, 'Form responses 1'!$A$2:$A1001, "&gt;=2025-07-01", 'Form responses 1'!$A$2:$A1001, "&lt;=2025-09-30"),
    COUNTIFS('Form responses 1'!$E$2:$E1001, A70, 'Form responses 1'!$A$2:$A1001, "&gt;=2025-07-01", 'Form responses 1'!$A$2:$A1001, "&lt;=2025-09-30"),
    COUNTIFS('Form responses 1'!$F$2:$F1001, A70, 'Form responses 1'!$A$2:$A1001, "&gt;=2025-07-01", 'Form responses 1'!$A$2:$A1001, "&lt;=2025-09-30"),
    COUNTIFS('Form responses 1'!$G$2:$G1001, A70, 'Form responses 1'!$A$2:$A1001, "&gt;=2025-07-01", 'Form responses 1'!$A$2:$A1001, "&lt;=2025-09-30")
)
</f>
        <v>0</v>
      </c>
      <c r="P70" s="2">
        <f>SUM(
    COUNTIFS('Form responses 1'!$C$2:$C1001, A70, 'Form responses 1'!$A$2:$A1001, "&gt;=2025-10-01", 'Form responses 1'!$A$2:$A1001, "&lt;=2025-12-31"),
    COUNTIFS('Form responses 1'!$B$2:$B1001, A70, 'Form responses 1'!$A$2:$A1001, "&gt;=2025-10-01", 'Form responses 1'!$A$2:$A1001, "&lt;=2025-12-31"),
    COUNTIFS('Form responses 1'!$D$2:$D1001, A70, 'Form responses 1'!$A$2:$A1001, "&gt;=2025-10-01", 'Form responses 1'!$A$2:$A1001, "&lt;=2025-12-31"),
    COUNTIFS('Form responses 1'!$E$2:$E1001, A70, 'Form responses 1'!$A$2:$A1001, "&gt;=2025-10-01", 'Form responses 1'!$A$2:$A1001, "&lt;=2025-12-31"),
    COUNTIFS('Form responses 1'!$F$2:$F1001, A70, 'Form responses 1'!$A$2:$A1001, "&gt;=2025-10-01", 'Form responses 1'!$A$2:$A1001, "&lt;=2025-12-31"),
    COUNTIFS('Form responses 1'!$G$2:$G1001, A70, 'Form responses 1'!$A$2:$A1001, "&gt;=2025-10-01", 'Form responses 1'!$A$2:$A1001, "&lt;=2025-12-31")
)
</f>
        <v>0</v>
      </c>
    </row>
    <row r="71">
      <c r="A71" s="6" t="str">
        <f>IFERROR(__xludf.DUMMYFUNCTION("""COMPUTED_VALUE"""),"Nette lange grijze jas")</f>
        <v>Nette lange grijze jas</v>
      </c>
      <c r="B71" s="2">
        <f>SUM(
    COUNTIFS('Form responses 1'!$C$2:$C1001, A71, 'Form responses 1'!$A$2:$A1001, "&gt;=2022-04-01", 'Form responses 1'!$A$2:$A1001, "&lt;=2022-06-30"),
    COUNTIFS('Form responses 1'!$B$2:$B1001, A71, 'Form responses 1'!$A$2:$A1001, "&gt;=2022-04-01", 'Form responses 1'!$A$2:$A1001, "&lt;=2022-06-30"),
    COUNTIFS('Form responses 1'!$D$2:$D1001, A71, 'Form responses 1'!$A$2:$A1001, "&gt;=2022-04-01", 'Form responses 1'!$A$2:$A1001, "&lt;=2022-06-30"),
    COUNTIFS('Form responses 1'!$E$2:$E1001, A71, 'Form responses 1'!$A$2:$A1001, "&gt;=2022-04-01", 'Form responses 1'!$A$2:$A1001, "&lt;=2022-06-30"),
    COUNTIFS('Form responses 1'!$F$2:$F1001, A71, 'Form responses 1'!$A$2:$A1001, "&gt;=2022-04-01", 'Form responses 1'!$A$2:$A1001, "&lt;=2022-06-30"),
    COUNTIFS('Form responses 1'!$G$2:$G1001, A71, 'Form responses 1'!$A$2:$A1001, "&gt;=2022-04-01", 'Form responses 1'!$A$2:$A1001, "&lt;=2022-06-30")
)
</f>
        <v>5</v>
      </c>
      <c r="C71" s="2">
        <f>SUM(
    COUNTIFS('Form responses 1'!$C$2:$C1001, A71, 'Form responses 1'!$A$2:$A1001, "&gt;=2022-07-01", 'Form responses 1'!$A$2:$A1001, "&lt;=2022-09-30"),
    COUNTIFS('Form responses 1'!$B$2:$B1001, A71, 'Form responses 1'!$A$2:$A1001, "&gt;=2022-07-01", 'Form responses 1'!$A$2:$A1001, "&lt;=2022-09-30"),
    COUNTIFS('Form responses 1'!$D$2:$D1001, A71, 'Form responses 1'!$A$2:$A1001, "&gt;=2022-07-01", 'Form responses 1'!$A$2:$A1001, "&lt;=2022-09-30"),
    COUNTIFS('Form responses 1'!$E$2:$E1001, A71, 'Form responses 1'!$A$2:$A1001, "&gt;=2022-07-01", 'Form responses 1'!$A$2:$A1001, "&lt;=2022-09-30"),
    COUNTIFS('Form responses 1'!$F$2:$F1001, A71, 'Form responses 1'!$A$2:$A1001, "&gt;=2022-07-01", 'Form responses 1'!$A$2:$A1001, "&lt;=2022-09-30"),
    COUNTIFS('Form responses 1'!$G$2:$G1001, A71, 'Form responses 1'!$A$2:$A1001, "&gt;=2022-07-01", 'Form responses 1'!$A$2:$A1001, "&lt;=2022-09-30")
)
</f>
        <v>0</v>
      </c>
      <c r="D71" s="2">
        <f>SUM(
    COUNTIFS('Form responses 1'!$C$2:$C1001, A71, 'Form responses 1'!$A$2:$A1001, "&gt;=2022-10-01", 'Form responses 1'!$A$2:$A1001, "&lt;=2022-12-31"),
    COUNTIFS('Form responses 1'!$B$2:$B1001, A71, 'Form responses 1'!$A$2:$A1001, "&gt;=2022-10-01", 'Form responses 1'!$A$2:$A1001, "&lt;=2022-12-31"),
    COUNTIFS('Form responses 1'!$D$2:$D1001, A71, 'Form responses 1'!$A$2:$A1001, "&gt;=2022-10-01", 'Form responses 1'!$A$2:$A1001, "&lt;=2022-12-31"),
    COUNTIFS('Form responses 1'!$E$2:$E1001, A71, 'Form responses 1'!$A$2:$A1001, "&gt;=2022-10-01", 'Form responses 1'!$A$2:$A1001, "&lt;=2022-12-31"),
    COUNTIFS('Form responses 1'!$F$2:$F1001, A71, 'Form responses 1'!$A$2:$A1001, "&gt;=2022-10-01", 'Form responses 1'!$A$2:$A1001, "&lt;=2022-12-31"),
    COUNTIFS('Form responses 1'!$G$2:$G1001, A71, 'Form responses 1'!$A$2:$A1001, "&gt;=2022-10-01", 'Form responses 1'!$A$2:$A1001, "&lt;=2022-12-31")
)
</f>
        <v>17</v>
      </c>
      <c r="E71" s="2">
        <f>SUM(
    COUNTIFS('Form responses 1'!$C$2:$C1001, A71, 'Form responses 1'!$A$2:$A1001, "&gt;=2023-01-01", 'Form responses 1'!$A$2:$A1001, "&lt;=2023-03-31"),
    COUNTIFS('Form responses 1'!$B$2:$B1001, A71, 'Form responses 1'!$A$2:$A1001, "&gt;=2023-01-01", 'Form responses 1'!$A$2:$A1001, "&lt;=2023-03-31"),
    COUNTIFS('Form responses 1'!$D$2:$D1001, A71, 'Form responses 1'!$A$2:$A1001, "&gt;=2023-01-01", 'Form responses 1'!$A$2:$A1001, "&lt;=2023-03-31"),
    COUNTIFS('Form responses 1'!$E$2:$E1001, A71, 'Form responses 1'!$A$2:$A1001, "&gt;=2023-01-01", 'Form responses 1'!$A$2:$A1001, "&lt;=2023-03-31"),
    COUNTIFS('Form responses 1'!$F$2:$F1001, A71, 'Form responses 1'!$A$2:$A1001, "&gt;=2023-01-01", 'Form responses 1'!$A$2:$A1001, "&lt;=2023-03-31"),
    COUNTIFS('Form responses 1'!$G$2:$G1001, A71, 'Form responses 1'!$A$2:$A1001, "&gt;=2023-01-01", 'Form responses 1'!$A$2:$A1001, "&lt;=2023-03-31")
)
</f>
        <v>23</v>
      </c>
      <c r="F71" s="2">
        <f>SUM(
    COUNTIFS('Form responses 1'!$C$2:$C1001, A71, 'Form responses 1'!$A$2:$A1001, "&gt;=2023-04-01", 'Form responses 1'!$A$2:$A1001, "&lt;=2023-06-30"),
    COUNTIFS('Form responses 1'!$B$2:$B1001, A71, 'Form responses 1'!$A$2:$A1001, "&gt;=2023-04-01", 'Form responses 1'!$A$2:$A1001, "&lt;=2023-06-30"),
    COUNTIFS('Form responses 1'!$D$2:$D1001, A71, 'Form responses 1'!$A$2:$A1001, "&gt;=2023-04-01", 'Form responses 1'!$A$2:$A1001, "&lt;=2023-06-30"),
    COUNTIFS('Form responses 1'!$E$2:$E1001, A71, 'Form responses 1'!$A$2:$A1001, "&gt;=2023-04-01", 'Form responses 1'!$A$2:$A1001, "&lt;=2023-06-30"),
    COUNTIFS('Form responses 1'!$F$2:$F1001, A71, 'Form responses 1'!$A$2:$A1001, "&gt;=2023-04-01", 'Form responses 1'!$A$2:$A1001, "&lt;=2023-06-30"),
    COUNTIFS('Form responses 1'!$G$2:$G1001, A71, 'Form responses 1'!$A$2:$A1001, "&gt;=2023-04-01", 'Form responses 1'!$A$2:$A1001, "&lt;=2023-06-30")
)
</f>
        <v>9</v>
      </c>
      <c r="G71" s="2">
        <f>SUM(
    COUNTIFS('Form responses 1'!$C$2:$C1001, A71, 'Form responses 1'!$A$2:$A1001, "&gt;=2023-07-01", 'Form responses 1'!$A$2:$A1001, "&lt;=2023-09-30"),
    COUNTIFS('Form responses 1'!$B$2:$B1001, A71, 'Form responses 1'!$A$2:$A1001, "&gt;=2023-07-01", 'Form responses 1'!$A$2:$A1001, "&lt;=2023-09-30"),
    COUNTIFS('Form responses 1'!$D$2:$D1001, A71, 'Form responses 1'!$A$2:$A1001, "&gt;=2023-07-01", 'Form responses 1'!$A$2:$A1001, "&lt;=2023-09-30"),
    COUNTIFS('Form responses 1'!$E$2:$E1001, A71, 'Form responses 1'!$A$2:$A1001, "&gt;=2023-07-01", 'Form responses 1'!$A$2:$A1001, "&lt;=2023-09-30"),
    COUNTIFS('Form responses 1'!$F$2:$F1001, A71, 'Form responses 1'!$A$2:$A1001, "&gt;=2023-07-01", 'Form responses 1'!$A$2:$A1001, "&lt;=2023-09-30"),
    COUNTIFS('Form responses 1'!$G$2:$G1001, A71, 'Form responses 1'!$A$2:$A1001, "&gt;=2023-07-01", 'Form responses 1'!$A$2:$A1001, "&lt;=2023-09-30")
)
</f>
        <v>0</v>
      </c>
      <c r="H71" s="2">
        <f>SUM(
    COUNTIFS('Form responses 1'!$C$2:$C1001, A71, 'Form responses 1'!$A$2:$A1001, "&gt;=2023-10-01", 'Form responses 1'!$A$2:$A1001, "&lt;=2023-12-31"),
    COUNTIFS('Form responses 1'!$B$2:$B1001, A71, 'Form responses 1'!$A$2:$A1001, "&gt;=2023-10-01", 'Form responses 1'!$A$2:$A1001, "&lt;=2023-12-31"),
    COUNTIFS('Form responses 1'!$D$2:$D1001, A71, 'Form responses 1'!$A$2:$A1001, "&gt;=2023-10-01", 'Form responses 1'!$A$2:$A1001, "&lt;=2023-12-31"),
    COUNTIFS('Form responses 1'!$E$2:$E1001, A71, 'Form responses 1'!$A$2:$A1001, "&gt;=2023-10-01", 'Form responses 1'!$A$2:$A1001, "&lt;=2023-12-31"),
    COUNTIFS('Form responses 1'!$F$2:$F1001, A71, 'Form responses 1'!$A$2:$A1001, "&gt;=2023-10-01", 'Form responses 1'!$A$2:$A1001, "&lt;=2023-12-31"),
    COUNTIFS('Form responses 1'!$G$2:$G1001, A71, 'Form responses 1'!$A$2:$A1001, "&gt;=2023-10-01", 'Form responses 1'!$A$2:$A1001, "&lt;=2023-12-31")
)
</f>
        <v>17</v>
      </c>
      <c r="I71" s="2">
        <f>SUM(
    COUNTIFS('Form responses 1'!$C$2:$C1001, A71, 'Form responses 1'!$A$2:$A1001, "&gt;=2024-01-01", 'Form responses 1'!$A$2:$A1001, "&lt;=2024-03-31"),
    COUNTIFS('Form responses 1'!$B$2:$B1001, A71, 'Form responses 1'!$A$2:$A1001, "&gt;=2024-01-01", 'Form responses 1'!$A$2:$A1001, "&lt;=2024-03-31"),
    COUNTIFS('Form responses 1'!$D$2:$D1001, A71, 'Form responses 1'!$A$2:$A1001, "&gt;=2024-01-01", 'Form responses 1'!$A$2:$A1001, "&lt;=2024-03-31"),
    COUNTIFS('Form responses 1'!$E$2:$E1001, A71, 'Form responses 1'!$A$2:$A1001, "&gt;=2024-01-01", 'Form responses 1'!$A$2:$A1001, "&lt;=2024-03-31"),
    COUNTIFS('Form responses 1'!$F$2:$F1001, A71, 'Form responses 1'!$A$2:$A1001, "&gt;=2024-01-01", 'Form responses 1'!$A$2:$A1001, "&lt;=2024-03-31"),
    COUNTIFS('Form responses 1'!$G$2:$G1001, A71, 'Form responses 1'!$A$2:$A1001, "&gt;=2024-01-01", 'Form responses 1'!$A$2:$A1001, "&lt;=2024-03-31")
)
</f>
        <v>35</v>
      </c>
      <c r="J71" s="2">
        <f>SUM(
    COUNTIFS('Form responses 1'!$C$2:$C1001, A71, 'Form responses 1'!$A$2:$A1001, "&gt;=2024-04-01", 'Form responses 1'!$A$2:$A1001, "&lt;=2024-06-30"),
    COUNTIFS('Form responses 1'!$B$2:$B1001, A71, 'Form responses 1'!$A$2:$A1001, "&gt;=2024-04-01", 'Form responses 1'!$A$2:$A1001, "&lt;=2024-06-30"),
    COUNTIFS('Form responses 1'!$D$2:$D1001, A71, 'Form responses 1'!$A$2:$A1001, "&gt;=2024-04-01", 'Form responses 1'!$A$2:$A1001, "&lt;=2024-06-30"),
    COUNTIFS('Form responses 1'!$E$2:$E1001, A71, 'Form responses 1'!$A$2:$A1001, "&gt;=2024-04-01", 'Form responses 1'!$A$2:$A1001, "&lt;=2024-06-30"),
    COUNTIFS('Form responses 1'!$F$2:$F1001, A71, 'Form responses 1'!$A$2:$A1001, "&gt;=2024-04-01", 'Form responses 1'!$A$2:$A1001, "&lt;=2024-06-30"),
    COUNTIFS('Form responses 1'!$G$2:$G1001, A71, 'Form responses 1'!$A$2:$A1001, "&gt;=2024-04-01", 'Form responses 1'!$A$2:$A1001, "&lt;=2024-06-30")
)
</f>
        <v>1</v>
      </c>
      <c r="K71" s="2">
        <f>SUM(
    COUNTIFS('Form responses 1'!$C$2:$C1001, A71, 'Form responses 1'!$A$2:$A1001, "&gt;=2024-07-01", 'Form responses 1'!$A$2:$A1001, "&lt;=2024-09-30"),
    COUNTIFS('Form responses 1'!$B$2:$B1001, A71, 'Form responses 1'!$A$2:$A1001, "&gt;=2024-07-01", 'Form responses 1'!$A$2:$A1001, "&lt;=2024-09-30"),
    COUNTIFS('Form responses 1'!$D$2:$D1001, A71, 'Form responses 1'!$A$2:$A1001, "&gt;=2024-07-01", 'Form responses 1'!$A$2:$A1001, "&lt;=2024-09-30"),
    COUNTIFS('Form responses 1'!$E$2:$E1001, A71, 'Form responses 1'!$A$2:$A1001, "&gt;=2024-07-01", 'Form responses 1'!$A$2:$A1001, "&lt;=2024-09-30"),
    COUNTIFS('Form responses 1'!$F$2:$F1001, A71, 'Form responses 1'!$A$2:$A1001, "&gt;=2024-07-01", 'Form responses 1'!$A$2:$A1001, "&lt;=2024-09-30"),
    COUNTIFS('Form responses 1'!$G$2:$G1001, A71, 'Form responses 1'!$A$2:$A1001, "&gt;=2024-07-01", 'Form responses 1'!$A$2:$A1001, "&lt;=2024-09-30")
)
</f>
        <v>0</v>
      </c>
      <c r="L71" s="2">
        <f>SUM(
    COUNTIFS('Form responses 1'!$C$2:$C1001, A71, 'Form responses 1'!$A$2:$A1001, "&gt;=2024-10-01", 'Form responses 1'!$A$2:$A1001, "&lt;=2024-12-31"),
    COUNTIFS('Form responses 1'!$B$2:$B1001, A71, 'Form responses 1'!$A$2:$A1001, "&gt;=2024-10-01", 'Form responses 1'!$A$2:$A1001, "&lt;=2024-12-31"),
    COUNTIFS('Form responses 1'!$D$2:$D1001, A71, 'Form responses 1'!$A$2:$A1001, "&gt;=2024-10-01", 'Form responses 1'!$A$2:$A1001, "&lt;=2024-12-31"),
    COUNTIFS('Form responses 1'!$E$2:$E1001, A71, 'Form responses 1'!$A$2:$A1001, "&gt;=2024-10-01", 'Form responses 1'!$A$2:$A1001, "&lt;=2024-12-31"),
    COUNTIFS('Form responses 1'!$F$2:$F1001, A71, 'Form responses 1'!$A$2:$A1001, "&gt;=2024-10-01", 'Form responses 1'!$A$2:$A1001, "&lt;=2024-12-31"),
    COUNTIFS('Form responses 1'!$G$2:$G1001, A71, 'Form responses 1'!$A$2:$A1001, "&gt;=2024-10-01", 'Form responses 1'!$A$2:$A1001, "&lt;=2024-12-31")
)
</f>
        <v>10</v>
      </c>
      <c r="M71" s="2">
        <f>SUM(
    COUNTIFS('Form responses 1'!$C$2:$C1001, A71, 'Form responses 1'!$A$2:$A1001, "&gt;=2025-01-01", 'Form responses 1'!$A$2:$A1001, "&lt;=2025-03-31"),
    COUNTIFS('Form responses 1'!$B$2:$B1001, A71, 'Form responses 1'!$A$2:$A1001, "&gt;=2025-01-01", 'Form responses 1'!$A$2:$A1001, "&lt;=2025-03-31"),
    COUNTIFS('Form responses 1'!$D$2:$D1001, A71, 'Form responses 1'!$A$2:$A1001, "&gt;=2025-01-01", 'Form responses 1'!$A$2:$A1001, "&lt;=2025-03-31"),
    COUNTIFS('Form responses 1'!$E$2:$E1001, A71, 'Form responses 1'!$A$2:$A1001, "&gt;=2025-01-01", 'Form responses 1'!$A$2:$A1001, "&lt;=2025-03-31"),
    COUNTIFS('Form responses 1'!$F$2:$F1001, A71, 'Form responses 1'!$A$2:$A1001, "&gt;=2025-01-01", 'Form responses 1'!$A$2:$A1001, "&lt;=2025-03-31"),
    COUNTIFS('Form responses 1'!$G$2:$G1001, A71, 'Form responses 1'!$A$2:$A1001, "&gt;=2025-01-01", 'Form responses 1'!$A$2:$A1001, "&lt;=2025-03-31")
)
</f>
        <v>10</v>
      </c>
      <c r="N71" s="2">
        <f>SUM(
    COUNTIFS('Form responses 1'!$C$2:$C1001, A71, 'Form responses 1'!$A$2:$A1001, "&gt;=2025-04-01", 'Form responses 1'!$A$2:$A1001, "&lt;2025-07-01"),
    COUNTIFS('Form responses 1'!$B$2:$B1001, A71, 'Form responses 1'!$A$2:$A1001, "&gt;=2025-04-01", 'Form responses 1'!$A$2:$A1001, "&lt;2025-07-01"),
    COUNTIFS('Form responses 1'!$D$2:$D1001, A71, 'Form responses 1'!$A$2:$A1001, "&gt;=2025-04-01", 'Form responses 1'!$A$2:$A1001, "&lt;2025-07-01"),
    COUNTIFS('Form responses 1'!$E$2:$E1001, A71, 'Form responses 1'!$A$2:$A1001, "&gt;=2025-04-01", 'Form responses 1'!$A$2:$A1001, "&lt;2025-07-01"),
    COUNTIFS('Form responses 1'!$F$2:$F1001, A71, 'Form responses 1'!$A$2:$A1001, "&gt;=2025-04-01", 'Form responses 1'!$A$2:$A1001, "&lt;2025-07-01"),
    COUNTIFS('Form responses 1'!$G$2:$G1001, A71, 'Form responses 1'!$A$2:$A1001, "&gt;=2025-04-01", 'Form responses 1'!$A$2:$A1001, "&lt;2025-07-01")
)
</f>
        <v>0</v>
      </c>
      <c r="O71" s="2">
        <f>SUM(
    COUNTIFS('Form responses 1'!$C$2:$C1001, A71, 'Form responses 1'!$A$2:$A1001, "&gt;=2025-07-01", 'Form responses 1'!$A$2:$A1001, "&lt;=2025-09-30"),
    COUNTIFS('Form responses 1'!$B$2:$B1001, A71, 'Form responses 1'!$A$2:$A1001, "&gt;=2025-07-01", 'Form responses 1'!$A$2:$A1001, "&lt;=2025-09-30"),
    COUNTIFS('Form responses 1'!$D$2:$D1001, A71, 'Form responses 1'!$A$2:$A1001, "&gt;=2025-07-01", 'Form responses 1'!$A$2:$A1001, "&lt;=2025-09-30"),
    COUNTIFS('Form responses 1'!$E$2:$E1001, A71, 'Form responses 1'!$A$2:$A1001, "&gt;=2025-07-01", 'Form responses 1'!$A$2:$A1001, "&lt;=2025-09-30"),
    COUNTIFS('Form responses 1'!$F$2:$F1001, A71, 'Form responses 1'!$A$2:$A1001, "&gt;=2025-07-01", 'Form responses 1'!$A$2:$A1001, "&lt;=2025-09-30"),
    COUNTIFS('Form responses 1'!$G$2:$G1001, A71, 'Form responses 1'!$A$2:$A1001, "&gt;=2025-07-01", 'Form responses 1'!$A$2:$A1001, "&lt;=2025-09-30")
)
</f>
        <v>0</v>
      </c>
      <c r="P71" s="2">
        <f>SUM(
    COUNTIFS('Form responses 1'!$C$2:$C1001, A71, 'Form responses 1'!$A$2:$A1001, "&gt;=2025-10-01", 'Form responses 1'!$A$2:$A1001, "&lt;=2025-12-31"),
    COUNTIFS('Form responses 1'!$B$2:$B1001, A71, 'Form responses 1'!$A$2:$A1001, "&gt;=2025-10-01", 'Form responses 1'!$A$2:$A1001, "&lt;=2025-12-31"),
    COUNTIFS('Form responses 1'!$D$2:$D1001, A71, 'Form responses 1'!$A$2:$A1001, "&gt;=2025-10-01", 'Form responses 1'!$A$2:$A1001, "&lt;=2025-12-31"),
    COUNTIFS('Form responses 1'!$E$2:$E1001, A71, 'Form responses 1'!$A$2:$A1001, "&gt;=2025-10-01", 'Form responses 1'!$A$2:$A1001, "&lt;=2025-12-31"),
    COUNTIFS('Form responses 1'!$F$2:$F1001, A71, 'Form responses 1'!$A$2:$A1001, "&gt;=2025-10-01", 'Form responses 1'!$A$2:$A1001, "&lt;=2025-12-31"),
    COUNTIFS('Form responses 1'!$G$2:$G1001, A71, 'Form responses 1'!$A$2:$A1001, "&gt;=2025-10-01", 'Form responses 1'!$A$2:$A1001, "&lt;=2025-12-31")
)
</f>
        <v>30</v>
      </c>
    </row>
    <row r="72">
      <c r="A72" s="6" t="str">
        <f>IFERROR(__xludf.DUMMYFUNCTION("""COMPUTED_VALUE"""),"Groene winterjas")</f>
        <v>Groene winterjas</v>
      </c>
      <c r="B72" s="2">
        <f>SUM(
    COUNTIFS('Form responses 1'!$C$2:$C1001, A72, 'Form responses 1'!$A$2:$A1001, "&gt;=2022-04-01", 'Form responses 1'!$A$2:$A1001, "&lt;=2022-06-30"),
    COUNTIFS('Form responses 1'!$B$2:$B1001, A72, 'Form responses 1'!$A$2:$A1001, "&gt;=2022-04-01", 'Form responses 1'!$A$2:$A1001, "&lt;=2022-06-30"),
    COUNTIFS('Form responses 1'!$D$2:$D1001, A72, 'Form responses 1'!$A$2:$A1001, "&gt;=2022-04-01", 'Form responses 1'!$A$2:$A1001, "&lt;=2022-06-30"),
    COUNTIFS('Form responses 1'!$E$2:$E1001, A72, 'Form responses 1'!$A$2:$A1001, "&gt;=2022-04-01", 'Form responses 1'!$A$2:$A1001, "&lt;=2022-06-30"),
    COUNTIFS('Form responses 1'!$F$2:$F1001, A72, 'Form responses 1'!$A$2:$A1001, "&gt;=2022-04-01", 'Form responses 1'!$A$2:$A1001, "&lt;=2022-06-30"),
    COUNTIFS('Form responses 1'!$G$2:$G1001, A72, 'Form responses 1'!$A$2:$A1001, "&gt;=2022-04-01", 'Form responses 1'!$A$2:$A1001, "&lt;=2022-06-30")
)
</f>
        <v>12</v>
      </c>
      <c r="C72" s="2">
        <f>SUM(
    COUNTIFS('Form responses 1'!$C$2:$C1001, A72, 'Form responses 1'!$A$2:$A1001, "&gt;=2022-07-01", 'Form responses 1'!$A$2:$A1001, "&lt;=2022-09-30"),
    COUNTIFS('Form responses 1'!$B$2:$B1001, A72, 'Form responses 1'!$A$2:$A1001, "&gt;=2022-07-01", 'Form responses 1'!$A$2:$A1001, "&lt;=2022-09-30"),
    COUNTIFS('Form responses 1'!$D$2:$D1001, A72, 'Form responses 1'!$A$2:$A1001, "&gt;=2022-07-01", 'Form responses 1'!$A$2:$A1001, "&lt;=2022-09-30"),
    COUNTIFS('Form responses 1'!$E$2:$E1001, A72, 'Form responses 1'!$A$2:$A1001, "&gt;=2022-07-01", 'Form responses 1'!$A$2:$A1001, "&lt;=2022-09-30"),
    COUNTIFS('Form responses 1'!$F$2:$F1001, A72, 'Form responses 1'!$A$2:$A1001, "&gt;=2022-07-01", 'Form responses 1'!$A$2:$A1001, "&lt;=2022-09-30"),
    COUNTIFS('Form responses 1'!$G$2:$G1001, A72, 'Form responses 1'!$A$2:$A1001, "&gt;=2022-07-01", 'Form responses 1'!$A$2:$A1001, "&lt;=2022-09-30")
)
</f>
        <v>2</v>
      </c>
      <c r="D72" s="2">
        <f>SUM(
    COUNTIFS('Form responses 1'!$C$2:$C1001, A72, 'Form responses 1'!$A$2:$A1001, "&gt;=2022-10-01", 'Form responses 1'!$A$2:$A1001, "&lt;=2022-12-31"),
    COUNTIFS('Form responses 1'!$B$2:$B1001, A72, 'Form responses 1'!$A$2:$A1001, "&gt;=2022-10-01", 'Form responses 1'!$A$2:$A1001, "&lt;=2022-12-31"),
    COUNTIFS('Form responses 1'!$D$2:$D1001, A72, 'Form responses 1'!$A$2:$A1001, "&gt;=2022-10-01", 'Form responses 1'!$A$2:$A1001, "&lt;=2022-12-31"),
    COUNTIFS('Form responses 1'!$E$2:$E1001, A72, 'Form responses 1'!$A$2:$A1001, "&gt;=2022-10-01", 'Form responses 1'!$A$2:$A1001, "&lt;=2022-12-31"),
    COUNTIFS('Form responses 1'!$F$2:$F1001, A72, 'Form responses 1'!$A$2:$A1001, "&gt;=2022-10-01", 'Form responses 1'!$A$2:$A1001, "&lt;=2022-12-31"),
    COUNTIFS('Form responses 1'!$G$2:$G1001, A72, 'Form responses 1'!$A$2:$A1001, "&gt;=2022-10-01", 'Form responses 1'!$A$2:$A1001, "&lt;=2022-12-31")
)
</f>
        <v>42</v>
      </c>
      <c r="E72" s="2">
        <f>SUM(
    COUNTIFS('Form responses 1'!$C$2:$C1001, A72, 'Form responses 1'!$A$2:$A1001, "&gt;=2023-01-01", 'Form responses 1'!$A$2:$A1001, "&lt;=2023-03-31"),
    COUNTIFS('Form responses 1'!$B$2:$B1001, A72, 'Form responses 1'!$A$2:$A1001, "&gt;=2023-01-01", 'Form responses 1'!$A$2:$A1001, "&lt;=2023-03-31"),
    COUNTIFS('Form responses 1'!$D$2:$D1001, A72, 'Form responses 1'!$A$2:$A1001, "&gt;=2023-01-01", 'Form responses 1'!$A$2:$A1001, "&lt;=2023-03-31"),
    COUNTIFS('Form responses 1'!$E$2:$E1001, A72, 'Form responses 1'!$A$2:$A1001, "&gt;=2023-01-01", 'Form responses 1'!$A$2:$A1001, "&lt;=2023-03-31"),
    COUNTIFS('Form responses 1'!$F$2:$F1001, A72, 'Form responses 1'!$A$2:$A1001, "&gt;=2023-01-01", 'Form responses 1'!$A$2:$A1001, "&lt;=2023-03-31"),
    COUNTIFS('Form responses 1'!$G$2:$G1001, A72, 'Form responses 1'!$A$2:$A1001, "&gt;=2023-01-01", 'Form responses 1'!$A$2:$A1001, "&lt;=2023-03-31")
)
</f>
        <v>46</v>
      </c>
      <c r="F72" s="2">
        <f>SUM(
    COUNTIFS('Form responses 1'!$C$2:$C1001, A72, 'Form responses 1'!$A$2:$A1001, "&gt;=2023-04-01", 'Form responses 1'!$A$2:$A1001, "&lt;=2023-06-30"),
    COUNTIFS('Form responses 1'!$B$2:$B1001, A72, 'Form responses 1'!$A$2:$A1001, "&gt;=2023-04-01", 'Form responses 1'!$A$2:$A1001, "&lt;=2023-06-30"),
    COUNTIFS('Form responses 1'!$D$2:$D1001, A72, 'Form responses 1'!$A$2:$A1001, "&gt;=2023-04-01", 'Form responses 1'!$A$2:$A1001, "&lt;=2023-06-30"),
    COUNTIFS('Form responses 1'!$E$2:$E1001, A72, 'Form responses 1'!$A$2:$A1001, "&gt;=2023-04-01", 'Form responses 1'!$A$2:$A1001, "&lt;=2023-06-30"),
    COUNTIFS('Form responses 1'!$F$2:$F1001, A72, 'Form responses 1'!$A$2:$A1001, "&gt;=2023-04-01", 'Form responses 1'!$A$2:$A1001, "&lt;=2023-06-30"),
    COUNTIFS('Form responses 1'!$G$2:$G1001, A72, 'Form responses 1'!$A$2:$A1001, "&gt;=2023-04-01", 'Form responses 1'!$A$2:$A1001, "&lt;=2023-06-30")
)
</f>
        <v>19</v>
      </c>
      <c r="G72" s="2">
        <f>SUM(
    COUNTIFS('Form responses 1'!$C$2:$C1001, A72, 'Form responses 1'!$A$2:$A1001, "&gt;=2023-07-01", 'Form responses 1'!$A$2:$A1001, "&lt;=2023-09-30"),
    COUNTIFS('Form responses 1'!$B$2:$B1001, A72, 'Form responses 1'!$A$2:$A1001, "&gt;=2023-07-01", 'Form responses 1'!$A$2:$A1001, "&lt;=2023-09-30"),
    COUNTIFS('Form responses 1'!$D$2:$D1001, A72, 'Form responses 1'!$A$2:$A1001, "&gt;=2023-07-01", 'Form responses 1'!$A$2:$A1001, "&lt;=2023-09-30"),
    COUNTIFS('Form responses 1'!$E$2:$E1001, A72, 'Form responses 1'!$A$2:$A1001, "&gt;=2023-07-01", 'Form responses 1'!$A$2:$A1001, "&lt;=2023-09-30"),
    COUNTIFS('Form responses 1'!$F$2:$F1001, A72, 'Form responses 1'!$A$2:$A1001, "&gt;=2023-07-01", 'Form responses 1'!$A$2:$A1001, "&lt;=2023-09-30"),
    COUNTIFS('Form responses 1'!$G$2:$G1001, A72, 'Form responses 1'!$A$2:$A1001, "&gt;=2023-07-01", 'Form responses 1'!$A$2:$A1001, "&lt;=2023-09-30")
)
</f>
        <v>3</v>
      </c>
      <c r="H72" s="2">
        <f>SUM(
    COUNTIFS('Form responses 1'!$C$2:$C1001, A72, 'Form responses 1'!$A$2:$A1001, "&gt;=2023-10-01", 'Form responses 1'!$A$2:$A1001, "&lt;=2023-12-31"),
    COUNTIFS('Form responses 1'!$B$2:$B1001, A72, 'Form responses 1'!$A$2:$A1001, "&gt;=2023-10-01", 'Form responses 1'!$A$2:$A1001, "&lt;=2023-12-31"),
    COUNTIFS('Form responses 1'!$D$2:$D1001, A72, 'Form responses 1'!$A$2:$A1001, "&gt;=2023-10-01", 'Form responses 1'!$A$2:$A1001, "&lt;=2023-12-31"),
    COUNTIFS('Form responses 1'!$E$2:$E1001, A72, 'Form responses 1'!$A$2:$A1001, "&gt;=2023-10-01", 'Form responses 1'!$A$2:$A1001, "&lt;=2023-12-31"),
    COUNTIFS('Form responses 1'!$F$2:$F1001, A72, 'Form responses 1'!$A$2:$A1001, "&gt;=2023-10-01", 'Form responses 1'!$A$2:$A1001, "&lt;=2023-12-31"),
    COUNTIFS('Form responses 1'!$G$2:$G1001, A72, 'Form responses 1'!$A$2:$A1001, "&gt;=2023-10-01", 'Form responses 1'!$A$2:$A1001, "&lt;=2023-12-31")
)
</f>
        <v>47</v>
      </c>
      <c r="I72" s="2">
        <f>SUM(
    COUNTIFS('Form responses 1'!$C$2:$C1001, A72, 'Form responses 1'!$A$2:$A1001, "&gt;=2024-01-01", 'Form responses 1'!$A$2:$A1001, "&lt;=2024-03-31"),
    COUNTIFS('Form responses 1'!$B$2:$B1001, A72, 'Form responses 1'!$A$2:$A1001, "&gt;=2024-01-01", 'Form responses 1'!$A$2:$A1001, "&lt;=2024-03-31"),
    COUNTIFS('Form responses 1'!$D$2:$D1001, A72, 'Form responses 1'!$A$2:$A1001, "&gt;=2024-01-01", 'Form responses 1'!$A$2:$A1001, "&lt;=2024-03-31"),
    COUNTIFS('Form responses 1'!$E$2:$E1001, A72, 'Form responses 1'!$A$2:$A1001, "&gt;=2024-01-01", 'Form responses 1'!$A$2:$A1001, "&lt;=2024-03-31"),
    COUNTIFS('Form responses 1'!$F$2:$F1001, A72, 'Form responses 1'!$A$2:$A1001, "&gt;=2024-01-01", 'Form responses 1'!$A$2:$A1001, "&lt;=2024-03-31"),
    COUNTIFS('Form responses 1'!$G$2:$G1001, A72, 'Form responses 1'!$A$2:$A1001, "&gt;=2024-01-01", 'Form responses 1'!$A$2:$A1001, "&lt;=2024-03-31")
)
</f>
        <v>35</v>
      </c>
      <c r="J72" s="2">
        <f>SUM(
    COUNTIFS('Form responses 1'!$C$2:$C1001, A72, 'Form responses 1'!$A$2:$A1001, "&gt;=2024-04-01", 'Form responses 1'!$A$2:$A1001, "&lt;=2024-06-30"),
    COUNTIFS('Form responses 1'!$B$2:$B1001, A72, 'Form responses 1'!$A$2:$A1001, "&gt;=2024-04-01", 'Form responses 1'!$A$2:$A1001, "&lt;=2024-06-30"),
    COUNTIFS('Form responses 1'!$D$2:$D1001, A72, 'Form responses 1'!$A$2:$A1001, "&gt;=2024-04-01", 'Form responses 1'!$A$2:$A1001, "&lt;=2024-06-30"),
    COUNTIFS('Form responses 1'!$E$2:$E1001, A72, 'Form responses 1'!$A$2:$A1001, "&gt;=2024-04-01", 'Form responses 1'!$A$2:$A1001, "&lt;=2024-06-30"),
    COUNTIFS('Form responses 1'!$F$2:$F1001, A72, 'Form responses 1'!$A$2:$A1001, "&gt;=2024-04-01", 'Form responses 1'!$A$2:$A1001, "&lt;=2024-06-30"),
    COUNTIFS('Form responses 1'!$G$2:$G1001, A72, 'Form responses 1'!$A$2:$A1001, "&gt;=2024-04-01", 'Form responses 1'!$A$2:$A1001, "&lt;=2024-06-30")
)
</f>
        <v>15</v>
      </c>
      <c r="K72" s="2">
        <f>SUM(
    COUNTIFS('Form responses 1'!$C$2:$C1001, A72, 'Form responses 1'!$A$2:$A1001, "&gt;=2024-07-01", 'Form responses 1'!$A$2:$A1001, "&lt;=2024-09-30"),
    COUNTIFS('Form responses 1'!$B$2:$B1001, A72, 'Form responses 1'!$A$2:$A1001, "&gt;=2024-07-01", 'Form responses 1'!$A$2:$A1001, "&lt;=2024-09-30"),
    COUNTIFS('Form responses 1'!$D$2:$D1001, A72, 'Form responses 1'!$A$2:$A1001, "&gt;=2024-07-01", 'Form responses 1'!$A$2:$A1001, "&lt;=2024-09-30"),
    COUNTIFS('Form responses 1'!$E$2:$E1001, A72, 'Form responses 1'!$A$2:$A1001, "&gt;=2024-07-01", 'Form responses 1'!$A$2:$A1001, "&lt;=2024-09-30"),
    COUNTIFS('Form responses 1'!$F$2:$F1001, A72, 'Form responses 1'!$A$2:$A1001, "&gt;=2024-07-01", 'Form responses 1'!$A$2:$A1001, "&lt;=2024-09-30"),
    COUNTIFS('Form responses 1'!$G$2:$G1001, A72, 'Form responses 1'!$A$2:$A1001, "&gt;=2024-07-01", 'Form responses 1'!$A$2:$A1001, "&lt;=2024-09-30")
)
</f>
        <v>0</v>
      </c>
      <c r="L72" s="2">
        <f>SUM(
    COUNTIFS('Form responses 1'!$C$2:$C1001, A72, 'Form responses 1'!$A$2:$A1001, "&gt;=2024-10-01", 'Form responses 1'!$A$2:$A1001, "&lt;=2024-12-31"),
    COUNTIFS('Form responses 1'!$B$2:$B1001, A72, 'Form responses 1'!$A$2:$A1001, "&gt;=2024-10-01", 'Form responses 1'!$A$2:$A1001, "&lt;=2024-12-31"),
    COUNTIFS('Form responses 1'!$D$2:$D1001, A72, 'Form responses 1'!$A$2:$A1001, "&gt;=2024-10-01", 'Form responses 1'!$A$2:$A1001, "&lt;=2024-12-31"),
    COUNTIFS('Form responses 1'!$E$2:$E1001, A72, 'Form responses 1'!$A$2:$A1001, "&gt;=2024-10-01", 'Form responses 1'!$A$2:$A1001, "&lt;=2024-12-31"),
    COUNTIFS('Form responses 1'!$F$2:$F1001, A72, 'Form responses 1'!$A$2:$A1001, "&gt;=2024-10-01", 'Form responses 1'!$A$2:$A1001, "&lt;=2024-12-31"),
    COUNTIFS('Form responses 1'!$G$2:$G1001, A72, 'Form responses 1'!$A$2:$A1001, "&gt;=2024-10-01", 'Form responses 1'!$A$2:$A1001, "&lt;=2024-12-31")
)
</f>
        <v>40</v>
      </c>
      <c r="M72" s="2">
        <f>SUM(
    COUNTIFS('Form responses 1'!$C$2:$C1001, A72, 'Form responses 1'!$A$2:$A1001, "&gt;=2025-01-01", 'Form responses 1'!$A$2:$A1001, "&lt;=2025-03-31"),
    COUNTIFS('Form responses 1'!$B$2:$B1001, A72, 'Form responses 1'!$A$2:$A1001, "&gt;=2025-01-01", 'Form responses 1'!$A$2:$A1001, "&lt;=2025-03-31"),
    COUNTIFS('Form responses 1'!$D$2:$D1001, A72, 'Form responses 1'!$A$2:$A1001, "&gt;=2025-01-01", 'Form responses 1'!$A$2:$A1001, "&lt;=2025-03-31"),
    COUNTIFS('Form responses 1'!$E$2:$E1001, A72, 'Form responses 1'!$A$2:$A1001, "&gt;=2025-01-01", 'Form responses 1'!$A$2:$A1001, "&lt;=2025-03-31"),
    COUNTIFS('Form responses 1'!$F$2:$F1001, A72, 'Form responses 1'!$A$2:$A1001, "&gt;=2025-01-01", 'Form responses 1'!$A$2:$A1001, "&lt;=2025-03-31"),
    COUNTIFS('Form responses 1'!$G$2:$G1001, A72, 'Form responses 1'!$A$2:$A1001, "&gt;=2025-01-01", 'Form responses 1'!$A$2:$A1001, "&lt;=2025-03-31")
)
</f>
        <v>55</v>
      </c>
      <c r="N72" s="2">
        <f>SUM(
    COUNTIFS('Form responses 1'!$C$2:$C1001, A72, 'Form responses 1'!$A$2:$A1001, "&gt;=2025-04-01", 'Form responses 1'!$A$2:$A1001, "&lt;2025-07-01"),
    COUNTIFS('Form responses 1'!$B$2:$B1001, A72, 'Form responses 1'!$A$2:$A1001, "&gt;=2025-04-01", 'Form responses 1'!$A$2:$A1001, "&lt;2025-07-01"),
    COUNTIFS('Form responses 1'!$D$2:$D1001, A72, 'Form responses 1'!$A$2:$A1001, "&gt;=2025-04-01", 'Form responses 1'!$A$2:$A1001, "&lt;2025-07-01"),
    COUNTIFS('Form responses 1'!$E$2:$E1001, A72, 'Form responses 1'!$A$2:$A1001, "&gt;=2025-04-01", 'Form responses 1'!$A$2:$A1001, "&lt;2025-07-01"),
    COUNTIFS('Form responses 1'!$F$2:$F1001, A72, 'Form responses 1'!$A$2:$A1001, "&gt;=2025-04-01", 'Form responses 1'!$A$2:$A1001, "&lt;2025-07-01"),
    COUNTIFS('Form responses 1'!$G$2:$G1001, A72, 'Form responses 1'!$A$2:$A1001, "&gt;=2025-04-01", 'Form responses 1'!$A$2:$A1001, "&lt;2025-07-01")
)
</f>
        <v>2</v>
      </c>
      <c r="O72" s="2">
        <f>SUM(
    COUNTIFS('Form responses 1'!$C$2:$C1001, A72, 'Form responses 1'!$A$2:$A1001, "&gt;=2025-07-01", 'Form responses 1'!$A$2:$A1001, "&lt;=2025-09-30"),
    COUNTIFS('Form responses 1'!$B$2:$B1001, A72, 'Form responses 1'!$A$2:$A1001, "&gt;=2025-07-01", 'Form responses 1'!$A$2:$A1001, "&lt;=2025-09-30"),
    COUNTIFS('Form responses 1'!$D$2:$D1001, A72, 'Form responses 1'!$A$2:$A1001, "&gt;=2025-07-01", 'Form responses 1'!$A$2:$A1001, "&lt;=2025-09-30"),
    COUNTIFS('Form responses 1'!$E$2:$E1001, A72, 'Form responses 1'!$A$2:$A1001, "&gt;=2025-07-01", 'Form responses 1'!$A$2:$A1001, "&lt;=2025-09-30"),
    COUNTIFS('Form responses 1'!$F$2:$F1001, A72, 'Form responses 1'!$A$2:$A1001, "&gt;=2025-07-01", 'Form responses 1'!$A$2:$A1001, "&lt;=2025-09-30"),
    COUNTIFS('Form responses 1'!$G$2:$G1001, A72, 'Form responses 1'!$A$2:$A1001, "&gt;=2025-07-01", 'Form responses 1'!$A$2:$A1001, "&lt;=2025-09-30")
)
</f>
        <v>0</v>
      </c>
      <c r="P72" s="2">
        <f>SUM(
    COUNTIFS('Form responses 1'!$C$2:$C1001, A72, 'Form responses 1'!$A$2:$A1001, "&gt;=2025-10-01", 'Form responses 1'!$A$2:$A1001, "&lt;=2025-12-31"),
    COUNTIFS('Form responses 1'!$B$2:$B1001, A72, 'Form responses 1'!$A$2:$A1001, "&gt;=2025-10-01", 'Form responses 1'!$A$2:$A1001, "&lt;=2025-12-31"),
    COUNTIFS('Form responses 1'!$D$2:$D1001, A72, 'Form responses 1'!$A$2:$A1001, "&gt;=2025-10-01", 'Form responses 1'!$A$2:$A1001, "&lt;=2025-12-31"),
    COUNTIFS('Form responses 1'!$E$2:$E1001, A72, 'Form responses 1'!$A$2:$A1001, "&gt;=2025-10-01", 'Form responses 1'!$A$2:$A1001, "&lt;=2025-12-31"),
    COUNTIFS('Form responses 1'!$F$2:$F1001, A72, 'Form responses 1'!$A$2:$A1001, "&gt;=2025-10-01", 'Form responses 1'!$A$2:$A1001, "&lt;=2025-12-31"),
    COUNTIFS('Form responses 1'!$G$2:$G1001, A72, 'Form responses 1'!$A$2:$A1001, "&gt;=2025-10-01", 'Form responses 1'!$A$2:$A1001, "&lt;=2025-12-31")
)
</f>
        <v>11</v>
      </c>
    </row>
    <row r="73">
      <c r="A73" s="9" t="str">
        <f>IFERROR(__xludf.DUMMYFUNCTION("""COMPUTED_VALUE"""),"Blauwe zomerjas")</f>
        <v>Blauwe zomerjas</v>
      </c>
      <c r="B73" s="2">
        <f>SUM(
    COUNTIFS('Form responses 1'!$C$2:$C1001, A73, 'Form responses 1'!$A$2:$A1001, "&gt;=2022-04-01", 'Form responses 1'!$A$2:$A1001, "&lt;=2022-06-30"),
    COUNTIFS('Form responses 1'!$B$2:$B1001, A73, 'Form responses 1'!$A$2:$A1001, "&gt;=2022-04-01", 'Form responses 1'!$A$2:$A1001, "&lt;=2022-06-30"),
    COUNTIFS('Form responses 1'!$D$2:$D1001, A73, 'Form responses 1'!$A$2:$A1001, "&gt;=2022-04-01", 'Form responses 1'!$A$2:$A1001, "&lt;=2022-06-30"),
    COUNTIFS('Form responses 1'!$E$2:$E1001, A73, 'Form responses 1'!$A$2:$A1001, "&gt;=2022-04-01", 'Form responses 1'!$A$2:$A1001, "&lt;=2022-06-30"),
    COUNTIFS('Form responses 1'!$F$2:$F1001, A73, 'Form responses 1'!$A$2:$A1001, "&gt;=2022-04-01", 'Form responses 1'!$A$2:$A1001, "&lt;=2022-06-30"),
    COUNTIFS('Form responses 1'!$G$2:$G1001, A73, 'Form responses 1'!$A$2:$A1001, "&gt;=2022-04-01", 'Form responses 1'!$A$2:$A1001, "&lt;=2022-06-30")
)
</f>
        <v>16</v>
      </c>
      <c r="C73" s="2">
        <f>SUM(
    COUNTIFS('Form responses 1'!$C$2:$C1001, A73, 'Form responses 1'!$A$2:$A1001, "&gt;=2022-07-01", 'Form responses 1'!$A$2:$A1001, "&lt;=2022-09-30"),
    COUNTIFS('Form responses 1'!$B$2:$B1001, A73, 'Form responses 1'!$A$2:$A1001, "&gt;=2022-07-01", 'Form responses 1'!$A$2:$A1001, "&lt;=2022-09-30"),
    COUNTIFS('Form responses 1'!$D$2:$D1001, A73, 'Form responses 1'!$A$2:$A1001, "&gt;=2022-07-01", 'Form responses 1'!$A$2:$A1001, "&lt;=2022-09-30"),
    COUNTIFS('Form responses 1'!$E$2:$E1001, A73, 'Form responses 1'!$A$2:$A1001, "&gt;=2022-07-01", 'Form responses 1'!$A$2:$A1001, "&lt;=2022-09-30"),
    COUNTIFS('Form responses 1'!$F$2:$F1001, A73, 'Form responses 1'!$A$2:$A1001, "&gt;=2022-07-01", 'Form responses 1'!$A$2:$A1001, "&lt;=2022-09-30"),
    COUNTIFS('Form responses 1'!$G$2:$G1001, A73, 'Form responses 1'!$A$2:$A1001, "&gt;=2022-07-01", 'Form responses 1'!$A$2:$A1001, "&lt;=2022-09-30")
)
</f>
        <v>2</v>
      </c>
      <c r="D73" s="2">
        <f>SUM(
    COUNTIFS('Form responses 1'!$C$2:$C1001, A73, 'Form responses 1'!$A$2:$A1001, "&gt;=2022-10-01", 'Form responses 1'!$A$2:$A1001, "&lt;=2022-12-31"),
    COUNTIFS('Form responses 1'!$B$2:$B1001, A73, 'Form responses 1'!$A$2:$A1001, "&gt;=2022-10-01", 'Form responses 1'!$A$2:$A1001, "&lt;=2022-12-31"),
    COUNTIFS('Form responses 1'!$D$2:$D1001, A73, 'Form responses 1'!$A$2:$A1001, "&gt;=2022-10-01", 'Form responses 1'!$A$2:$A1001, "&lt;=2022-12-31"),
    COUNTIFS('Form responses 1'!$E$2:$E1001, A73, 'Form responses 1'!$A$2:$A1001, "&gt;=2022-10-01", 'Form responses 1'!$A$2:$A1001, "&lt;=2022-12-31"),
    COUNTIFS('Form responses 1'!$F$2:$F1001, A73, 'Form responses 1'!$A$2:$A1001, "&gt;=2022-10-01", 'Form responses 1'!$A$2:$A1001, "&lt;=2022-12-31"),
    COUNTIFS('Form responses 1'!$G$2:$G1001, A73, 'Form responses 1'!$A$2:$A1001, "&gt;=2022-10-01", 'Form responses 1'!$A$2:$A1001, "&lt;=2022-12-31")
)
</f>
        <v>9</v>
      </c>
      <c r="E73" s="2">
        <f>SUM(
    COUNTIFS('Form responses 1'!$C$2:$C1001, A73, 'Form responses 1'!$A$2:$A1001, "&gt;=2023-01-01", 'Form responses 1'!$A$2:$A1001, "&lt;=2023-03-31"),
    COUNTIFS('Form responses 1'!$B$2:$B1001, A73, 'Form responses 1'!$A$2:$A1001, "&gt;=2023-01-01", 'Form responses 1'!$A$2:$A1001, "&lt;=2023-03-31"),
    COUNTIFS('Form responses 1'!$D$2:$D1001, A73, 'Form responses 1'!$A$2:$A1001, "&gt;=2023-01-01", 'Form responses 1'!$A$2:$A1001, "&lt;=2023-03-31"),
    COUNTIFS('Form responses 1'!$E$2:$E1001, A73, 'Form responses 1'!$A$2:$A1001, "&gt;=2023-01-01", 'Form responses 1'!$A$2:$A1001, "&lt;=2023-03-31"),
    COUNTIFS('Form responses 1'!$F$2:$F1001, A73, 'Form responses 1'!$A$2:$A1001, "&gt;=2023-01-01", 'Form responses 1'!$A$2:$A1001, "&lt;=2023-03-31"),
    COUNTIFS('Form responses 1'!$G$2:$G1001, A73, 'Form responses 1'!$A$2:$A1001, "&gt;=2023-01-01", 'Form responses 1'!$A$2:$A1001, "&lt;=2023-03-31")
)
</f>
        <v>0</v>
      </c>
      <c r="F73" s="2">
        <f>SUM(
    COUNTIFS('Form responses 1'!$C$2:$C1001, A73, 'Form responses 1'!$A$2:$A1001, "&gt;=2023-04-01", 'Form responses 1'!$A$2:$A1001, "&lt;=2023-06-30"),
    COUNTIFS('Form responses 1'!$B$2:$B1001, A73, 'Form responses 1'!$A$2:$A1001, "&gt;=2023-04-01", 'Form responses 1'!$A$2:$A1001, "&lt;=2023-06-30"),
    COUNTIFS('Form responses 1'!$D$2:$D1001, A73, 'Form responses 1'!$A$2:$A1001, "&gt;=2023-04-01", 'Form responses 1'!$A$2:$A1001, "&lt;=2023-06-30"),
    COUNTIFS('Form responses 1'!$E$2:$E1001, A73, 'Form responses 1'!$A$2:$A1001, "&gt;=2023-04-01", 'Form responses 1'!$A$2:$A1001, "&lt;=2023-06-30"),
    COUNTIFS('Form responses 1'!$F$2:$F1001, A73, 'Form responses 1'!$A$2:$A1001, "&gt;=2023-04-01", 'Form responses 1'!$A$2:$A1001, "&lt;=2023-06-30"),
    COUNTIFS('Form responses 1'!$G$2:$G1001, A73, 'Form responses 1'!$A$2:$A1001, "&gt;=2023-04-01", 'Form responses 1'!$A$2:$A1001, "&lt;=2023-06-30")
)
</f>
        <v>8</v>
      </c>
      <c r="G73" s="2">
        <f>SUM(
    COUNTIFS('Form responses 1'!$C$2:$C1001, A73, 'Form responses 1'!$A$2:$A1001, "&gt;=2023-07-01", 'Form responses 1'!$A$2:$A1001, "&lt;=2023-09-30"),
    COUNTIFS('Form responses 1'!$B$2:$B1001, A73, 'Form responses 1'!$A$2:$A1001, "&gt;=2023-07-01", 'Form responses 1'!$A$2:$A1001, "&lt;=2023-09-30"),
    COUNTIFS('Form responses 1'!$D$2:$D1001, A73, 'Form responses 1'!$A$2:$A1001, "&gt;=2023-07-01", 'Form responses 1'!$A$2:$A1001, "&lt;=2023-09-30"),
    COUNTIFS('Form responses 1'!$E$2:$E1001, A73, 'Form responses 1'!$A$2:$A1001, "&gt;=2023-07-01", 'Form responses 1'!$A$2:$A1001, "&lt;=2023-09-30"),
    COUNTIFS('Form responses 1'!$F$2:$F1001, A73, 'Form responses 1'!$A$2:$A1001, "&gt;=2023-07-01", 'Form responses 1'!$A$2:$A1001, "&lt;=2023-09-30"),
    COUNTIFS('Form responses 1'!$G$2:$G1001, A73, 'Form responses 1'!$A$2:$A1001, "&gt;=2023-07-01", 'Form responses 1'!$A$2:$A1001, "&lt;=2023-09-30")
)
</f>
        <v>2</v>
      </c>
      <c r="H73" s="2">
        <f>SUM(
    COUNTIFS('Form responses 1'!$C$2:$C1001, A73, 'Form responses 1'!$A$2:$A1001, "&gt;=2023-10-01", 'Form responses 1'!$A$2:$A1001, "&lt;=2023-12-31"),
    COUNTIFS('Form responses 1'!$B$2:$B1001, A73, 'Form responses 1'!$A$2:$A1001, "&gt;=2023-10-01", 'Form responses 1'!$A$2:$A1001, "&lt;=2023-12-31"),
    COUNTIFS('Form responses 1'!$D$2:$D1001, A73, 'Form responses 1'!$A$2:$A1001, "&gt;=2023-10-01", 'Form responses 1'!$A$2:$A1001, "&lt;=2023-12-31"),
    COUNTIFS('Form responses 1'!$E$2:$E1001, A73, 'Form responses 1'!$A$2:$A1001, "&gt;=2023-10-01", 'Form responses 1'!$A$2:$A1001, "&lt;=2023-12-31"),
    COUNTIFS('Form responses 1'!$F$2:$F1001, A73, 'Form responses 1'!$A$2:$A1001, "&gt;=2023-10-01", 'Form responses 1'!$A$2:$A1001, "&lt;=2023-12-31"),
    COUNTIFS('Form responses 1'!$G$2:$G1001, A73, 'Form responses 1'!$A$2:$A1001, "&gt;=2023-10-01", 'Form responses 1'!$A$2:$A1001, "&lt;=2023-12-31")
)
</f>
        <v>0</v>
      </c>
      <c r="I73" s="2">
        <f>SUM(
    COUNTIFS('Form responses 1'!$C$2:$C1001, A73, 'Form responses 1'!$A$2:$A1001, "&gt;=2024-01-01", 'Form responses 1'!$A$2:$A1001, "&lt;=2024-03-31"),
    COUNTIFS('Form responses 1'!$B$2:$B1001, A73, 'Form responses 1'!$A$2:$A1001, "&gt;=2024-01-01", 'Form responses 1'!$A$2:$A1001, "&lt;=2024-03-31"),
    COUNTIFS('Form responses 1'!$D$2:$D1001, A73, 'Form responses 1'!$A$2:$A1001, "&gt;=2024-01-01", 'Form responses 1'!$A$2:$A1001, "&lt;=2024-03-31"),
    COUNTIFS('Form responses 1'!$E$2:$E1001, A73, 'Form responses 1'!$A$2:$A1001, "&gt;=2024-01-01", 'Form responses 1'!$A$2:$A1001, "&lt;=2024-03-31"),
    COUNTIFS('Form responses 1'!$F$2:$F1001, A73, 'Form responses 1'!$A$2:$A1001, "&gt;=2024-01-01", 'Form responses 1'!$A$2:$A1001, "&lt;=2024-03-31"),
    COUNTIFS('Form responses 1'!$G$2:$G1001, A73, 'Form responses 1'!$A$2:$A1001, "&gt;=2024-01-01", 'Form responses 1'!$A$2:$A1001, "&lt;=2024-03-31")
)
</f>
        <v>0</v>
      </c>
      <c r="J73" s="2">
        <f>SUM(
    COUNTIFS('Form responses 1'!$C$2:$C1001, A73, 'Form responses 1'!$A$2:$A1001, "&gt;=2024-04-01", 'Form responses 1'!$A$2:$A1001, "&lt;=2024-06-30"),
    COUNTIFS('Form responses 1'!$B$2:$B1001, A73, 'Form responses 1'!$A$2:$A1001, "&gt;=2024-04-01", 'Form responses 1'!$A$2:$A1001, "&lt;=2024-06-30"),
    COUNTIFS('Form responses 1'!$D$2:$D1001, A73, 'Form responses 1'!$A$2:$A1001, "&gt;=2024-04-01", 'Form responses 1'!$A$2:$A1001, "&lt;=2024-06-30"),
    COUNTIFS('Form responses 1'!$E$2:$E1001, A73, 'Form responses 1'!$A$2:$A1001, "&gt;=2024-04-01", 'Form responses 1'!$A$2:$A1001, "&lt;=2024-06-30"),
    COUNTIFS('Form responses 1'!$F$2:$F1001, A73, 'Form responses 1'!$A$2:$A1001, "&gt;=2024-04-01", 'Form responses 1'!$A$2:$A1001, "&lt;=2024-06-30"),
    COUNTIFS('Form responses 1'!$G$2:$G1001, A73, 'Form responses 1'!$A$2:$A1001, "&gt;=2024-04-01", 'Form responses 1'!$A$2:$A1001, "&lt;=2024-06-30")
)
</f>
        <v>2</v>
      </c>
      <c r="K73" s="2">
        <f>SUM(
    COUNTIFS('Form responses 1'!$C$2:$C1001, A73, 'Form responses 1'!$A$2:$A1001, "&gt;=2024-07-01", 'Form responses 1'!$A$2:$A1001, "&lt;=2024-09-30"),
    COUNTIFS('Form responses 1'!$B$2:$B1001, A73, 'Form responses 1'!$A$2:$A1001, "&gt;=2024-07-01", 'Form responses 1'!$A$2:$A1001, "&lt;=2024-09-30"),
    COUNTIFS('Form responses 1'!$D$2:$D1001, A73, 'Form responses 1'!$A$2:$A1001, "&gt;=2024-07-01", 'Form responses 1'!$A$2:$A1001, "&lt;=2024-09-30"),
    COUNTIFS('Form responses 1'!$E$2:$E1001, A73, 'Form responses 1'!$A$2:$A1001, "&gt;=2024-07-01", 'Form responses 1'!$A$2:$A1001, "&lt;=2024-09-30"),
    COUNTIFS('Form responses 1'!$F$2:$F1001, A73, 'Form responses 1'!$A$2:$A1001, "&gt;=2024-07-01", 'Form responses 1'!$A$2:$A1001, "&lt;=2024-09-30"),
    COUNTIFS('Form responses 1'!$G$2:$G1001, A73, 'Form responses 1'!$A$2:$A1001, "&gt;=2024-07-01", 'Form responses 1'!$A$2:$A1001, "&lt;=2024-09-30")
)
</f>
        <v>0</v>
      </c>
      <c r="L73" s="2">
        <f>SUM(
    COUNTIFS('Form responses 1'!$C$2:$C1001, A73, 'Form responses 1'!$A$2:$A1001, "&gt;=2024-10-01", 'Form responses 1'!$A$2:$A1001, "&lt;=2024-12-31"),
    COUNTIFS('Form responses 1'!$B$2:$B1001, A73, 'Form responses 1'!$A$2:$A1001, "&gt;=2024-10-01", 'Form responses 1'!$A$2:$A1001, "&lt;=2024-12-31"),
    COUNTIFS('Form responses 1'!$D$2:$D1001, A73, 'Form responses 1'!$A$2:$A1001, "&gt;=2024-10-01", 'Form responses 1'!$A$2:$A1001, "&lt;=2024-12-31"),
    COUNTIFS('Form responses 1'!$E$2:$E1001, A73, 'Form responses 1'!$A$2:$A1001, "&gt;=2024-10-01", 'Form responses 1'!$A$2:$A1001, "&lt;=2024-12-31"),
    COUNTIFS('Form responses 1'!$F$2:$F1001, A73, 'Form responses 1'!$A$2:$A1001, "&gt;=2024-10-01", 'Form responses 1'!$A$2:$A1001, "&lt;=2024-12-31"),
    COUNTIFS('Form responses 1'!$G$2:$G1001, A73, 'Form responses 1'!$A$2:$A1001, "&gt;=2024-10-01", 'Form responses 1'!$A$2:$A1001, "&lt;=2024-12-31")
)
</f>
        <v>0</v>
      </c>
      <c r="M73" s="2">
        <f>SUM(
    COUNTIFS('Form responses 1'!$C$2:$C1001, A73, 'Form responses 1'!$A$2:$A1001, "&gt;=2025-01-01", 'Form responses 1'!$A$2:$A1001, "&lt;=2025-03-31"),
    COUNTIFS('Form responses 1'!$B$2:$B1001, A73, 'Form responses 1'!$A$2:$A1001, "&gt;=2025-01-01", 'Form responses 1'!$A$2:$A1001, "&lt;=2025-03-31"),
    COUNTIFS('Form responses 1'!$D$2:$D1001, A73, 'Form responses 1'!$A$2:$A1001, "&gt;=2025-01-01", 'Form responses 1'!$A$2:$A1001, "&lt;=2025-03-31"),
    COUNTIFS('Form responses 1'!$E$2:$E1001, A73, 'Form responses 1'!$A$2:$A1001, "&gt;=2025-01-01", 'Form responses 1'!$A$2:$A1001, "&lt;=2025-03-31"),
    COUNTIFS('Form responses 1'!$F$2:$F1001, A73, 'Form responses 1'!$A$2:$A1001, "&gt;=2025-01-01", 'Form responses 1'!$A$2:$A1001, "&lt;=2025-03-31"),
    COUNTIFS('Form responses 1'!$G$2:$G1001, A73, 'Form responses 1'!$A$2:$A1001, "&gt;=2025-01-01", 'Form responses 1'!$A$2:$A1001, "&lt;=2025-03-31")
)
</f>
        <v>0</v>
      </c>
      <c r="N73" s="2">
        <f>SUM(
    COUNTIFS('Form responses 1'!$C$2:$C1001, A73, 'Form responses 1'!$A$2:$A1001, "&gt;=2025-04-01", 'Form responses 1'!$A$2:$A1001, "&lt;2025-07-01"),
    COUNTIFS('Form responses 1'!$B$2:$B1001, A73, 'Form responses 1'!$A$2:$A1001, "&gt;=2025-04-01", 'Form responses 1'!$A$2:$A1001, "&lt;2025-07-01"),
    COUNTIFS('Form responses 1'!$D$2:$D1001, A73, 'Form responses 1'!$A$2:$A1001, "&gt;=2025-04-01", 'Form responses 1'!$A$2:$A1001, "&lt;2025-07-01"),
    COUNTIFS('Form responses 1'!$E$2:$E1001, A73, 'Form responses 1'!$A$2:$A1001, "&gt;=2025-04-01", 'Form responses 1'!$A$2:$A1001, "&lt;2025-07-01"),
    COUNTIFS('Form responses 1'!$F$2:$F1001, A73, 'Form responses 1'!$A$2:$A1001, "&gt;=2025-04-01", 'Form responses 1'!$A$2:$A1001, "&lt;2025-07-01"),
    COUNTIFS('Form responses 1'!$G$2:$G1001, A73, 'Form responses 1'!$A$2:$A1001, "&gt;=2025-04-01", 'Form responses 1'!$A$2:$A1001, "&lt;2025-07-01")
)
</f>
        <v>0</v>
      </c>
      <c r="O73" s="2">
        <f>SUM(
    COUNTIFS('Form responses 1'!$C$2:$C1001, A73, 'Form responses 1'!$A$2:$A1001, "&gt;=2025-07-01", 'Form responses 1'!$A$2:$A1001, "&lt;=2025-09-30"),
    COUNTIFS('Form responses 1'!$B$2:$B1001, A73, 'Form responses 1'!$A$2:$A1001, "&gt;=2025-07-01", 'Form responses 1'!$A$2:$A1001, "&lt;=2025-09-30"),
    COUNTIFS('Form responses 1'!$D$2:$D1001, A73, 'Form responses 1'!$A$2:$A1001, "&gt;=2025-07-01", 'Form responses 1'!$A$2:$A1001, "&lt;=2025-09-30"),
    COUNTIFS('Form responses 1'!$E$2:$E1001, A73, 'Form responses 1'!$A$2:$A1001, "&gt;=2025-07-01", 'Form responses 1'!$A$2:$A1001, "&lt;=2025-09-30"),
    COUNTIFS('Form responses 1'!$F$2:$F1001, A73, 'Form responses 1'!$A$2:$A1001, "&gt;=2025-07-01", 'Form responses 1'!$A$2:$A1001, "&lt;=2025-09-30"),
    COUNTIFS('Form responses 1'!$G$2:$G1001, A73, 'Form responses 1'!$A$2:$A1001, "&gt;=2025-07-01", 'Form responses 1'!$A$2:$A1001, "&lt;=2025-09-30")
)
</f>
        <v>0</v>
      </c>
      <c r="P73" s="2">
        <f>SUM(
    COUNTIFS('Form responses 1'!$C$2:$C1001, A73, 'Form responses 1'!$A$2:$A1001, "&gt;=2025-10-01", 'Form responses 1'!$A$2:$A1001, "&lt;=2025-12-31"),
    COUNTIFS('Form responses 1'!$B$2:$B1001, A73, 'Form responses 1'!$A$2:$A1001, "&gt;=2025-10-01", 'Form responses 1'!$A$2:$A1001, "&lt;=2025-12-31"),
    COUNTIFS('Form responses 1'!$D$2:$D1001, A73, 'Form responses 1'!$A$2:$A1001, "&gt;=2025-10-01", 'Form responses 1'!$A$2:$A1001, "&lt;=2025-12-31"),
    COUNTIFS('Form responses 1'!$E$2:$E1001, A73, 'Form responses 1'!$A$2:$A1001, "&gt;=2025-10-01", 'Form responses 1'!$A$2:$A1001, "&lt;=2025-12-31"),
    COUNTIFS('Form responses 1'!$F$2:$F1001, A73, 'Form responses 1'!$A$2:$A1001, "&gt;=2025-10-01", 'Form responses 1'!$A$2:$A1001, "&lt;=2025-12-31"),
    COUNTIFS('Form responses 1'!$G$2:$G1001, A73, 'Form responses 1'!$A$2:$A1001, "&gt;=2025-10-01", 'Form responses 1'!$A$2:$A1001, "&lt;=2025-12-31")
)
</f>
        <v>0</v>
      </c>
    </row>
    <row r="74">
      <c r="A74" s="9" t="str">
        <f>IFERROR(__xludf.DUMMYFUNCTION("""COMPUTED_VALUE"""),"Groene zomerjas corduroy")</f>
        <v>Groene zomerjas corduroy</v>
      </c>
      <c r="B74" s="2">
        <f>SUM(
    COUNTIFS('Form responses 1'!$C$2:$C1001, A74, 'Form responses 1'!$A$2:$A1001, "&gt;=2022-04-01", 'Form responses 1'!$A$2:$A1001, "&lt;=2022-06-30"),
    COUNTIFS('Form responses 1'!$B$2:$B1001, A74, 'Form responses 1'!$A$2:$A1001, "&gt;=2022-04-01", 'Form responses 1'!$A$2:$A1001, "&lt;=2022-06-30"),
    COUNTIFS('Form responses 1'!$D$2:$D1001, A74, 'Form responses 1'!$A$2:$A1001, "&gt;=2022-04-01", 'Form responses 1'!$A$2:$A1001, "&lt;=2022-06-30"),
    COUNTIFS('Form responses 1'!$E$2:$E1001, A74, 'Form responses 1'!$A$2:$A1001, "&gt;=2022-04-01", 'Form responses 1'!$A$2:$A1001, "&lt;=2022-06-30"),
    COUNTIFS('Form responses 1'!$F$2:$F1001, A74, 'Form responses 1'!$A$2:$A1001, "&gt;=2022-04-01", 'Form responses 1'!$A$2:$A1001, "&lt;=2022-06-30"),
    COUNTIFS('Form responses 1'!$G$2:$G1001, A74, 'Form responses 1'!$A$2:$A1001, "&gt;=2022-04-01", 'Form responses 1'!$A$2:$A1001, "&lt;=2022-06-30")
)
</f>
        <v>0</v>
      </c>
      <c r="C74" s="2">
        <f>SUM(
    COUNTIFS('Form responses 1'!$C$2:$C1001, A74, 'Form responses 1'!$A$2:$A1001, "&gt;=2022-07-01", 'Form responses 1'!$A$2:$A1001, "&lt;=2022-09-30"),
    COUNTIFS('Form responses 1'!$B$2:$B1001, A74, 'Form responses 1'!$A$2:$A1001, "&gt;=2022-07-01", 'Form responses 1'!$A$2:$A1001, "&lt;=2022-09-30"),
    COUNTIFS('Form responses 1'!$D$2:$D1001, A74, 'Form responses 1'!$A$2:$A1001, "&gt;=2022-07-01", 'Form responses 1'!$A$2:$A1001, "&lt;=2022-09-30"),
    COUNTIFS('Form responses 1'!$E$2:$E1001, A74, 'Form responses 1'!$A$2:$A1001, "&gt;=2022-07-01", 'Form responses 1'!$A$2:$A1001, "&lt;=2022-09-30"),
    COUNTIFS('Form responses 1'!$F$2:$F1001, A74, 'Form responses 1'!$A$2:$A1001, "&gt;=2022-07-01", 'Form responses 1'!$A$2:$A1001, "&lt;=2022-09-30"),
    COUNTIFS('Form responses 1'!$G$2:$G1001, A74, 'Form responses 1'!$A$2:$A1001, "&gt;=2022-07-01", 'Form responses 1'!$A$2:$A1001, "&lt;=2022-09-30")
)
</f>
        <v>0</v>
      </c>
      <c r="D74" s="2">
        <f>SUM(
    COUNTIFS('Form responses 1'!$C$2:$C1001, A74, 'Form responses 1'!$A$2:$A1001, "&gt;=2022-10-01", 'Form responses 1'!$A$2:$A1001, "&lt;=2022-12-31"),
    COUNTIFS('Form responses 1'!$B$2:$B1001, A74, 'Form responses 1'!$A$2:$A1001, "&gt;=2022-10-01", 'Form responses 1'!$A$2:$A1001, "&lt;=2022-12-31"),
    COUNTIFS('Form responses 1'!$D$2:$D1001, A74, 'Form responses 1'!$A$2:$A1001, "&gt;=2022-10-01", 'Form responses 1'!$A$2:$A1001, "&lt;=2022-12-31"),
    COUNTIFS('Form responses 1'!$E$2:$E1001, A74, 'Form responses 1'!$A$2:$A1001, "&gt;=2022-10-01", 'Form responses 1'!$A$2:$A1001, "&lt;=2022-12-31"),
    COUNTIFS('Form responses 1'!$F$2:$F1001, A74, 'Form responses 1'!$A$2:$A1001, "&gt;=2022-10-01", 'Form responses 1'!$A$2:$A1001, "&lt;=2022-12-31"),
    COUNTIFS('Form responses 1'!$G$2:$G1001, A74, 'Form responses 1'!$A$2:$A1001, "&gt;=2022-10-01", 'Form responses 1'!$A$2:$A1001, "&lt;=2022-12-31")
)
</f>
        <v>0</v>
      </c>
      <c r="E74" s="2">
        <f>SUM(
    COUNTIFS('Form responses 1'!$C$2:$C1001, A74, 'Form responses 1'!$A$2:$A1001, "&gt;=2023-01-01", 'Form responses 1'!$A$2:$A1001, "&lt;=2023-03-31"),
    COUNTIFS('Form responses 1'!$B$2:$B1001, A74, 'Form responses 1'!$A$2:$A1001, "&gt;=2023-01-01", 'Form responses 1'!$A$2:$A1001, "&lt;=2023-03-31"),
    COUNTIFS('Form responses 1'!$D$2:$D1001, A74, 'Form responses 1'!$A$2:$A1001, "&gt;=2023-01-01", 'Form responses 1'!$A$2:$A1001, "&lt;=2023-03-31"),
    COUNTIFS('Form responses 1'!$E$2:$E1001, A74, 'Form responses 1'!$A$2:$A1001, "&gt;=2023-01-01", 'Form responses 1'!$A$2:$A1001, "&lt;=2023-03-31"),
    COUNTIFS('Form responses 1'!$F$2:$F1001, A74, 'Form responses 1'!$A$2:$A1001, "&gt;=2023-01-01", 'Form responses 1'!$A$2:$A1001, "&lt;=2023-03-31"),
    COUNTIFS('Form responses 1'!$G$2:$G1001, A74, 'Form responses 1'!$A$2:$A1001, "&gt;=2023-01-01", 'Form responses 1'!$A$2:$A1001, "&lt;=2023-03-31")
)
</f>
        <v>0</v>
      </c>
      <c r="F74" s="2">
        <f>SUM(
    COUNTIFS('Form responses 1'!$C$2:$C1001, A74, 'Form responses 1'!$A$2:$A1001, "&gt;=2023-04-01", 'Form responses 1'!$A$2:$A1001, "&lt;=2023-06-30"),
    COUNTIFS('Form responses 1'!$B$2:$B1001, A74, 'Form responses 1'!$A$2:$A1001, "&gt;=2023-04-01", 'Form responses 1'!$A$2:$A1001, "&lt;=2023-06-30"),
    COUNTIFS('Form responses 1'!$D$2:$D1001, A74, 'Form responses 1'!$A$2:$A1001, "&gt;=2023-04-01", 'Form responses 1'!$A$2:$A1001, "&lt;=2023-06-30"),
    COUNTIFS('Form responses 1'!$E$2:$E1001, A74, 'Form responses 1'!$A$2:$A1001, "&gt;=2023-04-01", 'Form responses 1'!$A$2:$A1001, "&lt;=2023-06-30"),
    COUNTIFS('Form responses 1'!$F$2:$F1001, A74, 'Form responses 1'!$A$2:$A1001, "&gt;=2023-04-01", 'Form responses 1'!$A$2:$A1001, "&lt;=2023-06-30"),
    COUNTIFS('Form responses 1'!$G$2:$G1001, A74, 'Form responses 1'!$A$2:$A1001, "&gt;=2023-04-01", 'Form responses 1'!$A$2:$A1001, "&lt;=2023-06-30")
)
</f>
        <v>0</v>
      </c>
      <c r="G74" s="2">
        <f>SUM(
    COUNTIFS('Form responses 1'!$C$2:$C1001, A74, 'Form responses 1'!$A$2:$A1001, "&gt;=2023-07-01", 'Form responses 1'!$A$2:$A1001, "&lt;=2023-09-30"),
    COUNTIFS('Form responses 1'!$B$2:$B1001, A74, 'Form responses 1'!$A$2:$A1001, "&gt;=2023-07-01", 'Form responses 1'!$A$2:$A1001, "&lt;=2023-09-30"),
    COUNTIFS('Form responses 1'!$D$2:$D1001, A74, 'Form responses 1'!$A$2:$A1001, "&gt;=2023-07-01", 'Form responses 1'!$A$2:$A1001, "&lt;=2023-09-30"),
    COUNTIFS('Form responses 1'!$E$2:$E1001, A74, 'Form responses 1'!$A$2:$A1001, "&gt;=2023-07-01", 'Form responses 1'!$A$2:$A1001, "&lt;=2023-09-30"),
    COUNTIFS('Form responses 1'!$F$2:$F1001, A74, 'Form responses 1'!$A$2:$A1001, "&gt;=2023-07-01", 'Form responses 1'!$A$2:$A1001, "&lt;=2023-09-30"),
    COUNTIFS('Form responses 1'!$G$2:$G1001, A74, 'Form responses 1'!$A$2:$A1001, "&gt;=2023-07-01", 'Form responses 1'!$A$2:$A1001, "&lt;=2023-09-30")
)
</f>
        <v>0</v>
      </c>
      <c r="H74" s="2">
        <f>SUM(
    COUNTIFS('Form responses 1'!$C$2:$C1001, A74, 'Form responses 1'!$A$2:$A1001, "&gt;=2023-10-01", 'Form responses 1'!$A$2:$A1001, "&lt;=2023-12-31"),
    COUNTIFS('Form responses 1'!$B$2:$B1001, A74, 'Form responses 1'!$A$2:$A1001, "&gt;=2023-10-01", 'Form responses 1'!$A$2:$A1001, "&lt;=2023-12-31"),
    COUNTIFS('Form responses 1'!$D$2:$D1001, A74, 'Form responses 1'!$A$2:$A1001, "&gt;=2023-10-01", 'Form responses 1'!$A$2:$A1001, "&lt;=2023-12-31"),
    COUNTIFS('Form responses 1'!$E$2:$E1001, A74, 'Form responses 1'!$A$2:$A1001, "&gt;=2023-10-01", 'Form responses 1'!$A$2:$A1001, "&lt;=2023-12-31"),
    COUNTIFS('Form responses 1'!$F$2:$F1001, A74, 'Form responses 1'!$A$2:$A1001, "&gt;=2023-10-01", 'Form responses 1'!$A$2:$A1001, "&lt;=2023-12-31"),
    COUNTIFS('Form responses 1'!$G$2:$G1001, A74, 'Form responses 1'!$A$2:$A1001, "&gt;=2023-10-01", 'Form responses 1'!$A$2:$A1001, "&lt;=2023-12-31")
)
</f>
        <v>0</v>
      </c>
      <c r="I74" s="2">
        <f>SUM(
    COUNTIFS('Form responses 1'!$C$2:$C1001, A74, 'Form responses 1'!$A$2:$A1001, "&gt;=2024-01-01", 'Form responses 1'!$A$2:$A1001, "&lt;=2024-03-31"),
    COUNTIFS('Form responses 1'!$B$2:$B1001, A74, 'Form responses 1'!$A$2:$A1001, "&gt;=2024-01-01", 'Form responses 1'!$A$2:$A1001, "&lt;=2024-03-31"),
    COUNTIFS('Form responses 1'!$D$2:$D1001, A74, 'Form responses 1'!$A$2:$A1001, "&gt;=2024-01-01", 'Form responses 1'!$A$2:$A1001, "&lt;=2024-03-31"),
    COUNTIFS('Form responses 1'!$E$2:$E1001, A74, 'Form responses 1'!$A$2:$A1001, "&gt;=2024-01-01", 'Form responses 1'!$A$2:$A1001, "&lt;=2024-03-31"),
    COUNTIFS('Form responses 1'!$F$2:$F1001, A74, 'Form responses 1'!$A$2:$A1001, "&gt;=2024-01-01", 'Form responses 1'!$A$2:$A1001, "&lt;=2024-03-31"),
    COUNTIFS('Form responses 1'!$G$2:$G1001, A74, 'Form responses 1'!$A$2:$A1001, "&gt;=2024-01-01", 'Form responses 1'!$A$2:$A1001, "&lt;=2024-03-31")
)
</f>
        <v>6</v>
      </c>
      <c r="J74" s="2">
        <f>SUM(
    COUNTIFS('Form responses 1'!$C$2:$C1001, A74, 'Form responses 1'!$A$2:$A1001, "&gt;=2024-04-01", 'Form responses 1'!$A$2:$A1001, "&lt;=2024-06-30"),
    COUNTIFS('Form responses 1'!$B$2:$B1001, A74, 'Form responses 1'!$A$2:$A1001, "&gt;=2024-04-01", 'Form responses 1'!$A$2:$A1001, "&lt;=2024-06-30"),
    COUNTIFS('Form responses 1'!$D$2:$D1001, A74, 'Form responses 1'!$A$2:$A1001, "&gt;=2024-04-01", 'Form responses 1'!$A$2:$A1001, "&lt;=2024-06-30"),
    COUNTIFS('Form responses 1'!$E$2:$E1001, A74, 'Form responses 1'!$A$2:$A1001, "&gt;=2024-04-01", 'Form responses 1'!$A$2:$A1001, "&lt;=2024-06-30"),
    COUNTIFS('Form responses 1'!$F$2:$F1001, A74, 'Form responses 1'!$A$2:$A1001, "&gt;=2024-04-01", 'Form responses 1'!$A$2:$A1001, "&lt;=2024-06-30"),
    COUNTIFS('Form responses 1'!$G$2:$G1001, A74, 'Form responses 1'!$A$2:$A1001, "&gt;=2024-04-01", 'Form responses 1'!$A$2:$A1001, "&lt;=2024-06-30")
)
</f>
        <v>48</v>
      </c>
      <c r="K74" s="2">
        <f>SUM(
    COUNTIFS('Form responses 1'!$C$2:$C1001, A74, 'Form responses 1'!$A$2:$A1001, "&gt;=2024-07-01", 'Form responses 1'!$A$2:$A1001, "&lt;=2024-09-30"),
    COUNTIFS('Form responses 1'!$B$2:$B1001, A74, 'Form responses 1'!$A$2:$A1001, "&gt;=2024-07-01", 'Form responses 1'!$A$2:$A1001, "&lt;=2024-09-30"),
    COUNTIFS('Form responses 1'!$D$2:$D1001, A74, 'Form responses 1'!$A$2:$A1001, "&gt;=2024-07-01", 'Form responses 1'!$A$2:$A1001, "&lt;=2024-09-30"),
    COUNTIFS('Form responses 1'!$E$2:$E1001, A74, 'Form responses 1'!$A$2:$A1001, "&gt;=2024-07-01", 'Form responses 1'!$A$2:$A1001, "&lt;=2024-09-30"),
    COUNTIFS('Form responses 1'!$F$2:$F1001, A74, 'Form responses 1'!$A$2:$A1001, "&gt;=2024-07-01", 'Form responses 1'!$A$2:$A1001, "&lt;=2024-09-30"),
    COUNTIFS('Form responses 1'!$G$2:$G1001, A74, 'Form responses 1'!$A$2:$A1001, "&gt;=2024-07-01", 'Form responses 1'!$A$2:$A1001, "&lt;=2024-09-30")
)
</f>
        <v>17</v>
      </c>
      <c r="L74" s="2">
        <f>SUM(
    COUNTIFS('Form responses 1'!$C$2:$C1001, A74, 'Form responses 1'!$A$2:$A1001, "&gt;=2024-10-01", 'Form responses 1'!$A$2:$A1001, "&lt;=2024-12-31"),
    COUNTIFS('Form responses 1'!$B$2:$B1001, A74, 'Form responses 1'!$A$2:$A1001, "&gt;=2024-10-01", 'Form responses 1'!$A$2:$A1001, "&lt;=2024-12-31"),
    COUNTIFS('Form responses 1'!$D$2:$D1001, A74, 'Form responses 1'!$A$2:$A1001, "&gt;=2024-10-01", 'Form responses 1'!$A$2:$A1001, "&lt;=2024-12-31"),
    COUNTIFS('Form responses 1'!$E$2:$E1001, A74, 'Form responses 1'!$A$2:$A1001, "&gt;=2024-10-01", 'Form responses 1'!$A$2:$A1001, "&lt;=2024-12-31"),
    COUNTIFS('Form responses 1'!$F$2:$F1001, A74, 'Form responses 1'!$A$2:$A1001, "&gt;=2024-10-01", 'Form responses 1'!$A$2:$A1001, "&lt;=2024-12-31"),
    COUNTIFS('Form responses 1'!$G$2:$G1001, A74, 'Form responses 1'!$A$2:$A1001, "&gt;=2024-10-01", 'Form responses 1'!$A$2:$A1001, "&lt;=2024-12-31")
)
</f>
        <v>16</v>
      </c>
      <c r="M74" s="2">
        <f>SUM(
    COUNTIFS('Form responses 1'!$C$2:$C1001, A74, 'Form responses 1'!$A$2:$A1001, "&gt;=2025-01-01", 'Form responses 1'!$A$2:$A1001, "&lt;=2025-03-31"),
    COUNTIFS('Form responses 1'!$B$2:$B1001, A74, 'Form responses 1'!$A$2:$A1001, "&gt;=2025-01-01", 'Form responses 1'!$A$2:$A1001, "&lt;=2025-03-31"),
    COUNTIFS('Form responses 1'!$D$2:$D1001, A74, 'Form responses 1'!$A$2:$A1001, "&gt;=2025-01-01", 'Form responses 1'!$A$2:$A1001, "&lt;=2025-03-31"),
    COUNTIFS('Form responses 1'!$E$2:$E1001, A74, 'Form responses 1'!$A$2:$A1001, "&gt;=2025-01-01", 'Form responses 1'!$A$2:$A1001, "&lt;=2025-03-31"),
    COUNTIFS('Form responses 1'!$F$2:$F1001, A74, 'Form responses 1'!$A$2:$A1001, "&gt;=2025-01-01", 'Form responses 1'!$A$2:$A1001, "&lt;=2025-03-31"),
    COUNTIFS('Form responses 1'!$G$2:$G1001, A74, 'Form responses 1'!$A$2:$A1001, "&gt;=2025-01-01", 'Form responses 1'!$A$2:$A1001, "&lt;=2025-03-31")
)
</f>
        <v>0</v>
      </c>
      <c r="N74" s="2">
        <f>SUM(
    COUNTIFS('Form responses 1'!$C$2:$C1001, A74, 'Form responses 1'!$A$2:$A1001, "&gt;=2025-04-01", 'Form responses 1'!$A$2:$A1001, "&lt;2025-07-01"),
    COUNTIFS('Form responses 1'!$B$2:$B1001, A74, 'Form responses 1'!$A$2:$A1001, "&gt;=2025-04-01", 'Form responses 1'!$A$2:$A1001, "&lt;2025-07-01"),
    COUNTIFS('Form responses 1'!$D$2:$D1001, A74, 'Form responses 1'!$A$2:$A1001, "&gt;=2025-04-01", 'Form responses 1'!$A$2:$A1001, "&lt;2025-07-01"),
    COUNTIFS('Form responses 1'!$E$2:$E1001, A74, 'Form responses 1'!$A$2:$A1001, "&gt;=2025-04-01", 'Form responses 1'!$A$2:$A1001, "&lt;2025-07-01"),
    COUNTIFS('Form responses 1'!$F$2:$F1001, A74, 'Form responses 1'!$A$2:$A1001, "&gt;=2025-04-01", 'Form responses 1'!$A$2:$A1001, "&lt;2025-07-01"),
    COUNTIFS('Form responses 1'!$G$2:$G1001, A74, 'Form responses 1'!$A$2:$A1001, "&gt;=2025-04-01", 'Form responses 1'!$A$2:$A1001, "&lt;2025-07-01")
)
</f>
        <v>21</v>
      </c>
      <c r="O74" s="2">
        <f>SUM(
    COUNTIFS('Form responses 1'!$C$2:$C1001, A74, 'Form responses 1'!$A$2:$A1001, "&gt;=2025-07-01", 'Form responses 1'!$A$2:$A1001, "&lt;=2025-09-30"),
    COUNTIFS('Form responses 1'!$B$2:$B1001, A74, 'Form responses 1'!$A$2:$A1001, "&gt;=2025-07-01", 'Form responses 1'!$A$2:$A1001, "&lt;=2025-09-30"),
    COUNTIFS('Form responses 1'!$D$2:$D1001, A74, 'Form responses 1'!$A$2:$A1001, "&gt;=2025-07-01", 'Form responses 1'!$A$2:$A1001, "&lt;=2025-09-30"),
    COUNTIFS('Form responses 1'!$E$2:$E1001, A74, 'Form responses 1'!$A$2:$A1001, "&gt;=2025-07-01", 'Form responses 1'!$A$2:$A1001, "&lt;=2025-09-30"),
    COUNTIFS('Form responses 1'!$F$2:$F1001, A74, 'Form responses 1'!$A$2:$A1001, "&gt;=2025-07-01", 'Form responses 1'!$A$2:$A1001, "&lt;=2025-09-30"),
    COUNTIFS('Form responses 1'!$G$2:$G1001, A74, 'Form responses 1'!$A$2:$A1001, "&gt;=2025-07-01", 'Form responses 1'!$A$2:$A1001, "&lt;=2025-09-30")
)
</f>
        <v>4</v>
      </c>
      <c r="P74" s="2">
        <f>SUM(
    COUNTIFS('Form responses 1'!$C$2:$C1001, A74, 'Form responses 1'!$A$2:$A1001, "&gt;=2025-10-01", 'Form responses 1'!$A$2:$A1001, "&lt;=2025-12-31"),
    COUNTIFS('Form responses 1'!$B$2:$B1001, A74, 'Form responses 1'!$A$2:$A1001, "&gt;=2025-10-01", 'Form responses 1'!$A$2:$A1001, "&lt;=2025-12-31"),
    COUNTIFS('Form responses 1'!$D$2:$D1001, A74, 'Form responses 1'!$A$2:$A1001, "&gt;=2025-10-01", 'Form responses 1'!$A$2:$A1001, "&lt;=2025-12-31"),
    COUNTIFS('Form responses 1'!$E$2:$E1001, A74, 'Form responses 1'!$A$2:$A1001, "&gt;=2025-10-01", 'Form responses 1'!$A$2:$A1001, "&lt;=2025-12-31"),
    COUNTIFS('Form responses 1'!$F$2:$F1001, A74, 'Form responses 1'!$A$2:$A1001, "&gt;=2025-10-01", 'Form responses 1'!$A$2:$A1001, "&lt;=2025-12-31"),
    COUNTIFS('Form responses 1'!$G$2:$G1001, A74, 'Form responses 1'!$A$2:$A1001, "&gt;=2025-10-01", 'Form responses 1'!$A$2:$A1001, "&lt;=2025-12-31")
)
</f>
        <v>20</v>
      </c>
    </row>
    <row r="75">
      <c r="A75" s="6" t="str">
        <f>IFERROR(__xludf.DUMMYFUNCTION("""COMPUTED_VALUE"""),"Dikke spijkerjas")</f>
        <v>Dikke spijkerjas</v>
      </c>
      <c r="B75" s="2">
        <f>SUM(
    COUNTIFS('Form responses 1'!$C$2:$C1001, A75, 'Form responses 1'!$A$2:$A1001, "&gt;=2022-04-01", 'Form responses 1'!$A$2:$A1001, "&lt;=2022-06-30"),
    COUNTIFS('Form responses 1'!$B$2:$B1001, A75, 'Form responses 1'!$A$2:$A1001, "&gt;=2022-04-01", 'Form responses 1'!$A$2:$A1001, "&lt;=2022-06-30"),
    COUNTIFS('Form responses 1'!$D$2:$D1001, A75, 'Form responses 1'!$A$2:$A1001, "&gt;=2022-04-01", 'Form responses 1'!$A$2:$A1001, "&lt;=2022-06-30"),
    COUNTIFS('Form responses 1'!$E$2:$E1001, A75, 'Form responses 1'!$A$2:$A1001, "&gt;=2022-04-01", 'Form responses 1'!$A$2:$A1001, "&lt;=2022-06-30"),
    COUNTIFS('Form responses 1'!$F$2:$F1001, A75, 'Form responses 1'!$A$2:$A1001, "&gt;=2022-04-01", 'Form responses 1'!$A$2:$A1001, "&lt;=2022-06-30"),
    COUNTIFS('Form responses 1'!$G$2:$G1001, A75, 'Form responses 1'!$A$2:$A1001, "&gt;=2022-04-01", 'Form responses 1'!$A$2:$A1001, "&lt;=2022-06-30")
)
</f>
        <v>16</v>
      </c>
      <c r="C75" s="2">
        <f>SUM(
    COUNTIFS('Form responses 1'!$C$2:$C1001, A75, 'Form responses 1'!$A$2:$A1001, "&gt;=2022-07-01", 'Form responses 1'!$A$2:$A1001, "&lt;=2022-09-30"),
    COUNTIFS('Form responses 1'!$B$2:$B1001, A75, 'Form responses 1'!$A$2:$A1001, "&gt;=2022-07-01", 'Form responses 1'!$A$2:$A1001, "&lt;=2022-09-30"),
    COUNTIFS('Form responses 1'!$D$2:$D1001, A75, 'Form responses 1'!$A$2:$A1001, "&gt;=2022-07-01", 'Form responses 1'!$A$2:$A1001, "&lt;=2022-09-30"),
    COUNTIFS('Form responses 1'!$E$2:$E1001, A75, 'Form responses 1'!$A$2:$A1001, "&gt;=2022-07-01", 'Form responses 1'!$A$2:$A1001, "&lt;=2022-09-30"),
    COUNTIFS('Form responses 1'!$F$2:$F1001, A75, 'Form responses 1'!$A$2:$A1001, "&gt;=2022-07-01", 'Form responses 1'!$A$2:$A1001, "&lt;=2022-09-30"),
    COUNTIFS('Form responses 1'!$G$2:$G1001, A75, 'Form responses 1'!$A$2:$A1001, "&gt;=2022-07-01", 'Form responses 1'!$A$2:$A1001, "&lt;=2022-09-30")
)
</f>
        <v>15</v>
      </c>
      <c r="D75" s="2">
        <f>SUM(
    COUNTIFS('Form responses 1'!$C$2:$C1001, A75, 'Form responses 1'!$A$2:$A1001, "&gt;=2022-10-01", 'Form responses 1'!$A$2:$A1001, "&lt;=2022-12-31"),
    COUNTIFS('Form responses 1'!$B$2:$B1001, A75, 'Form responses 1'!$A$2:$A1001, "&gt;=2022-10-01", 'Form responses 1'!$A$2:$A1001, "&lt;=2022-12-31"),
    COUNTIFS('Form responses 1'!$D$2:$D1001, A75, 'Form responses 1'!$A$2:$A1001, "&gt;=2022-10-01", 'Form responses 1'!$A$2:$A1001, "&lt;=2022-12-31"),
    COUNTIFS('Form responses 1'!$E$2:$E1001, A75, 'Form responses 1'!$A$2:$A1001, "&gt;=2022-10-01", 'Form responses 1'!$A$2:$A1001, "&lt;=2022-12-31"),
    COUNTIFS('Form responses 1'!$F$2:$F1001, A75, 'Form responses 1'!$A$2:$A1001, "&gt;=2022-10-01", 'Form responses 1'!$A$2:$A1001, "&lt;=2022-12-31"),
    COUNTIFS('Form responses 1'!$G$2:$G1001, A75, 'Form responses 1'!$A$2:$A1001, "&gt;=2022-10-01", 'Form responses 1'!$A$2:$A1001, "&lt;=2022-12-31")
)
</f>
        <v>6</v>
      </c>
      <c r="E75" s="2">
        <f>SUM(
    COUNTIFS('Form responses 1'!$C$2:$C1001, A75, 'Form responses 1'!$A$2:$A1001, "&gt;=2023-01-01", 'Form responses 1'!$A$2:$A1001, "&lt;=2023-03-31"),
    COUNTIFS('Form responses 1'!$B$2:$B1001, A75, 'Form responses 1'!$A$2:$A1001, "&gt;=2023-01-01", 'Form responses 1'!$A$2:$A1001, "&lt;=2023-03-31"),
    COUNTIFS('Form responses 1'!$D$2:$D1001, A75, 'Form responses 1'!$A$2:$A1001, "&gt;=2023-01-01", 'Form responses 1'!$A$2:$A1001, "&lt;=2023-03-31"),
    COUNTIFS('Form responses 1'!$E$2:$E1001, A75, 'Form responses 1'!$A$2:$A1001, "&gt;=2023-01-01", 'Form responses 1'!$A$2:$A1001, "&lt;=2023-03-31"),
    COUNTIFS('Form responses 1'!$F$2:$F1001, A75, 'Form responses 1'!$A$2:$A1001, "&gt;=2023-01-01", 'Form responses 1'!$A$2:$A1001, "&lt;=2023-03-31"),
    COUNTIFS('Form responses 1'!$G$2:$G1001, A75, 'Form responses 1'!$A$2:$A1001, "&gt;=2023-01-01", 'Form responses 1'!$A$2:$A1001, "&lt;=2023-03-31")
)
</f>
        <v>0</v>
      </c>
      <c r="F75" s="2">
        <f>SUM(
    COUNTIFS('Form responses 1'!$C$2:$C1001, A75, 'Form responses 1'!$A$2:$A1001, "&gt;=2023-04-01", 'Form responses 1'!$A$2:$A1001, "&lt;=2023-06-30"),
    COUNTIFS('Form responses 1'!$B$2:$B1001, A75, 'Form responses 1'!$A$2:$A1001, "&gt;=2023-04-01", 'Form responses 1'!$A$2:$A1001, "&lt;=2023-06-30"),
    COUNTIFS('Form responses 1'!$D$2:$D1001, A75, 'Form responses 1'!$A$2:$A1001, "&gt;=2023-04-01", 'Form responses 1'!$A$2:$A1001, "&lt;=2023-06-30"),
    COUNTIFS('Form responses 1'!$E$2:$E1001, A75, 'Form responses 1'!$A$2:$A1001, "&gt;=2023-04-01", 'Form responses 1'!$A$2:$A1001, "&lt;=2023-06-30"),
    COUNTIFS('Form responses 1'!$F$2:$F1001, A75, 'Form responses 1'!$A$2:$A1001, "&gt;=2023-04-01", 'Form responses 1'!$A$2:$A1001, "&lt;=2023-06-30"),
    COUNTIFS('Form responses 1'!$G$2:$G1001, A75, 'Form responses 1'!$A$2:$A1001, "&gt;=2023-04-01", 'Form responses 1'!$A$2:$A1001, "&lt;=2023-06-30")
)
</f>
        <v>5</v>
      </c>
      <c r="G75" s="2">
        <f>SUM(
    COUNTIFS('Form responses 1'!$C$2:$C1001, A75, 'Form responses 1'!$A$2:$A1001, "&gt;=2023-07-01", 'Form responses 1'!$A$2:$A1001, "&lt;=2023-09-30"),
    COUNTIFS('Form responses 1'!$B$2:$B1001, A75, 'Form responses 1'!$A$2:$A1001, "&gt;=2023-07-01", 'Form responses 1'!$A$2:$A1001, "&lt;=2023-09-30"),
    COUNTIFS('Form responses 1'!$D$2:$D1001, A75, 'Form responses 1'!$A$2:$A1001, "&gt;=2023-07-01", 'Form responses 1'!$A$2:$A1001, "&lt;=2023-09-30"),
    COUNTIFS('Form responses 1'!$E$2:$E1001, A75, 'Form responses 1'!$A$2:$A1001, "&gt;=2023-07-01", 'Form responses 1'!$A$2:$A1001, "&lt;=2023-09-30"),
    COUNTIFS('Form responses 1'!$F$2:$F1001, A75, 'Form responses 1'!$A$2:$A1001, "&gt;=2023-07-01", 'Form responses 1'!$A$2:$A1001, "&lt;=2023-09-30"),
    COUNTIFS('Form responses 1'!$G$2:$G1001, A75, 'Form responses 1'!$A$2:$A1001, "&gt;=2023-07-01", 'Form responses 1'!$A$2:$A1001, "&lt;=2023-09-30")
)
</f>
        <v>0</v>
      </c>
      <c r="H75" s="2">
        <f>SUM(
    COUNTIFS('Form responses 1'!$C$2:$C1001, A75, 'Form responses 1'!$A$2:$A1001, "&gt;=2023-10-01", 'Form responses 1'!$A$2:$A1001, "&lt;=2023-12-31"),
    COUNTIFS('Form responses 1'!$B$2:$B1001, A75, 'Form responses 1'!$A$2:$A1001, "&gt;=2023-10-01", 'Form responses 1'!$A$2:$A1001, "&lt;=2023-12-31"),
    COUNTIFS('Form responses 1'!$D$2:$D1001, A75, 'Form responses 1'!$A$2:$A1001, "&gt;=2023-10-01", 'Form responses 1'!$A$2:$A1001, "&lt;=2023-12-31"),
    COUNTIFS('Form responses 1'!$E$2:$E1001, A75, 'Form responses 1'!$A$2:$A1001, "&gt;=2023-10-01", 'Form responses 1'!$A$2:$A1001, "&lt;=2023-12-31"),
    COUNTIFS('Form responses 1'!$F$2:$F1001, A75, 'Form responses 1'!$A$2:$A1001, "&gt;=2023-10-01", 'Form responses 1'!$A$2:$A1001, "&lt;=2023-12-31"),
    COUNTIFS('Form responses 1'!$G$2:$G1001, A75, 'Form responses 1'!$A$2:$A1001, "&gt;=2023-10-01", 'Form responses 1'!$A$2:$A1001, "&lt;=2023-12-31")
)
</f>
        <v>0</v>
      </c>
      <c r="I75" s="2">
        <f>SUM(
    COUNTIFS('Form responses 1'!$C$2:$C1001, A75, 'Form responses 1'!$A$2:$A1001, "&gt;=2024-01-01", 'Form responses 1'!$A$2:$A1001, "&lt;=2024-03-31"),
    COUNTIFS('Form responses 1'!$B$2:$B1001, A75, 'Form responses 1'!$A$2:$A1001, "&gt;=2024-01-01", 'Form responses 1'!$A$2:$A1001, "&lt;=2024-03-31"),
    COUNTIFS('Form responses 1'!$D$2:$D1001, A75, 'Form responses 1'!$A$2:$A1001, "&gt;=2024-01-01", 'Form responses 1'!$A$2:$A1001, "&lt;=2024-03-31"),
    COUNTIFS('Form responses 1'!$E$2:$E1001, A75, 'Form responses 1'!$A$2:$A1001, "&gt;=2024-01-01", 'Form responses 1'!$A$2:$A1001, "&lt;=2024-03-31"),
    COUNTIFS('Form responses 1'!$F$2:$F1001, A75, 'Form responses 1'!$A$2:$A1001, "&gt;=2024-01-01", 'Form responses 1'!$A$2:$A1001, "&lt;=2024-03-31"),
    COUNTIFS('Form responses 1'!$G$2:$G1001, A75, 'Form responses 1'!$A$2:$A1001, "&gt;=2024-01-01", 'Form responses 1'!$A$2:$A1001, "&lt;=2024-03-31")
)
</f>
        <v>0</v>
      </c>
      <c r="J75" s="2">
        <f>SUM(
    COUNTIFS('Form responses 1'!$C$2:$C1001, A75, 'Form responses 1'!$A$2:$A1001, "&gt;=2024-04-01", 'Form responses 1'!$A$2:$A1001, "&lt;=2024-06-30"),
    COUNTIFS('Form responses 1'!$B$2:$B1001, A75, 'Form responses 1'!$A$2:$A1001, "&gt;=2024-04-01", 'Form responses 1'!$A$2:$A1001, "&lt;=2024-06-30"),
    COUNTIFS('Form responses 1'!$D$2:$D1001, A75, 'Form responses 1'!$A$2:$A1001, "&gt;=2024-04-01", 'Form responses 1'!$A$2:$A1001, "&lt;=2024-06-30"),
    COUNTIFS('Form responses 1'!$E$2:$E1001, A75, 'Form responses 1'!$A$2:$A1001, "&gt;=2024-04-01", 'Form responses 1'!$A$2:$A1001, "&lt;=2024-06-30"),
    COUNTIFS('Form responses 1'!$F$2:$F1001, A75, 'Form responses 1'!$A$2:$A1001, "&gt;=2024-04-01", 'Form responses 1'!$A$2:$A1001, "&lt;=2024-06-30"),
    COUNTIFS('Form responses 1'!$G$2:$G1001, A75, 'Form responses 1'!$A$2:$A1001, "&gt;=2024-04-01", 'Form responses 1'!$A$2:$A1001, "&lt;=2024-06-30")
)
</f>
        <v>0</v>
      </c>
      <c r="K75" s="2">
        <f>SUM(
    COUNTIFS('Form responses 1'!$C$2:$C1001, A75, 'Form responses 1'!$A$2:$A1001, "&gt;=2024-07-01", 'Form responses 1'!$A$2:$A1001, "&lt;=2024-09-30"),
    COUNTIFS('Form responses 1'!$B$2:$B1001, A75, 'Form responses 1'!$A$2:$A1001, "&gt;=2024-07-01", 'Form responses 1'!$A$2:$A1001, "&lt;=2024-09-30"),
    COUNTIFS('Form responses 1'!$D$2:$D1001, A75, 'Form responses 1'!$A$2:$A1001, "&gt;=2024-07-01", 'Form responses 1'!$A$2:$A1001, "&lt;=2024-09-30"),
    COUNTIFS('Form responses 1'!$E$2:$E1001, A75, 'Form responses 1'!$A$2:$A1001, "&gt;=2024-07-01", 'Form responses 1'!$A$2:$A1001, "&lt;=2024-09-30"),
    COUNTIFS('Form responses 1'!$F$2:$F1001, A75, 'Form responses 1'!$A$2:$A1001, "&gt;=2024-07-01", 'Form responses 1'!$A$2:$A1001, "&lt;=2024-09-30"),
    COUNTIFS('Form responses 1'!$G$2:$G1001, A75, 'Form responses 1'!$A$2:$A1001, "&gt;=2024-07-01", 'Form responses 1'!$A$2:$A1001, "&lt;=2024-09-30")
)
</f>
        <v>0</v>
      </c>
      <c r="L75" s="2">
        <f>SUM(
    COUNTIFS('Form responses 1'!$C$2:$C1001, A75, 'Form responses 1'!$A$2:$A1001, "&gt;=2024-10-01", 'Form responses 1'!$A$2:$A1001, "&lt;=2024-12-31"),
    COUNTIFS('Form responses 1'!$B$2:$B1001, A75, 'Form responses 1'!$A$2:$A1001, "&gt;=2024-10-01", 'Form responses 1'!$A$2:$A1001, "&lt;=2024-12-31"),
    COUNTIFS('Form responses 1'!$D$2:$D1001, A75, 'Form responses 1'!$A$2:$A1001, "&gt;=2024-10-01", 'Form responses 1'!$A$2:$A1001, "&lt;=2024-12-31"),
    COUNTIFS('Form responses 1'!$E$2:$E1001, A75, 'Form responses 1'!$A$2:$A1001, "&gt;=2024-10-01", 'Form responses 1'!$A$2:$A1001, "&lt;=2024-12-31"),
    COUNTIFS('Form responses 1'!$F$2:$F1001, A75, 'Form responses 1'!$A$2:$A1001, "&gt;=2024-10-01", 'Form responses 1'!$A$2:$A1001, "&lt;=2024-12-31"),
    COUNTIFS('Form responses 1'!$G$2:$G1001, A75, 'Form responses 1'!$A$2:$A1001, "&gt;=2024-10-01", 'Form responses 1'!$A$2:$A1001, "&lt;=2024-12-31")
)
</f>
        <v>0</v>
      </c>
      <c r="M75" s="2">
        <f>SUM(
    COUNTIFS('Form responses 1'!$C$2:$C1001, A75, 'Form responses 1'!$A$2:$A1001, "&gt;=2025-01-01", 'Form responses 1'!$A$2:$A1001, "&lt;=2025-03-31"),
    COUNTIFS('Form responses 1'!$B$2:$B1001, A75, 'Form responses 1'!$A$2:$A1001, "&gt;=2025-01-01", 'Form responses 1'!$A$2:$A1001, "&lt;=2025-03-31"),
    COUNTIFS('Form responses 1'!$D$2:$D1001, A75, 'Form responses 1'!$A$2:$A1001, "&gt;=2025-01-01", 'Form responses 1'!$A$2:$A1001, "&lt;=2025-03-31"),
    COUNTIFS('Form responses 1'!$E$2:$E1001, A75, 'Form responses 1'!$A$2:$A1001, "&gt;=2025-01-01", 'Form responses 1'!$A$2:$A1001, "&lt;=2025-03-31"),
    COUNTIFS('Form responses 1'!$F$2:$F1001, A75, 'Form responses 1'!$A$2:$A1001, "&gt;=2025-01-01", 'Form responses 1'!$A$2:$A1001, "&lt;=2025-03-31"),
    COUNTIFS('Form responses 1'!$G$2:$G1001, A75, 'Form responses 1'!$A$2:$A1001, "&gt;=2025-01-01", 'Form responses 1'!$A$2:$A1001, "&lt;=2025-03-31")
)
</f>
        <v>0</v>
      </c>
      <c r="N75" s="2">
        <f>SUM(
    COUNTIFS('Form responses 1'!$C$2:$C1001, A75, 'Form responses 1'!$A$2:$A1001, "&gt;=2025-04-01", 'Form responses 1'!$A$2:$A1001, "&lt;2025-07-01"),
    COUNTIFS('Form responses 1'!$B$2:$B1001, A75, 'Form responses 1'!$A$2:$A1001, "&gt;=2025-04-01", 'Form responses 1'!$A$2:$A1001, "&lt;2025-07-01"),
    COUNTIFS('Form responses 1'!$D$2:$D1001, A75, 'Form responses 1'!$A$2:$A1001, "&gt;=2025-04-01", 'Form responses 1'!$A$2:$A1001, "&lt;2025-07-01"),
    COUNTIFS('Form responses 1'!$E$2:$E1001, A75, 'Form responses 1'!$A$2:$A1001, "&gt;=2025-04-01", 'Form responses 1'!$A$2:$A1001, "&lt;2025-07-01"),
    COUNTIFS('Form responses 1'!$F$2:$F1001, A75, 'Form responses 1'!$A$2:$A1001, "&gt;=2025-04-01", 'Form responses 1'!$A$2:$A1001, "&lt;2025-07-01"),
    COUNTIFS('Form responses 1'!$G$2:$G1001, A75, 'Form responses 1'!$A$2:$A1001, "&gt;=2025-04-01", 'Form responses 1'!$A$2:$A1001, "&lt;2025-07-01")
)
</f>
        <v>0</v>
      </c>
      <c r="O75" s="2">
        <f>SUM(
    COUNTIFS('Form responses 1'!$C$2:$C1001, A75, 'Form responses 1'!$A$2:$A1001, "&gt;=2025-07-01", 'Form responses 1'!$A$2:$A1001, "&lt;=2025-09-30"),
    COUNTIFS('Form responses 1'!$B$2:$B1001, A75, 'Form responses 1'!$A$2:$A1001, "&gt;=2025-07-01", 'Form responses 1'!$A$2:$A1001, "&lt;=2025-09-30"),
    COUNTIFS('Form responses 1'!$D$2:$D1001, A75, 'Form responses 1'!$A$2:$A1001, "&gt;=2025-07-01", 'Form responses 1'!$A$2:$A1001, "&lt;=2025-09-30"),
    COUNTIFS('Form responses 1'!$E$2:$E1001, A75, 'Form responses 1'!$A$2:$A1001, "&gt;=2025-07-01", 'Form responses 1'!$A$2:$A1001, "&lt;=2025-09-30"),
    COUNTIFS('Form responses 1'!$F$2:$F1001, A75, 'Form responses 1'!$A$2:$A1001, "&gt;=2025-07-01", 'Form responses 1'!$A$2:$A1001, "&lt;=2025-09-30"),
    COUNTIFS('Form responses 1'!$G$2:$G1001, A75, 'Form responses 1'!$A$2:$A1001, "&gt;=2025-07-01", 'Form responses 1'!$A$2:$A1001, "&lt;=2025-09-30")
)
</f>
        <v>0</v>
      </c>
      <c r="P75" s="2">
        <f>SUM(
    COUNTIFS('Form responses 1'!$C$2:$C1001, A75, 'Form responses 1'!$A$2:$A1001, "&gt;=2025-10-01", 'Form responses 1'!$A$2:$A1001, "&lt;=2025-12-31"),
    COUNTIFS('Form responses 1'!$B$2:$B1001, A75, 'Form responses 1'!$A$2:$A1001, "&gt;=2025-10-01", 'Form responses 1'!$A$2:$A1001, "&lt;=2025-12-31"),
    COUNTIFS('Form responses 1'!$D$2:$D1001, A75, 'Form responses 1'!$A$2:$A1001, "&gt;=2025-10-01", 'Form responses 1'!$A$2:$A1001, "&lt;=2025-12-31"),
    COUNTIFS('Form responses 1'!$E$2:$E1001, A75, 'Form responses 1'!$A$2:$A1001, "&gt;=2025-10-01", 'Form responses 1'!$A$2:$A1001, "&lt;=2025-12-31"),
    COUNTIFS('Form responses 1'!$F$2:$F1001, A75, 'Form responses 1'!$A$2:$A1001, "&gt;=2025-10-01", 'Form responses 1'!$A$2:$A1001, "&lt;=2025-12-31"),
    COUNTIFS('Form responses 1'!$G$2:$G1001, A75, 'Form responses 1'!$A$2:$A1001, "&gt;=2025-10-01", 'Form responses 1'!$A$2:$A1001, "&lt;=2025-12-31")
)
</f>
        <v>0</v>
      </c>
    </row>
    <row r="76">
      <c r="A76" s="3" t="str">
        <f>IFERROR(__xludf.DUMMYFUNCTION("""COMPUTED_VALUE"""),"Groene vintage leren jas")</f>
        <v>Groene vintage leren jas</v>
      </c>
      <c r="B76" s="2">
        <f>SUM(
    COUNTIFS('Form responses 1'!$C$2:$C1001, A76, 'Form responses 1'!$A$2:$A1001, "&gt;=2022-04-01", 'Form responses 1'!$A$2:$A1001, "&lt;=2022-06-30"),
    COUNTIFS('Form responses 1'!$B$2:$B1001, A76, 'Form responses 1'!$A$2:$A1001, "&gt;=2022-04-01", 'Form responses 1'!$A$2:$A1001, "&lt;=2022-06-30"),
    COUNTIFS('Form responses 1'!$D$2:$D1001, A76, 'Form responses 1'!$A$2:$A1001, "&gt;=2022-04-01", 'Form responses 1'!$A$2:$A1001, "&lt;=2022-06-30"),
    COUNTIFS('Form responses 1'!$E$2:$E1001, A76, 'Form responses 1'!$A$2:$A1001, "&gt;=2022-04-01", 'Form responses 1'!$A$2:$A1001, "&lt;=2022-06-30"),
    COUNTIFS('Form responses 1'!$F$2:$F1001, A76, 'Form responses 1'!$A$2:$A1001, "&gt;=2022-04-01", 'Form responses 1'!$A$2:$A1001, "&lt;=2022-06-30"),
    COUNTIFS('Form responses 1'!$G$2:$G1001, A76, 'Form responses 1'!$A$2:$A1001, "&gt;=2022-04-01", 'Form responses 1'!$A$2:$A1001, "&lt;=2022-06-30")
)
</f>
        <v>0</v>
      </c>
      <c r="C76" s="2">
        <f>SUM(
    COUNTIFS('Form responses 1'!$C$2:$C1001, A76, 'Form responses 1'!$A$2:$A1001, "&gt;=2022-07-01", 'Form responses 1'!$A$2:$A1001, "&lt;=2022-09-30"),
    COUNTIFS('Form responses 1'!$B$2:$B1001, A76, 'Form responses 1'!$A$2:$A1001, "&gt;=2022-07-01", 'Form responses 1'!$A$2:$A1001, "&lt;=2022-09-30"),
    COUNTIFS('Form responses 1'!$D$2:$D1001, A76, 'Form responses 1'!$A$2:$A1001, "&gt;=2022-07-01", 'Form responses 1'!$A$2:$A1001, "&lt;=2022-09-30"),
    COUNTIFS('Form responses 1'!$E$2:$E1001, A76, 'Form responses 1'!$A$2:$A1001, "&gt;=2022-07-01", 'Form responses 1'!$A$2:$A1001, "&lt;=2022-09-30"),
    COUNTIFS('Form responses 1'!$F$2:$F1001, A76, 'Form responses 1'!$A$2:$A1001, "&gt;=2022-07-01", 'Form responses 1'!$A$2:$A1001, "&lt;=2022-09-30"),
    COUNTIFS('Form responses 1'!$G$2:$G1001, A76, 'Form responses 1'!$A$2:$A1001, "&gt;=2022-07-01", 'Form responses 1'!$A$2:$A1001, "&lt;=2022-09-30")
)
</f>
        <v>0</v>
      </c>
      <c r="D76" s="2">
        <f>SUM(
    COUNTIFS('Form responses 1'!$C$2:$C1001, A76, 'Form responses 1'!$A$2:$A1001, "&gt;=2022-10-01", 'Form responses 1'!$A$2:$A1001, "&lt;=2022-12-31"),
    COUNTIFS('Form responses 1'!$B$2:$B1001, A76, 'Form responses 1'!$A$2:$A1001, "&gt;=2022-10-01", 'Form responses 1'!$A$2:$A1001, "&lt;=2022-12-31"),
    COUNTIFS('Form responses 1'!$D$2:$D1001, A76, 'Form responses 1'!$A$2:$A1001, "&gt;=2022-10-01", 'Form responses 1'!$A$2:$A1001, "&lt;=2022-12-31"),
    COUNTIFS('Form responses 1'!$E$2:$E1001, A76, 'Form responses 1'!$A$2:$A1001, "&gt;=2022-10-01", 'Form responses 1'!$A$2:$A1001, "&lt;=2022-12-31"),
    COUNTIFS('Form responses 1'!$F$2:$F1001, A76, 'Form responses 1'!$A$2:$A1001, "&gt;=2022-10-01", 'Form responses 1'!$A$2:$A1001, "&lt;=2022-12-31"),
    COUNTIFS('Form responses 1'!$G$2:$G1001, A76, 'Form responses 1'!$A$2:$A1001, "&gt;=2022-10-01", 'Form responses 1'!$A$2:$A1001, "&lt;=2022-12-31")
)
</f>
        <v>0</v>
      </c>
      <c r="E76" s="2">
        <f>SUM(
    COUNTIFS('Form responses 1'!$C$2:$C1001, A76, 'Form responses 1'!$A$2:$A1001, "&gt;=2023-01-01", 'Form responses 1'!$A$2:$A1001, "&lt;=2023-03-31"),
    COUNTIFS('Form responses 1'!$B$2:$B1001, A76, 'Form responses 1'!$A$2:$A1001, "&gt;=2023-01-01", 'Form responses 1'!$A$2:$A1001, "&lt;=2023-03-31"),
    COUNTIFS('Form responses 1'!$D$2:$D1001, A76, 'Form responses 1'!$A$2:$A1001, "&gt;=2023-01-01", 'Form responses 1'!$A$2:$A1001, "&lt;=2023-03-31"),
    COUNTIFS('Form responses 1'!$E$2:$E1001, A76, 'Form responses 1'!$A$2:$A1001, "&gt;=2023-01-01", 'Form responses 1'!$A$2:$A1001, "&lt;=2023-03-31"),
    COUNTIFS('Form responses 1'!$F$2:$F1001, A76, 'Form responses 1'!$A$2:$A1001, "&gt;=2023-01-01", 'Form responses 1'!$A$2:$A1001, "&lt;=2023-03-31"),
    COUNTIFS('Form responses 1'!$G$2:$G1001, A76, 'Form responses 1'!$A$2:$A1001, "&gt;=2023-01-01", 'Form responses 1'!$A$2:$A1001, "&lt;=2023-03-31")
)
</f>
        <v>0</v>
      </c>
      <c r="F76" s="2">
        <f>SUM(
    COUNTIFS('Form responses 1'!$C$2:$C1001, A76, 'Form responses 1'!$A$2:$A1001, "&gt;=2023-04-01", 'Form responses 1'!$A$2:$A1001, "&lt;=2023-06-30"),
    COUNTIFS('Form responses 1'!$B$2:$B1001, A76, 'Form responses 1'!$A$2:$A1001, "&gt;=2023-04-01", 'Form responses 1'!$A$2:$A1001, "&lt;=2023-06-30"),
    COUNTIFS('Form responses 1'!$D$2:$D1001, A76, 'Form responses 1'!$A$2:$A1001, "&gt;=2023-04-01", 'Form responses 1'!$A$2:$A1001, "&lt;=2023-06-30"),
    COUNTIFS('Form responses 1'!$E$2:$E1001, A76, 'Form responses 1'!$A$2:$A1001, "&gt;=2023-04-01", 'Form responses 1'!$A$2:$A1001, "&lt;=2023-06-30"),
    COUNTIFS('Form responses 1'!$F$2:$F1001, A76, 'Form responses 1'!$A$2:$A1001, "&gt;=2023-04-01", 'Form responses 1'!$A$2:$A1001, "&lt;=2023-06-30"),
    COUNTIFS('Form responses 1'!$G$2:$G1001, A76, 'Form responses 1'!$A$2:$A1001, "&gt;=2023-04-01", 'Form responses 1'!$A$2:$A1001, "&lt;=2023-06-30")
)
</f>
        <v>0</v>
      </c>
      <c r="G76" s="2">
        <f>SUM(
    COUNTIFS('Form responses 1'!$C$2:$C1001, A76, 'Form responses 1'!$A$2:$A1001, "&gt;=2023-07-01", 'Form responses 1'!$A$2:$A1001, "&lt;=2023-09-30"),
    COUNTIFS('Form responses 1'!$B$2:$B1001, A76, 'Form responses 1'!$A$2:$A1001, "&gt;=2023-07-01", 'Form responses 1'!$A$2:$A1001, "&lt;=2023-09-30"),
    COUNTIFS('Form responses 1'!$D$2:$D1001, A76, 'Form responses 1'!$A$2:$A1001, "&gt;=2023-07-01", 'Form responses 1'!$A$2:$A1001, "&lt;=2023-09-30"),
    COUNTIFS('Form responses 1'!$E$2:$E1001, A76, 'Form responses 1'!$A$2:$A1001, "&gt;=2023-07-01", 'Form responses 1'!$A$2:$A1001, "&lt;=2023-09-30"),
    COUNTIFS('Form responses 1'!$F$2:$F1001, A76, 'Form responses 1'!$A$2:$A1001, "&gt;=2023-07-01", 'Form responses 1'!$A$2:$A1001, "&lt;=2023-09-30"),
    COUNTIFS('Form responses 1'!$G$2:$G1001, A76, 'Form responses 1'!$A$2:$A1001, "&gt;=2023-07-01", 'Form responses 1'!$A$2:$A1001, "&lt;=2023-09-30")
)
</f>
        <v>0</v>
      </c>
      <c r="H76" s="2">
        <f>SUM(
    COUNTIFS('Form responses 1'!$C$2:$C1001, A76, 'Form responses 1'!$A$2:$A1001, "&gt;=2023-10-01", 'Form responses 1'!$A$2:$A1001, "&lt;=2023-12-31"),
    COUNTIFS('Form responses 1'!$B$2:$B1001, A76, 'Form responses 1'!$A$2:$A1001, "&gt;=2023-10-01", 'Form responses 1'!$A$2:$A1001, "&lt;=2023-12-31"),
    COUNTIFS('Form responses 1'!$D$2:$D1001, A76, 'Form responses 1'!$A$2:$A1001, "&gt;=2023-10-01", 'Form responses 1'!$A$2:$A1001, "&lt;=2023-12-31"),
    COUNTIFS('Form responses 1'!$E$2:$E1001, A76, 'Form responses 1'!$A$2:$A1001, "&gt;=2023-10-01", 'Form responses 1'!$A$2:$A1001, "&lt;=2023-12-31"),
    COUNTIFS('Form responses 1'!$F$2:$F1001, A76, 'Form responses 1'!$A$2:$A1001, "&gt;=2023-10-01", 'Form responses 1'!$A$2:$A1001, "&lt;=2023-12-31"),
    COUNTIFS('Form responses 1'!$G$2:$G1001, A76, 'Form responses 1'!$A$2:$A1001, "&gt;=2023-10-01", 'Form responses 1'!$A$2:$A1001, "&lt;=2023-12-31")
)
</f>
        <v>0</v>
      </c>
      <c r="I76" s="2">
        <f>SUM(
    COUNTIFS('Form responses 1'!$C$2:$C1001, A76, 'Form responses 1'!$A$2:$A1001, "&gt;=2024-01-01", 'Form responses 1'!$A$2:$A1001, "&lt;=2024-03-31"),
    COUNTIFS('Form responses 1'!$B$2:$B1001, A76, 'Form responses 1'!$A$2:$A1001, "&gt;=2024-01-01", 'Form responses 1'!$A$2:$A1001, "&lt;=2024-03-31"),
    COUNTIFS('Form responses 1'!$D$2:$D1001, A76, 'Form responses 1'!$A$2:$A1001, "&gt;=2024-01-01", 'Form responses 1'!$A$2:$A1001, "&lt;=2024-03-31"),
    COUNTIFS('Form responses 1'!$E$2:$E1001, A76, 'Form responses 1'!$A$2:$A1001, "&gt;=2024-01-01", 'Form responses 1'!$A$2:$A1001, "&lt;=2024-03-31"),
    COUNTIFS('Form responses 1'!$F$2:$F1001, A76, 'Form responses 1'!$A$2:$A1001, "&gt;=2024-01-01", 'Form responses 1'!$A$2:$A1001, "&lt;=2024-03-31"),
    COUNTIFS('Form responses 1'!$G$2:$G1001, A76, 'Form responses 1'!$A$2:$A1001, "&gt;=2024-01-01", 'Form responses 1'!$A$2:$A1001, "&lt;=2024-03-31")
)
</f>
        <v>0</v>
      </c>
      <c r="J76" s="2">
        <f>SUM(
    COUNTIFS('Form responses 1'!$C$2:$C1001, A76, 'Form responses 1'!$A$2:$A1001, "&gt;=2024-04-01", 'Form responses 1'!$A$2:$A1001, "&lt;=2024-06-30"),
    COUNTIFS('Form responses 1'!$B$2:$B1001, A76, 'Form responses 1'!$A$2:$A1001, "&gt;=2024-04-01", 'Form responses 1'!$A$2:$A1001, "&lt;=2024-06-30"),
    COUNTIFS('Form responses 1'!$D$2:$D1001, A76, 'Form responses 1'!$A$2:$A1001, "&gt;=2024-04-01", 'Form responses 1'!$A$2:$A1001, "&lt;=2024-06-30"),
    COUNTIFS('Form responses 1'!$E$2:$E1001, A76, 'Form responses 1'!$A$2:$A1001, "&gt;=2024-04-01", 'Form responses 1'!$A$2:$A1001, "&lt;=2024-06-30"),
    COUNTIFS('Form responses 1'!$F$2:$F1001, A76, 'Form responses 1'!$A$2:$A1001, "&gt;=2024-04-01", 'Form responses 1'!$A$2:$A1001, "&lt;=2024-06-30"),
    COUNTIFS('Form responses 1'!$G$2:$G1001, A76, 'Form responses 1'!$A$2:$A1001, "&gt;=2024-04-01", 'Form responses 1'!$A$2:$A1001, "&lt;=2024-06-30")
)
</f>
        <v>0</v>
      </c>
      <c r="K76" s="2">
        <f>SUM(
    COUNTIFS('Form responses 1'!$C$2:$C1001, A76, 'Form responses 1'!$A$2:$A1001, "&gt;=2024-07-01", 'Form responses 1'!$A$2:$A1001, "&lt;=2024-09-30"),
    COUNTIFS('Form responses 1'!$B$2:$B1001, A76, 'Form responses 1'!$A$2:$A1001, "&gt;=2024-07-01", 'Form responses 1'!$A$2:$A1001, "&lt;=2024-09-30"),
    COUNTIFS('Form responses 1'!$D$2:$D1001, A76, 'Form responses 1'!$A$2:$A1001, "&gt;=2024-07-01", 'Form responses 1'!$A$2:$A1001, "&lt;=2024-09-30"),
    COUNTIFS('Form responses 1'!$E$2:$E1001, A76, 'Form responses 1'!$A$2:$A1001, "&gt;=2024-07-01", 'Form responses 1'!$A$2:$A1001, "&lt;=2024-09-30"),
    COUNTIFS('Form responses 1'!$F$2:$F1001, A76, 'Form responses 1'!$A$2:$A1001, "&gt;=2024-07-01", 'Form responses 1'!$A$2:$A1001, "&lt;=2024-09-30"),
    COUNTIFS('Form responses 1'!$G$2:$G1001, A76, 'Form responses 1'!$A$2:$A1001, "&gt;=2024-07-01", 'Form responses 1'!$A$2:$A1001, "&lt;=2024-09-30")
)
</f>
        <v>0</v>
      </c>
      <c r="L76" s="2">
        <f>SUM(
    COUNTIFS('Form responses 1'!$C$2:$C1001, A76, 'Form responses 1'!$A$2:$A1001, "&gt;=2024-10-01", 'Form responses 1'!$A$2:$A1001, "&lt;=2024-12-31"),
    COUNTIFS('Form responses 1'!$B$2:$B1001, A76, 'Form responses 1'!$A$2:$A1001, "&gt;=2024-10-01", 'Form responses 1'!$A$2:$A1001, "&lt;=2024-12-31"),
    COUNTIFS('Form responses 1'!$D$2:$D1001, A76, 'Form responses 1'!$A$2:$A1001, "&gt;=2024-10-01", 'Form responses 1'!$A$2:$A1001, "&lt;=2024-12-31"),
    COUNTIFS('Form responses 1'!$E$2:$E1001, A76, 'Form responses 1'!$A$2:$A1001, "&gt;=2024-10-01", 'Form responses 1'!$A$2:$A1001, "&lt;=2024-12-31"),
    COUNTIFS('Form responses 1'!$F$2:$F1001, A76, 'Form responses 1'!$A$2:$A1001, "&gt;=2024-10-01", 'Form responses 1'!$A$2:$A1001, "&lt;=2024-12-31"),
    COUNTIFS('Form responses 1'!$G$2:$G1001, A76, 'Form responses 1'!$A$2:$A1001, "&gt;=2024-10-01", 'Form responses 1'!$A$2:$A1001, "&lt;=2024-12-31")
)
</f>
        <v>0</v>
      </c>
      <c r="M76" s="2">
        <f>SUM(
    COUNTIFS('Form responses 1'!$C$2:$C1001, A76, 'Form responses 1'!$A$2:$A1001, "&gt;=2025-01-01", 'Form responses 1'!$A$2:$A1001, "&lt;=2025-03-31"),
    COUNTIFS('Form responses 1'!$B$2:$B1001, A76, 'Form responses 1'!$A$2:$A1001, "&gt;=2025-01-01", 'Form responses 1'!$A$2:$A1001, "&lt;=2025-03-31"),
    COUNTIFS('Form responses 1'!$D$2:$D1001, A76, 'Form responses 1'!$A$2:$A1001, "&gt;=2025-01-01", 'Form responses 1'!$A$2:$A1001, "&lt;=2025-03-31"),
    COUNTIFS('Form responses 1'!$E$2:$E1001, A76, 'Form responses 1'!$A$2:$A1001, "&gt;=2025-01-01", 'Form responses 1'!$A$2:$A1001, "&lt;=2025-03-31"),
    COUNTIFS('Form responses 1'!$F$2:$F1001, A76, 'Form responses 1'!$A$2:$A1001, "&gt;=2025-01-01", 'Form responses 1'!$A$2:$A1001, "&lt;=2025-03-31"),
    COUNTIFS('Form responses 1'!$G$2:$G1001, A76, 'Form responses 1'!$A$2:$A1001, "&gt;=2025-01-01", 'Form responses 1'!$A$2:$A1001, "&lt;=2025-03-31")
)
</f>
        <v>6</v>
      </c>
      <c r="N76" s="2">
        <f>SUM(
    COUNTIFS('Form responses 1'!$C$2:$C1001, A76, 'Form responses 1'!$A$2:$A1001, "&gt;=2025-04-01", 'Form responses 1'!$A$2:$A1001, "&lt;2025-07-01"),
    COUNTIFS('Form responses 1'!$B$2:$B1001, A76, 'Form responses 1'!$A$2:$A1001, "&gt;=2025-04-01", 'Form responses 1'!$A$2:$A1001, "&lt;2025-07-01"),
    COUNTIFS('Form responses 1'!$D$2:$D1001, A76, 'Form responses 1'!$A$2:$A1001, "&gt;=2025-04-01", 'Form responses 1'!$A$2:$A1001, "&lt;2025-07-01"),
    COUNTIFS('Form responses 1'!$E$2:$E1001, A76, 'Form responses 1'!$A$2:$A1001, "&gt;=2025-04-01", 'Form responses 1'!$A$2:$A1001, "&lt;2025-07-01"),
    COUNTIFS('Form responses 1'!$F$2:$F1001, A76, 'Form responses 1'!$A$2:$A1001, "&gt;=2025-04-01", 'Form responses 1'!$A$2:$A1001, "&lt;2025-07-01"),
    COUNTIFS('Form responses 1'!$G$2:$G1001, A76, 'Form responses 1'!$A$2:$A1001, "&gt;=2025-04-01", 'Form responses 1'!$A$2:$A1001, "&lt;2025-07-01")
)
</f>
        <v>22</v>
      </c>
      <c r="O76" s="2">
        <f>SUM(
    COUNTIFS('Form responses 1'!$C$2:$C1001, A76, 'Form responses 1'!$A$2:$A1001, "&gt;=2025-07-01", 'Form responses 1'!$A$2:$A1001, "&lt;=2025-09-30"),
    COUNTIFS('Form responses 1'!$B$2:$B1001, A76, 'Form responses 1'!$A$2:$A1001, "&gt;=2025-07-01", 'Form responses 1'!$A$2:$A1001, "&lt;=2025-09-30"),
    COUNTIFS('Form responses 1'!$D$2:$D1001, A76, 'Form responses 1'!$A$2:$A1001, "&gt;=2025-07-01", 'Form responses 1'!$A$2:$A1001, "&lt;=2025-09-30"),
    COUNTIFS('Form responses 1'!$E$2:$E1001, A76, 'Form responses 1'!$A$2:$A1001, "&gt;=2025-07-01", 'Form responses 1'!$A$2:$A1001, "&lt;=2025-09-30"),
    COUNTIFS('Form responses 1'!$F$2:$F1001, A76, 'Form responses 1'!$A$2:$A1001, "&gt;=2025-07-01", 'Form responses 1'!$A$2:$A1001, "&lt;=2025-09-30"),
    COUNTIFS('Form responses 1'!$G$2:$G1001, A76, 'Form responses 1'!$A$2:$A1001, "&gt;=2025-07-01", 'Form responses 1'!$A$2:$A1001, "&lt;=2025-09-30")
)
</f>
        <v>11</v>
      </c>
      <c r="P76" s="2">
        <f>SUM(
    COUNTIFS('Form responses 1'!$C$2:$C1001, A76, 'Form responses 1'!$A$2:$A1001, "&gt;=2025-10-01", 'Form responses 1'!$A$2:$A1001, "&lt;=2025-12-31"),
    COUNTIFS('Form responses 1'!$B$2:$B1001, A76, 'Form responses 1'!$A$2:$A1001, "&gt;=2025-10-01", 'Form responses 1'!$A$2:$A1001, "&lt;=2025-12-31"),
    COUNTIFS('Form responses 1'!$D$2:$D1001, A76, 'Form responses 1'!$A$2:$A1001, "&gt;=2025-10-01", 'Form responses 1'!$A$2:$A1001, "&lt;=2025-12-31"),
    COUNTIFS('Form responses 1'!$E$2:$E1001, A76, 'Form responses 1'!$A$2:$A1001, "&gt;=2025-10-01", 'Form responses 1'!$A$2:$A1001, "&lt;=2025-12-31"),
    COUNTIFS('Form responses 1'!$F$2:$F1001, A76, 'Form responses 1'!$A$2:$A1001, "&gt;=2025-10-01", 'Form responses 1'!$A$2:$A1001, "&lt;=2025-12-31"),
    COUNTIFS('Form responses 1'!$G$2:$G1001, A76, 'Form responses 1'!$A$2:$A1001, "&gt;=2025-10-01", 'Form responses 1'!$A$2:$A1001, "&lt;=2025-12-31")
)
</f>
        <v>17</v>
      </c>
    </row>
    <row r="77">
      <c r="A77" s="9" t="str">
        <f>IFERROR(__xludf.DUMMYFUNCTION("""COMPUTED_VALUE"""),"Blauwe oud")</f>
        <v>Blauwe oud</v>
      </c>
      <c r="B77" s="2">
        <f>SUM(
    COUNTIFS('Form responses 1'!$C$2:$C1001, A77, 'Form responses 1'!$A$2:$A1001, "&gt;=2022-04-01", 'Form responses 1'!$A$2:$A1001, "&lt;=2022-06-30"),
    COUNTIFS('Form responses 1'!$B$2:$B1001, A77, 'Form responses 1'!$A$2:$A1001, "&gt;=2022-04-01", 'Form responses 1'!$A$2:$A1001, "&lt;=2022-06-30"),
    COUNTIFS('Form responses 1'!$D$2:$D1001, A77, 'Form responses 1'!$A$2:$A1001, "&gt;=2022-04-01", 'Form responses 1'!$A$2:$A1001, "&lt;=2022-06-30"),
    COUNTIFS('Form responses 1'!$E$2:$E1001, A77, 'Form responses 1'!$A$2:$A1001, "&gt;=2022-04-01", 'Form responses 1'!$A$2:$A1001, "&lt;=2022-06-30"),
    COUNTIFS('Form responses 1'!$F$2:$F1001, A77, 'Form responses 1'!$A$2:$A1001, "&gt;=2022-04-01", 'Form responses 1'!$A$2:$A1001, "&lt;=2022-06-30"),
    COUNTIFS('Form responses 1'!$G$2:$G1001, A77, 'Form responses 1'!$A$2:$A1001, "&gt;=2022-04-01", 'Form responses 1'!$A$2:$A1001, "&lt;=2022-06-30")
)
</f>
        <v>21</v>
      </c>
      <c r="C77" s="2">
        <f>SUM(
    COUNTIFS('Form responses 1'!$C$2:$C1001, A77, 'Form responses 1'!$A$2:$A1001, "&gt;=2022-07-01", 'Form responses 1'!$A$2:$A1001, "&lt;=2022-09-30"),
    COUNTIFS('Form responses 1'!$B$2:$B1001, A77, 'Form responses 1'!$A$2:$A1001, "&gt;=2022-07-01", 'Form responses 1'!$A$2:$A1001, "&lt;=2022-09-30"),
    COUNTIFS('Form responses 1'!$D$2:$D1001, A77, 'Form responses 1'!$A$2:$A1001, "&gt;=2022-07-01", 'Form responses 1'!$A$2:$A1001, "&lt;=2022-09-30"),
    COUNTIFS('Form responses 1'!$E$2:$E1001, A77, 'Form responses 1'!$A$2:$A1001, "&gt;=2022-07-01", 'Form responses 1'!$A$2:$A1001, "&lt;=2022-09-30"),
    COUNTIFS('Form responses 1'!$F$2:$F1001, A77, 'Form responses 1'!$A$2:$A1001, "&gt;=2022-07-01", 'Form responses 1'!$A$2:$A1001, "&lt;=2022-09-30"),
    COUNTIFS('Form responses 1'!$G$2:$G1001, A77, 'Form responses 1'!$A$2:$A1001, "&gt;=2022-07-01", 'Form responses 1'!$A$2:$A1001, "&lt;=2022-09-30")
)
</f>
        <v>6</v>
      </c>
      <c r="D77" s="2">
        <f>SUM(
    COUNTIFS('Form responses 1'!$C$2:$C1001, A77, 'Form responses 1'!$A$2:$A1001, "&gt;=2022-10-01", 'Form responses 1'!$A$2:$A1001, "&lt;=2022-12-31"),
    COUNTIFS('Form responses 1'!$B$2:$B1001, A77, 'Form responses 1'!$A$2:$A1001, "&gt;=2022-10-01", 'Form responses 1'!$A$2:$A1001, "&lt;=2022-12-31"),
    COUNTIFS('Form responses 1'!$D$2:$D1001, A77, 'Form responses 1'!$A$2:$A1001, "&gt;=2022-10-01", 'Form responses 1'!$A$2:$A1001, "&lt;=2022-12-31"),
    COUNTIFS('Form responses 1'!$E$2:$E1001, A77, 'Form responses 1'!$A$2:$A1001, "&gt;=2022-10-01", 'Form responses 1'!$A$2:$A1001, "&lt;=2022-12-31"),
    COUNTIFS('Form responses 1'!$F$2:$F1001, A77, 'Form responses 1'!$A$2:$A1001, "&gt;=2022-10-01", 'Form responses 1'!$A$2:$A1001, "&lt;=2022-12-31"),
    COUNTIFS('Form responses 1'!$G$2:$G1001, A77, 'Form responses 1'!$A$2:$A1001, "&gt;=2022-10-01", 'Form responses 1'!$A$2:$A1001, "&lt;=2022-12-31")
)
</f>
        <v>62</v>
      </c>
      <c r="E77" s="2">
        <f>SUM(
    COUNTIFS('Form responses 1'!$C$2:$C1001, A77, 'Form responses 1'!$A$2:$A1001, "&gt;=2023-01-01", 'Form responses 1'!$A$2:$A1001, "&lt;=2023-03-31"),
    COUNTIFS('Form responses 1'!$B$2:$B1001, A77, 'Form responses 1'!$A$2:$A1001, "&gt;=2023-01-01", 'Form responses 1'!$A$2:$A1001, "&lt;=2023-03-31"),
    COUNTIFS('Form responses 1'!$D$2:$D1001, A77, 'Form responses 1'!$A$2:$A1001, "&gt;=2023-01-01", 'Form responses 1'!$A$2:$A1001, "&lt;=2023-03-31"),
    COUNTIFS('Form responses 1'!$E$2:$E1001, A77, 'Form responses 1'!$A$2:$A1001, "&gt;=2023-01-01", 'Form responses 1'!$A$2:$A1001, "&lt;=2023-03-31"),
    COUNTIFS('Form responses 1'!$F$2:$F1001, A77, 'Form responses 1'!$A$2:$A1001, "&gt;=2023-01-01", 'Form responses 1'!$A$2:$A1001, "&lt;=2023-03-31"),
    COUNTIFS('Form responses 1'!$G$2:$G1001, A77, 'Form responses 1'!$A$2:$A1001, "&gt;=2023-01-01", 'Form responses 1'!$A$2:$A1001, "&lt;=2023-03-31")
)
</f>
        <v>51</v>
      </c>
      <c r="F77" s="2">
        <f>SUM(
    COUNTIFS('Form responses 1'!$C$2:$C1001, A77, 'Form responses 1'!$A$2:$A1001, "&gt;=2023-04-01", 'Form responses 1'!$A$2:$A1001, "&lt;=2023-06-30"),
    COUNTIFS('Form responses 1'!$B$2:$B1001, A77, 'Form responses 1'!$A$2:$A1001, "&gt;=2023-04-01", 'Form responses 1'!$A$2:$A1001, "&lt;=2023-06-30"),
    COUNTIFS('Form responses 1'!$D$2:$D1001, A77, 'Form responses 1'!$A$2:$A1001, "&gt;=2023-04-01", 'Form responses 1'!$A$2:$A1001, "&lt;=2023-06-30"),
    COUNTIFS('Form responses 1'!$E$2:$E1001, A77, 'Form responses 1'!$A$2:$A1001, "&gt;=2023-04-01", 'Form responses 1'!$A$2:$A1001, "&lt;=2023-06-30"),
    COUNTIFS('Form responses 1'!$F$2:$F1001, A77, 'Form responses 1'!$A$2:$A1001, "&gt;=2023-04-01", 'Form responses 1'!$A$2:$A1001, "&lt;=2023-06-30"),
    COUNTIFS('Form responses 1'!$G$2:$G1001, A77, 'Form responses 1'!$A$2:$A1001, "&gt;=2023-04-01", 'Form responses 1'!$A$2:$A1001, "&lt;=2023-06-30")
)
</f>
        <v>17</v>
      </c>
      <c r="G77" s="2">
        <f>SUM(
    COUNTIFS('Form responses 1'!$C$2:$C1001, A77, 'Form responses 1'!$A$2:$A1001, "&gt;=2023-07-01", 'Form responses 1'!$A$2:$A1001, "&lt;=2023-09-30"),
    COUNTIFS('Form responses 1'!$B$2:$B1001, A77, 'Form responses 1'!$A$2:$A1001, "&gt;=2023-07-01", 'Form responses 1'!$A$2:$A1001, "&lt;=2023-09-30"),
    COUNTIFS('Form responses 1'!$D$2:$D1001, A77, 'Form responses 1'!$A$2:$A1001, "&gt;=2023-07-01", 'Form responses 1'!$A$2:$A1001, "&lt;=2023-09-30"),
    COUNTIFS('Form responses 1'!$E$2:$E1001, A77, 'Form responses 1'!$A$2:$A1001, "&gt;=2023-07-01", 'Form responses 1'!$A$2:$A1001, "&lt;=2023-09-30"),
    COUNTIFS('Form responses 1'!$F$2:$F1001, A77, 'Form responses 1'!$A$2:$A1001, "&gt;=2023-07-01", 'Form responses 1'!$A$2:$A1001, "&lt;=2023-09-30"),
    COUNTIFS('Form responses 1'!$G$2:$G1001, A77, 'Form responses 1'!$A$2:$A1001, "&gt;=2023-07-01", 'Form responses 1'!$A$2:$A1001, "&lt;=2023-09-30")
)
</f>
        <v>5</v>
      </c>
      <c r="H77" s="2">
        <f>SUM(
    COUNTIFS('Form responses 1'!$C$2:$C1001, A77, 'Form responses 1'!$A$2:$A1001, "&gt;=2023-10-01", 'Form responses 1'!$A$2:$A1001, "&lt;=2023-12-31"),
    COUNTIFS('Form responses 1'!$B$2:$B1001, A77, 'Form responses 1'!$A$2:$A1001, "&gt;=2023-10-01", 'Form responses 1'!$A$2:$A1001, "&lt;=2023-12-31"),
    COUNTIFS('Form responses 1'!$D$2:$D1001, A77, 'Form responses 1'!$A$2:$A1001, "&gt;=2023-10-01", 'Form responses 1'!$A$2:$A1001, "&lt;=2023-12-31"),
    COUNTIFS('Form responses 1'!$E$2:$E1001, A77, 'Form responses 1'!$A$2:$A1001, "&gt;=2023-10-01", 'Form responses 1'!$A$2:$A1001, "&lt;=2023-12-31"),
    COUNTIFS('Form responses 1'!$F$2:$F1001, A77, 'Form responses 1'!$A$2:$A1001, "&gt;=2023-10-01", 'Form responses 1'!$A$2:$A1001, "&lt;=2023-12-31"),
    COUNTIFS('Form responses 1'!$G$2:$G1001, A77, 'Form responses 1'!$A$2:$A1001, "&gt;=2023-10-01", 'Form responses 1'!$A$2:$A1001, "&lt;=2023-12-31")
)
</f>
        <v>11</v>
      </c>
      <c r="I77" s="2">
        <f>SUM(
    COUNTIFS('Form responses 1'!$C$2:$C1001, A77, 'Form responses 1'!$A$2:$A1001, "&gt;=2024-01-01", 'Form responses 1'!$A$2:$A1001, "&lt;=2024-03-31"),
    COUNTIFS('Form responses 1'!$B$2:$B1001, A77, 'Form responses 1'!$A$2:$A1001, "&gt;=2024-01-01", 'Form responses 1'!$A$2:$A1001, "&lt;=2024-03-31"),
    COUNTIFS('Form responses 1'!$D$2:$D1001, A77, 'Form responses 1'!$A$2:$A1001, "&gt;=2024-01-01", 'Form responses 1'!$A$2:$A1001, "&lt;=2024-03-31"),
    COUNTIFS('Form responses 1'!$E$2:$E1001, A77, 'Form responses 1'!$A$2:$A1001, "&gt;=2024-01-01", 'Form responses 1'!$A$2:$A1001, "&lt;=2024-03-31"),
    COUNTIFS('Form responses 1'!$F$2:$F1001, A77, 'Form responses 1'!$A$2:$A1001, "&gt;=2024-01-01", 'Form responses 1'!$A$2:$A1001, "&lt;=2024-03-31"),
    COUNTIFS('Form responses 1'!$G$2:$G1001, A77, 'Form responses 1'!$A$2:$A1001, "&gt;=2024-01-01", 'Form responses 1'!$A$2:$A1001, "&lt;=2024-03-31")
)
</f>
        <v>0</v>
      </c>
      <c r="J77" s="2">
        <f>SUM(
    COUNTIFS('Form responses 1'!$C$2:$C1001, A77, 'Form responses 1'!$A$2:$A1001, "&gt;=2024-04-01", 'Form responses 1'!$A$2:$A1001, "&lt;=2024-06-30"),
    COUNTIFS('Form responses 1'!$B$2:$B1001, A77, 'Form responses 1'!$A$2:$A1001, "&gt;=2024-04-01", 'Form responses 1'!$A$2:$A1001, "&lt;=2024-06-30"),
    COUNTIFS('Form responses 1'!$D$2:$D1001, A77, 'Form responses 1'!$A$2:$A1001, "&gt;=2024-04-01", 'Form responses 1'!$A$2:$A1001, "&lt;=2024-06-30"),
    COUNTIFS('Form responses 1'!$E$2:$E1001, A77, 'Form responses 1'!$A$2:$A1001, "&gt;=2024-04-01", 'Form responses 1'!$A$2:$A1001, "&lt;=2024-06-30"),
    COUNTIFS('Form responses 1'!$F$2:$F1001, A77, 'Form responses 1'!$A$2:$A1001, "&gt;=2024-04-01", 'Form responses 1'!$A$2:$A1001, "&lt;=2024-06-30"),
    COUNTIFS('Form responses 1'!$G$2:$G1001, A77, 'Form responses 1'!$A$2:$A1001, "&gt;=2024-04-01", 'Form responses 1'!$A$2:$A1001, "&lt;=2024-06-30")
)
</f>
        <v>0</v>
      </c>
      <c r="K77" s="2">
        <f>SUM(
    COUNTIFS('Form responses 1'!$C$2:$C1001, A77, 'Form responses 1'!$A$2:$A1001, "&gt;=2024-07-01", 'Form responses 1'!$A$2:$A1001, "&lt;=2024-09-30"),
    COUNTIFS('Form responses 1'!$B$2:$B1001, A77, 'Form responses 1'!$A$2:$A1001, "&gt;=2024-07-01", 'Form responses 1'!$A$2:$A1001, "&lt;=2024-09-30"),
    COUNTIFS('Form responses 1'!$D$2:$D1001, A77, 'Form responses 1'!$A$2:$A1001, "&gt;=2024-07-01", 'Form responses 1'!$A$2:$A1001, "&lt;=2024-09-30"),
    COUNTIFS('Form responses 1'!$E$2:$E1001, A77, 'Form responses 1'!$A$2:$A1001, "&gt;=2024-07-01", 'Form responses 1'!$A$2:$A1001, "&lt;=2024-09-30"),
    COUNTIFS('Form responses 1'!$F$2:$F1001, A77, 'Form responses 1'!$A$2:$A1001, "&gt;=2024-07-01", 'Form responses 1'!$A$2:$A1001, "&lt;=2024-09-30"),
    COUNTIFS('Form responses 1'!$G$2:$G1001, A77, 'Form responses 1'!$A$2:$A1001, "&gt;=2024-07-01", 'Form responses 1'!$A$2:$A1001, "&lt;=2024-09-30")
)
</f>
        <v>0</v>
      </c>
      <c r="L77" s="2">
        <f>SUM(
    COUNTIFS('Form responses 1'!$C$2:$C1001, A77, 'Form responses 1'!$A$2:$A1001, "&gt;=2024-10-01", 'Form responses 1'!$A$2:$A1001, "&lt;=2024-12-31"),
    COUNTIFS('Form responses 1'!$B$2:$B1001, A77, 'Form responses 1'!$A$2:$A1001, "&gt;=2024-10-01", 'Form responses 1'!$A$2:$A1001, "&lt;=2024-12-31"),
    COUNTIFS('Form responses 1'!$D$2:$D1001, A77, 'Form responses 1'!$A$2:$A1001, "&gt;=2024-10-01", 'Form responses 1'!$A$2:$A1001, "&lt;=2024-12-31"),
    COUNTIFS('Form responses 1'!$E$2:$E1001, A77, 'Form responses 1'!$A$2:$A1001, "&gt;=2024-10-01", 'Form responses 1'!$A$2:$A1001, "&lt;=2024-12-31"),
    COUNTIFS('Form responses 1'!$F$2:$F1001, A77, 'Form responses 1'!$A$2:$A1001, "&gt;=2024-10-01", 'Form responses 1'!$A$2:$A1001, "&lt;=2024-12-31"),
    COUNTIFS('Form responses 1'!$G$2:$G1001, A77, 'Form responses 1'!$A$2:$A1001, "&gt;=2024-10-01", 'Form responses 1'!$A$2:$A1001, "&lt;=2024-12-31")
)
</f>
        <v>0</v>
      </c>
      <c r="M77" s="2">
        <f>SUM(
    COUNTIFS('Form responses 1'!$C$2:$C1001, A77, 'Form responses 1'!$A$2:$A1001, "&gt;=2025-01-01", 'Form responses 1'!$A$2:$A1001, "&lt;=2025-03-31"),
    COUNTIFS('Form responses 1'!$B$2:$B1001, A77, 'Form responses 1'!$A$2:$A1001, "&gt;=2025-01-01", 'Form responses 1'!$A$2:$A1001, "&lt;=2025-03-31"),
    COUNTIFS('Form responses 1'!$D$2:$D1001, A77, 'Form responses 1'!$A$2:$A1001, "&gt;=2025-01-01", 'Form responses 1'!$A$2:$A1001, "&lt;=2025-03-31"),
    COUNTIFS('Form responses 1'!$E$2:$E1001, A77, 'Form responses 1'!$A$2:$A1001, "&gt;=2025-01-01", 'Form responses 1'!$A$2:$A1001, "&lt;=2025-03-31"),
    COUNTIFS('Form responses 1'!$F$2:$F1001, A77, 'Form responses 1'!$A$2:$A1001, "&gt;=2025-01-01", 'Form responses 1'!$A$2:$A1001, "&lt;=2025-03-31"),
    COUNTIFS('Form responses 1'!$G$2:$G1001, A77, 'Form responses 1'!$A$2:$A1001, "&gt;=2025-01-01", 'Form responses 1'!$A$2:$A1001, "&lt;=2025-03-31")
)
</f>
        <v>0</v>
      </c>
      <c r="N77" s="2">
        <f>SUM(
    COUNTIFS('Form responses 1'!$C$2:$C1001, A77, 'Form responses 1'!$A$2:$A1001, "&gt;=2025-04-01", 'Form responses 1'!$A$2:$A1001, "&lt;2025-07-01"),
    COUNTIFS('Form responses 1'!$B$2:$B1001, A77, 'Form responses 1'!$A$2:$A1001, "&gt;=2025-04-01", 'Form responses 1'!$A$2:$A1001, "&lt;2025-07-01"),
    COUNTIFS('Form responses 1'!$D$2:$D1001, A77, 'Form responses 1'!$A$2:$A1001, "&gt;=2025-04-01", 'Form responses 1'!$A$2:$A1001, "&lt;2025-07-01"),
    COUNTIFS('Form responses 1'!$E$2:$E1001, A77, 'Form responses 1'!$A$2:$A1001, "&gt;=2025-04-01", 'Form responses 1'!$A$2:$A1001, "&lt;2025-07-01"),
    COUNTIFS('Form responses 1'!$F$2:$F1001, A77, 'Form responses 1'!$A$2:$A1001, "&gt;=2025-04-01", 'Form responses 1'!$A$2:$A1001, "&lt;2025-07-01"),
    COUNTIFS('Form responses 1'!$G$2:$G1001, A77, 'Form responses 1'!$A$2:$A1001, "&gt;=2025-04-01", 'Form responses 1'!$A$2:$A1001, "&lt;2025-07-01")
)
</f>
        <v>0</v>
      </c>
      <c r="O77" s="2">
        <f>SUM(
    COUNTIFS('Form responses 1'!$C$2:$C1001, A77, 'Form responses 1'!$A$2:$A1001, "&gt;=2025-07-01", 'Form responses 1'!$A$2:$A1001, "&lt;=2025-09-30"),
    COUNTIFS('Form responses 1'!$B$2:$B1001, A77, 'Form responses 1'!$A$2:$A1001, "&gt;=2025-07-01", 'Form responses 1'!$A$2:$A1001, "&lt;=2025-09-30"),
    COUNTIFS('Form responses 1'!$D$2:$D1001, A77, 'Form responses 1'!$A$2:$A1001, "&gt;=2025-07-01", 'Form responses 1'!$A$2:$A1001, "&lt;=2025-09-30"),
    COUNTIFS('Form responses 1'!$E$2:$E1001, A77, 'Form responses 1'!$A$2:$A1001, "&gt;=2025-07-01", 'Form responses 1'!$A$2:$A1001, "&lt;=2025-09-30"),
    COUNTIFS('Form responses 1'!$F$2:$F1001, A77, 'Form responses 1'!$A$2:$A1001, "&gt;=2025-07-01", 'Form responses 1'!$A$2:$A1001, "&lt;=2025-09-30"),
    COUNTIFS('Form responses 1'!$G$2:$G1001, A77, 'Form responses 1'!$A$2:$A1001, "&gt;=2025-07-01", 'Form responses 1'!$A$2:$A1001, "&lt;=2025-09-30")
)
</f>
        <v>0</v>
      </c>
      <c r="P77" s="2">
        <f>SUM(
    COUNTIFS('Form responses 1'!$C$2:$C1001, A77, 'Form responses 1'!$A$2:$A1001, "&gt;=2025-10-01", 'Form responses 1'!$A$2:$A1001, "&lt;=2025-12-31"),
    COUNTIFS('Form responses 1'!$B$2:$B1001, A77, 'Form responses 1'!$A$2:$A1001, "&gt;=2025-10-01", 'Form responses 1'!$A$2:$A1001, "&lt;=2025-12-31"),
    COUNTIFS('Form responses 1'!$D$2:$D1001, A77, 'Form responses 1'!$A$2:$A1001, "&gt;=2025-10-01", 'Form responses 1'!$A$2:$A1001, "&lt;=2025-12-31"),
    COUNTIFS('Form responses 1'!$E$2:$E1001, A77, 'Form responses 1'!$A$2:$A1001, "&gt;=2025-10-01", 'Form responses 1'!$A$2:$A1001, "&lt;=2025-12-31"),
    COUNTIFS('Form responses 1'!$F$2:$F1001, A77, 'Form responses 1'!$A$2:$A1001, "&gt;=2025-10-01", 'Form responses 1'!$A$2:$A1001, "&lt;=2025-12-31"),
    COUNTIFS('Form responses 1'!$G$2:$G1001, A77, 'Form responses 1'!$A$2:$A1001, "&gt;=2025-10-01", 'Form responses 1'!$A$2:$A1001, "&lt;=2025-12-31")
)
</f>
        <v>0</v>
      </c>
    </row>
    <row r="78">
      <c r="A78" s="3" t="str">
        <f>IFERROR(__xludf.DUMMYFUNCTION("""COMPUTED_VALUE"""),"Bruine nette")</f>
        <v>Bruine nette</v>
      </c>
      <c r="B78" s="2">
        <f>SUM(
    COUNTIFS('Form responses 1'!$C$2:$C1001, A78, 'Form responses 1'!$A$2:$A1001, "&gt;=2022-04-01", 'Form responses 1'!$A$2:$A1001, "&lt;=2022-06-30"),
    COUNTIFS('Form responses 1'!$B$2:$B1001, A78, 'Form responses 1'!$A$2:$A1001, "&gt;=2022-04-01", 'Form responses 1'!$A$2:$A1001, "&lt;=2022-06-30"),
    COUNTIFS('Form responses 1'!$D$2:$D1001, A78, 'Form responses 1'!$A$2:$A1001, "&gt;=2022-04-01", 'Form responses 1'!$A$2:$A1001, "&lt;=2022-06-30"),
    COUNTIFS('Form responses 1'!$E$2:$E1001, A78, 'Form responses 1'!$A$2:$A1001, "&gt;=2022-04-01", 'Form responses 1'!$A$2:$A1001, "&lt;=2022-06-30"),
    COUNTIFS('Form responses 1'!$F$2:$F1001, A78, 'Form responses 1'!$A$2:$A1001, "&gt;=2022-04-01", 'Form responses 1'!$A$2:$A1001, "&lt;=2022-06-30"),
    COUNTIFS('Form responses 1'!$G$2:$G1001, A78, 'Form responses 1'!$A$2:$A1001, "&gt;=2022-04-01", 'Form responses 1'!$A$2:$A1001, "&lt;=2022-06-30")
)
</f>
        <v>11</v>
      </c>
      <c r="C78" s="2">
        <f>SUM(
    COUNTIFS('Form responses 1'!$C$2:$C1001, A78, 'Form responses 1'!$A$2:$A1001, "&gt;=2022-07-01", 'Form responses 1'!$A$2:$A1001, "&lt;=2022-09-30"),
    COUNTIFS('Form responses 1'!$B$2:$B1001, A78, 'Form responses 1'!$A$2:$A1001, "&gt;=2022-07-01", 'Form responses 1'!$A$2:$A1001, "&lt;=2022-09-30"),
    COUNTIFS('Form responses 1'!$D$2:$D1001, A78, 'Form responses 1'!$A$2:$A1001, "&gt;=2022-07-01", 'Form responses 1'!$A$2:$A1001, "&lt;=2022-09-30"),
    COUNTIFS('Form responses 1'!$E$2:$E1001, A78, 'Form responses 1'!$A$2:$A1001, "&gt;=2022-07-01", 'Form responses 1'!$A$2:$A1001, "&lt;=2022-09-30"),
    COUNTIFS('Form responses 1'!$F$2:$F1001, A78, 'Form responses 1'!$A$2:$A1001, "&gt;=2022-07-01", 'Form responses 1'!$A$2:$A1001, "&lt;=2022-09-30"),
    COUNTIFS('Form responses 1'!$G$2:$G1001, A78, 'Form responses 1'!$A$2:$A1001, "&gt;=2022-07-01", 'Form responses 1'!$A$2:$A1001, "&lt;=2022-09-30")
)
</f>
        <v>2</v>
      </c>
      <c r="D78" s="2">
        <f>SUM(
    COUNTIFS('Form responses 1'!$C$2:$C1001, A78, 'Form responses 1'!$A$2:$A1001, "&gt;=2022-10-01", 'Form responses 1'!$A$2:$A1001, "&lt;=2022-12-31"),
    COUNTIFS('Form responses 1'!$B$2:$B1001, A78, 'Form responses 1'!$A$2:$A1001, "&gt;=2022-10-01", 'Form responses 1'!$A$2:$A1001, "&lt;=2022-12-31"),
    COUNTIFS('Form responses 1'!$D$2:$D1001, A78, 'Form responses 1'!$A$2:$A1001, "&gt;=2022-10-01", 'Form responses 1'!$A$2:$A1001, "&lt;=2022-12-31"),
    COUNTIFS('Form responses 1'!$E$2:$E1001, A78, 'Form responses 1'!$A$2:$A1001, "&gt;=2022-10-01", 'Form responses 1'!$A$2:$A1001, "&lt;=2022-12-31"),
    COUNTIFS('Form responses 1'!$F$2:$F1001, A78, 'Form responses 1'!$A$2:$A1001, "&gt;=2022-10-01", 'Form responses 1'!$A$2:$A1001, "&lt;=2022-12-31"),
    COUNTIFS('Form responses 1'!$G$2:$G1001, A78, 'Form responses 1'!$A$2:$A1001, "&gt;=2022-10-01", 'Form responses 1'!$A$2:$A1001, "&lt;=2022-12-31")
)
</f>
        <v>16</v>
      </c>
      <c r="E78" s="2">
        <f>SUM(
    COUNTIFS('Form responses 1'!$C$2:$C1001, A78, 'Form responses 1'!$A$2:$A1001, "&gt;=2023-01-01", 'Form responses 1'!$A$2:$A1001, "&lt;=2023-03-31"),
    COUNTIFS('Form responses 1'!$B$2:$B1001, A78, 'Form responses 1'!$A$2:$A1001, "&gt;=2023-01-01", 'Form responses 1'!$A$2:$A1001, "&lt;=2023-03-31"),
    COUNTIFS('Form responses 1'!$D$2:$D1001, A78, 'Form responses 1'!$A$2:$A1001, "&gt;=2023-01-01", 'Form responses 1'!$A$2:$A1001, "&lt;=2023-03-31"),
    COUNTIFS('Form responses 1'!$E$2:$E1001, A78, 'Form responses 1'!$A$2:$A1001, "&gt;=2023-01-01", 'Form responses 1'!$A$2:$A1001, "&lt;=2023-03-31"),
    COUNTIFS('Form responses 1'!$F$2:$F1001, A78, 'Form responses 1'!$A$2:$A1001, "&gt;=2023-01-01", 'Form responses 1'!$A$2:$A1001, "&lt;=2023-03-31"),
    COUNTIFS('Form responses 1'!$G$2:$G1001, A78, 'Form responses 1'!$A$2:$A1001, "&gt;=2023-01-01", 'Form responses 1'!$A$2:$A1001, "&lt;=2023-03-31")
)
</f>
        <v>12</v>
      </c>
      <c r="F78" s="2">
        <f>SUM(
    COUNTIFS('Form responses 1'!$C$2:$C1001, A78, 'Form responses 1'!$A$2:$A1001, "&gt;=2023-04-01", 'Form responses 1'!$A$2:$A1001, "&lt;=2023-06-30"),
    COUNTIFS('Form responses 1'!$B$2:$B1001, A78, 'Form responses 1'!$A$2:$A1001, "&gt;=2023-04-01", 'Form responses 1'!$A$2:$A1001, "&lt;=2023-06-30"),
    COUNTIFS('Form responses 1'!$D$2:$D1001, A78, 'Form responses 1'!$A$2:$A1001, "&gt;=2023-04-01", 'Form responses 1'!$A$2:$A1001, "&lt;=2023-06-30"),
    COUNTIFS('Form responses 1'!$E$2:$E1001, A78, 'Form responses 1'!$A$2:$A1001, "&gt;=2023-04-01", 'Form responses 1'!$A$2:$A1001, "&lt;=2023-06-30"),
    COUNTIFS('Form responses 1'!$F$2:$F1001, A78, 'Form responses 1'!$A$2:$A1001, "&gt;=2023-04-01", 'Form responses 1'!$A$2:$A1001, "&lt;=2023-06-30"),
    COUNTIFS('Form responses 1'!$G$2:$G1001, A78, 'Form responses 1'!$A$2:$A1001, "&gt;=2023-04-01", 'Form responses 1'!$A$2:$A1001, "&lt;=2023-06-30")
)
</f>
        <v>11</v>
      </c>
      <c r="G78" s="2">
        <f>SUM(
    COUNTIFS('Form responses 1'!$C$2:$C1001, A78, 'Form responses 1'!$A$2:$A1001, "&gt;=2023-07-01", 'Form responses 1'!$A$2:$A1001, "&lt;=2023-09-30"),
    COUNTIFS('Form responses 1'!$B$2:$B1001, A78, 'Form responses 1'!$A$2:$A1001, "&gt;=2023-07-01", 'Form responses 1'!$A$2:$A1001, "&lt;=2023-09-30"),
    COUNTIFS('Form responses 1'!$D$2:$D1001, A78, 'Form responses 1'!$A$2:$A1001, "&gt;=2023-07-01", 'Form responses 1'!$A$2:$A1001, "&lt;=2023-09-30"),
    COUNTIFS('Form responses 1'!$E$2:$E1001, A78, 'Form responses 1'!$A$2:$A1001, "&gt;=2023-07-01", 'Form responses 1'!$A$2:$A1001, "&lt;=2023-09-30"),
    COUNTIFS('Form responses 1'!$F$2:$F1001, A78, 'Form responses 1'!$A$2:$A1001, "&gt;=2023-07-01", 'Form responses 1'!$A$2:$A1001, "&lt;=2023-09-30"),
    COUNTIFS('Form responses 1'!$G$2:$G1001, A78, 'Form responses 1'!$A$2:$A1001, "&gt;=2023-07-01", 'Form responses 1'!$A$2:$A1001, "&lt;=2023-09-30")
)
</f>
        <v>10</v>
      </c>
      <c r="H78" s="2">
        <f>SUM(
    COUNTIFS('Form responses 1'!$C$2:$C1001, A78, 'Form responses 1'!$A$2:$A1001, "&gt;=2023-10-01", 'Form responses 1'!$A$2:$A1001, "&lt;=2023-12-31"),
    COUNTIFS('Form responses 1'!$B$2:$B1001, A78, 'Form responses 1'!$A$2:$A1001, "&gt;=2023-10-01", 'Form responses 1'!$A$2:$A1001, "&lt;=2023-12-31"),
    COUNTIFS('Form responses 1'!$D$2:$D1001, A78, 'Form responses 1'!$A$2:$A1001, "&gt;=2023-10-01", 'Form responses 1'!$A$2:$A1001, "&lt;=2023-12-31"),
    COUNTIFS('Form responses 1'!$E$2:$E1001, A78, 'Form responses 1'!$A$2:$A1001, "&gt;=2023-10-01", 'Form responses 1'!$A$2:$A1001, "&lt;=2023-12-31"),
    COUNTIFS('Form responses 1'!$F$2:$F1001, A78, 'Form responses 1'!$A$2:$A1001, "&gt;=2023-10-01", 'Form responses 1'!$A$2:$A1001, "&lt;=2023-12-31"),
    COUNTIFS('Form responses 1'!$G$2:$G1001, A78, 'Form responses 1'!$A$2:$A1001, "&gt;=2023-10-01", 'Form responses 1'!$A$2:$A1001, "&lt;=2023-12-31")
)
</f>
        <v>22</v>
      </c>
      <c r="I78" s="2">
        <f>SUM(
    COUNTIFS('Form responses 1'!$C$2:$C1001, A78, 'Form responses 1'!$A$2:$A1001, "&gt;=2024-01-01", 'Form responses 1'!$A$2:$A1001, "&lt;=2024-03-31"),
    COUNTIFS('Form responses 1'!$B$2:$B1001, A78, 'Form responses 1'!$A$2:$A1001, "&gt;=2024-01-01", 'Form responses 1'!$A$2:$A1001, "&lt;=2024-03-31"),
    COUNTIFS('Form responses 1'!$D$2:$D1001, A78, 'Form responses 1'!$A$2:$A1001, "&gt;=2024-01-01", 'Form responses 1'!$A$2:$A1001, "&lt;=2024-03-31"),
    COUNTIFS('Form responses 1'!$E$2:$E1001, A78, 'Form responses 1'!$A$2:$A1001, "&gt;=2024-01-01", 'Form responses 1'!$A$2:$A1001, "&lt;=2024-03-31"),
    COUNTIFS('Form responses 1'!$F$2:$F1001, A78, 'Form responses 1'!$A$2:$A1001, "&gt;=2024-01-01", 'Form responses 1'!$A$2:$A1001, "&lt;=2024-03-31"),
    COUNTIFS('Form responses 1'!$G$2:$G1001, A78, 'Form responses 1'!$A$2:$A1001, "&gt;=2024-01-01", 'Form responses 1'!$A$2:$A1001, "&lt;=2024-03-31")
)
</f>
        <v>13</v>
      </c>
      <c r="J78" s="2">
        <f>SUM(
    COUNTIFS('Form responses 1'!$C$2:$C1001, A78, 'Form responses 1'!$A$2:$A1001, "&gt;=2024-04-01", 'Form responses 1'!$A$2:$A1001, "&lt;=2024-06-30"),
    COUNTIFS('Form responses 1'!$B$2:$B1001, A78, 'Form responses 1'!$A$2:$A1001, "&gt;=2024-04-01", 'Form responses 1'!$A$2:$A1001, "&lt;=2024-06-30"),
    COUNTIFS('Form responses 1'!$D$2:$D1001, A78, 'Form responses 1'!$A$2:$A1001, "&gt;=2024-04-01", 'Form responses 1'!$A$2:$A1001, "&lt;=2024-06-30"),
    COUNTIFS('Form responses 1'!$E$2:$E1001, A78, 'Form responses 1'!$A$2:$A1001, "&gt;=2024-04-01", 'Form responses 1'!$A$2:$A1001, "&lt;=2024-06-30"),
    COUNTIFS('Form responses 1'!$F$2:$F1001, A78, 'Form responses 1'!$A$2:$A1001, "&gt;=2024-04-01", 'Form responses 1'!$A$2:$A1001, "&lt;=2024-06-30"),
    COUNTIFS('Form responses 1'!$G$2:$G1001, A78, 'Form responses 1'!$A$2:$A1001, "&gt;=2024-04-01", 'Form responses 1'!$A$2:$A1001, "&lt;=2024-06-30")
)
</f>
        <v>11</v>
      </c>
      <c r="K78" s="2">
        <f>SUM(
    COUNTIFS('Form responses 1'!$C$2:$C1001, A78, 'Form responses 1'!$A$2:$A1001, "&gt;=2024-07-01", 'Form responses 1'!$A$2:$A1001, "&lt;=2024-09-30"),
    COUNTIFS('Form responses 1'!$B$2:$B1001, A78, 'Form responses 1'!$A$2:$A1001, "&gt;=2024-07-01", 'Form responses 1'!$A$2:$A1001, "&lt;=2024-09-30"),
    COUNTIFS('Form responses 1'!$D$2:$D1001, A78, 'Form responses 1'!$A$2:$A1001, "&gt;=2024-07-01", 'Form responses 1'!$A$2:$A1001, "&lt;=2024-09-30"),
    COUNTIFS('Form responses 1'!$E$2:$E1001, A78, 'Form responses 1'!$A$2:$A1001, "&gt;=2024-07-01", 'Form responses 1'!$A$2:$A1001, "&lt;=2024-09-30"),
    COUNTIFS('Form responses 1'!$F$2:$F1001, A78, 'Form responses 1'!$A$2:$A1001, "&gt;=2024-07-01", 'Form responses 1'!$A$2:$A1001, "&lt;=2024-09-30"),
    COUNTIFS('Form responses 1'!$G$2:$G1001, A78, 'Form responses 1'!$A$2:$A1001, "&gt;=2024-07-01", 'Form responses 1'!$A$2:$A1001, "&lt;=2024-09-30")
)
</f>
        <v>6</v>
      </c>
      <c r="L78" s="2">
        <f>SUM(
    COUNTIFS('Form responses 1'!$C$2:$C1001, A78, 'Form responses 1'!$A$2:$A1001, "&gt;=2024-10-01", 'Form responses 1'!$A$2:$A1001, "&lt;=2024-12-31"),
    COUNTIFS('Form responses 1'!$B$2:$B1001, A78, 'Form responses 1'!$A$2:$A1001, "&gt;=2024-10-01", 'Form responses 1'!$A$2:$A1001, "&lt;=2024-12-31"),
    COUNTIFS('Form responses 1'!$D$2:$D1001, A78, 'Form responses 1'!$A$2:$A1001, "&gt;=2024-10-01", 'Form responses 1'!$A$2:$A1001, "&lt;=2024-12-31"),
    COUNTIFS('Form responses 1'!$E$2:$E1001, A78, 'Form responses 1'!$A$2:$A1001, "&gt;=2024-10-01", 'Form responses 1'!$A$2:$A1001, "&lt;=2024-12-31"),
    COUNTIFS('Form responses 1'!$F$2:$F1001, A78, 'Form responses 1'!$A$2:$A1001, "&gt;=2024-10-01", 'Form responses 1'!$A$2:$A1001, "&lt;=2024-12-31"),
    COUNTIFS('Form responses 1'!$G$2:$G1001, A78, 'Form responses 1'!$A$2:$A1001, "&gt;=2024-10-01", 'Form responses 1'!$A$2:$A1001, "&lt;=2024-12-31")
)
</f>
        <v>11</v>
      </c>
      <c r="M78" s="2">
        <f>SUM(
    COUNTIFS('Form responses 1'!$C$2:$C1001, A78, 'Form responses 1'!$A$2:$A1001, "&gt;=2025-01-01", 'Form responses 1'!$A$2:$A1001, "&lt;=2025-03-31"),
    COUNTIFS('Form responses 1'!$B$2:$B1001, A78, 'Form responses 1'!$A$2:$A1001, "&gt;=2025-01-01", 'Form responses 1'!$A$2:$A1001, "&lt;=2025-03-31"),
    COUNTIFS('Form responses 1'!$D$2:$D1001, A78, 'Form responses 1'!$A$2:$A1001, "&gt;=2025-01-01", 'Form responses 1'!$A$2:$A1001, "&lt;=2025-03-31"),
    COUNTIFS('Form responses 1'!$E$2:$E1001, A78, 'Form responses 1'!$A$2:$A1001, "&gt;=2025-01-01", 'Form responses 1'!$A$2:$A1001, "&lt;=2025-03-31"),
    COUNTIFS('Form responses 1'!$F$2:$F1001, A78, 'Form responses 1'!$A$2:$A1001, "&gt;=2025-01-01", 'Form responses 1'!$A$2:$A1001, "&lt;=2025-03-31"),
    COUNTIFS('Form responses 1'!$G$2:$G1001, A78, 'Form responses 1'!$A$2:$A1001, "&gt;=2025-01-01", 'Form responses 1'!$A$2:$A1001, "&lt;=2025-03-31")
)
</f>
        <v>6</v>
      </c>
      <c r="N78" s="2">
        <f>SUM(
    COUNTIFS('Form responses 1'!$C$2:$C1001, A78, 'Form responses 1'!$A$2:$A1001, "&gt;=2025-04-01", 'Form responses 1'!$A$2:$A1001, "&lt;2025-07-01"),
    COUNTIFS('Form responses 1'!$B$2:$B1001, A78, 'Form responses 1'!$A$2:$A1001, "&gt;=2025-04-01", 'Form responses 1'!$A$2:$A1001, "&lt;2025-07-01"),
    COUNTIFS('Form responses 1'!$D$2:$D1001, A78, 'Form responses 1'!$A$2:$A1001, "&gt;=2025-04-01", 'Form responses 1'!$A$2:$A1001, "&lt;2025-07-01"),
    COUNTIFS('Form responses 1'!$E$2:$E1001, A78, 'Form responses 1'!$A$2:$A1001, "&gt;=2025-04-01", 'Form responses 1'!$A$2:$A1001, "&lt;2025-07-01"),
    COUNTIFS('Form responses 1'!$F$2:$F1001, A78, 'Form responses 1'!$A$2:$A1001, "&gt;=2025-04-01", 'Form responses 1'!$A$2:$A1001, "&lt;2025-07-01"),
    COUNTIFS('Form responses 1'!$G$2:$G1001, A78, 'Form responses 1'!$A$2:$A1001, "&gt;=2025-04-01", 'Form responses 1'!$A$2:$A1001, "&lt;2025-07-01")
)
</f>
        <v>0</v>
      </c>
      <c r="O78" s="2">
        <f>SUM(
    COUNTIFS('Form responses 1'!$C$2:$C1001, A78, 'Form responses 1'!$A$2:$A1001, "&gt;=2025-07-01", 'Form responses 1'!$A$2:$A1001, "&lt;=2025-09-30"),
    COUNTIFS('Form responses 1'!$B$2:$B1001, A78, 'Form responses 1'!$A$2:$A1001, "&gt;=2025-07-01", 'Form responses 1'!$A$2:$A1001, "&lt;=2025-09-30"),
    COUNTIFS('Form responses 1'!$D$2:$D1001, A78, 'Form responses 1'!$A$2:$A1001, "&gt;=2025-07-01", 'Form responses 1'!$A$2:$A1001, "&lt;=2025-09-30"),
    COUNTIFS('Form responses 1'!$E$2:$E1001, A78, 'Form responses 1'!$A$2:$A1001, "&gt;=2025-07-01", 'Form responses 1'!$A$2:$A1001, "&lt;=2025-09-30"),
    COUNTIFS('Form responses 1'!$F$2:$F1001, A78, 'Form responses 1'!$A$2:$A1001, "&gt;=2025-07-01", 'Form responses 1'!$A$2:$A1001, "&lt;=2025-09-30"),
    COUNTIFS('Form responses 1'!$G$2:$G1001, A78, 'Form responses 1'!$A$2:$A1001, "&gt;=2025-07-01", 'Form responses 1'!$A$2:$A1001, "&lt;=2025-09-30")
)
</f>
        <v>0</v>
      </c>
      <c r="P78" s="2">
        <f>SUM(
    COUNTIFS('Form responses 1'!$C$2:$C1001, A78, 'Form responses 1'!$A$2:$A1001, "&gt;=2025-10-01", 'Form responses 1'!$A$2:$A1001, "&lt;=2025-12-31"),
    COUNTIFS('Form responses 1'!$B$2:$B1001, A78, 'Form responses 1'!$A$2:$A1001, "&gt;=2025-10-01", 'Form responses 1'!$A$2:$A1001, "&lt;=2025-12-31"),
    COUNTIFS('Form responses 1'!$D$2:$D1001, A78, 'Form responses 1'!$A$2:$A1001, "&gt;=2025-10-01", 'Form responses 1'!$A$2:$A1001, "&lt;=2025-12-31"),
    COUNTIFS('Form responses 1'!$E$2:$E1001, A78, 'Form responses 1'!$A$2:$A1001, "&gt;=2025-10-01", 'Form responses 1'!$A$2:$A1001, "&lt;=2025-12-31"),
    COUNTIFS('Form responses 1'!$F$2:$F1001, A78, 'Form responses 1'!$A$2:$A1001, "&gt;=2025-10-01", 'Form responses 1'!$A$2:$A1001, "&lt;=2025-12-31"),
    COUNTIFS('Form responses 1'!$G$2:$G1001, A78, 'Form responses 1'!$A$2:$A1001, "&gt;=2025-10-01", 'Form responses 1'!$A$2:$A1001, "&lt;=2025-12-31")
)
</f>
        <v>0</v>
      </c>
    </row>
    <row r="79">
      <c r="A79" s="3" t="str">
        <f>IFERROR(__xludf.DUMMYFUNCTION("""COMPUTED_VALUE"""),"Zwarte Clarks loafers")</f>
        <v>Zwarte Clarks loafers</v>
      </c>
      <c r="B79" s="2">
        <f>SUM(
    COUNTIFS('Form responses 1'!$C$2:$C1001, A79, 'Form responses 1'!$A$2:$A1001, "&gt;=2022-04-01", 'Form responses 1'!$A$2:$A1001, "&lt;=2022-06-30"),
    COUNTIFS('Form responses 1'!$B$2:$B1001, A79, 'Form responses 1'!$A$2:$A1001, "&gt;=2022-04-01", 'Form responses 1'!$A$2:$A1001, "&lt;=2022-06-30"),
    COUNTIFS('Form responses 1'!$D$2:$D1001, A79, 'Form responses 1'!$A$2:$A1001, "&gt;=2022-04-01", 'Form responses 1'!$A$2:$A1001, "&lt;=2022-06-30"),
    COUNTIFS('Form responses 1'!$E$2:$E1001, A79, 'Form responses 1'!$A$2:$A1001, "&gt;=2022-04-01", 'Form responses 1'!$A$2:$A1001, "&lt;=2022-06-30"),
    COUNTIFS('Form responses 1'!$F$2:$F1001, A79, 'Form responses 1'!$A$2:$A1001, "&gt;=2022-04-01", 'Form responses 1'!$A$2:$A1001, "&lt;=2022-06-30"),
    COUNTIFS('Form responses 1'!$G$2:$G1001, A79, 'Form responses 1'!$A$2:$A1001, "&gt;=2022-04-01", 'Form responses 1'!$A$2:$A1001, "&lt;=2022-06-30")
)
</f>
        <v>0</v>
      </c>
      <c r="C79" s="2">
        <f>SUM(
    COUNTIFS('Form responses 1'!$C$2:$C1001, A79, 'Form responses 1'!$A$2:$A1001, "&gt;=2022-07-01", 'Form responses 1'!$A$2:$A1001, "&lt;=2022-09-30"),
    COUNTIFS('Form responses 1'!$B$2:$B1001, A79, 'Form responses 1'!$A$2:$A1001, "&gt;=2022-07-01", 'Form responses 1'!$A$2:$A1001, "&lt;=2022-09-30"),
    COUNTIFS('Form responses 1'!$D$2:$D1001, A79, 'Form responses 1'!$A$2:$A1001, "&gt;=2022-07-01", 'Form responses 1'!$A$2:$A1001, "&lt;=2022-09-30"),
    COUNTIFS('Form responses 1'!$E$2:$E1001, A79, 'Form responses 1'!$A$2:$A1001, "&gt;=2022-07-01", 'Form responses 1'!$A$2:$A1001, "&lt;=2022-09-30"),
    COUNTIFS('Form responses 1'!$F$2:$F1001, A79, 'Form responses 1'!$A$2:$A1001, "&gt;=2022-07-01", 'Form responses 1'!$A$2:$A1001, "&lt;=2022-09-30"),
    COUNTIFS('Form responses 1'!$G$2:$G1001, A79, 'Form responses 1'!$A$2:$A1001, "&gt;=2022-07-01", 'Form responses 1'!$A$2:$A1001, "&lt;=2022-09-30")
)
</f>
        <v>0</v>
      </c>
      <c r="D79" s="2">
        <f>SUM(
    COUNTIFS('Form responses 1'!$C$2:$C1001, A79, 'Form responses 1'!$A$2:$A1001, "&gt;=2022-10-01", 'Form responses 1'!$A$2:$A1001, "&lt;=2022-12-31"),
    COUNTIFS('Form responses 1'!$B$2:$B1001, A79, 'Form responses 1'!$A$2:$A1001, "&gt;=2022-10-01", 'Form responses 1'!$A$2:$A1001, "&lt;=2022-12-31"),
    COUNTIFS('Form responses 1'!$D$2:$D1001, A79, 'Form responses 1'!$A$2:$A1001, "&gt;=2022-10-01", 'Form responses 1'!$A$2:$A1001, "&lt;=2022-12-31"),
    COUNTIFS('Form responses 1'!$E$2:$E1001, A79, 'Form responses 1'!$A$2:$A1001, "&gt;=2022-10-01", 'Form responses 1'!$A$2:$A1001, "&lt;=2022-12-31"),
    COUNTIFS('Form responses 1'!$F$2:$F1001, A79, 'Form responses 1'!$A$2:$A1001, "&gt;=2022-10-01", 'Form responses 1'!$A$2:$A1001, "&lt;=2022-12-31"),
    COUNTIFS('Form responses 1'!$G$2:$G1001, A79, 'Form responses 1'!$A$2:$A1001, "&gt;=2022-10-01", 'Form responses 1'!$A$2:$A1001, "&lt;=2022-12-31")
)
</f>
        <v>0</v>
      </c>
      <c r="E79" s="2">
        <f>SUM(
    COUNTIFS('Form responses 1'!$C$2:$C1001, A79, 'Form responses 1'!$A$2:$A1001, "&gt;=2023-01-01", 'Form responses 1'!$A$2:$A1001, "&lt;=2023-03-31"),
    COUNTIFS('Form responses 1'!$B$2:$B1001, A79, 'Form responses 1'!$A$2:$A1001, "&gt;=2023-01-01", 'Form responses 1'!$A$2:$A1001, "&lt;=2023-03-31"),
    COUNTIFS('Form responses 1'!$D$2:$D1001, A79, 'Form responses 1'!$A$2:$A1001, "&gt;=2023-01-01", 'Form responses 1'!$A$2:$A1001, "&lt;=2023-03-31"),
    COUNTIFS('Form responses 1'!$E$2:$E1001, A79, 'Form responses 1'!$A$2:$A1001, "&gt;=2023-01-01", 'Form responses 1'!$A$2:$A1001, "&lt;=2023-03-31"),
    COUNTIFS('Form responses 1'!$F$2:$F1001, A79, 'Form responses 1'!$A$2:$A1001, "&gt;=2023-01-01", 'Form responses 1'!$A$2:$A1001, "&lt;=2023-03-31"),
    COUNTIFS('Form responses 1'!$G$2:$G1001, A79, 'Form responses 1'!$A$2:$A1001, "&gt;=2023-01-01", 'Form responses 1'!$A$2:$A1001, "&lt;=2023-03-31")
)
</f>
        <v>0</v>
      </c>
      <c r="F79" s="2">
        <f>SUM(
    COUNTIFS('Form responses 1'!$C$2:$C1001, A79, 'Form responses 1'!$A$2:$A1001, "&gt;=2023-04-01", 'Form responses 1'!$A$2:$A1001, "&lt;=2023-06-30"),
    COUNTIFS('Form responses 1'!$B$2:$B1001, A79, 'Form responses 1'!$A$2:$A1001, "&gt;=2023-04-01", 'Form responses 1'!$A$2:$A1001, "&lt;=2023-06-30"),
    COUNTIFS('Form responses 1'!$D$2:$D1001, A79, 'Form responses 1'!$A$2:$A1001, "&gt;=2023-04-01", 'Form responses 1'!$A$2:$A1001, "&lt;=2023-06-30"),
    COUNTIFS('Form responses 1'!$E$2:$E1001, A79, 'Form responses 1'!$A$2:$A1001, "&gt;=2023-04-01", 'Form responses 1'!$A$2:$A1001, "&lt;=2023-06-30"),
    COUNTIFS('Form responses 1'!$F$2:$F1001, A79, 'Form responses 1'!$A$2:$A1001, "&gt;=2023-04-01", 'Form responses 1'!$A$2:$A1001, "&lt;=2023-06-30"),
    COUNTIFS('Form responses 1'!$G$2:$G1001, A79, 'Form responses 1'!$A$2:$A1001, "&gt;=2023-04-01", 'Form responses 1'!$A$2:$A1001, "&lt;=2023-06-30")
)
</f>
        <v>0</v>
      </c>
      <c r="G79" s="2">
        <f>SUM(
    COUNTIFS('Form responses 1'!$C$2:$C1001, A79, 'Form responses 1'!$A$2:$A1001, "&gt;=2023-07-01", 'Form responses 1'!$A$2:$A1001, "&lt;=2023-09-30"),
    COUNTIFS('Form responses 1'!$B$2:$B1001, A79, 'Form responses 1'!$A$2:$A1001, "&gt;=2023-07-01", 'Form responses 1'!$A$2:$A1001, "&lt;=2023-09-30"),
    COUNTIFS('Form responses 1'!$D$2:$D1001, A79, 'Form responses 1'!$A$2:$A1001, "&gt;=2023-07-01", 'Form responses 1'!$A$2:$A1001, "&lt;=2023-09-30"),
    COUNTIFS('Form responses 1'!$E$2:$E1001, A79, 'Form responses 1'!$A$2:$A1001, "&gt;=2023-07-01", 'Form responses 1'!$A$2:$A1001, "&lt;=2023-09-30"),
    COUNTIFS('Form responses 1'!$F$2:$F1001, A79, 'Form responses 1'!$A$2:$A1001, "&gt;=2023-07-01", 'Form responses 1'!$A$2:$A1001, "&lt;=2023-09-30"),
    COUNTIFS('Form responses 1'!$G$2:$G1001, A79, 'Form responses 1'!$A$2:$A1001, "&gt;=2023-07-01", 'Form responses 1'!$A$2:$A1001, "&lt;=2023-09-30")
)
</f>
        <v>6</v>
      </c>
      <c r="H79" s="2">
        <f>SUM(
    COUNTIFS('Form responses 1'!$C$2:$C1001, A79, 'Form responses 1'!$A$2:$A1001, "&gt;=2023-10-01", 'Form responses 1'!$A$2:$A1001, "&lt;=2023-12-31"),
    COUNTIFS('Form responses 1'!$B$2:$B1001, A79, 'Form responses 1'!$A$2:$A1001, "&gt;=2023-10-01", 'Form responses 1'!$A$2:$A1001, "&lt;=2023-12-31"),
    COUNTIFS('Form responses 1'!$D$2:$D1001, A79, 'Form responses 1'!$A$2:$A1001, "&gt;=2023-10-01", 'Form responses 1'!$A$2:$A1001, "&lt;=2023-12-31"),
    COUNTIFS('Form responses 1'!$E$2:$E1001, A79, 'Form responses 1'!$A$2:$A1001, "&gt;=2023-10-01", 'Form responses 1'!$A$2:$A1001, "&lt;=2023-12-31"),
    COUNTIFS('Form responses 1'!$F$2:$F1001, A79, 'Form responses 1'!$A$2:$A1001, "&gt;=2023-10-01", 'Form responses 1'!$A$2:$A1001, "&lt;=2023-12-31"),
    COUNTIFS('Form responses 1'!$G$2:$G1001, A79, 'Form responses 1'!$A$2:$A1001, "&gt;=2023-10-01", 'Form responses 1'!$A$2:$A1001, "&lt;=2023-12-31")
)
</f>
        <v>6</v>
      </c>
      <c r="I79" s="2">
        <f>SUM(
    COUNTIFS('Form responses 1'!$C$2:$C1001, A79, 'Form responses 1'!$A$2:$A1001, "&gt;=2024-01-01", 'Form responses 1'!$A$2:$A1001, "&lt;=2024-03-31"),
    COUNTIFS('Form responses 1'!$B$2:$B1001, A79, 'Form responses 1'!$A$2:$A1001, "&gt;=2024-01-01", 'Form responses 1'!$A$2:$A1001, "&lt;=2024-03-31"),
    COUNTIFS('Form responses 1'!$D$2:$D1001, A79, 'Form responses 1'!$A$2:$A1001, "&gt;=2024-01-01", 'Form responses 1'!$A$2:$A1001, "&lt;=2024-03-31"),
    COUNTIFS('Form responses 1'!$E$2:$E1001, A79, 'Form responses 1'!$A$2:$A1001, "&gt;=2024-01-01", 'Form responses 1'!$A$2:$A1001, "&lt;=2024-03-31"),
    COUNTIFS('Form responses 1'!$F$2:$F1001, A79, 'Form responses 1'!$A$2:$A1001, "&gt;=2024-01-01", 'Form responses 1'!$A$2:$A1001, "&lt;=2024-03-31"),
    COUNTIFS('Form responses 1'!$G$2:$G1001, A79, 'Form responses 1'!$A$2:$A1001, "&gt;=2024-01-01", 'Form responses 1'!$A$2:$A1001, "&lt;=2024-03-31")
)
</f>
        <v>29</v>
      </c>
      <c r="J79" s="2">
        <f>SUM(
    COUNTIFS('Form responses 1'!$C$2:$C1001, A79, 'Form responses 1'!$A$2:$A1001, "&gt;=2024-04-01", 'Form responses 1'!$A$2:$A1001, "&lt;=2024-06-30"),
    COUNTIFS('Form responses 1'!$B$2:$B1001, A79, 'Form responses 1'!$A$2:$A1001, "&gt;=2024-04-01", 'Form responses 1'!$A$2:$A1001, "&lt;=2024-06-30"),
    COUNTIFS('Form responses 1'!$D$2:$D1001, A79, 'Form responses 1'!$A$2:$A1001, "&gt;=2024-04-01", 'Form responses 1'!$A$2:$A1001, "&lt;=2024-06-30"),
    COUNTIFS('Form responses 1'!$E$2:$E1001, A79, 'Form responses 1'!$A$2:$A1001, "&gt;=2024-04-01", 'Form responses 1'!$A$2:$A1001, "&lt;=2024-06-30"),
    COUNTIFS('Form responses 1'!$F$2:$F1001, A79, 'Form responses 1'!$A$2:$A1001, "&gt;=2024-04-01", 'Form responses 1'!$A$2:$A1001, "&lt;=2024-06-30"),
    COUNTIFS('Form responses 1'!$G$2:$G1001, A79, 'Form responses 1'!$A$2:$A1001, "&gt;=2024-04-01", 'Form responses 1'!$A$2:$A1001, "&lt;=2024-06-30")
)
</f>
        <v>28</v>
      </c>
      <c r="K79" s="2">
        <f>SUM(
    COUNTIFS('Form responses 1'!$C$2:$C1001, A79, 'Form responses 1'!$A$2:$A1001, "&gt;=2024-07-01", 'Form responses 1'!$A$2:$A1001, "&lt;=2024-09-30"),
    COUNTIFS('Form responses 1'!$B$2:$B1001, A79, 'Form responses 1'!$A$2:$A1001, "&gt;=2024-07-01", 'Form responses 1'!$A$2:$A1001, "&lt;=2024-09-30"),
    COUNTIFS('Form responses 1'!$D$2:$D1001, A79, 'Form responses 1'!$A$2:$A1001, "&gt;=2024-07-01", 'Form responses 1'!$A$2:$A1001, "&lt;=2024-09-30"),
    COUNTIFS('Form responses 1'!$E$2:$E1001, A79, 'Form responses 1'!$A$2:$A1001, "&gt;=2024-07-01", 'Form responses 1'!$A$2:$A1001, "&lt;=2024-09-30"),
    COUNTIFS('Form responses 1'!$F$2:$F1001, A79, 'Form responses 1'!$A$2:$A1001, "&gt;=2024-07-01", 'Form responses 1'!$A$2:$A1001, "&lt;=2024-09-30"),
    COUNTIFS('Form responses 1'!$G$2:$G1001, A79, 'Form responses 1'!$A$2:$A1001, "&gt;=2024-07-01", 'Form responses 1'!$A$2:$A1001, "&lt;=2024-09-30")
)
</f>
        <v>16</v>
      </c>
      <c r="L79" s="2">
        <f>SUM(
    COUNTIFS('Form responses 1'!$C$2:$C1001, A79, 'Form responses 1'!$A$2:$A1001, "&gt;=2024-10-01", 'Form responses 1'!$A$2:$A1001, "&lt;=2024-12-31"),
    COUNTIFS('Form responses 1'!$B$2:$B1001, A79, 'Form responses 1'!$A$2:$A1001, "&gt;=2024-10-01", 'Form responses 1'!$A$2:$A1001, "&lt;=2024-12-31"),
    COUNTIFS('Form responses 1'!$D$2:$D1001, A79, 'Form responses 1'!$A$2:$A1001, "&gt;=2024-10-01", 'Form responses 1'!$A$2:$A1001, "&lt;=2024-12-31"),
    COUNTIFS('Form responses 1'!$E$2:$E1001, A79, 'Form responses 1'!$A$2:$A1001, "&gt;=2024-10-01", 'Form responses 1'!$A$2:$A1001, "&lt;=2024-12-31"),
    COUNTIFS('Form responses 1'!$F$2:$F1001, A79, 'Form responses 1'!$A$2:$A1001, "&gt;=2024-10-01", 'Form responses 1'!$A$2:$A1001, "&lt;=2024-12-31"),
    COUNTIFS('Form responses 1'!$G$2:$G1001, A79, 'Form responses 1'!$A$2:$A1001, "&gt;=2024-10-01", 'Form responses 1'!$A$2:$A1001, "&lt;=2024-12-31")
)
</f>
        <v>13</v>
      </c>
      <c r="M79" s="2">
        <f>SUM(
    COUNTIFS('Form responses 1'!$C$2:$C1001, A79, 'Form responses 1'!$A$2:$A1001, "&gt;=2025-01-01", 'Form responses 1'!$A$2:$A1001, "&lt;=2025-03-31"),
    COUNTIFS('Form responses 1'!$B$2:$B1001, A79, 'Form responses 1'!$A$2:$A1001, "&gt;=2025-01-01", 'Form responses 1'!$A$2:$A1001, "&lt;=2025-03-31"),
    COUNTIFS('Form responses 1'!$D$2:$D1001, A79, 'Form responses 1'!$A$2:$A1001, "&gt;=2025-01-01", 'Form responses 1'!$A$2:$A1001, "&lt;=2025-03-31"),
    COUNTIFS('Form responses 1'!$E$2:$E1001, A79, 'Form responses 1'!$A$2:$A1001, "&gt;=2025-01-01", 'Form responses 1'!$A$2:$A1001, "&lt;=2025-03-31"),
    COUNTIFS('Form responses 1'!$F$2:$F1001, A79, 'Form responses 1'!$A$2:$A1001, "&gt;=2025-01-01", 'Form responses 1'!$A$2:$A1001, "&lt;=2025-03-31"),
    COUNTIFS('Form responses 1'!$G$2:$G1001, A79, 'Form responses 1'!$A$2:$A1001, "&gt;=2025-01-01", 'Form responses 1'!$A$2:$A1001, "&lt;=2025-03-31")
)
</f>
        <v>14</v>
      </c>
      <c r="N79" s="2">
        <f>SUM(
    COUNTIFS('Form responses 1'!$C$2:$C1001, A79, 'Form responses 1'!$A$2:$A1001, "&gt;=2025-04-01", 'Form responses 1'!$A$2:$A1001, "&lt;2025-07-01"),
    COUNTIFS('Form responses 1'!$B$2:$B1001, A79, 'Form responses 1'!$A$2:$A1001, "&gt;=2025-04-01", 'Form responses 1'!$A$2:$A1001, "&lt;2025-07-01"),
    COUNTIFS('Form responses 1'!$D$2:$D1001, A79, 'Form responses 1'!$A$2:$A1001, "&gt;=2025-04-01", 'Form responses 1'!$A$2:$A1001, "&lt;2025-07-01"),
    COUNTIFS('Form responses 1'!$E$2:$E1001, A79, 'Form responses 1'!$A$2:$A1001, "&gt;=2025-04-01", 'Form responses 1'!$A$2:$A1001, "&lt;2025-07-01"),
    COUNTIFS('Form responses 1'!$F$2:$F1001, A79, 'Form responses 1'!$A$2:$A1001, "&gt;=2025-04-01", 'Form responses 1'!$A$2:$A1001, "&lt;2025-07-01"),
    COUNTIFS('Form responses 1'!$G$2:$G1001, A79, 'Form responses 1'!$A$2:$A1001, "&gt;=2025-04-01", 'Form responses 1'!$A$2:$A1001, "&lt;2025-07-01")
)
</f>
        <v>6</v>
      </c>
      <c r="O79" s="2">
        <f>SUM(
    COUNTIFS('Form responses 1'!$C$2:$C1001, A79, 'Form responses 1'!$A$2:$A1001, "&gt;=2025-07-01", 'Form responses 1'!$A$2:$A1001, "&lt;=2025-09-30"),
    COUNTIFS('Form responses 1'!$B$2:$B1001, A79, 'Form responses 1'!$A$2:$A1001, "&gt;=2025-07-01", 'Form responses 1'!$A$2:$A1001, "&lt;=2025-09-30"),
    COUNTIFS('Form responses 1'!$D$2:$D1001, A79, 'Form responses 1'!$A$2:$A1001, "&gt;=2025-07-01", 'Form responses 1'!$A$2:$A1001, "&lt;=2025-09-30"),
    COUNTIFS('Form responses 1'!$E$2:$E1001, A79, 'Form responses 1'!$A$2:$A1001, "&gt;=2025-07-01", 'Form responses 1'!$A$2:$A1001, "&lt;=2025-09-30"),
    COUNTIFS('Form responses 1'!$F$2:$F1001, A79, 'Form responses 1'!$A$2:$A1001, "&gt;=2025-07-01", 'Form responses 1'!$A$2:$A1001, "&lt;=2025-09-30"),
    COUNTIFS('Form responses 1'!$G$2:$G1001, A79, 'Form responses 1'!$A$2:$A1001, "&gt;=2025-07-01", 'Form responses 1'!$A$2:$A1001, "&lt;=2025-09-30")
)
</f>
        <v>3</v>
      </c>
      <c r="P79" s="2">
        <f>SUM(
    COUNTIFS('Form responses 1'!$C$2:$C1001, A79, 'Form responses 1'!$A$2:$A1001, "&gt;=2025-10-01", 'Form responses 1'!$A$2:$A1001, "&lt;=2025-12-31"),
    COUNTIFS('Form responses 1'!$B$2:$B1001, A79, 'Form responses 1'!$A$2:$A1001, "&gt;=2025-10-01", 'Form responses 1'!$A$2:$A1001, "&lt;=2025-12-31"),
    COUNTIFS('Form responses 1'!$D$2:$D1001, A79, 'Form responses 1'!$A$2:$A1001, "&gt;=2025-10-01", 'Form responses 1'!$A$2:$A1001, "&lt;=2025-12-31"),
    COUNTIFS('Form responses 1'!$E$2:$E1001, A79, 'Form responses 1'!$A$2:$A1001, "&gt;=2025-10-01", 'Form responses 1'!$A$2:$A1001, "&lt;=2025-12-31"),
    COUNTIFS('Form responses 1'!$F$2:$F1001, A79, 'Form responses 1'!$A$2:$A1001, "&gt;=2025-10-01", 'Form responses 1'!$A$2:$A1001, "&lt;=2025-12-31"),
    COUNTIFS('Form responses 1'!$G$2:$G1001, A79, 'Form responses 1'!$A$2:$A1001, "&gt;=2025-10-01", 'Form responses 1'!$A$2:$A1001, "&lt;=2025-12-31")
)
</f>
        <v>7</v>
      </c>
    </row>
    <row r="80">
      <c r="A80" s="6" t="str">
        <f>IFERROR(__xludf.DUMMYFUNCTION("""COMPUTED_VALUE"""),"Witte gympen")</f>
        <v>Witte gympen</v>
      </c>
      <c r="B80" s="2">
        <f>SUM(
    COUNTIFS('Form responses 1'!$C$2:$C1001, A80, 'Form responses 1'!$A$2:$A1001, "&gt;=2022-04-01", 'Form responses 1'!$A$2:$A1001, "&lt;=2022-06-30"),
    COUNTIFS('Form responses 1'!$B$2:$B1001, A80, 'Form responses 1'!$A$2:$A1001, "&gt;=2022-04-01", 'Form responses 1'!$A$2:$A1001, "&lt;=2022-06-30"),
    COUNTIFS('Form responses 1'!$D$2:$D1001, A80, 'Form responses 1'!$A$2:$A1001, "&gt;=2022-04-01", 'Form responses 1'!$A$2:$A1001, "&lt;=2022-06-30"),
    COUNTIFS('Form responses 1'!$E$2:$E1001, A80, 'Form responses 1'!$A$2:$A1001, "&gt;=2022-04-01", 'Form responses 1'!$A$2:$A1001, "&lt;=2022-06-30"),
    COUNTIFS('Form responses 1'!$F$2:$F1001, A80, 'Form responses 1'!$A$2:$A1001, "&gt;=2022-04-01", 'Form responses 1'!$A$2:$A1001, "&lt;=2022-06-30"),
    COUNTIFS('Form responses 1'!$G$2:$G1001, A80, 'Form responses 1'!$A$2:$A1001, "&gt;=2022-04-01", 'Form responses 1'!$A$2:$A1001, "&lt;=2022-06-30")
)
</f>
        <v>32</v>
      </c>
      <c r="C80" s="2">
        <f>SUM(
    COUNTIFS('Form responses 1'!$C$2:$C1001, A80, 'Form responses 1'!$A$2:$A1001, "&gt;=2022-07-01", 'Form responses 1'!$A$2:$A1001, "&lt;=2022-09-30"),
    COUNTIFS('Form responses 1'!$B$2:$B1001, A80, 'Form responses 1'!$A$2:$A1001, "&gt;=2022-07-01", 'Form responses 1'!$A$2:$A1001, "&lt;=2022-09-30"),
    COUNTIFS('Form responses 1'!$D$2:$D1001, A80, 'Form responses 1'!$A$2:$A1001, "&gt;=2022-07-01", 'Form responses 1'!$A$2:$A1001, "&lt;=2022-09-30"),
    COUNTIFS('Form responses 1'!$E$2:$E1001, A80, 'Form responses 1'!$A$2:$A1001, "&gt;=2022-07-01", 'Form responses 1'!$A$2:$A1001, "&lt;=2022-09-30"),
    COUNTIFS('Form responses 1'!$F$2:$F1001, A80, 'Form responses 1'!$A$2:$A1001, "&gt;=2022-07-01", 'Form responses 1'!$A$2:$A1001, "&lt;=2022-09-30"),
    COUNTIFS('Form responses 1'!$G$2:$G1001, A80, 'Form responses 1'!$A$2:$A1001, "&gt;=2022-07-01", 'Form responses 1'!$A$2:$A1001, "&lt;=2022-09-30")
)
</f>
        <v>45</v>
      </c>
      <c r="D80" s="2">
        <f>SUM(
    COUNTIFS('Form responses 1'!$C$2:$C1001, A80, 'Form responses 1'!$A$2:$A1001, "&gt;=2022-10-01", 'Form responses 1'!$A$2:$A1001, "&lt;=2022-12-31"),
    COUNTIFS('Form responses 1'!$B$2:$B1001, A80, 'Form responses 1'!$A$2:$A1001, "&gt;=2022-10-01", 'Form responses 1'!$A$2:$A1001, "&lt;=2022-12-31"),
    COUNTIFS('Form responses 1'!$D$2:$D1001, A80, 'Form responses 1'!$A$2:$A1001, "&gt;=2022-10-01", 'Form responses 1'!$A$2:$A1001, "&lt;=2022-12-31"),
    COUNTIFS('Form responses 1'!$E$2:$E1001, A80, 'Form responses 1'!$A$2:$A1001, "&gt;=2022-10-01", 'Form responses 1'!$A$2:$A1001, "&lt;=2022-12-31"),
    COUNTIFS('Form responses 1'!$F$2:$F1001, A80, 'Form responses 1'!$A$2:$A1001, "&gt;=2022-10-01", 'Form responses 1'!$A$2:$A1001, "&lt;=2022-12-31"),
    COUNTIFS('Form responses 1'!$G$2:$G1001, A80, 'Form responses 1'!$A$2:$A1001, "&gt;=2022-10-01", 'Form responses 1'!$A$2:$A1001, "&lt;=2022-12-31")
)
</f>
        <v>0</v>
      </c>
      <c r="E80" s="2">
        <f>SUM(
    COUNTIFS('Form responses 1'!$C$2:$C1001, A80, 'Form responses 1'!$A$2:$A1001, "&gt;=2023-01-01", 'Form responses 1'!$A$2:$A1001, "&lt;=2023-03-31"),
    COUNTIFS('Form responses 1'!$B$2:$B1001, A80, 'Form responses 1'!$A$2:$A1001, "&gt;=2023-01-01", 'Form responses 1'!$A$2:$A1001, "&lt;=2023-03-31"),
    COUNTIFS('Form responses 1'!$D$2:$D1001, A80, 'Form responses 1'!$A$2:$A1001, "&gt;=2023-01-01", 'Form responses 1'!$A$2:$A1001, "&lt;=2023-03-31"),
    COUNTIFS('Form responses 1'!$E$2:$E1001, A80, 'Form responses 1'!$A$2:$A1001, "&gt;=2023-01-01", 'Form responses 1'!$A$2:$A1001, "&lt;=2023-03-31"),
    COUNTIFS('Form responses 1'!$F$2:$F1001, A80, 'Form responses 1'!$A$2:$A1001, "&gt;=2023-01-01", 'Form responses 1'!$A$2:$A1001, "&lt;=2023-03-31"),
    COUNTIFS('Form responses 1'!$G$2:$G1001, A80, 'Form responses 1'!$A$2:$A1001, "&gt;=2023-01-01", 'Form responses 1'!$A$2:$A1001, "&lt;=2023-03-31")
)
</f>
        <v>11</v>
      </c>
      <c r="F80" s="2">
        <f>SUM(
    COUNTIFS('Form responses 1'!$C$2:$C1001, A80, 'Form responses 1'!$A$2:$A1001, "&gt;=2023-04-01", 'Form responses 1'!$A$2:$A1001, "&lt;=2023-06-30"),
    COUNTIFS('Form responses 1'!$B$2:$B1001, A80, 'Form responses 1'!$A$2:$A1001, "&gt;=2023-04-01", 'Form responses 1'!$A$2:$A1001, "&lt;=2023-06-30"),
    COUNTIFS('Form responses 1'!$D$2:$D1001, A80, 'Form responses 1'!$A$2:$A1001, "&gt;=2023-04-01", 'Form responses 1'!$A$2:$A1001, "&lt;=2023-06-30"),
    COUNTIFS('Form responses 1'!$E$2:$E1001, A80, 'Form responses 1'!$A$2:$A1001, "&gt;=2023-04-01", 'Form responses 1'!$A$2:$A1001, "&lt;=2023-06-30"),
    COUNTIFS('Form responses 1'!$F$2:$F1001, A80, 'Form responses 1'!$A$2:$A1001, "&gt;=2023-04-01", 'Form responses 1'!$A$2:$A1001, "&lt;=2023-06-30"),
    COUNTIFS('Form responses 1'!$G$2:$G1001, A80, 'Form responses 1'!$A$2:$A1001, "&gt;=2023-04-01", 'Form responses 1'!$A$2:$A1001, "&lt;=2023-06-30")
)
</f>
        <v>36</v>
      </c>
      <c r="G80" s="2">
        <f>SUM(
    COUNTIFS('Form responses 1'!$C$2:$C1001, A80, 'Form responses 1'!$A$2:$A1001, "&gt;=2023-07-01", 'Form responses 1'!$A$2:$A1001, "&lt;=2023-09-30"),
    COUNTIFS('Form responses 1'!$B$2:$B1001, A80, 'Form responses 1'!$A$2:$A1001, "&gt;=2023-07-01", 'Form responses 1'!$A$2:$A1001, "&lt;=2023-09-30"),
    COUNTIFS('Form responses 1'!$D$2:$D1001, A80, 'Form responses 1'!$A$2:$A1001, "&gt;=2023-07-01", 'Form responses 1'!$A$2:$A1001, "&lt;=2023-09-30"),
    COUNTIFS('Form responses 1'!$E$2:$E1001, A80, 'Form responses 1'!$A$2:$A1001, "&gt;=2023-07-01", 'Form responses 1'!$A$2:$A1001, "&lt;=2023-09-30"),
    COUNTIFS('Form responses 1'!$F$2:$F1001, A80, 'Form responses 1'!$A$2:$A1001, "&gt;=2023-07-01", 'Form responses 1'!$A$2:$A1001, "&lt;=2023-09-30"),
    COUNTIFS('Form responses 1'!$G$2:$G1001, A80, 'Form responses 1'!$A$2:$A1001, "&gt;=2023-07-01", 'Form responses 1'!$A$2:$A1001, "&lt;=2023-09-30")
)
</f>
        <v>4</v>
      </c>
      <c r="H80" s="2">
        <f>SUM(
    COUNTIFS('Form responses 1'!$C$2:$C1001, A80, 'Form responses 1'!$A$2:$A1001, "&gt;=2023-10-01", 'Form responses 1'!$A$2:$A1001, "&lt;=2023-12-31"),
    COUNTIFS('Form responses 1'!$B$2:$B1001, A80, 'Form responses 1'!$A$2:$A1001, "&gt;=2023-10-01", 'Form responses 1'!$A$2:$A1001, "&lt;=2023-12-31"),
    COUNTIFS('Form responses 1'!$D$2:$D1001, A80, 'Form responses 1'!$A$2:$A1001, "&gt;=2023-10-01", 'Form responses 1'!$A$2:$A1001, "&lt;=2023-12-31"),
    COUNTIFS('Form responses 1'!$E$2:$E1001, A80, 'Form responses 1'!$A$2:$A1001, "&gt;=2023-10-01", 'Form responses 1'!$A$2:$A1001, "&lt;=2023-12-31"),
    COUNTIFS('Form responses 1'!$F$2:$F1001, A80, 'Form responses 1'!$A$2:$A1001, "&gt;=2023-10-01", 'Form responses 1'!$A$2:$A1001, "&lt;=2023-12-31"),
    COUNTIFS('Form responses 1'!$G$2:$G1001, A80, 'Form responses 1'!$A$2:$A1001, "&gt;=2023-10-01", 'Form responses 1'!$A$2:$A1001, "&lt;=2023-12-31")
)
</f>
        <v>0</v>
      </c>
      <c r="I80" s="2">
        <f>SUM(
    COUNTIFS('Form responses 1'!$C$2:$C1001, A80, 'Form responses 1'!$A$2:$A1001, "&gt;=2024-01-01", 'Form responses 1'!$A$2:$A1001, "&lt;=2024-03-31"),
    COUNTIFS('Form responses 1'!$B$2:$B1001, A80, 'Form responses 1'!$A$2:$A1001, "&gt;=2024-01-01", 'Form responses 1'!$A$2:$A1001, "&lt;=2024-03-31"),
    COUNTIFS('Form responses 1'!$D$2:$D1001, A80, 'Form responses 1'!$A$2:$A1001, "&gt;=2024-01-01", 'Form responses 1'!$A$2:$A1001, "&lt;=2024-03-31"),
    COUNTIFS('Form responses 1'!$E$2:$E1001, A80, 'Form responses 1'!$A$2:$A1001, "&gt;=2024-01-01", 'Form responses 1'!$A$2:$A1001, "&lt;=2024-03-31"),
    COUNTIFS('Form responses 1'!$F$2:$F1001, A80, 'Form responses 1'!$A$2:$A1001, "&gt;=2024-01-01", 'Form responses 1'!$A$2:$A1001, "&lt;=2024-03-31"),
    COUNTIFS('Form responses 1'!$G$2:$G1001, A80, 'Form responses 1'!$A$2:$A1001, "&gt;=2024-01-01", 'Form responses 1'!$A$2:$A1001, "&lt;=2024-03-31")
)
</f>
        <v>0</v>
      </c>
      <c r="J80" s="2">
        <f>SUM(
    COUNTIFS('Form responses 1'!$C$2:$C1001, A80, 'Form responses 1'!$A$2:$A1001, "&gt;=2024-04-01", 'Form responses 1'!$A$2:$A1001, "&lt;=2024-06-30"),
    COUNTIFS('Form responses 1'!$B$2:$B1001, A80, 'Form responses 1'!$A$2:$A1001, "&gt;=2024-04-01", 'Form responses 1'!$A$2:$A1001, "&lt;=2024-06-30"),
    COUNTIFS('Form responses 1'!$D$2:$D1001, A80, 'Form responses 1'!$A$2:$A1001, "&gt;=2024-04-01", 'Form responses 1'!$A$2:$A1001, "&lt;=2024-06-30"),
    COUNTIFS('Form responses 1'!$E$2:$E1001, A80, 'Form responses 1'!$A$2:$A1001, "&gt;=2024-04-01", 'Form responses 1'!$A$2:$A1001, "&lt;=2024-06-30"),
    COUNTIFS('Form responses 1'!$F$2:$F1001, A80, 'Form responses 1'!$A$2:$A1001, "&gt;=2024-04-01", 'Form responses 1'!$A$2:$A1001, "&lt;=2024-06-30"),
    COUNTIFS('Form responses 1'!$G$2:$G1001, A80, 'Form responses 1'!$A$2:$A1001, "&gt;=2024-04-01", 'Form responses 1'!$A$2:$A1001, "&lt;=2024-06-30")
)
</f>
        <v>0</v>
      </c>
      <c r="K80" s="2">
        <f>SUM(
    COUNTIFS('Form responses 1'!$C$2:$C1001, A80, 'Form responses 1'!$A$2:$A1001, "&gt;=2024-07-01", 'Form responses 1'!$A$2:$A1001, "&lt;=2024-09-30"),
    COUNTIFS('Form responses 1'!$B$2:$B1001, A80, 'Form responses 1'!$A$2:$A1001, "&gt;=2024-07-01", 'Form responses 1'!$A$2:$A1001, "&lt;=2024-09-30"),
    COUNTIFS('Form responses 1'!$D$2:$D1001, A80, 'Form responses 1'!$A$2:$A1001, "&gt;=2024-07-01", 'Form responses 1'!$A$2:$A1001, "&lt;=2024-09-30"),
    COUNTIFS('Form responses 1'!$E$2:$E1001, A80, 'Form responses 1'!$A$2:$A1001, "&gt;=2024-07-01", 'Form responses 1'!$A$2:$A1001, "&lt;=2024-09-30"),
    COUNTIFS('Form responses 1'!$F$2:$F1001, A80, 'Form responses 1'!$A$2:$A1001, "&gt;=2024-07-01", 'Form responses 1'!$A$2:$A1001, "&lt;=2024-09-30"),
    COUNTIFS('Form responses 1'!$G$2:$G1001, A80, 'Form responses 1'!$A$2:$A1001, "&gt;=2024-07-01", 'Form responses 1'!$A$2:$A1001, "&lt;=2024-09-30")
)
</f>
        <v>0</v>
      </c>
      <c r="L80" s="2">
        <f>SUM(
    COUNTIFS('Form responses 1'!$C$2:$C1001, A80, 'Form responses 1'!$A$2:$A1001, "&gt;=2024-10-01", 'Form responses 1'!$A$2:$A1001, "&lt;=2024-12-31"),
    COUNTIFS('Form responses 1'!$B$2:$B1001, A80, 'Form responses 1'!$A$2:$A1001, "&gt;=2024-10-01", 'Form responses 1'!$A$2:$A1001, "&lt;=2024-12-31"),
    COUNTIFS('Form responses 1'!$D$2:$D1001, A80, 'Form responses 1'!$A$2:$A1001, "&gt;=2024-10-01", 'Form responses 1'!$A$2:$A1001, "&lt;=2024-12-31"),
    COUNTIFS('Form responses 1'!$E$2:$E1001, A80, 'Form responses 1'!$A$2:$A1001, "&gt;=2024-10-01", 'Form responses 1'!$A$2:$A1001, "&lt;=2024-12-31"),
    COUNTIFS('Form responses 1'!$F$2:$F1001, A80, 'Form responses 1'!$A$2:$A1001, "&gt;=2024-10-01", 'Form responses 1'!$A$2:$A1001, "&lt;=2024-12-31"),
    COUNTIFS('Form responses 1'!$G$2:$G1001, A80, 'Form responses 1'!$A$2:$A1001, "&gt;=2024-10-01", 'Form responses 1'!$A$2:$A1001, "&lt;=2024-12-31")
)
</f>
        <v>0</v>
      </c>
      <c r="M80" s="2">
        <f>SUM(
    COUNTIFS('Form responses 1'!$C$2:$C1001, A80, 'Form responses 1'!$A$2:$A1001, "&gt;=2025-01-01", 'Form responses 1'!$A$2:$A1001, "&lt;=2025-03-31"),
    COUNTIFS('Form responses 1'!$B$2:$B1001, A80, 'Form responses 1'!$A$2:$A1001, "&gt;=2025-01-01", 'Form responses 1'!$A$2:$A1001, "&lt;=2025-03-31"),
    COUNTIFS('Form responses 1'!$D$2:$D1001, A80, 'Form responses 1'!$A$2:$A1001, "&gt;=2025-01-01", 'Form responses 1'!$A$2:$A1001, "&lt;=2025-03-31"),
    COUNTIFS('Form responses 1'!$E$2:$E1001, A80, 'Form responses 1'!$A$2:$A1001, "&gt;=2025-01-01", 'Form responses 1'!$A$2:$A1001, "&lt;=2025-03-31"),
    COUNTIFS('Form responses 1'!$F$2:$F1001, A80, 'Form responses 1'!$A$2:$A1001, "&gt;=2025-01-01", 'Form responses 1'!$A$2:$A1001, "&lt;=2025-03-31"),
    COUNTIFS('Form responses 1'!$G$2:$G1001, A80, 'Form responses 1'!$A$2:$A1001, "&gt;=2025-01-01", 'Form responses 1'!$A$2:$A1001, "&lt;=2025-03-31")
)
</f>
        <v>0</v>
      </c>
      <c r="N80" s="2">
        <f>SUM(
    COUNTIFS('Form responses 1'!$C$2:$C1001, A80, 'Form responses 1'!$A$2:$A1001, "&gt;=2025-04-01", 'Form responses 1'!$A$2:$A1001, "&lt;2025-07-01"),
    COUNTIFS('Form responses 1'!$B$2:$B1001, A80, 'Form responses 1'!$A$2:$A1001, "&gt;=2025-04-01", 'Form responses 1'!$A$2:$A1001, "&lt;2025-07-01"),
    COUNTIFS('Form responses 1'!$D$2:$D1001, A80, 'Form responses 1'!$A$2:$A1001, "&gt;=2025-04-01", 'Form responses 1'!$A$2:$A1001, "&lt;2025-07-01"),
    COUNTIFS('Form responses 1'!$E$2:$E1001, A80, 'Form responses 1'!$A$2:$A1001, "&gt;=2025-04-01", 'Form responses 1'!$A$2:$A1001, "&lt;2025-07-01"),
    COUNTIFS('Form responses 1'!$F$2:$F1001, A80, 'Form responses 1'!$A$2:$A1001, "&gt;=2025-04-01", 'Form responses 1'!$A$2:$A1001, "&lt;2025-07-01"),
    COUNTIFS('Form responses 1'!$G$2:$G1001, A80, 'Form responses 1'!$A$2:$A1001, "&gt;=2025-04-01", 'Form responses 1'!$A$2:$A1001, "&lt;2025-07-01")
)
</f>
        <v>0</v>
      </c>
      <c r="O80" s="2">
        <f>SUM(
    COUNTIFS('Form responses 1'!$C$2:$C1001, A80, 'Form responses 1'!$A$2:$A1001, "&gt;=2025-07-01", 'Form responses 1'!$A$2:$A1001, "&lt;=2025-09-30"),
    COUNTIFS('Form responses 1'!$B$2:$B1001, A80, 'Form responses 1'!$A$2:$A1001, "&gt;=2025-07-01", 'Form responses 1'!$A$2:$A1001, "&lt;=2025-09-30"),
    COUNTIFS('Form responses 1'!$D$2:$D1001, A80, 'Form responses 1'!$A$2:$A1001, "&gt;=2025-07-01", 'Form responses 1'!$A$2:$A1001, "&lt;=2025-09-30"),
    COUNTIFS('Form responses 1'!$E$2:$E1001, A80, 'Form responses 1'!$A$2:$A1001, "&gt;=2025-07-01", 'Form responses 1'!$A$2:$A1001, "&lt;=2025-09-30"),
    COUNTIFS('Form responses 1'!$F$2:$F1001, A80, 'Form responses 1'!$A$2:$A1001, "&gt;=2025-07-01", 'Form responses 1'!$A$2:$A1001, "&lt;=2025-09-30"),
    COUNTIFS('Form responses 1'!$G$2:$G1001, A80, 'Form responses 1'!$A$2:$A1001, "&gt;=2025-07-01", 'Form responses 1'!$A$2:$A1001, "&lt;=2025-09-30")
)
</f>
        <v>0</v>
      </c>
      <c r="P80" s="2">
        <f>SUM(
    COUNTIFS('Form responses 1'!$C$2:$C1001, A80, 'Form responses 1'!$A$2:$A1001, "&gt;=2025-10-01", 'Form responses 1'!$A$2:$A1001, "&lt;=2025-12-31"),
    COUNTIFS('Form responses 1'!$B$2:$B1001, A80, 'Form responses 1'!$A$2:$A1001, "&gt;=2025-10-01", 'Form responses 1'!$A$2:$A1001, "&lt;=2025-12-31"),
    COUNTIFS('Form responses 1'!$D$2:$D1001, A80, 'Form responses 1'!$A$2:$A1001, "&gt;=2025-10-01", 'Form responses 1'!$A$2:$A1001, "&lt;=2025-12-31"),
    COUNTIFS('Form responses 1'!$E$2:$E1001, A80, 'Form responses 1'!$A$2:$A1001, "&gt;=2025-10-01", 'Form responses 1'!$A$2:$A1001, "&lt;=2025-12-31"),
    COUNTIFS('Form responses 1'!$F$2:$F1001, A80, 'Form responses 1'!$A$2:$A1001, "&gt;=2025-10-01", 'Form responses 1'!$A$2:$A1001, "&lt;=2025-12-31"),
    COUNTIFS('Form responses 1'!$G$2:$G1001, A80, 'Form responses 1'!$A$2:$A1001, "&gt;=2025-10-01", 'Form responses 1'!$A$2:$A1001, "&lt;=2025-12-31")
)
</f>
        <v>0</v>
      </c>
    </row>
    <row r="81">
      <c r="A81" s="6" t="str">
        <f>IFERROR(__xludf.DUMMYFUNCTION("""COMPUTED_VALUE"""),"Witte fila schoenen")</f>
        <v>Witte fila schoenen</v>
      </c>
      <c r="B81" s="2">
        <f>SUM(
    COUNTIFS('Form responses 1'!$C$2:$C1001, A81, 'Form responses 1'!$A$2:$A1001, "&gt;=2022-04-01", 'Form responses 1'!$A$2:$A1001, "&lt;=2022-06-30"),
    COUNTIFS('Form responses 1'!$B$2:$B1001, A81, 'Form responses 1'!$A$2:$A1001, "&gt;=2022-04-01", 'Form responses 1'!$A$2:$A1001, "&lt;=2022-06-30"),
    COUNTIFS('Form responses 1'!$D$2:$D1001, A81, 'Form responses 1'!$A$2:$A1001, "&gt;=2022-04-01", 'Form responses 1'!$A$2:$A1001, "&lt;=2022-06-30"),
    COUNTIFS('Form responses 1'!$E$2:$E1001, A81, 'Form responses 1'!$A$2:$A1001, "&gt;=2022-04-01", 'Form responses 1'!$A$2:$A1001, "&lt;=2022-06-30"),
    COUNTIFS('Form responses 1'!$F$2:$F1001, A81, 'Form responses 1'!$A$2:$A1001, "&gt;=2022-04-01", 'Form responses 1'!$A$2:$A1001, "&lt;=2022-06-30"),
    COUNTIFS('Form responses 1'!$G$2:$G1001, A81, 'Form responses 1'!$A$2:$A1001, "&gt;=2022-04-01", 'Form responses 1'!$A$2:$A1001, "&lt;=2022-06-30")
)
</f>
        <v>0</v>
      </c>
      <c r="C81" s="2">
        <f>SUM(
    COUNTIFS('Form responses 1'!$C$2:$C1001, A81, 'Form responses 1'!$A$2:$A1001, "&gt;=2022-07-01", 'Form responses 1'!$A$2:$A1001, "&lt;=2022-09-30"),
    COUNTIFS('Form responses 1'!$B$2:$B1001, A81, 'Form responses 1'!$A$2:$A1001, "&gt;=2022-07-01", 'Form responses 1'!$A$2:$A1001, "&lt;=2022-09-30"),
    COUNTIFS('Form responses 1'!$D$2:$D1001, A81, 'Form responses 1'!$A$2:$A1001, "&gt;=2022-07-01", 'Form responses 1'!$A$2:$A1001, "&lt;=2022-09-30"),
    COUNTIFS('Form responses 1'!$E$2:$E1001, A81, 'Form responses 1'!$A$2:$A1001, "&gt;=2022-07-01", 'Form responses 1'!$A$2:$A1001, "&lt;=2022-09-30"),
    COUNTIFS('Form responses 1'!$F$2:$F1001, A81, 'Form responses 1'!$A$2:$A1001, "&gt;=2022-07-01", 'Form responses 1'!$A$2:$A1001, "&lt;=2022-09-30"),
    COUNTIFS('Form responses 1'!$G$2:$G1001, A81, 'Form responses 1'!$A$2:$A1001, "&gt;=2022-07-01", 'Form responses 1'!$A$2:$A1001, "&lt;=2022-09-30")
)
</f>
        <v>0</v>
      </c>
      <c r="D81" s="2">
        <f>SUM(
    COUNTIFS('Form responses 1'!$C$2:$C1001, A81, 'Form responses 1'!$A$2:$A1001, "&gt;=2022-10-01", 'Form responses 1'!$A$2:$A1001, "&lt;=2022-12-31"),
    COUNTIFS('Form responses 1'!$B$2:$B1001, A81, 'Form responses 1'!$A$2:$A1001, "&gt;=2022-10-01", 'Form responses 1'!$A$2:$A1001, "&lt;=2022-12-31"),
    COUNTIFS('Form responses 1'!$D$2:$D1001, A81, 'Form responses 1'!$A$2:$A1001, "&gt;=2022-10-01", 'Form responses 1'!$A$2:$A1001, "&lt;=2022-12-31"),
    COUNTIFS('Form responses 1'!$E$2:$E1001, A81, 'Form responses 1'!$A$2:$A1001, "&gt;=2022-10-01", 'Form responses 1'!$A$2:$A1001, "&lt;=2022-12-31"),
    COUNTIFS('Form responses 1'!$F$2:$F1001, A81, 'Form responses 1'!$A$2:$A1001, "&gt;=2022-10-01", 'Form responses 1'!$A$2:$A1001, "&lt;=2022-12-31"),
    COUNTIFS('Form responses 1'!$G$2:$G1001, A81, 'Form responses 1'!$A$2:$A1001, "&gt;=2022-10-01", 'Form responses 1'!$A$2:$A1001, "&lt;=2022-12-31")
)
</f>
        <v>0</v>
      </c>
      <c r="E81" s="2">
        <f>SUM(
    COUNTIFS('Form responses 1'!$C$2:$C1001, A81, 'Form responses 1'!$A$2:$A1001, "&gt;=2023-01-01", 'Form responses 1'!$A$2:$A1001, "&lt;=2023-03-31"),
    COUNTIFS('Form responses 1'!$B$2:$B1001, A81, 'Form responses 1'!$A$2:$A1001, "&gt;=2023-01-01", 'Form responses 1'!$A$2:$A1001, "&lt;=2023-03-31"),
    COUNTIFS('Form responses 1'!$D$2:$D1001, A81, 'Form responses 1'!$A$2:$A1001, "&gt;=2023-01-01", 'Form responses 1'!$A$2:$A1001, "&lt;=2023-03-31"),
    COUNTIFS('Form responses 1'!$E$2:$E1001, A81, 'Form responses 1'!$A$2:$A1001, "&gt;=2023-01-01", 'Form responses 1'!$A$2:$A1001, "&lt;=2023-03-31"),
    COUNTIFS('Form responses 1'!$F$2:$F1001, A81, 'Form responses 1'!$A$2:$A1001, "&gt;=2023-01-01", 'Form responses 1'!$A$2:$A1001, "&lt;=2023-03-31"),
    COUNTIFS('Form responses 1'!$G$2:$G1001, A81, 'Form responses 1'!$A$2:$A1001, "&gt;=2023-01-01", 'Form responses 1'!$A$2:$A1001, "&lt;=2023-03-31")
)
</f>
        <v>0</v>
      </c>
      <c r="F81" s="2">
        <f>SUM(
    COUNTIFS('Form responses 1'!$C$2:$C1001, A81, 'Form responses 1'!$A$2:$A1001, "&gt;=2023-04-01", 'Form responses 1'!$A$2:$A1001, "&lt;=2023-06-30"),
    COUNTIFS('Form responses 1'!$B$2:$B1001, A81, 'Form responses 1'!$A$2:$A1001, "&gt;=2023-04-01", 'Form responses 1'!$A$2:$A1001, "&lt;=2023-06-30"),
    COUNTIFS('Form responses 1'!$D$2:$D1001, A81, 'Form responses 1'!$A$2:$A1001, "&gt;=2023-04-01", 'Form responses 1'!$A$2:$A1001, "&lt;=2023-06-30"),
    COUNTIFS('Form responses 1'!$E$2:$E1001, A81, 'Form responses 1'!$A$2:$A1001, "&gt;=2023-04-01", 'Form responses 1'!$A$2:$A1001, "&lt;=2023-06-30"),
    COUNTIFS('Form responses 1'!$F$2:$F1001, A81, 'Form responses 1'!$A$2:$A1001, "&gt;=2023-04-01", 'Form responses 1'!$A$2:$A1001, "&lt;=2023-06-30"),
    COUNTIFS('Form responses 1'!$G$2:$G1001, A81, 'Form responses 1'!$A$2:$A1001, "&gt;=2023-04-01", 'Form responses 1'!$A$2:$A1001, "&lt;=2023-06-30")
)
</f>
        <v>0</v>
      </c>
      <c r="G81" s="2">
        <f>SUM(
    COUNTIFS('Form responses 1'!$C$2:$C1001, A81, 'Form responses 1'!$A$2:$A1001, "&gt;=2023-07-01", 'Form responses 1'!$A$2:$A1001, "&lt;=2023-09-30"),
    COUNTIFS('Form responses 1'!$B$2:$B1001, A81, 'Form responses 1'!$A$2:$A1001, "&gt;=2023-07-01", 'Form responses 1'!$A$2:$A1001, "&lt;=2023-09-30"),
    COUNTIFS('Form responses 1'!$D$2:$D1001, A81, 'Form responses 1'!$A$2:$A1001, "&gt;=2023-07-01", 'Form responses 1'!$A$2:$A1001, "&lt;=2023-09-30"),
    COUNTIFS('Form responses 1'!$E$2:$E1001, A81, 'Form responses 1'!$A$2:$A1001, "&gt;=2023-07-01", 'Form responses 1'!$A$2:$A1001, "&lt;=2023-09-30"),
    COUNTIFS('Form responses 1'!$F$2:$F1001, A81, 'Form responses 1'!$A$2:$A1001, "&gt;=2023-07-01", 'Form responses 1'!$A$2:$A1001, "&lt;=2023-09-30"),
    COUNTIFS('Form responses 1'!$G$2:$G1001, A81, 'Form responses 1'!$A$2:$A1001, "&gt;=2023-07-01", 'Form responses 1'!$A$2:$A1001, "&lt;=2023-09-30")
)
</f>
        <v>10</v>
      </c>
      <c r="H81" s="2">
        <f>SUM(
    COUNTIFS('Form responses 1'!$C$2:$C1001, A81, 'Form responses 1'!$A$2:$A1001, "&gt;=2023-10-01", 'Form responses 1'!$A$2:$A1001, "&lt;=2023-12-31"),
    COUNTIFS('Form responses 1'!$B$2:$B1001, A81, 'Form responses 1'!$A$2:$A1001, "&gt;=2023-10-01", 'Form responses 1'!$A$2:$A1001, "&lt;=2023-12-31"),
    COUNTIFS('Form responses 1'!$D$2:$D1001, A81, 'Form responses 1'!$A$2:$A1001, "&gt;=2023-10-01", 'Form responses 1'!$A$2:$A1001, "&lt;=2023-12-31"),
    COUNTIFS('Form responses 1'!$E$2:$E1001, A81, 'Form responses 1'!$A$2:$A1001, "&gt;=2023-10-01", 'Form responses 1'!$A$2:$A1001, "&lt;=2023-12-31"),
    COUNTIFS('Form responses 1'!$F$2:$F1001, A81, 'Form responses 1'!$A$2:$A1001, "&gt;=2023-10-01", 'Form responses 1'!$A$2:$A1001, "&lt;=2023-12-31"),
    COUNTIFS('Form responses 1'!$G$2:$G1001, A81, 'Form responses 1'!$A$2:$A1001, "&gt;=2023-10-01", 'Form responses 1'!$A$2:$A1001, "&lt;=2023-12-31")
)
</f>
        <v>1</v>
      </c>
      <c r="I81" s="2">
        <f>SUM(
    COUNTIFS('Form responses 1'!$C$2:$C1001, A81, 'Form responses 1'!$A$2:$A1001, "&gt;=2024-01-01", 'Form responses 1'!$A$2:$A1001, "&lt;=2024-03-31"),
    COUNTIFS('Form responses 1'!$B$2:$B1001, A81, 'Form responses 1'!$A$2:$A1001, "&gt;=2024-01-01", 'Form responses 1'!$A$2:$A1001, "&lt;=2024-03-31"),
    COUNTIFS('Form responses 1'!$D$2:$D1001, A81, 'Form responses 1'!$A$2:$A1001, "&gt;=2024-01-01", 'Form responses 1'!$A$2:$A1001, "&lt;=2024-03-31"),
    COUNTIFS('Form responses 1'!$E$2:$E1001, A81, 'Form responses 1'!$A$2:$A1001, "&gt;=2024-01-01", 'Form responses 1'!$A$2:$A1001, "&lt;=2024-03-31"),
    COUNTIFS('Form responses 1'!$F$2:$F1001, A81, 'Form responses 1'!$A$2:$A1001, "&gt;=2024-01-01", 'Form responses 1'!$A$2:$A1001, "&lt;=2024-03-31"),
    COUNTIFS('Form responses 1'!$G$2:$G1001, A81, 'Form responses 1'!$A$2:$A1001, "&gt;=2024-01-01", 'Form responses 1'!$A$2:$A1001, "&lt;=2024-03-31")
)
</f>
        <v>0</v>
      </c>
      <c r="J81" s="2">
        <f>SUM(
    COUNTIFS('Form responses 1'!$C$2:$C1001, A81, 'Form responses 1'!$A$2:$A1001, "&gt;=2024-04-01", 'Form responses 1'!$A$2:$A1001, "&lt;=2024-06-30"),
    COUNTIFS('Form responses 1'!$B$2:$B1001, A81, 'Form responses 1'!$A$2:$A1001, "&gt;=2024-04-01", 'Form responses 1'!$A$2:$A1001, "&lt;=2024-06-30"),
    COUNTIFS('Form responses 1'!$D$2:$D1001, A81, 'Form responses 1'!$A$2:$A1001, "&gt;=2024-04-01", 'Form responses 1'!$A$2:$A1001, "&lt;=2024-06-30"),
    COUNTIFS('Form responses 1'!$E$2:$E1001, A81, 'Form responses 1'!$A$2:$A1001, "&gt;=2024-04-01", 'Form responses 1'!$A$2:$A1001, "&lt;=2024-06-30"),
    COUNTIFS('Form responses 1'!$F$2:$F1001, A81, 'Form responses 1'!$A$2:$A1001, "&gt;=2024-04-01", 'Form responses 1'!$A$2:$A1001, "&lt;=2024-06-30"),
    COUNTIFS('Form responses 1'!$G$2:$G1001, A81, 'Form responses 1'!$A$2:$A1001, "&gt;=2024-04-01", 'Form responses 1'!$A$2:$A1001, "&lt;=2024-06-30")
)
</f>
        <v>0</v>
      </c>
      <c r="K81" s="2">
        <f>SUM(
    COUNTIFS('Form responses 1'!$C$2:$C1001, A81, 'Form responses 1'!$A$2:$A1001, "&gt;=2024-07-01", 'Form responses 1'!$A$2:$A1001, "&lt;=2024-09-30"),
    COUNTIFS('Form responses 1'!$B$2:$B1001, A81, 'Form responses 1'!$A$2:$A1001, "&gt;=2024-07-01", 'Form responses 1'!$A$2:$A1001, "&lt;=2024-09-30"),
    COUNTIFS('Form responses 1'!$D$2:$D1001, A81, 'Form responses 1'!$A$2:$A1001, "&gt;=2024-07-01", 'Form responses 1'!$A$2:$A1001, "&lt;=2024-09-30"),
    COUNTIFS('Form responses 1'!$E$2:$E1001, A81, 'Form responses 1'!$A$2:$A1001, "&gt;=2024-07-01", 'Form responses 1'!$A$2:$A1001, "&lt;=2024-09-30"),
    COUNTIFS('Form responses 1'!$F$2:$F1001, A81, 'Form responses 1'!$A$2:$A1001, "&gt;=2024-07-01", 'Form responses 1'!$A$2:$A1001, "&lt;=2024-09-30"),
    COUNTIFS('Form responses 1'!$G$2:$G1001, A81, 'Form responses 1'!$A$2:$A1001, "&gt;=2024-07-01", 'Form responses 1'!$A$2:$A1001, "&lt;=2024-09-30")
)
</f>
        <v>0</v>
      </c>
      <c r="L81" s="2">
        <f>SUM(
    COUNTIFS('Form responses 1'!$C$2:$C1001, A81, 'Form responses 1'!$A$2:$A1001, "&gt;=2024-10-01", 'Form responses 1'!$A$2:$A1001, "&lt;=2024-12-31"),
    COUNTIFS('Form responses 1'!$B$2:$B1001, A81, 'Form responses 1'!$A$2:$A1001, "&gt;=2024-10-01", 'Form responses 1'!$A$2:$A1001, "&lt;=2024-12-31"),
    COUNTIFS('Form responses 1'!$D$2:$D1001, A81, 'Form responses 1'!$A$2:$A1001, "&gt;=2024-10-01", 'Form responses 1'!$A$2:$A1001, "&lt;=2024-12-31"),
    COUNTIFS('Form responses 1'!$E$2:$E1001, A81, 'Form responses 1'!$A$2:$A1001, "&gt;=2024-10-01", 'Form responses 1'!$A$2:$A1001, "&lt;=2024-12-31"),
    COUNTIFS('Form responses 1'!$F$2:$F1001, A81, 'Form responses 1'!$A$2:$A1001, "&gt;=2024-10-01", 'Form responses 1'!$A$2:$A1001, "&lt;=2024-12-31"),
    COUNTIFS('Form responses 1'!$G$2:$G1001, A81, 'Form responses 1'!$A$2:$A1001, "&gt;=2024-10-01", 'Form responses 1'!$A$2:$A1001, "&lt;=2024-12-31")
)
</f>
        <v>0</v>
      </c>
      <c r="M81" s="2">
        <f>SUM(
    COUNTIFS('Form responses 1'!$C$2:$C1001, A81, 'Form responses 1'!$A$2:$A1001, "&gt;=2025-01-01", 'Form responses 1'!$A$2:$A1001, "&lt;=2025-03-31"),
    COUNTIFS('Form responses 1'!$B$2:$B1001, A81, 'Form responses 1'!$A$2:$A1001, "&gt;=2025-01-01", 'Form responses 1'!$A$2:$A1001, "&lt;=2025-03-31"),
    COUNTIFS('Form responses 1'!$D$2:$D1001, A81, 'Form responses 1'!$A$2:$A1001, "&gt;=2025-01-01", 'Form responses 1'!$A$2:$A1001, "&lt;=2025-03-31"),
    COUNTIFS('Form responses 1'!$E$2:$E1001, A81, 'Form responses 1'!$A$2:$A1001, "&gt;=2025-01-01", 'Form responses 1'!$A$2:$A1001, "&lt;=2025-03-31"),
    COUNTIFS('Form responses 1'!$F$2:$F1001, A81, 'Form responses 1'!$A$2:$A1001, "&gt;=2025-01-01", 'Form responses 1'!$A$2:$A1001, "&lt;=2025-03-31"),
    COUNTIFS('Form responses 1'!$G$2:$G1001, A81, 'Form responses 1'!$A$2:$A1001, "&gt;=2025-01-01", 'Form responses 1'!$A$2:$A1001, "&lt;=2025-03-31")
)
</f>
        <v>0</v>
      </c>
      <c r="N81" s="2">
        <f>SUM(
    COUNTIFS('Form responses 1'!$C$2:$C1001, A81, 'Form responses 1'!$A$2:$A1001, "&gt;=2025-04-01", 'Form responses 1'!$A$2:$A1001, "&lt;2025-07-01"),
    COUNTIFS('Form responses 1'!$B$2:$B1001, A81, 'Form responses 1'!$A$2:$A1001, "&gt;=2025-04-01", 'Form responses 1'!$A$2:$A1001, "&lt;2025-07-01"),
    COUNTIFS('Form responses 1'!$D$2:$D1001, A81, 'Form responses 1'!$A$2:$A1001, "&gt;=2025-04-01", 'Form responses 1'!$A$2:$A1001, "&lt;2025-07-01"),
    COUNTIFS('Form responses 1'!$E$2:$E1001, A81, 'Form responses 1'!$A$2:$A1001, "&gt;=2025-04-01", 'Form responses 1'!$A$2:$A1001, "&lt;2025-07-01"),
    COUNTIFS('Form responses 1'!$F$2:$F1001, A81, 'Form responses 1'!$A$2:$A1001, "&gt;=2025-04-01", 'Form responses 1'!$A$2:$A1001, "&lt;2025-07-01"),
    COUNTIFS('Form responses 1'!$G$2:$G1001, A81, 'Form responses 1'!$A$2:$A1001, "&gt;=2025-04-01", 'Form responses 1'!$A$2:$A1001, "&lt;2025-07-01")
)
</f>
        <v>0</v>
      </c>
      <c r="O81" s="2">
        <f>SUM(
    COUNTIFS('Form responses 1'!$C$2:$C1001, A81, 'Form responses 1'!$A$2:$A1001, "&gt;=2025-07-01", 'Form responses 1'!$A$2:$A1001, "&lt;=2025-09-30"),
    COUNTIFS('Form responses 1'!$B$2:$B1001, A81, 'Form responses 1'!$A$2:$A1001, "&gt;=2025-07-01", 'Form responses 1'!$A$2:$A1001, "&lt;=2025-09-30"),
    COUNTIFS('Form responses 1'!$D$2:$D1001, A81, 'Form responses 1'!$A$2:$A1001, "&gt;=2025-07-01", 'Form responses 1'!$A$2:$A1001, "&lt;=2025-09-30"),
    COUNTIFS('Form responses 1'!$E$2:$E1001, A81, 'Form responses 1'!$A$2:$A1001, "&gt;=2025-07-01", 'Form responses 1'!$A$2:$A1001, "&lt;=2025-09-30"),
    COUNTIFS('Form responses 1'!$F$2:$F1001, A81, 'Form responses 1'!$A$2:$A1001, "&gt;=2025-07-01", 'Form responses 1'!$A$2:$A1001, "&lt;=2025-09-30"),
    COUNTIFS('Form responses 1'!$G$2:$G1001, A81, 'Form responses 1'!$A$2:$A1001, "&gt;=2025-07-01", 'Form responses 1'!$A$2:$A1001, "&lt;=2025-09-30")
)
</f>
        <v>0</v>
      </c>
      <c r="P81" s="2">
        <f>SUM(
    COUNTIFS('Form responses 1'!$C$2:$C1001, A81, 'Form responses 1'!$A$2:$A1001, "&gt;=2025-10-01", 'Form responses 1'!$A$2:$A1001, "&lt;=2025-12-31"),
    COUNTIFS('Form responses 1'!$B$2:$B1001, A81, 'Form responses 1'!$A$2:$A1001, "&gt;=2025-10-01", 'Form responses 1'!$A$2:$A1001, "&lt;=2025-12-31"),
    COUNTIFS('Form responses 1'!$D$2:$D1001, A81, 'Form responses 1'!$A$2:$A1001, "&gt;=2025-10-01", 'Form responses 1'!$A$2:$A1001, "&lt;=2025-12-31"),
    COUNTIFS('Form responses 1'!$E$2:$E1001, A81, 'Form responses 1'!$A$2:$A1001, "&gt;=2025-10-01", 'Form responses 1'!$A$2:$A1001, "&lt;=2025-12-31"),
    COUNTIFS('Form responses 1'!$F$2:$F1001, A81, 'Form responses 1'!$A$2:$A1001, "&gt;=2025-10-01", 'Form responses 1'!$A$2:$A1001, "&lt;=2025-12-31"),
    COUNTIFS('Form responses 1'!$G$2:$G1001, A81, 'Form responses 1'!$A$2:$A1001, "&gt;=2025-10-01", 'Form responses 1'!$A$2:$A1001, "&lt;=2025-12-31")
)
</f>
        <v>0</v>
      </c>
    </row>
    <row r="82">
      <c r="A82" s="3" t="str">
        <f>IFERROR(__xludf.DUMMYFUNCTION("""COMPUTED_VALUE"""),"Beige fila schoenen")</f>
        <v>Beige fila schoenen</v>
      </c>
      <c r="B82" s="2">
        <f>SUM(
    COUNTIFS('Form responses 1'!$C$2:$C1001, A82, 'Form responses 1'!$A$2:$A1001, "&gt;=2022-04-01", 'Form responses 1'!$A$2:$A1001, "&lt;=2022-06-30"),
    COUNTIFS('Form responses 1'!$B$2:$B1001, A82, 'Form responses 1'!$A$2:$A1001, "&gt;=2022-04-01", 'Form responses 1'!$A$2:$A1001, "&lt;=2022-06-30"),
    COUNTIFS('Form responses 1'!$D$2:$D1001, A82, 'Form responses 1'!$A$2:$A1001, "&gt;=2022-04-01", 'Form responses 1'!$A$2:$A1001, "&lt;=2022-06-30"),
    COUNTIFS('Form responses 1'!$E$2:$E1001, A82, 'Form responses 1'!$A$2:$A1001, "&gt;=2022-04-01", 'Form responses 1'!$A$2:$A1001, "&lt;=2022-06-30"),
    COUNTIFS('Form responses 1'!$F$2:$F1001, A82, 'Form responses 1'!$A$2:$A1001, "&gt;=2022-04-01", 'Form responses 1'!$A$2:$A1001, "&lt;=2022-06-30"),
    COUNTIFS('Form responses 1'!$G$2:$G1001, A82, 'Form responses 1'!$A$2:$A1001, "&gt;=2022-04-01", 'Form responses 1'!$A$2:$A1001, "&lt;=2022-06-30")
)
</f>
        <v>0</v>
      </c>
      <c r="C82" s="2">
        <f>SUM(
    COUNTIFS('Form responses 1'!$C$2:$C1001, A82, 'Form responses 1'!$A$2:$A1001, "&gt;=2022-07-01", 'Form responses 1'!$A$2:$A1001, "&lt;=2022-09-30"),
    COUNTIFS('Form responses 1'!$B$2:$B1001, A82, 'Form responses 1'!$A$2:$A1001, "&gt;=2022-07-01", 'Form responses 1'!$A$2:$A1001, "&lt;=2022-09-30"),
    COUNTIFS('Form responses 1'!$D$2:$D1001, A82, 'Form responses 1'!$A$2:$A1001, "&gt;=2022-07-01", 'Form responses 1'!$A$2:$A1001, "&lt;=2022-09-30"),
    COUNTIFS('Form responses 1'!$E$2:$E1001, A82, 'Form responses 1'!$A$2:$A1001, "&gt;=2022-07-01", 'Form responses 1'!$A$2:$A1001, "&lt;=2022-09-30"),
    COUNTIFS('Form responses 1'!$F$2:$F1001, A82, 'Form responses 1'!$A$2:$A1001, "&gt;=2022-07-01", 'Form responses 1'!$A$2:$A1001, "&lt;=2022-09-30"),
    COUNTIFS('Form responses 1'!$G$2:$G1001, A82, 'Form responses 1'!$A$2:$A1001, "&gt;=2022-07-01", 'Form responses 1'!$A$2:$A1001, "&lt;=2022-09-30")
)
</f>
        <v>0</v>
      </c>
      <c r="D82" s="2">
        <f>SUM(
    COUNTIFS('Form responses 1'!$C$2:$C1001, A82, 'Form responses 1'!$A$2:$A1001, "&gt;=2022-10-01", 'Form responses 1'!$A$2:$A1001, "&lt;=2022-12-31"),
    COUNTIFS('Form responses 1'!$B$2:$B1001, A82, 'Form responses 1'!$A$2:$A1001, "&gt;=2022-10-01", 'Form responses 1'!$A$2:$A1001, "&lt;=2022-12-31"),
    COUNTIFS('Form responses 1'!$D$2:$D1001, A82, 'Form responses 1'!$A$2:$A1001, "&gt;=2022-10-01", 'Form responses 1'!$A$2:$A1001, "&lt;=2022-12-31"),
    COUNTIFS('Form responses 1'!$E$2:$E1001, A82, 'Form responses 1'!$A$2:$A1001, "&gt;=2022-10-01", 'Form responses 1'!$A$2:$A1001, "&lt;=2022-12-31"),
    COUNTIFS('Form responses 1'!$F$2:$F1001, A82, 'Form responses 1'!$A$2:$A1001, "&gt;=2022-10-01", 'Form responses 1'!$A$2:$A1001, "&lt;=2022-12-31"),
    COUNTIFS('Form responses 1'!$G$2:$G1001, A82, 'Form responses 1'!$A$2:$A1001, "&gt;=2022-10-01", 'Form responses 1'!$A$2:$A1001, "&lt;=2022-12-31")
)
</f>
        <v>0</v>
      </c>
      <c r="E82" s="2">
        <f>SUM(
    COUNTIFS('Form responses 1'!$C$2:$C1001, A82, 'Form responses 1'!$A$2:$A1001, "&gt;=2023-01-01", 'Form responses 1'!$A$2:$A1001, "&lt;=2023-03-31"),
    COUNTIFS('Form responses 1'!$B$2:$B1001, A82, 'Form responses 1'!$A$2:$A1001, "&gt;=2023-01-01", 'Form responses 1'!$A$2:$A1001, "&lt;=2023-03-31"),
    COUNTIFS('Form responses 1'!$D$2:$D1001, A82, 'Form responses 1'!$A$2:$A1001, "&gt;=2023-01-01", 'Form responses 1'!$A$2:$A1001, "&lt;=2023-03-31"),
    COUNTIFS('Form responses 1'!$E$2:$E1001, A82, 'Form responses 1'!$A$2:$A1001, "&gt;=2023-01-01", 'Form responses 1'!$A$2:$A1001, "&lt;=2023-03-31"),
    COUNTIFS('Form responses 1'!$F$2:$F1001, A82, 'Form responses 1'!$A$2:$A1001, "&gt;=2023-01-01", 'Form responses 1'!$A$2:$A1001, "&lt;=2023-03-31"),
    COUNTIFS('Form responses 1'!$G$2:$G1001, A82, 'Form responses 1'!$A$2:$A1001, "&gt;=2023-01-01", 'Form responses 1'!$A$2:$A1001, "&lt;=2023-03-31")
)
</f>
        <v>0</v>
      </c>
      <c r="F82" s="2">
        <f>SUM(
    COUNTIFS('Form responses 1'!$C$2:$C1001, A82, 'Form responses 1'!$A$2:$A1001, "&gt;=2023-04-01", 'Form responses 1'!$A$2:$A1001, "&lt;=2023-06-30"),
    COUNTIFS('Form responses 1'!$B$2:$B1001, A82, 'Form responses 1'!$A$2:$A1001, "&gt;=2023-04-01", 'Form responses 1'!$A$2:$A1001, "&lt;=2023-06-30"),
    COUNTIFS('Form responses 1'!$D$2:$D1001, A82, 'Form responses 1'!$A$2:$A1001, "&gt;=2023-04-01", 'Form responses 1'!$A$2:$A1001, "&lt;=2023-06-30"),
    COUNTIFS('Form responses 1'!$E$2:$E1001, A82, 'Form responses 1'!$A$2:$A1001, "&gt;=2023-04-01", 'Form responses 1'!$A$2:$A1001, "&lt;=2023-06-30"),
    COUNTIFS('Form responses 1'!$F$2:$F1001, A82, 'Form responses 1'!$A$2:$A1001, "&gt;=2023-04-01", 'Form responses 1'!$A$2:$A1001, "&lt;=2023-06-30"),
    COUNTIFS('Form responses 1'!$G$2:$G1001, A82, 'Form responses 1'!$A$2:$A1001, "&gt;=2023-04-01", 'Form responses 1'!$A$2:$A1001, "&lt;=2023-06-30")
)
</f>
        <v>0</v>
      </c>
      <c r="G82" s="2">
        <f>SUM(
    COUNTIFS('Form responses 1'!$C$2:$C1001, A82, 'Form responses 1'!$A$2:$A1001, "&gt;=2023-07-01", 'Form responses 1'!$A$2:$A1001, "&lt;=2023-09-30"),
    COUNTIFS('Form responses 1'!$B$2:$B1001, A82, 'Form responses 1'!$A$2:$A1001, "&gt;=2023-07-01", 'Form responses 1'!$A$2:$A1001, "&lt;=2023-09-30"),
    COUNTIFS('Form responses 1'!$D$2:$D1001, A82, 'Form responses 1'!$A$2:$A1001, "&gt;=2023-07-01", 'Form responses 1'!$A$2:$A1001, "&lt;=2023-09-30"),
    COUNTIFS('Form responses 1'!$E$2:$E1001, A82, 'Form responses 1'!$A$2:$A1001, "&gt;=2023-07-01", 'Form responses 1'!$A$2:$A1001, "&lt;=2023-09-30"),
    COUNTIFS('Form responses 1'!$F$2:$F1001, A82, 'Form responses 1'!$A$2:$A1001, "&gt;=2023-07-01", 'Form responses 1'!$A$2:$A1001, "&lt;=2023-09-30"),
    COUNTIFS('Form responses 1'!$G$2:$G1001, A82, 'Form responses 1'!$A$2:$A1001, "&gt;=2023-07-01", 'Form responses 1'!$A$2:$A1001, "&lt;=2023-09-30")
)
</f>
        <v>43</v>
      </c>
      <c r="H82" s="2">
        <f>SUM(
    COUNTIFS('Form responses 1'!$C$2:$C1001, A82, 'Form responses 1'!$A$2:$A1001, "&gt;=2023-10-01", 'Form responses 1'!$A$2:$A1001, "&lt;=2023-12-31"),
    COUNTIFS('Form responses 1'!$B$2:$B1001, A82, 'Form responses 1'!$A$2:$A1001, "&gt;=2023-10-01", 'Form responses 1'!$A$2:$A1001, "&lt;=2023-12-31"),
    COUNTIFS('Form responses 1'!$D$2:$D1001, A82, 'Form responses 1'!$A$2:$A1001, "&gt;=2023-10-01", 'Form responses 1'!$A$2:$A1001, "&lt;=2023-12-31"),
    COUNTIFS('Form responses 1'!$E$2:$E1001, A82, 'Form responses 1'!$A$2:$A1001, "&gt;=2023-10-01", 'Form responses 1'!$A$2:$A1001, "&lt;=2023-12-31"),
    COUNTIFS('Form responses 1'!$F$2:$F1001, A82, 'Form responses 1'!$A$2:$A1001, "&gt;=2023-10-01", 'Form responses 1'!$A$2:$A1001, "&lt;=2023-12-31"),
    COUNTIFS('Form responses 1'!$G$2:$G1001, A82, 'Form responses 1'!$A$2:$A1001, "&gt;=2023-10-01", 'Form responses 1'!$A$2:$A1001, "&lt;=2023-12-31")
)
</f>
        <v>30</v>
      </c>
      <c r="I82" s="2">
        <f>SUM(
    COUNTIFS('Form responses 1'!$C$2:$C1001, A82, 'Form responses 1'!$A$2:$A1001, "&gt;=2024-01-01", 'Form responses 1'!$A$2:$A1001, "&lt;=2024-03-31"),
    COUNTIFS('Form responses 1'!$B$2:$B1001, A82, 'Form responses 1'!$A$2:$A1001, "&gt;=2024-01-01", 'Form responses 1'!$A$2:$A1001, "&lt;=2024-03-31"),
    COUNTIFS('Form responses 1'!$D$2:$D1001, A82, 'Form responses 1'!$A$2:$A1001, "&gt;=2024-01-01", 'Form responses 1'!$A$2:$A1001, "&lt;=2024-03-31"),
    COUNTIFS('Form responses 1'!$E$2:$E1001, A82, 'Form responses 1'!$A$2:$A1001, "&gt;=2024-01-01", 'Form responses 1'!$A$2:$A1001, "&lt;=2024-03-31"),
    COUNTIFS('Form responses 1'!$F$2:$F1001, A82, 'Form responses 1'!$A$2:$A1001, "&gt;=2024-01-01", 'Form responses 1'!$A$2:$A1001, "&lt;=2024-03-31"),
    COUNTIFS('Form responses 1'!$G$2:$G1001, A82, 'Form responses 1'!$A$2:$A1001, "&gt;=2024-01-01", 'Form responses 1'!$A$2:$A1001, "&lt;=2024-03-31")
)
</f>
        <v>43</v>
      </c>
      <c r="J82" s="2">
        <f>SUM(
    COUNTIFS('Form responses 1'!$C$2:$C1001, A82, 'Form responses 1'!$A$2:$A1001, "&gt;=2024-04-01", 'Form responses 1'!$A$2:$A1001, "&lt;=2024-06-30"),
    COUNTIFS('Form responses 1'!$B$2:$B1001, A82, 'Form responses 1'!$A$2:$A1001, "&gt;=2024-04-01", 'Form responses 1'!$A$2:$A1001, "&lt;=2024-06-30"),
    COUNTIFS('Form responses 1'!$D$2:$D1001, A82, 'Form responses 1'!$A$2:$A1001, "&gt;=2024-04-01", 'Form responses 1'!$A$2:$A1001, "&lt;=2024-06-30"),
    COUNTIFS('Form responses 1'!$E$2:$E1001, A82, 'Form responses 1'!$A$2:$A1001, "&gt;=2024-04-01", 'Form responses 1'!$A$2:$A1001, "&lt;=2024-06-30"),
    COUNTIFS('Form responses 1'!$F$2:$F1001, A82, 'Form responses 1'!$A$2:$A1001, "&gt;=2024-04-01", 'Form responses 1'!$A$2:$A1001, "&lt;=2024-06-30"),
    COUNTIFS('Form responses 1'!$G$2:$G1001, A82, 'Form responses 1'!$A$2:$A1001, "&gt;=2024-04-01", 'Form responses 1'!$A$2:$A1001, "&lt;=2024-06-30")
)
</f>
        <v>44</v>
      </c>
      <c r="K82" s="2">
        <f>SUM(
    COUNTIFS('Form responses 1'!$C$2:$C1001, A82, 'Form responses 1'!$A$2:$A1001, "&gt;=2024-07-01", 'Form responses 1'!$A$2:$A1001, "&lt;=2024-09-30"),
    COUNTIFS('Form responses 1'!$B$2:$B1001, A82, 'Form responses 1'!$A$2:$A1001, "&gt;=2024-07-01", 'Form responses 1'!$A$2:$A1001, "&lt;=2024-09-30"),
    COUNTIFS('Form responses 1'!$D$2:$D1001, A82, 'Form responses 1'!$A$2:$A1001, "&gt;=2024-07-01", 'Form responses 1'!$A$2:$A1001, "&lt;=2024-09-30"),
    COUNTIFS('Form responses 1'!$E$2:$E1001, A82, 'Form responses 1'!$A$2:$A1001, "&gt;=2024-07-01", 'Form responses 1'!$A$2:$A1001, "&lt;=2024-09-30"),
    COUNTIFS('Form responses 1'!$F$2:$F1001, A82, 'Form responses 1'!$A$2:$A1001, "&gt;=2024-07-01", 'Form responses 1'!$A$2:$A1001, "&lt;=2024-09-30"),
    COUNTIFS('Form responses 1'!$G$2:$G1001, A82, 'Form responses 1'!$A$2:$A1001, "&gt;=2024-07-01", 'Form responses 1'!$A$2:$A1001, "&lt;=2024-09-30")
)
</f>
        <v>23</v>
      </c>
      <c r="L82" s="2">
        <f>SUM(
    COUNTIFS('Form responses 1'!$C$2:$C1001, A82, 'Form responses 1'!$A$2:$A1001, "&gt;=2024-10-01", 'Form responses 1'!$A$2:$A1001, "&lt;=2024-12-31"),
    COUNTIFS('Form responses 1'!$B$2:$B1001, A82, 'Form responses 1'!$A$2:$A1001, "&gt;=2024-10-01", 'Form responses 1'!$A$2:$A1001, "&lt;=2024-12-31"),
    COUNTIFS('Form responses 1'!$D$2:$D1001, A82, 'Form responses 1'!$A$2:$A1001, "&gt;=2024-10-01", 'Form responses 1'!$A$2:$A1001, "&lt;=2024-12-31"),
    COUNTIFS('Form responses 1'!$E$2:$E1001, A82, 'Form responses 1'!$A$2:$A1001, "&gt;=2024-10-01", 'Form responses 1'!$A$2:$A1001, "&lt;=2024-12-31"),
    COUNTIFS('Form responses 1'!$F$2:$F1001, A82, 'Form responses 1'!$A$2:$A1001, "&gt;=2024-10-01", 'Form responses 1'!$A$2:$A1001, "&lt;=2024-12-31"),
    COUNTIFS('Form responses 1'!$G$2:$G1001, A82, 'Form responses 1'!$A$2:$A1001, "&gt;=2024-10-01", 'Form responses 1'!$A$2:$A1001, "&lt;=2024-12-31")
)
</f>
        <v>18</v>
      </c>
      <c r="M82" s="2">
        <f>SUM(
    COUNTIFS('Form responses 1'!$C$2:$C1001, A82, 'Form responses 1'!$A$2:$A1001, "&gt;=2025-01-01", 'Form responses 1'!$A$2:$A1001, "&lt;=2025-03-31"),
    COUNTIFS('Form responses 1'!$B$2:$B1001, A82, 'Form responses 1'!$A$2:$A1001, "&gt;=2025-01-01", 'Form responses 1'!$A$2:$A1001, "&lt;=2025-03-31"),
    COUNTIFS('Form responses 1'!$D$2:$D1001, A82, 'Form responses 1'!$A$2:$A1001, "&gt;=2025-01-01", 'Form responses 1'!$A$2:$A1001, "&lt;=2025-03-31"),
    COUNTIFS('Form responses 1'!$E$2:$E1001, A82, 'Form responses 1'!$A$2:$A1001, "&gt;=2025-01-01", 'Form responses 1'!$A$2:$A1001, "&lt;=2025-03-31"),
    COUNTIFS('Form responses 1'!$F$2:$F1001, A82, 'Form responses 1'!$A$2:$A1001, "&gt;=2025-01-01", 'Form responses 1'!$A$2:$A1001, "&lt;=2025-03-31"),
    COUNTIFS('Form responses 1'!$G$2:$G1001, A82, 'Form responses 1'!$A$2:$A1001, "&gt;=2025-01-01", 'Form responses 1'!$A$2:$A1001, "&lt;=2025-03-31")
)
</f>
        <v>7</v>
      </c>
      <c r="N82" s="2">
        <f>SUM(
    COUNTIFS('Form responses 1'!$C$2:$C1001, A82, 'Form responses 1'!$A$2:$A1001, "&gt;=2025-04-01", 'Form responses 1'!$A$2:$A1001, "&lt;2025-07-01"),
    COUNTIFS('Form responses 1'!$B$2:$B1001, A82, 'Form responses 1'!$A$2:$A1001, "&gt;=2025-04-01", 'Form responses 1'!$A$2:$A1001, "&lt;2025-07-01"),
    COUNTIFS('Form responses 1'!$D$2:$D1001, A82, 'Form responses 1'!$A$2:$A1001, "&gt;=2025-04-01", 'Form responses 1'!$A$2:$A1001, "&lt;2025-07-01"),
    COUNTIFS('Form responses 1'!$E$2:$E1001, A82, 'Form responses 1'!$A$2:$A1001, "&gt;=2025-04-01", 'Form responses 1'!$A$2:$A1001, "&lt;2025-07-01"),
    COUNTIFS('Form responses 1'!$F$2:$F1001, A82, 'Form responses 1'!$A$2:$A1001, "&gt;=2025-04-01", 'Form responses 1'!$A$2:$A1001, "&lt;2025-07-01"),
    COUNTIFS('Form responses 1'!$G$2:$G1001, A82, 'Form responses 1'!$A$2:$A1001, "&gt;=2025-04-01", 'Form responses 1'!$A$2:$A1001, "&lt;2025-07-01")
)
</f>
        <v>3</v>
      </c>
      <c r="O82" s="2">
        <f>SUM(
    COUNTIFS('Form responses 1'!$C$2:$C1001, A82, 'Form responses 1'!$A$2:$A1001, "&gt;=2025-07-01", 'Form responses 1'!$A$2:$A1001, "&lt;=2025-09-30"),
    COUNTIFS('Form responses 1'!$B$2:$B1001, A82, 'Form responses 1'!$A$2:$A1001, "&gt;=2025-07-01", 'Form responses 1'!$A$2:$A1001, "&lt;=2025-09-30"),
    COUNTIFS('Form responses 1'!$D$2:$D1001, A82, 'Form responses 1'!$A$2:$A1001, "&gt;=2025-07-01", 'Form responses 1'!$A$2:$A1001, "&lt;=2025-09-30"),
    COUNTIFS('Form responses 1'!$E$2:$E1001, A82, 'Form responses 1'!$A$2:$A1001, "&gt;=2025-07-01", 'Form responses 1'!$A$2:$A1001, "&lt;=2025-09-30"),
    COUNTIFS('Form responses 1'!$F$2:$F1001, A82, 'Form responses 1'!$A$2:$A1001, "&gt;=2025-07-01", 'Form responses 1'!$A$2:$A1001, "&lt;=2025-09-30"),
    COUNTIFS('Form responses 1'!$G$2:$G1001, A82, 'Form responses 1'!$A$2:$A1001, "&gt;=2025-07-01", 'Form responses 1'!$A$2:$A1001, "&lt;=2025-09-30")
)
</f>
        <v>0</v>
      </c>
      <c r="P82" s="2">
        <f>SUM(
    COUNTIFS('Form responses 1'!$C$2:$C1001, A82, 'Form responses 1'!$A$2:$A1001, "&gt;=2025-10-01", 'Form responses 1'!$A$2:$A1001, "&lt;=2025-12-31"),
    COUNTIFS('Form responses 1'!$B$2:$B1001, A82, 'Form responses 1'!$A$2:$A1001, "&gt;=2025-10-01", 'Form responses 1'!$A$2:$A1001, "&lt;=2025-12-31"),
    COUNTIFS('Form responses 1'!$D$2:$D1001, A82, 'Form responses 1'!$A$2:$A1001, "&gt;=2025-10-01", 'Form responses 1'!$A$2:$A1001, "&lt;=2025-12-31"),
    COUNTIFS('Form responses 1'!$E$2:$E1001, A82, 'Form responses 1'!$A$2:$A1001, "&gt;=2025-10-01", 'Form responses 1'!$A$2:$A1001, "&lt;=2025-12-31"),
    COUNTIFS('Form responses 1'!$F$2:$F1001, A82, 'Form responses 1'!$A$2:$A1001, "&gt;=2025-10-01", 'Form responses 1'!$A$2:$A1001, "&lt;=2025-12-31"),
    COUNTIFS('Form responses 1'!$G$2:$G1001, A82, 'Form responses 1'!$A$2:$A1001, "&gt;=2025-10-01", 'Form responses 1'!$A$2:$A1001, "&lt;=2025-12-31")
)
</f>
        <v>0</v>
      </c>
    </row>
    <row r="83">
      <c r="A83" s="3" t="str">
        <f>IFERROR(__xludf.DUMMYFUNCTION("""COMPUTED_VALUE"""),"New Balance 1906R")</f>
        <v>New Balance 1906R</v>
      </c>
      <c r="B83" s="2">
        <f>SUM(
    COUNTIFS('Form responses 1'!$C$2:$C1001, A83, 'Form responses 1'!$A$2:$A1001, "&gt;=2022-04-01", 'Form responses 1'!$A$2:$A1001, "&lt;=2022-06-30"),
    COUNTIFS('Form responses 1'!$B$2:$B1001, A83, 'Form responses 1'!$A$2:$A1001, "&gt;=2022-04-01", 'Form responses 1'!$A$2:$A1001, "&lt;=2022-06-30"),
    COUNTIFS('Form responses 1'!$D$2:$D1001, A83, 'Form responses 1'!$A$2:$A1001, "&gt;=2022-04-01", 'Form responses 1'!$A$2:$A1001, "&lt;=2022-06-30"),
    COUNTIFS('Form responses 1'!$E$2:$E1001, A83, 'Form responses 1'!$A$2:$A1001, "&gt;=2022-04-01", 'Form responses 1'!$A$2:$A1001, "&lt;=2022-06-30"),
    COUNTIFS('Form responses 1'!$F$2:$F1001, A83, 'Form responses 1'!$A$2:$A1001, "&gt;=2022-04-01", 'Form responses 1'!$A$2:$A1001, "&lt;=2022-06-30"),
    COUNTIFS('Form responses 1'!$G$2:$G1001, A83, 'Form responses 1'!$A$2:$A1001, "&gt;=2022-04-01", 'Form responses 1'!$A$2:$A1001, "&lt;=2022-06-30")
)
</f>
        <v>0</v>
      </c>
      <c r="C83" s="2">
        <f>SUM(
    COUNTIFS('Form responses 1'!$C$2:$C1001, A83, 'Form responses 1'!$A$2:$A1001, "&gt;=2022-07-01", 'Form responses 1'!$A$2:$A1001, "&lt;=2022-09-30"),
    COUNTIFS('Form responses 1'!$B$2:$B1001, A83, 'Form responses 1'!$A$2:$A1001, "&gt;=2022-07-01", 'Form responses 1'!$A$2:$A1001, "&lt;=2022-09-30"),
    COUNTIFS('Form responses 1'!$D$2:$D1001, A83, 'Form responses 1'!$A$2:$A1001, "&gt;=2022-07-01", 'Form responses 1'!$A$2:$A1001, "&lt;=2022-09-30"),
    COUNTIFS('Form responses 1'!$E$2:$E1001, A83, 'Form responses 1'!$A$2:$A1001, "&gt;=2022-07-01", 'Form responses 1'!$A$2:$A1001, "&lt;=2022-09-30"),
    COUNTIFS('Form responses 1'!$F$2:$F1001, A83, 'Form responses 1'!$A$2:$A1001, "&gt;=2022-07-01", 'Form responses 1'!$A$2:$A1001, "&lt;=2022-09-30"),
    COUNTIFS('Form responses 1'!$G$2:$G1001, A83, 'Form responses 1'!$A$2:$A1001, "&gt;=2022-07-01", 'Form responses 1'!$A$2:$A1001, "&lt;=2022-09-30")
)
</f>
        <v>0</v>
      </c>
      <c r="D83" s="2">
        <f>SUM(
    COUNTIFS('Form responses 1'!$C$2:$C1001, A83, 'Form responses 1'!$A$2:$A1001, "&gt;=2022-10-01", 'Form responses 1'!$A$2:$A1001, "&lt;=2022-12-31"),
    COUNTIFS('Form responses 1'!$B$2:$B1001, A83, 'Form responses 1'!$A$2:$A1001, "&gt;=2022-10-01", 'Form responses 1'!$A$2:$A1001, "&lt;=2022-12-31"),
    COUNTIFS('Form responses 1'!$D$2:$D1001, A83, 'Form responses 1'!$A$2:$A1001, "&gt;=2022-10-01", 'Form responses 1'!$A$2:$A1001, "&lt;=2022-12-31"),
    COUNTIFS('Form responses 1'!$E$2:$E1001, A83, 'Form responses 1'!$A$2:$A1001, "&gt;=2022-10-01", 'Form responses 1'!$A$2:$A1001, "&lt;=2022-12-31"),
    COUNTIFS('Form responses 1'!$F$2:$F1001, A83, 'Form responses 1'!$A$2:$A1001, "&gt;=2022-10-01", 'Form responses 1'!$A$2:$A1001, "&lt;=2022-12-31"),
    COUNTIFS('Form responses 1'!$G$2:$G1001, A83, 'Form responses 1'!$A$2:$A1001, "&gt;=2022-10-01", 'Form responses 1'!$A$2:$A1001, "&lt;=2022-12-31")
)
</f>
        <v>0</v>
      </c>
      <c r="E83" s="2">
        <f>SUM(
    COUNTIFS('Form responses 1'!$C$2:$C1001, A83, 'Form responses 1'!$A$2:$A1001, "&gt;=2023-01-01", 'Form responses 1'!$A$2:$A1001, "&lt;=2023-03-31"),
    COUNTIFS('Form responses 1'!$B$2:$B1001, A83, 'Form responses 1'!$A$2:$A1001, "&gt;=2023-01-01", 'Form responses 1'!$A$2:$A1001, "&lt;=2023-03-31"),
    COUNTIFS('Form responses 1'!$D$2:$D1001, A83, 'Form responses 1'!$A$2:$A1001, "&gt;=2023-01-01", 'Form responses 1'!$A$2:$A1001, "&lt;=2023-03-31"),
    COUNTIFS('Form responses 1'!$E$2:$E1001, A83, 'Form responses 1'!$A$2:$A1001, "&gt;=2023-01-01", 'Form responses 1'!$A$2:$A1001, "&lt;=2023-03-31"),
    COUNTIFS('Form responses 1'!$F$2:$F1001, A83, 'Form responses 1'!$A$2:$A1001, "&gt;=2023-01-01", 'Form responses 1'!$A$2:$A1001, "&lt;=2023-03-31"),
    COUNTIFS('Form responses 1'!$G$2:$G1001, A83, 'Form responses 1'!$A$2:$A1001, "&gt;=2023-01-01", 'Form responses 1'!$A$2:$A1001, "&lt;=2023-03-31")
)
</f>
        <v>0</v>
      </c>
      <c r="F83" s="2">
        <f>SUM(
    COUNTIFS('Form responses 1'!$C$2:$C1001, A83, 'Form responses 1'!$A$2:$A1001, "&gt;=2023-04-01", 'Form responses 1'!$A$2:$A1001, "&lt;=2023-06-30"),
    COUNTIFS('Form responses 1'!$B$2:$B1001, A83, 'Form responses 1'!$A$2:$A1001, "&gt;=2023-04-01", 'Form responses 1'!$A$2:$A1001, "&lt;=2023-06-30"),
    COUNTIFS('Form responses 1'!$D$2:$D1001, A83, 'Form responses 1'!$A$2:$A1001, "&gt;=2023-04-01", 'Form responses 1'!$A$2:$A1001, "&lt;=2023-06-30"),
    COUNTIFS('Form responses 1'!$E$2:$E1001, A83, 'Form responses 1'!$A$2:$A1001, "&gt;=2023-04-01", 'Form responses 1'!$A$2:$A1001, "&lt;=2023-06-30"),
    COUNTIFS('Form responses 1'!$F$2:$F1001, A83, 'Form responses 1'!$A$2:$A1001, "&gt;=2023-04-01", 'Form responses 1'!$A$2:$A1001, "&lt;=2023-06-30"),
    COUNTIFS('Form responses 1'!$G$2:$G1001, A83, 'Form responses 1'!$A$2:$A1001, "&gt;=2023-04-01", 'Form responses 1'!$A$2:$A1001, "&lt;=2023-06-30")
)
</f>
        <v>0</v>
      </c>
      <c r="G83" s="2">
        <f>SUM(
    COUNTIFS('Form responses 1'!$C$2:$C1001, A83, 'Form responses 1'!$A$2:$A1001, "&gt;=2023-07-01", 'Form responses 1'!$A$2:$A1001, "&lt;=2023-09-30"),
    COUNTIFS('Form responses 1'!$B$2:$B1001, A83, 'Form responses 1'!$A$2:$A1001, "&gt;=2023-07-01", 'Form responses 1'!$A$2:$A1001, "&lt;=2023-09-30"),
    COUNTIFS('Form responses 1'!$D$2:$D1001, A83, 'Form responses 1'!$A$2:$A1001, "&gt;=2023-07-01", 'Form responses 1'!$A$2:$A1001, "&lt;=2023-09-30"),
    COUNTIFS('Form responses 1'!$E$2:$E1001, A83, 'Form responses 1'!$A$2:$A1001, "&gt;=2023-07-01", 'Form responses 1'!$A$2:$A1001, "&lt;=2023-09-30"),
    COUNTIFS('Form responses 1'!$F$2:$F1001, A83, 'Form responses 1'!$A$2:$A1001, "&gt;=2023-07-01", 'Form responses 1'!$A$2:$A1001, "&lt;=2023-09-30"),
    COUNTIFS('Form responses 1'!$G$2:$G1001, A83, 'Form responses 1'!$A$2:$A1001, "&gt;=2023-07-01", 'Form responses 1'!$A$2:$A1001, "&lt;=2023-09-30")
)
</f>
        <v>0</v>
      </c>
      <c r="H83" s="2">
        <f>SUM(
    COUNTIFS('Form responses 1'!$C$2:$C1001, A83, 'Form responses 1'!$A$2:$A1001, "&gt;=2023-10-01", 'Form responses 1'!$A$2:$A1001, "&lt;=2023-12-31"),
    COUNTIFS('Form responses 1'!$B$2:$B1001, A83, 'Form responses 1'!$A$2:$A1001, "&gt;=2023-10-01", 'Form responses 1'!$A$2:$A1001, "&lt;=2023-12-31"),
    COUNTIFS('Form responses 1'!$D$2:$D1001, A83, 'Form responses 1'!$A$2:$A1001, "&gt;=2023-10-01", 'Form responses 1'!$A$2:$A1001, "&lt;=2023-12-31"),
    COUNTIFS('Form responses 1'!$E$2:$E1001, A83, 'Form responses 1'!$A$2:$A1001, "&gt;=2023-10-01", 'Form responses 1'!$A$2:$A1001, "&lt;=2023-12-31"),
    COUNTIFS('Form responses 1'!$F$2:$F1001, A83, 'Form responses 1'!$A$2:$A1001, "&gt;=2023-10-01", 'Form responses 1'!$A$2:$A1001, "&lt;=2023-12-31"),
    COUNTIFS('Form responses 1'!$G$2:$G1001, A83, 'Form responses 1'!$A$2:$A1001, "&gt;=2023-10-01", 'Form responses 1'!$A$2:$A1001, "&lt;=2023-12-31")
)
</f>
        <v>0</v>
      </c>
      <c r="I83" s="2">
        <f>SUM(
    COUNTIFS('Form responses 1'!$C$2:$C1001, A83, 'Form responses 1'!$A$2:$A1001, "&gt;=2024-01-01", 'Form responses 1'!$A$2:$A1001, "&lt;=2024-03-31"),
    COUNTIFS('Form responses 1'!$B$2:$B1001, A83, 'Form responses 1'!$A$2:$A1001, "&gt;=2024-01-01", 'Form responses 1'!$A$2:$A1001, "&lt;=2024-03-31"),
    COUNTIFS('Form responses 1'!$D$2:$D1001, A83, 'Form responses 1'!$A$2:$A1001, "&gt;=2024-01-01", 'Form responses 1'!$A$2:$A1001, "&lt;=2024-03-31"),
    COUNTIFS('Form responses 1'!$E$2:$E1001, A83, 'Form responses 1'!$A$2:$A1001, "&gt;=2024-01-01", 'Form responses 1'!$A$2:$A1001, "&lt;=2024-03-31"),
    COUNTIFS('Form responses 1'!$F$2:$F1001, A83, 'Form responses 1'!$A$2:$A1001, "&gt;=2024-01-01", 'Form responses 1'!$A$2:$A1001, "&lt;=2024-03-31"),
    COUNTIFS('Form responses 1'!$G$2:$G1001, A83, 'Form responses 1'!$A$2:$A1001, "&gt;=2024-01-01", 'Form responses 1'!$A$2:$A1001, "&lt;=2024-03-31")
)
</f>
        <v>0</v>
      </c>
      <c r="J83" s="2">
        <f>SUM(
    COUNTIFS('Form responses 1'!$C$2:$C1001, A83, 'Form responses 1'!$A$2:$A1001, "&gt;=2024-04-01", 'Form responses 1'!$A$2:$A1001, "&lt;=2024-06-30"),
    COUNTIFS('Form responses 1'!$B$2:$B1001, A83, 'Form responses 1'!$A$2:$A1001, "&gt;=2024-04-01", 'Form responses 1'!$A$2:$A1001, "&lt;=2024-06-30"),
    COUNTIFS('Form responses 1'!$D$2:$D1001, A83, 'Form responses 1'!$A$2:$A1001, "&gt;=2024-04-01", 'Form responses 1'!$A$2:$A1001, "&lt;=2024-06-30"),
    COUNTIFS('Form responses 1'!$E$2:$E1001, A83, 'Form responses 1'!$A$2:$A1001, "&gt;=2024-04-01", 'Form responses 1'!$A$2:$A1001, "&lt;=2024-06-30"),
    COUNTIFS('Form responses 1'!$F$2:$F1001, A83, 'Form responses 1'!$A$2:$A1001, "&gt;=2024-04-01", 'Form responses 1'!$A$2:$A1001, "&lt;=2024-06-30"),
    COUNTIFS('Form responses 1'!$G$2:$G1001, A83, 'Form responses 1'!$A$2:$A1001, "&gt;=2024-04-01", 'Form responses 1'!$A$2:$A1001, "&lt;=2024-06-30")
)
</f>
        <v>0</v>
      </c>
      <c r="K83" s="2">
        <f>SUM(
    COUNTIFS('Form responses 1'!$C$2:$C1001, A83, 'Form responses 1'!$A$2:$A1001, "&gt;=2024-07-01", 'Form responses 1'!$A$2:$A1001, "&lt;=2024-09-30"),
    COUNTIFS('Form responses 1'!$B$2:$B1001, A83, 'Form responses 1'!$A$2:$A1001, "&gt;=2024-07-01", 'Form responses 1'!$A$2:$A1001, "&lt;=2024-09-30"),
    COUNTIFS('Form responses 1'!$D$2:$D1001, A83, 'Form responses 1'!$A$2:$A1001, "&gt;=2024-07-01", 'Form responses 1'!$A$2:$A1001, "&lt;=2024-09-30"),
    COUNTIFS('Form responses 1'!$E$2:$E1001, A83, 'Form responses 1'!$A$2:$A1001, "&gt;=2024-07-01", 'Form responses 1'!$A$2:$A1001, "&lt;=2024-09-30"),
    COUNTIFS('Form responses 1'!$F$2:$F1001, A83, 'Form responses 1'!$A$2:$A1001, "&gt;=2024-07-01", 'Form responses 1'!$A$2:$A1001, "&lt;=2024-09-30"),
    COUNTIFS('Form responses 1'!$G$2:$G1001, A83, 'Form responses 1'!$A$2:$A1001, "&gt;=2024-07-01", 'Form responses 1'!$A$2:$A1001, "&lt;=2024-09-30")
)
</f>
        <v>35</v>
      </c>
      <c r="L83" s="2">
        <f>SUM(
    COUNTIFS('Form responses 1'!$C$2:$C1001, A83, 'Form responses 1'!$A$2:$A1001, "&gt;=2024-10-01", 'Form responses 1'!$A$2:$A1001, "&lt;=2024-12-31"),
    COUNTIFS('Form responses 1'!$B$2:$B1001, A83, 'Form responses 1'!$A$2:$A1001, "&gt;=2024-10-01", 'Form responses 1'!$A$2:$A1001, "&lt;=2024-12-31"),
    COUNTIFS('Form responses 1'!$D$2:$D1001, A83, 'Form responses 1'!$A$2:$A1001, "&gt;=2024-10-01", 'Form responses 1'!$A$2:$A1001, "&lt;=2024-12-31"),
    COUNTIFS('Form responses 1'!$E$2:$E1001, A83, 'Form responses 1'!$A$2:$A1001, "&gt;=2024-10-01", 'Form responses 1'!$A$2:$A1001, "&lt;=2024-12-31"),
    COUNTIFS('Form responses 1'!$F$2:$F1001, A83, 'Form responses 1'!$A$2:$A1001, "&gt;=2024-10-01", 'Form responses 1'!$A$2:$A1001, "&lt;=2024-12-31"),
    COUNTIFS('Form responses 1'!$G$2:$G1001, A83, 'Form responses 1'!$A$2:$A1001, "&gt;=2024-10-01", 'Form responses 1'!$A$2:$A1001, "&lt;=2024-12-31")
)
</f>
        <v>27</v>
      </c>
      <c r="M83" s="2">
        <f>SUM(
    COUNTIFS('Form responses 1'!$C$2:$C1001, A83, 'Form responses 1'!$A$2:$A1001, "&gt;=2025-01-01", 'Form responses 1'!$A$2:$A1001, "&lt;=2025-03-31"),
    COUNTIFS('Form responses 1'!$B$2:$B1001, A83, 'Form responses 1'!$A$2:$A1001, "&gt;=2025-01-01", 'Form responses 1'!$A$2:$A1001, "&lt;=2025-03-31"),
    COUNTIFS('Form responses 1'!$D$2:$D1001, A83, 'Form responses 1'!$A$2:$A1001, "&gt;=2025-01-01", 'Form responses 1'!$A$2:$A1001, "&lt;=2025-03-31"),
    COUNTIFS('Form responses 1'!$E$2:$E1001, A83, 'Form responses 1'!$A$2:$A1001, "&gt;=2025-01-01", 'Form responses 1'!$A$2:$A1001, "&lt;=2025-03-31"),
    COUNTIFS('Form responses 1'!$F$2:$F1001, A83, 'Form responses 1'!$A$2:$A1001, "&gt;=2025-01-01", 'Form responses 1'!$A$2:$A1001, "&lt;=2025-03-31"),
    COUNTIFS('Form responses 1'!$G$2:$G1001, A83, 'Form responses 1'!$A$2:$A1001, "&gt;=2025-01-01", 'Form responses 1'!$A$2:$A1001, "&lt;=2025-03-31")
)
</f>
        <v>42</v>
      </c>
      <c r="N83" s="2">
        <f>SUM(
    COUNTIFS('Form responses 1'!$C$2:$C1001, A83, 'Form responses 1'!$A$2:$A1001, "&gt;=2025-04-01", 'Form responses 1'!$A$2:$A1001, "&lt;2025-07-01"),
    COUNTIFS('Form responses 1'!$B$2:$B1001, A83, 'Form responses 1'!$A$2:$A1001, "&gt;=2025-04-01", 'Form responses 1'!$A$2:$A1001, "&lt;2025-07-01"),
    COUNTIFS('Form responses 1'!$D$2:$D1001, A83, 'Form responses 1'!$A$2:$A1001, "&gt;=2025-04-01", 'Form responses 1'!$A$2:$A1001, "&lt;2025-07-01"),
    COUNTIFS('Form responses 1'!$E$2:$E1001, A83, 'Form responses 1'!$A$2:$A1001, "&gt;=2025-04-01", 'Form responses 1'!$A$2:$A1001, "&lt;2025-07-01"),
    COUNTIFS('Form responses 1'!$F$2:$F1001, A83, 'Form responses 1'!$A$2:$A1001, "&gt;=2025-04-01", 'Form responses 1'!$A$2:$A1001, "&lt;2025-07-01"),
    COUNTIFS('Form responses 1'!$G$2:$G1001, A83, 'Form responses 1'!$A$2:$A1001, "&gt;=2025-04-01", 'Form responses 1'!$A$2:$A1001, "&lt;2025-07-01")
)
</f>
        <v>63</v>
      </c>
      <c r="O83" s="2">
        <f>SUM(
    COUNTIFS('Form responses 1'!$C$2:$C1001, A83, 'Form responses 1'!$A$2:$A1001, "&gt;=2025-07-01", 'Form responses 1'!$A$2:$A1001, "&lt;=2025-09-30"),
    COUNTIFS('Form responses 1'!$B$2:$B1001, A83, 'Form responses 1'!$A$2:$A1001, "&gt;=2025-07-01", 'Form responses 1'!$A$2:$A1001, "&lt;=2025-09-30"),
    COUNTIFS('Form responses 1'!$D$2:$D1001, A83, 'Form responses 1'!$A$2:$A1001, "&gt;=2025-07-01", 'Form responses 1'!$A$2:$A1001, "&lt;=2025-09-30"),
    COUNTIFS('Form responses 1'!$E$2:$E1001, A83, 'Form responses 1'!$A$2:$A1001, "&gt;=2025-07-01", 'Form responses 1'!$A$2:$A1001, "&lt;=2025-09-30"),
    COUNTIFS('Form responses 1'!$F$2:$F1001, A83, 'Form responses 1'!$A$2:$A1001, "&gt;=2025-07-01", 'Form responses 1'!$A$2:$A1001, "&lt;=2025-09-30"),
    COUNTIFS('Form responses 1'!$G$2:$G1001, A83, 'Form responses 1'!$A$2:$A1001, "&gt;=2025-07-01", 'Form responses 1'!$A$2:$A1001, "&lt;=2025-09-30")
)
</f>
        <v>25</v>
      </c>
      <c r="P83" s="2">
        <f>SUM(
    COUNTIFS('Form responses 1'!$C$2:$C1001, A83, 'Form responses 1'!$A$2:$A1001, "&gt;=2025-10-01", 'Form responses 1'!$A$2:$A1001, "&lt;=2025-12-31"),
    COUNTIFS('Form responses 1'!$B$2:$B1001, A83, 'Form responses 1'!$A$2:$A1001, "&gt;=2025-10-01", 'Form responses 1'!$A$2:$A1001, "&lt;=2025-12-31"),
    COUNTIFS('Form responses 1'!$D$2:$D1001, A83, 'Form responses 1'!$A$2:$A1001, "&gt;=2025-10-01", 'Form responses 1'!$A$2:$A1001, "&lt;=2025-12-31"),
    COUNTIFS('Form responses 1'!$E$2:$E1001, A83, 'Form responses 1'!$A$2:$A1001, "&gt;=2025-10-01", 'Form responses 1'!$A$2:$A1001, "&lt;=2025-12-31"),
    COUNTIFS('Form responses 1'!$F$2:$F1001, A83, 'Form responses 1'!$A$2:$A1001, "&gt;=2025-10-01", 'Form responses 1'!$A$2:$A1001, "&lt;=2025-12-31"),
    COUNTIFS('Form responses 1'!$G$2:$G1001, A83, 'Form responses 1'!$A$2:$A1001, "&gt;=2025-10-01", 'Form responses 1'!$A$2:$A1001, "&lt;=2025-12-31")
)
</f>
        <v>25</v>
      </c>
    </row>
    <row r="84">
      <c r="A84" s="3" t="str">
        <f>IFERROR(__xludf.DUMMYFUNCTION("""COMPUTED_VALUE"""),"Wandelschoenen")</f>
        <v>Wandelschoenen</v>
      </c>
      <c r="B84" s="2">
        <f>SUM(
    COUNTIFS('Form responses 1'!$C$2:$C1001, A84, 'Form responses 1'!$A$2:$A1001, "&gt;=2022-04-01", 'Form responses 1'!$A$2:$A1001, "&lt;=2022-06-30"),
    COUNTIFS('Form responses 1'!$B$2:$B1001, A84, 'Form responses 1'!$A$2:$A1001, "&gt;=2022-04-01", 'Form responses 1'!$A$2:$A1001, "&lt;=2022-06-30"),
    COUNTIFS('Form responses 1'!$D$2:$D1001, A84, 'Form responses 1'!$A$2:$A1001, "&gt;=2022-04-01", 'Form responses 1'!$A$2:$A1001, "&lt;=2022-06-30"),
    COUNTIFS('Form responses 1'!$E$2:$E1001, A84, 'Form responses 1'!$A$2:$A1001, "&gt;=2022-04-01", 'Form responses 1'!$A$2:$A1001, "&lt;=2022-06-30"),
    COUNTIFS('Form responses 1'!$F$2:$F1001, A84, 'Form responses 1'!$A$2:$A1001, "&gt;=2022-04-01", 'Form responses 1'!$A$2:$A1001, "&lt;=2022-06-30"),
    COUNTIFS('Form responses 1'!$G$2:$G1001, A84, 'Form responses 1'!$A$2:$A1001, "&gt;=2022-04-01", 'Form responses 1'!$A$2:$A1001, "&lt;=2022-06-30")
)
</f>
        <v>1</v>
      </c>
      <c r="C84" s="2">
        <f>SUM(
    COUNTIFS('Form responses 1'!$C$2:$C1001, A84, 'Form responses 1'!$A$2:$A1001, "&gt;=2022-07-01", 'Form responses 1'!$A$2:$A1001, "&lt;=2022-09-30"),
    COUNTIFS('Form responses 1'!$B$2:$B1001, A84, 'Form responses 1'!$A$2:$A1001, "&gt;=2022-07-01", 'Form responses 1'!$A$2:$A1001, "&lt;=2022-09-30"),
    COUNTIFS('Form responses 1'!$D$2:$D1001, A84, 'Form responses 1'!$A$2:$A1001, "&gt;=2022-07-01", 'Form responses 1'!$A$2:$A1001, "&lt;=2022-09-30"),
    COUNTIFS('Form responses 1'!$E$2:$E1001, A84, 'Form responses 1'!$A$2:$A1001, "&gt;=2022-07-01", 'Form responses 1'!$A$2:$A1001, "&lt;=2022-09-30"),
    COUNTIFS('Form responses 1'!$F$2:$F1001, A84, 'Form responses 1'!$A$2:$A1001, "&gt;=2022-07-01", 'Form responses 1'!$A$2:$A1001, "&lt;=2022-09-30"),
    COUNTIFS('Form responses 1'!$G$2:$G1001, A84, 'Form responses 1'!$A$2:$A1001, "&gt;=2022-07-01", 'Form responses 1'!$A$2:$A1001, "&lt;=2022-09-30")
)
</f>
        <v>16</v>
      </c>
      <c r="D84" s="2">
        <f>SUM(
    COUNTIFS('Form responses 1'!$C$2:$C1001, A84, 'Form responses 1'!$A$2:$A1001, "&gt;=2022-10-01", 'Form responses 1'!$A$2:$A1001, "&lt;=2022-12-31"),
    COUNTIFS('Form responses 1'!$B$2:$B1001, A84, 'Form responses 1'!$A$2:$A1001, "&gt;=2022-10-01", 'Form responses 1'!$A$2:$A1001, "&lt;=2022-12-31"),
    COUNTIFS('Form responses 1'!$D$2:$D1001, A84, 'Form responses 1'!$A$2:$A1001, "&gt;=2022-10-01", 'Form responses 1'!$A$2:$A1001, "&lt;=2022-12-31"),
    COUNTIFS('Form responses 1'!$E$2:$E1001, A84, 'Form responses 1'!$A$2:$A1001, "&gt;=2022-10-01", 'Form responses 1'!$A$2:$A1001, "&lt;=2022-12-31"),
    COUNTIFS('Form responses 1'!$F$2:$F1001, A84, 'Form responses 1'!$A$2:$A1001, "&gt;=2022-10-01", 'Form responses 1'!$A$2:$A1001, "&lt;=2022-12-31"),
    COUNTIFS('Form responses 1'!$G$2:$G1001, A84, 'Form responses 1'!$A$2:$A1001, "&gt;=2022-10-01", 'Form responses 1'!$A$2:$A1001, "&lt;=2022-12-31")
)
</f>
        <v>0</v>
      </c>
      <c r="E84" s="2">
        <f>SUM(
    COUNTIFS('Form responses 1'!$C$2:$C1001, A84, 'Form responses 1'!$A$2:$A1001, "&gt;=2023-01-01", 'Form responses 1'!$A$2:$A1001, "&lt;=2023-03-31"),
    COUNTIFS('Form responses 1'!$B$2:$B1001, A84, 'Form responses 1'!$A$2:$A1001, "&gt;=2023-01-01", 'Form responses 1'!$A$2:$A1001, "&lt;=2023-03-31"),
    COUNTIFS('Form responses 1'!$D$2:$D1001, A84, 'Form responses 1'!$A$2:$A1001, "&gt;=2023-01-01", 'Form responses 1'!$A$2:$A1001, "&lt;=2023-03-31"),
    COUNTIFS('Form responses 1'!$E$2:$E1001, A84, 'Form responses 1'!$A$2:$A1001, "&gt;=2023-01-01", 'Form responses 1'!$A$2:$A1001, "&lt;=2023-03-31"),
    COUNTIFS('Form responses 1'!$F$2:$F1001, A84, 'Form responses 1'!$A$2:$A1001, "&gt;=2023-01-01", 'Form responses 1'!$A$2:$A1001, "&lt;=2023-03-31"),
    COUNTIFS('Form responses 1'!$G$2:$G1001, A84, 'Form responses 1'!$A$2:$A1001, "&gt;=2023-01-01", 'Form responses 1'!$A$2:$A1001, "&lt;=2023-03-31")
)
</f>
        <v>2</v>
      </c>
      <c r="F84" s="2">
        <f>SUM(
    COUNTIFS('Form responses 1'!$C$2:$C1001, A84, 'Form responses 1'!$A$2:$A1001, "&gt;=2023-04-01", 'Form responses 1'!$A$2:$A1001, "&lt;=2023-06-30"),
    COUNTIFS('Form responses 1'!$B$2:$B1001, A84, 'Form responses 1'!$A$2:$A1001, "&gt;=2023-04-01", 'Form responses 1'!$A$2:$A1001, "&lt;=2023-06-30"),
    COUNTIFS('Form responses 1'!$D$2:$D1001, A84, 'Form responses 1'!$A$2:$A1001, "&gt;=2023-04-01", 'Form responses 1'!$A$2:$A1001, "&lt;=2023-06-30"),
    COUNTIFS('Form responses 1'!$E$2:$E1001, A84, 'Form responses 1'!$A$2:$A1001, "&gt;=2023-04-01", 'Form responses 1'!$A$2:$A1001, "&lt;=2023-06-30"),
    COUNTIFS('Form responses 1'!$F$2:$F1001, A84, 'Form responses 1'!$A$2:$A1001, "&gt;=2023-04-01", 'Form responses 1'!$A$2:$A1001, "&lt;=2023-06-30"),
    COUNTIFS('Form responses 1'!$G$2:$G1001, A84, 'Form responses 1'!$A$2:$A1001, "&gt;=2023-04-01", 'Form responses 1'!$A$2:$A1001, "&lt;=2023-06-30")
)
</f>
        <v>0</v>
      </c>
      <c r="G84" s="2">
        <f>SUM(
    COUNTIFS('Form responses 1'!$C$2:$C1001, A84, 'Form responses 1'!$A$2:$A1001, "&gt;=2023-07-01", 'Form responses 1'!$A$2:$A1001, "&lt;=2023-09-30"),
    COUNTIFS('Form responses 1'!$B$2:$B1001, A84, 'Form responses 1'!$A$2:$A1001, "&gt;=2023-07-01", 'Form responses 1'!$A$2:$A1001, "&lt;=2023-09-30"),
    COUNTIFS('Form responses 1'!$D$2:$D1001, A84, 'Form responses 1'!$A$2:$A1001, "&gt;=2023-07-01", 'Form responses 1'!$A$2:$A1001, "&lt;=2023-09-30"),
    COUNTIFS('Form responses 1'!$E$2:$E1001, A84, 'Form responses 1'!$A$2:$A1001, "&gt;=2023-07-01", 'Form responses 1'!$A$2:$A1001, "&lt;=2023-09-30"),
    COUNTIFS('Form responses 1'!$F$2:$F1001, A84, 'Form responses 1'!$A$2:$A1001, "&gt;=2023-07-01", 'Form responses 1'!$A$2:$A1001, "&lt;=2023-09-30"),
    COUNTIFS('Form responses 1'!$G$2:$G1001, A84, 'Form responses 1'!$A$2:$A1001, "&gt;=2023-07-01", 'Form responses 1'!$A$2:$A1001, "&lt;=2023-09-30")
)
</f>
        <v>0</v>
      </c>
      <c r="H84" s="2">
        <f>SUM(
    COUNTIFS('Form responses 1'!$C$2:$C1001, A84, 'Form responses 1'!$A$2:$A1001, "&gt;=2023-10-01", 'Form responses 1'!$A$2:$A1001, "&lt;=2023-12-31"),
    COUNTIFS('Form responses 1'!$B$2:$B1001, A84, 'Form responses 1'!$A$2:$A1001, "&gt;=2023-10-01", 'Form responses 1'!$A$2:$A1001, "&lt;=2023-12-31"),
    COUNTIFS('Form responses 1'!$D$2:$D1001, A84, 'Form responses 1'!$A$2:$A1001, "&gt;=2023-10-01", 'Form responses 1'!$A$2:$A1001, "&lt;=2023-12-31"),
    COUNTIFS('Form responses 1'!$E$2:$E1001, A84, 'Form responses 1'!$A$2:$A1001, "&gt;=2023-10-01", 'Form responses 1'!$A$2:$A1001, "&lt;=2023-12-31"),
    COUNTIFS('Form responses 1'!$F$2:$F1001, A84, 'Form responses 1'!$A$2:$A1001, "&gt;=2023-10-01", 'Form responses 1'!$A$2:$A1001, "&lt;=2023-12-31"),
    COUNTIFS('Form responses 1'!$G$2:$G1001, A84, 'Form responses 1'!$A$2:$A1001, "&gt;=2023-10-01", 'Form responses 1'!$A$2:$A1001, "&lt;=2023-12-31")
)
</f>
        <v>0</v>
      </c>
      <c r="I84" s="2">
        <f>SUM(
    COUNTIFS('Form responses 1'!$C$2:$C1001, A84, 'Form responses 1'!$A$2:$A1001, "&gt;=2024-01-01", 'Form responses 1'!$A$2:$A1001, "&lt;=2024-03-31"),
    COUNTIFS('Form responses 1'!$B$2:$B1001, A84, 'Form responses 1'!$A$2:$A1001, "&gt;=2024-01-01", 'Form responses 1'!$A$2:$A1001, "&lt;=2024-03-31"),
    COUNTIFS('Form responses 1'!$D$2:$D1001, A84, 'Form responses 1'!$A$2:$A1001, "&gt;=2024-01-01", 'Form responses 1'!$A$2:$A1001, "&lt;=2024-03-31"),
    COUNTIFS('Form responses 1'!$E$2:$E1001, A84, 'Form responses 1'!$A$2:$A1001, "&gt;=2024-01-01", 'Form responses 1'!$A$2:$A1001, "&lt;=2024-03-31"),
    COUNTIFS('Form responses 1'!$F$2:$F1001, A84, 'Form responses 1'!$A$2:$A1001, "&gt;=2024-01-01", 'Form responses 1'!$A$2:$A1001, "&lt;=2024-03-31"),
    COUNTIFS('Form responses 1'!$G$2:$G1001, A84, 'Form responses 1'!$A$2:$A1001, "&gt;=2024-01-01", 'Form responses 1'!$A$2:$A1001, "&lt;=2024-03-31")
)
</f>
        <v>0</v>
      </c>
      <c r="J84" s="2">
        <f>SUM(
    COUNTIFS('Form responses 1'!$C$2:$C1001, A84, 'Form responses 1'!$A$2:$A1001, "&gt;=2024-04-01", 'Form responses 1'!$A$2:$A1001, "&lt;=2024-06-30"),
    COUNTIFS('Form responses 1'!$B$2:$B1001, A84, 'Form responses 1'!$A$2:$A1001, "&gt;=2024-04-01", 'Form responses 1'!$A$2:$A1001, "&lt;=2024-06-30"),
    COUNTIFS('Form responses 1'!$D$2:$D1001, A84, 'Form responses 1'!$A$2:$A1001, "&gt;=2024-04-01", 'Form responses 1'!$A$2:$A1001, "&lt;=2024-06-30"),
    COUNTIFS('Form responses 1'!$E$2:$E1001, A84, 'Form responses 1'!$A$2:$A1001, "&gt;=2024-04-01", 'Form responses 1'!$A$2:$A1001, "&lt;=2024-06-30"),
    COUNTIFS('Form responses 1'!$F$2:$F1001, A84, 'Form responses 1'!$A$2:$A1001, "&gt;=2024-04-01", 'Form responses 1'!$A$2:$A1001, "&lt;=2024-06-30"),
    COUNTIFS('Form responses 1'!$G$2:$G1001, A84, 'Form responses 1'!$A$2:$A1001, "&gt;=2024-04-01", 'Form responses 1'!$A$2:$A1001, "&lt;=2024-06-30")
)
</f>
        <v>0</v>
      </c>
      <c r="K84" s="2">
        <f>SUM(
    COUNTIFS('Form responses 1'!$C$2:$C1001, A84, 'Form responses 1'!$A$2:$A1001, "&gt;=2024-07-01", 'Form responses 1'!$A$2:$A1001, "&lt;=2024-09-30"),
    COUNTIFS('Form responses 1'!$B$2:$B1001, A84, 'Form responses 1'!$A$2:$A1001, "&gt;=2024-07-01", 'Form responses 1'!$A$2:$A1001, "&lt;=2024-09-30"),
    COUNTIFS('Form responses 1'!$D$2:$D1001, A84, 'Form responses 1'!$A$2:$A1001, "&gt;=2024-07-01", 'Form responses 1'!$A$2:$A1001, "&lt;=2024-09-30"),
    COUNTIFS('Form responses 1'!$E$2:$E1001, A84, 'Form responses 1'!$A$2:$A1001, "&gt;=2024-07-01", 'Form responses 1'!$A$2:$A1001, "&lt;=2024-09-30"),
    COUNTIFS('Form responses 1'!$F$2:$F1001, A84, 'Form responses 1'!$A$2:$A1001, "&gt;=2024-07-01", 'Form responses 1'!$A$2:$A1001, "&lt;=2024-09-30"),
    COUNTIFS('Form responses 1'!$G$2:$G1001, A84, 'Form responses 1'!$A$2:$A1001, "&gt;=2024-07-01", 'Form responses 1'!$A$2:$A1001, "&lt;=2024-09-30")
)
</f>
        <v>0</v>
      </c>
      <c r="L84" s="2">
        <f>SUM(
    COUNTIFS('Form responses 1'!$C$2:$C1001, A84, 'Form responses 1'!$A$2:$A1001, "&gt;=2024-10-01", 'Form responses 1'!$A$2:$A1001, "&lt;=2024-12-31"),
    COUNTIFS('Form responses 1'!$B$2:$B1001, A84, 'Form responses 1'!$A$2:$A1001, "&gt;=2024-10-01", 'Form responses 1'!$A$2:$A1001, "&lt;=2024-12-31"),
    COUNTIFS('Form responses 1'!$D$2:$D1001, A84, 'Form responses 1'!$A$2:$A1001, "&gt;=2024-10-01", 'Form responses 1'!$A$2:$A1001, "&lt;=2024-12-31"),
    COUNTIFS('Form responses 1'!$E$2:$E1001, A84, 'Form responses 1'!$A$2:$A1001, "&gt;=2024-10-01", 'Form responses 1'!$A$2:$A1001, "&lt;=2024-12-31"),
    COUNTIFS('Form responses 1'!$F$2:$F1001, A84, 'Form responses 1'!$A$2:$A1001, "&gt;=2024-10-01", 'Form responses 1'!$A$2:$A1001, "&lt;=2024-12-31"),
    COUNTIFS('Form responses 1'!$G$2:$G1001, A84, 'Form responses 1'!$A$2:$A1001, "&gt;=2024-10-01", 'Form responses 1'!$A$2:$A1001, "&lt;=2024-12-31")
)
</f>
        <v>7</v>
      </c>
      <c r="M84" s="2">
        <f>SUM(
    COUNTIFS('Form responses 1'!$C$2:$C1001, A84, 'Form responses 1'!$A$2:$A1001, "&gt;=2025-01-01", 'Form responses 1'!$A$2:$A1001, "&lt;=2025-03-31"),
    COUNTIFS('Form responses 1'!$B$2:$B1001, A84, 'Form responses 1'!$A$2:$A1001, "&gt;=2025-01-01", 'Form responses 1'!$A$2:$A1001, "&lt;=2025-03-31"),
    COUNTIFS('Form responses 1'!$D$2:$D1001, A84, 'Form responses 1'!$A$2:$A1001, "&gt;=2025-01-01", 'Form responses 1'!$A$2:$A1001, "&lt;=2025-03-31"),
    COUNTIFS('Form responses 1'!$E$2:$E1001, A84, 'Form responses 1'!$A$2:$A1001, "&gt;=2025-01-01", 'Form responses 1'!$A$2:$A1001, "&lt;=2025-03-31"),
    COUNTIFS('Form responses 1'!$F$2:$F1001, A84, 'Form responses 1'!$A$2:$A1001, "&gt;=2025-01-01", 'Form responses 1'!$A$2:$A1001, "&lt;=2025-03-31"),
    COUNTIFS('Form responses 1'!$G$2:$G1001, A84, 'Form responses 1'!$A$2:$A1001, "&gt;=2025-01-01", 'Form responses 1'!$A$2:$A1001, "&lt;=2025-03-31")
)
</f>
        <v>3</v>
      </c>
      <c r="N84" s="2">
        <f>SUM(
    COUNTIFS('Form responses 1'!$C$2:$C1001, A84, 'Form responses 1'!$A$2:$A1001, "&gt;=2025-04-01", 'Form responses 1'!$A$2:$A1001, "&lt;2025-07-01"),
    COUNTIFS('Form responses 1'!$B$2:$B1001, A84, 'Form responses 1'!$A$2:$A1001, "&gt;=2025-04-01", 'Form responses 1'!$A$2:$A1001, "&lt;2025-07-01"),
    COUNTIFS('Form responses 1'!$D$2:$D1001, A84, 'Form responses 1'!$A$2:$A1001, "&gt;=2025-04-01", 'Form responses 1'!$A$2:$A1001, "&lt;2025-07-01"),
    COUNTIFS('Form responses 1'!$E$2:$E1001, A84, 'Form responses 1'!$A$2:$A1001, "&gt;=2025-04-01", 'Form responses 1'!$A$2:$A1001, "&lt;2025-07-01"),
    COUNTIFS('Form responses 1'!$F$2:$F1001, A84, 'Form responses 1'!$A$2:$A1001, "&gt;=2025-04-01", 'Form responses 1'!$A$2:$A1001, "&lt;2025-07-01"),
    COUNTIFS('Form responses 1'!$G$2:$G1001, A84, 'Form responses 1'!$A$2:$A1001, "&gt;=2025-04-01", 'Form responses 1'!$A$2:$A1001, "&lt;2025-07-01")
)
</f>
        <v>0</v>
      </c>
      <c r="O84" s="2">
        <f>SUM(
    COUNTIFS('Form responses 1'!$C$2:$C1001, A84, 'Form responses 1'!$A$2:$A1001, "&gt;=2025-07-01", 'Form responses 1'!$A$2:$A1001, "&lt;=2025-09-30"),
    COUNTIFS('Form responses 1'!$B$2:$B1001, A84, 'Form responses 1'!$A$2:$A1001, "&gt;=2025-07-01", 'Form responses 1'!$A$2:$A1001, "&lt;=2025-09-30"),
    COUNTIFS('Form responses 1'!$D$2:$D1001, A84, 'Form responses 1'!$A$2:$A1001, "&gt;=2025-07-01", 'Form responses 1'!$A$2:$A1001, "&lt;=2025-09-30"),
    COUNTIFS('Form responses 1'!$E$2:$E1001, A84, 'Form responses 1'!$A$2:$A1001, "&gt;=2025-07-01", 'Form responses 1'!$A$2:$A1001, "&lt;=2025-09-30"),
    COUNTIFS('Form responses 1'!$F$2:$F1001, A84, 'Form responses 1'!$A$2:$A1001, "&gt;=2025-07-01", 'Form responses 1'!$A$2:$A1001, "&lt;=2025-09-30"),
    COUNTIFS('Form responses 1'!$G$2:$G1001, A84, 'Form responses 1'!$A$2:$A1001, "&gt;=2025-07-01", 'Form responses 1'!$A$2:$A1001, "&lt;=2025-09-30")
)
</f>
        <v>0</v>
      </c>
      <c r="P84" s="2">
        <f>SUM(
    COUNTIFS('Form responses 1'!$C$2:$C1001, A84, 'Form responses 1'!$A$2:$A1001, "&gt;=2025-10-01", 'Form responses 1'!$A$2:$A1001, "&lt;=2025-12-31"),
    COUNTIFS('Form responses 1'!$B$2:$B1001, A84, 'Form responses 1'!$A$2:$A1001, "&gt;=2025-10-01", 'Form responses 1'!$A$2:$A1001, "&lt;=2025-12-31"),
    COUNTIFS('Form responses 1'!$D$2:$D1001, A84, 'Form responses 1'!$A$2:$A1001, "&gt;=2025-10-01", 'Form responses 1'!$A$2:$A1001, "&lt;=2025-12-31"),
    COUNTIFS('Form responses 1'!$E$2:$E1001, A84, 'Form responses 1'!$A$2:$A1001, "&gt;=2025-10-01", 'Form responses 1'!$A$2:$A1001, "&lt;=2025-12-31"),
    COUNTIFS('Form responses 1'!$F$2:$F1001, A84, 'Form responses 1'!$A$2:$A1001, "&gt;=2025-10-01", 'Form responses 1'!$A$2:$A1001, "&lt;=2025-12-31"),
    COUNTIFS('Form responses 1'!$G$2:$G1001, A84, 'Form responses 1'!$A$2:$A1001, "&gt;=2025-10-01", 'Form responses 1'!$A$2:$A1001, "&lt;=2025-12-31")
)
</f>
        <v>1</v>
      </c>
    </row>
    <row r="85">
      <c r="A85" s="3" t="str">
        <f>IFERROR(__xludf.DUMMYFUNCTION("""COMPUTED_VALUE"""),"Hardloopschoenen")</f>
        <v>Hardloopschoenen</v>
      </c>
      <c r="B85" s="2">
        <f>SUM(
    COUNTIFS('Form responses 1'!$C$2:$C1001, A85, 'Form responses 1'!$A$2:$A1001, "&gt;=2022-04-01", 'Form responses 1'!$A$2:$A1001, "&lt;=2022-06-30"),
    COUNTIFS('Form responses 1'!$B$2:$B1001, A85, 'Form responses 1'!$A$2:$A1001, "&gt;=2022-04-01", 'Form responses 1'!$A$2:$A1001, "&lt;=2022-06-30"),
    COUNTIFS('Form responses 1'!$D$2:$D1001, A85, 'Form responses 1'!$A$2:$A1001, "&gt;=2022-04-01", 'Form responses 1'!$A$2:$A1001, "&lt;=2022-06-30"),
    COUNTIFS('Form responses 1'!$E$2:$E1001, A85, 'Form responses 1'!$A$2:$A1001, "&gt;=2022-04-01", 'Form responses 1'!$A$2:$A1001, "&lt;=2022-06-30"),
    COUNTIFS('Form responses 1'!$F$2:$F1001, A85, 'Form responses 1'!$A$2:$A1001, "&gt;=2022-04-01", 'Form responses 1'!$A$2:$A1001, "&lt;=2022-06-30"),
    COUNTIFS('Form responses 1'!$G$2:$G1001, A85, 'Form responses 1'!$A$2:$A1001, "&gt;=2022-04-01", 'Form responses 1'!$A$2:$A1001, "&lt;=2022-06-30")
)
</f>
        <v>0</v>
      </c>
      <c r="C85" s="2">
        <f>SUM(
    COUNTIFS('Form responses 1'!$C$2:$C1001, A85, 'Form responses 1'!$A$2:$A1001, "&gt;=2022-07-01", 'Form responses 1'!$A$2:$A1001, "&lt;=2022-09-30"),
    COUNTIFS('Form responses 1'!$B$2:$B1001, A85, 'Form responses 1'!$A$2:$A1001, "&gt;=2022-07-01", 'Form responses 1'!$A$2:$A1001, "&lt;=2022-09-30"),
    COUNTIFS('Form responses 1'!$D$2:$D1001, A85, 'Form responses 1'!$A$2:$A1001, "&gt;=2022-07-01", 'Form responses 1'!$A$2:$A1001, "&lt;=2022-09-30"),
    COUNTIFS('Form responses 1'!$E$2:$E1001, A85, 'Form responses 1'!$A$2:$A1001, "&gt;=2022-07-01", 'Form responses 1'!$A$2:$A1001, "&lt;=2022-09-30"),
    COUNTIFS('Form responses 1'!$F$2:$F1001, A85, 'Form responses 1'!$A$2:$A1001, "&gt;=2022-07-01", 'Form responses 1'!$A$2:$A1001, "&lt;=2022-09-30"),
    COUNTIFS('Form responses 1'!$G$2:$G1001, A85, 'Form responses 1'!$A$2:$A1001, "&gt;=2022-07-01", 'Form responses 1'!$A$2:$A1001, "&lt;=2022-09-30")
)
</f>
        <v>0</v>
      </c>
      <c r="D85" s="2">
        <f>SUM(
    COUNTIFS('Form responses 1'!$C$2:$C1001, A85, 'Form responses 1'!$A$2:$A1001, "&gt;=2022-10-01", 'Form responses 1'!$A$2:$A1001, "&lt;=2022-12-31"),
    COUNTIFS('Form responses 1'!$B$2:$B1001, A85, 'Form responses 1'!$A$2:$A1001, "&gt;=2022-10-01", 'Form responses 1'!$A$2:$A1001, "&lt;=2022-12-31"),
    COUNTIFS('Form responses 1'!$D$2:$D1001, A85, 'Form responses 1'!$A$2:$A1001, "&gt;=2022-10-01", 'Form responses 1'!$A$2:$A1001, "&lt;=2022-12-31"),
    COUNTIFS('Form responses 1'!$E$2:$E1001, A85, 'Form responses 1'!$A$2:$A1001, "&gt;=2022-10-01", 'Form responses 1'!$A$2:$A1001, "&lt;=2022-12-31"),
    COUNTIFS('Form responses 1'!$F$2:$F1001, A85, 'Form responses 1'!$A$2:$A1001, "&gt;=2022-10-01", 'Form responses 1'!$A$2:$A1001, "&lt;=2022-12-31"),
    COUNTIFS('Form responses 1'!$G$2:$G1001, A85, 'Form responses 1'!$A$2:$A1001, "&gt;=2022-10-01", 'Form responses 1'!$A$2:$A1001, "&lt;=2022-12-31")
)
</f>
        <v>2</v>
      </c>
      <c r="E85" s="2">
        <f>SUM(
    COUNTIFS('Form responses 1'!$C$2:$C1001, A85, 'Form responses 1'!$A$2:$A1001, "&gt;=2023-01-01", 'Form responses 1'!$A$2:$A1001, "&lt;=2023-03-31"),
    COUNTIFS('Form responses 1'!$B$2:$B1001, A85, 'Form responses 1'!$A$2:$A1001, "&gt;=2023-01-01", 'Form responses 1'!$A$2:$A1001, "&lt;=2023-03-31"),
    COUNTIFS('Form responses 1'!$D$2:$D1001, A85, 'Form responses 1'!$A$2:$A1001, "&gt;=2023-01-01", 'Form responses 1'!$A$2:$A1001, "&lt;=2023-03-31"),
    COUNTIFS('Form responses 1'!$E$2:$E1001, A85, 'Form responses 1'!$A$2:$A1001, "&gt;=2023-01-01", 'Form responses 1'!$A$2:$A1001, "&lt;=2023-03-31"),
    COUNTIFS('Form responses 1'!$F$2:$F1001, A85, 'Form responses 1'!$A$2:$A1001, "&gt;=2023-01-01", 'Form responses 1'!$A$2:$A1001, "&lt;=2023-03-31"),
    COUNTIFS('Form responses 1'!$G$2:$G1001, A85, 'Form responses 1'!$A$2:$A1001, "&gt;=2023-01-01", 'Form responses 1'!$A$2:$A1001, "&lt;=2023-03-31")
)
</f>
        <v>4</v>
      </c>
      <c r="F85" s="2">
        <f>SUM(
    COUNTIFS('Form responses 1'!$C$2:$C1001, A85, 'Form responses 1'!$A$2:$A1001, "&gt;=2023-04-01", 'Form responses 1'!$A$2:$A1001, "&lt;=2023-06-30"),
    COUNTIFS('Form responses 1'!$B$2:$B1001, A85, 'Form responses 1'!$A$2:$A1001, "&gt;=2023-04-01", 'Form responses 1'!$A$2:$A1001, "&lt;=2023-06-30"),
    COUNTIFS('Form responses 1'!$D$2:$D1001, A85, 'Form responses 1'!$A$2:$A1001, "&gt;=2023-04-01", 'Form responses 1'!$A$2:$A1001, "&lt;=2023-06-30"),
    COUNTIFS('Form responses 1'!$E$2:$E1001, A85, 'Form responses 1'!$A$2:$A1001, "&gt;=2023-04-01", 'Form responses 1'!$A$2:$A1001, "&lt;=2023-06-30"),
    COUNTIFS('Form responses 1'!$F$2:$F1001, A85, 'Form responses 1'!$A$2:$A1001, "&gt;=2023-04-01", 'Form responses 1'!$A$2:$A1001, "&lt;=2023-06-30"),
    COUNTIFS('Form responses 1'!$G$2:$G1001, A85, 'Form responses 1'!$A$2:$A1001, "&gt;=2023-04-01", 'Form responses 1'!$A$2:$A1001, "&lt;=2023-06-30")
)
</f>
        <v>23</v>
      </c>
      <c r="G85" s="2">
        <f>SUM(
    COUNTIFS('Form responses 1'!$C$2:$C1001, A85, 'Form responses 1'!$A$2:$A1001, "&gt;=2023-07-01", 'Form responses 1'!$A$2:$A1001, "&lt;=2023-09-30"),
    COUNTIFS('Form responses 1'!$B$2:$B1001, A85, 'Form responses 1'!$A$2:$A1001, "&gt;=2023-07-01", 'Form responses 1'!$A$2:$A1001, "&lt;=2023-09-30"),
    COUNTIFS('Form responses 1'!$D$2:$D1001, A85, 'Form responses 1'!$A$2:$A1001, "&gt;=2023-07-01", 'Form responses 1'!$A$2:$A1001, "&lt;=2023-09-30"),
    COUNTIFS('Form responses 1'!$E$2:$E1001, A85, 'Form responses 1'!$A$2:$A1001, "&gt;=2023-07-01", 'Form responses 1'!$A$2:$A1001, "&lt;=2023-09-30"),
    COUNTIFS('Form responses 1'!$F$2:$F1001, A85, 'Form responses 1'!$A$2:$A1001, "&gt;=2023-07-01", 'Form responses 1'!$A$2:$A1001, "&lt;=2023-09-30"),
    COUNTIFS('Form responses 1'!$G$2:$G1001, A85, 'Form responses 1'!$A$2:$A1001, "&gt;=2023-07-01", 'Form responses 1'!$A$2:$A1001, "&lt;=2023-09-30")
)
</f>
        <v>17</v>
      </c>
      <c r="H85" s="2">
        <f>SUM(
    COUNTIFS('Form responses 1'!$C$2:$C1001, A85, 'Form responses 1'!$A$2:$A1001, "&gt;=2023-10-01", 'Form responses 1'!$A$2:$A1001, "&lt;=2023-12-31"),
    COUNTIFS('Form responses 1'!$B$2:$B1001, A85, 'Form responses 1'!$A$2:$A1001, "&gt;=2023-10-01", 'Form responses 1'!$A$2:$A1001, "&lt;=2023-12-31"),
    COUNTIFS('Form responses 1'!$D$2:$D1001, A85, 'Form responses 1'!$A$2:$A1001, "&gt;=2023-10-01", 'Form responses 1'!$A$2:$A1001, "&lt;=2023-12-31"),
    COUNTIFS('Form responses 1'!$E$2:$E1001, A85, 'Form responses 1'!$A$2:$A1001, "&gt;=2023-10-01", 'Form responses 1'!$A$2:$A1001, "&lt;=2023-12-31"),
    COUNTIFS('Form responses 1'!$F$2:$F1001, A85, 'Form responses 1'!$A$2:$A1001, "&gt;=2023-10-01", 'Form responses 1'!$A$2:$A1001, "&lt;=2023-12-31"),
    COUNTIFS('Form responses 1'!$G$2:$G1001, A85, 'Form responses 1'!$A$2:$A1001, "&gt;=2023-10-01", 'Form responses 1'!$A$2:$A1001, "&lt;=2023-12-31")
)
</f>
        <v>4</v>
      </c>
      <c r="I85" s="2">
        <f>SUM(
    COUNTIFS('Form responses 1'!$C$2:$C1001, A85, 'Form responses 1'!$A$2:$A1001, "&gt;=2024-01-01", 'Form responses 1'!$A$2:$A1001, "&lt;=2024-03-31"),
    COUNTIFS('Form responses 1'!$B$2:$B1001, A85, 'Form responses 1'!$A$2:$A1001, "&gt;=2024-01-01", 'Form responses 1'!$A$2:$A1001, "&lt;=2024-03-31"),
    COUNTIFS('Form responses 1'!$D$2:$D1001, A85, 'Form responses 1'!$A$2:$A1001, "&gt;=2024-01-01", 'Form responses 1'!$A$2:$A1001, "&lt;=2024-03-31"),
    COUNTIFS('Form responses 1'!$E$2:$E1001, A85, 'Form responses 1'!$A$2:$A1001, "&gt;=2024-01-01", 'Form responses 1'!$A$2:$A1001, "&lt;=2024-03-31"),
    COUNTIFS('Form responses 1'!$F$2:$F1001, A85, 'Form responses 1'!$A$2:$A1001, "&gt;=2024-01-01", 'Form responses 1'!$A$2:$A1001, "&lt;=2024-03-31"),
    COUNTIFS('Form responses 1'!$G$2:$G1001, A85, 'Form responses 1'!$A$2:$A1001, "&gt;=2024-01-01", 'Form responses 1'!$A$2:$A1001, "&lt;=2024-03-31")
)
</f>
        <v>0</v>
      </c>
      <c r="J85" s="2">
        <f>SUM(
    COUNTIFS('Form responses 1'!$C$2:$C1001, A85, 'Form responses 1'!$A$2:$A1001, "&gt;=2024-04-01", 'Form responses 1'!$A$2:$A1001, "&lt;=2024-06-30"),
    COUNTIFS('Form responses 1'!$B$2:$B1001, A85, 'Form responses 1'!$A$2:$A1001, "&gt;=2024-04-01", 'Form responses 1'!$A$2:$A1001, "&lt;=2024-06-30"),
    COUNTIFS('Form responses 1'!$D$2:$D1001, A85, 'Form responses 1'!$A$2:$A1001, "&gt;=2024-04-01", 'Form responses 1'!$A$2:$A1001, "&lt;=2024-06-30"),
    COUNTIFS('Form responses 1'!$E$2:$E1001, A85, 'Form responses 1'!$A$2:$A1001, "&gt;=2024-04-01", 'Form responses 1'!$A$2:$A1001, "&lt;=2024-06-30"),
    COUNTIFS('Form responses 1'!$F$2:$F1001, A85, 'Form responses 1'!$A$2:$A1001, "&gt;=2024-04-01", 'Form responses 1'!$A$2:$A1001, "&lt;=2024-06-30"),
    COUNTIFS('Form responses 1'!$G$2:$G1001, A85, 'Form responses 1'!$A$2:$A1001, "&gt;=2024-04-01", 'Form responses 1'!$A$2:$A1001, "&lt;=2024-06-30")
)
</f>
        <v>0</v>
      </c>
      <c r="K85" s="2">
        <f>SUM(
    COUNTIFS('Form responses 1'!$C$2:$C1001, A85, 'Form responses 1'!$A$2:$A1001, "&gt;=2024-07-01", 'Form responses 1'!$A$2:$A1001, "&lt;=2024-09-30"),
    COUNTIFS('Form responses 1'!$B$2:$B1001, A85, 'Form responses 1'!$A$2:$A1001, "&gt;=2024-07-01", 'Form responses 1'!$A$2:$A1001, "&lt;=2024-09-30"),
    COUNTIFS('Form responses 1'!$D$2:$D1001, A85, 'Form responses 1'!$A$2:$A1001, "&gt;=2024-07-01", 'Form responses 1'!$A$2:$A1001, "&lt;=2024-09-30"),
    COUNTIFS('Form responses 1'!$E$2:$E1001, A85, 'Form responses 1'!$A$2:$A1001, "&gt;=2024-07-01", 'Form responses 1'!$A$2:$A1001, "&lt;=2024-09-30"),
    COUNTIFS('Form responses 1'!$F$2:$F1001, A85, 'Form responses 1'!$A$2:$A1001, "&gt;=2024-07-01", 'Form responses 1'!$A$2:$A1001, "&lt;=2024-09-30"),
    COUNTIFS('Form responses 1'!$G$2:$G1001, A85, 'Form responses 1'!$A$2:$A1001, "&gt;=2024-07-01", 'Form responses 1'!$A$2:$A1001, "&lt;=2024-09-30")
)
</f>
        <v>24</v>
      </c>
      <c r="L85" s="2">
        <f>SUM(
    COUNTIFS('Form responses 1'!$C$2:$C1001, A85, 'Form responses 1'!$A$2:$A1001, "&gt;=2024-10-01", 'Form responses 1'!$A$2:$A1001, "&lt;=2024-12-31"),
    COUNTIFS('Form responses 1'!$B$2:$B1001, A85, 'Form responses 1'!$A$2:$A1001, "&gt;=2024-10-01", 'Form responses 1'!$A$2:$A1001, "&lt;=2024-12-31"),
    COUNTIFS('Form responses 1'!$D$2:$D1001, A85, 'Form responses 1'!$A$2:$A1001, "&gt;=2024-10-01", 'Form responses 1'!$A$2:$A1001, "&lt;=2024-12-31"),
    COUNTIFS('Form responses 1'!$E$2:$E1001, A85, 'Form responses 1'!$A$2:$A1001, "&gt;=2024-10-01", 'Form responses 1'!$A$2:$A1001, "&lt;=2024-12-31"),
    COUNTIFS('Form responses 1'!$F$2:$F1001, A85, 'Form responses 1'!$A$2:$A1001, "&gt;=2024-10-01", 'Form responses 1'!$A$2:$A1001, "&lt;=2024-12-31"),
    COUNTIFS('Form responses 1'!$G$2:$G1001, A85, 'Form responses 1'!$A$2:$A1001, "&gt;=2024-10-01", 'Form responses 1'!$A$2:$A1001, "&lt;=2024-12-31")
)
</f>
        <v>7</v>
      </c>
      <c r="M85" s="2">
        <f>SUM(
    COUNTIFS('Form responses 1'!$C$2:$C1001, A85, 'Form responses 1'!$A$2:$A1001, "&gt;=2025-01-01", 'Form responses 1'!$A$2:$A1001, "&lt;=2025-03-31"),
    COUNTIFS('Form responses 1'!$B$2:$B1001, A85, 'Form responses 1'!$A$2:$A1001, "&gt;=2025-01-01", 'Form responses 1'!$A$2:$A1001, "&lt;=2025-03-31"),
    COUNTIFS('Form responses 1'!$D$2:$D1001, A85, 'Form responses 1'!$A$2:$A1001, "&gt;=2025-01-01", 'Form responses 1'!$A$2:$A1001, "&lt;=2025-03-31"),
    COUNTIFS('Form responses 1'!$E$2:$E1001, A85, 'Form responses 1'!$A$2:$A1001, "&gt;=2025-01-01", 'Form responses 1'!$A$2:$A1001, "&lt;=2025-03-31"),
    COUNTIFS('Form responses 1'!$F$2:$F1001, A85, 'Form responses 1'!$A$2:$A1001, "&gt;=2025-01-01", 'Form responses 1'!$A$2:$A1001, "&lt;=2025-03-31"),
    COUNTIFS('Form responses 1'!$G$2:$G1001, A85, 'Form responses 1'!$A$2:$A1001, "&gt;=2025-01-01", 'Form responses 1'!$A$2:$A1001, "&lt;=2025-03-31")
)
</f>
        <v>13</v>
      </c>
      <c r="N85" s="2">
        <f>SUM(
    COUNTIFS('Form responses 1'!$C$2:$C1001, A85, 'Form responses 1'!$A$2:$A1001, "&gt;=2025-04-01", 'Form responses 1'!$A$2:$A1001, "&lt;2025-07-01"),
    COUNTIFS('Form responses 1'!$B$2:$B1001, A85, 'Form responses 1'!$A$2:$A1001, "&gt;=2025-04-01", 'Form responses 1'!$A$2:$A1001, "&lt;2025-07-01"),
    COUNTIFS('Form responses 1'!$D$2:$D1001, A85, 'Form responses 1'!$A$2:$A1001, "&gt;=2025-04-01", 'Form responses 1'!$A$2:$A1001, "&lt;2025-07-01"),
    COUNTIFS('Form responses 1'!$E$2:$E1001, A85, 'Form responses 1'!$A$2:$A1001, "&gt;=2025-04-01", 'Form responses 1'!$A$2:$A1001, "&lt;2025-07-01"),
    COUNTIFS('Form responses 1'!$F$2:$F1001, A85, 'Form responses 1'!$A$2:$A1001, "&gt;=2025-04-01", 'Form responses 1'!$A$2:$A1001, "&lt;2025-07-01"),
    COUNTIFS('Form responses 1'!$G$2:$G1001, A85, 'Form responses 1'!$A$2:$A1001, "&gt;=2025-04-01", 'Form responses 1'!$A$2:$A1001, "&lt;2025-07-01")
)
</f>
        <v>2</v>
      </c>
      <c r="O85" s="2">
        <f>SUM(
    COUNTIFS('Form responses 1'!$C$2:$C1001, A85, 'Form responses 1'!$A$2:$A1001, "&gt;=2025-07-01", 'Form responses 1'!$A$2:$A1001, "&lt;=2025-09-30"),
    COUNTIFS('Form responses 1'!$B$2:$B1001, A85, 'Form responses 1'!$A$2:$A1001, "&gt;=2025-07-01", 'Form responses 1'!$A$2:$A1001, "&lt;=2025-09-30"),
    COUNTIFS('Form responses 1'!$D$2:$D1001, A85, 'Form responses 1'!$A$2:$A1001, "&gt;=2025-07-01", 'Form responses 1'!$A$2:$A1001, "&lt;=2025-09-30"),
    COUNTIFS('Form responses 1'!$E$2:$E1001, A85, 'Form responses 1'!$A$2:$A1001, "&gt;=2025-07-01", 'Form responses 1'!$A$2:$A1001, "&lt;=2025-09-30"),
    COUNTIFS('Form responses 1'!$F$2:$F1001, A85, 'Form responses 1'!$A$2:$A1001, "&gt;=2025-07-01", 'Form responses 1'!$A$2:$A1001, "&lt;=2025-09-30"),
    COUNTIFS('Form responses 1'!$G$2:$G1001, A85, 'Form responses 1'!$A$2:$A1001, "&gt;=2025-07-01", 'Form responses 1'!$A$2:$A1001, "&lt;=2025-09-30")
)
</f>
        <v>4</v>
      </c>
      <c r="P85" s="2">
        <f>SUM(
    COUNTIFS('Form responses 1'!$C$2:$C1001, A85, 'Form responses 1'!$A$2:$A1001, "&gt;=2025-10-01", 'Form responses 1'!$A$2:$A1001, "&lt;=2025-12-31"),
    COUNTIFS('Form responses 1'!$B$2:$B1001, A85, 'Form responses 1'!$A$2:$A1001, "&gt;=2025-10-01", 'Form responses 1'!$A$2:$A1001, "&lt;=2025-12-31"),
    COUNTIFS('Form responses 1'!$D$2:$D1001, A85, 'Form responses 1'!$A$2:$A1001, "&gt;=2025-10-01", 'Form responses 1'!$A$2:$A1001, "&lt;=2025-12-31"),
    COUNTIFS('Form responses 1'!$E$2:$E1001, A85, 'Form responses 1'!$A$2:$A1001, "&gt;=2025-10-01", 'Form responses 1'!$A$2:$A1001, "&lt;=2025-12-31"),
    COUNTIFS('Form responses 1'!$F$2:$F1001, A85, 'Form responses 1'!$A$2:$A1001, "&gt;=2025-10-01", 'Form responses 1'!$A$2:$A1001, "&lt;=2025-12-31"),
    COUNTIFS('Form responses 1'!$G$2:$G1001, A85, 'Form responses 1'!$A$2:$A1001, "&gt;=2025-10-01", 'Form responses 1'!$A$2:$A1001, "&lt;=2025-12-31")
)
</f>
        <v>8</v>
      </c>
    </row>
    <row r="86">
      <c r="A86" s="3" t="str">
        <f>IFERROR(__xludf.DUMMYFUNCTION("""COMPUTED_VALUE"""),"Blauwe Uniqlo sweater")</f>
        <v>Blauwe Uniqlo sweater</v>
      </c>
      <c r="B86" s="2">
        <f>SUM(
    COUNTIFS('Form responses 1'!$C$2:$C1001, A86, 'Form responses 1'!$A$2:$A1001, "&gt;=2022-04-01", 'Form responses 1'!$A$2:$A1001, "&lt;=2022-06-30"),
    COUNTIFS('Form responses 1'!$B$2:$B1001, A86, 'Form responses 1'!$A$2:$A1001, "&gt;=2022-04-01", 'Form responses 1'!$A$2:$A1001, "&lt;=2022-06-30"),
    COUNTIFS('Form responses 1'!$D$2:$D1001, A86, 'Form responses 1'!$A$2:$A1001, "&gt;=2022-04-01", 'Form responses 1'!$A$2:$A1001, "&lt;=2022-06-30"),
    COUNTIFS('Form responses 1'!$E$2:$E1001, A86, 'Form responses 1'!$A$2:$A1001, "&gt;=2022-04-01", 'Form responses 1'!$A$2:$A1001, "&lt;=2022-06-30"),
    COUNTIFS('Form responses 1'!$F$2:$F1001, A86, 'Form responses 1'!$A$2:$A1001, "&gt;=2022-04-01", 'Form responses 1'!$A$2:$A1001, "&lt;=2022-06-30"),
    COUNTIFS('Form responses 1'!$G$2:$G1001, A86, 'Form responses 1'!$A$2:$A1001, "&gt;=2022-04-01", 'Form responses 1'!$A$2:$A1001, "&lt;=2022-06-30")
)
</f>
        <v>0</v>
      </c>
      <c r="C86" s="2">
        <f>SUM(
    COUNTIFS('Form responses 1'!$C$2:$C1001, A86, 'Form responses 1'!$A$2:$A1001, "&gt;=2022-07-01", 'Form responses 1'!$A$2:$A1001, "&lt;=2022-09-30"),
    COUNTIFS('Form responses 1'!$B$2:$B1001, A86, 'Form responses 1'!$A$2:$A1001, "&gt;=2022-07-01", 'Form responses 1'!$A$2:$A1001, "&lt;=2022-09-30"),
    COUNTIFS('Form responses 1'!$D$2:$D1001, A86, 'Form responses 1'!$A$2:$A1001, "&gt;=2022-07-01", 'Form responses 1'!$A$2:$A1001, "&lt;=2022-09-30"),
    COUNTIFS('Form responses 1'!$E$2:$E1001, A86, 'Form responses 1'!$A$2:$A1001, "&gt;=2022-07-01", 'Form responses 1'!$A$2:$A1001, "&lt;=2022-09-30"),
    COUNTIFS('Form responses 1'!$F$2:$F1001, A86, 'Form responses 1'!$A$2:$A1001, "&gt;=2022-07-01", 'Form responses 1'!$A$2:$A1001, "&lt;=2022-09-30"),
    COUNTIFS('Form responses 1'!$G$2:$G1001, A86, 'Form responses 1'!$A$2:$A1001, "&gt;=2022-07-01", 'Form responses 1'!$A$2:$A1001, "&lt;=2022-09-30")
)
</f>
        <v>0</v>
      </c>
      <c r="D86" s="2">
        <f>SUM(
    COUNTIFS('Form responses 1'!$C$2:$C1001, A86, 'Form responses 1'!$A$2:$A1001, "&gt;=2022-10-01", 'Form responses 1'!$A$2:$A1001, "&lt;=2022-12-31"),
    COUNTIFS('Form responses 1'!$B$2:$B1001, A86, 'Form responses 1'!$A$2:$A1001, "&gt;=2022-10-01", 'Form responses 1'!$A$2:$A1001, "&lt;=2022-12-31"),
    COUNTIFS('Form responses 1'!$D$2:$D1001, A86, 'Form responses 1'!$A$2:$A1001, "&gt;=2022-10-01", 'Form responses 1'!$A$2:$A1001, "&lt;=2022-12-31"),
    COUNTIFS('Form responses 1'!$E$2:$E1001, A86, 'Form responses 1'!$A$2:$A1001, "&gt;=2022-10-01", 'Form responses 1'!$A$2:$A1001, "&lt;=2022-12-31"),
    COUNTIFS('Form responses 1'!$F$2:$F1001, A86, 'Form responses 1'!$A$2:$A1001, "&gt;=2022-10-01", 'Form responses 1'!$A$2:$A1001, "&lt;=2022-12-31"),
    COUNTIFS('Form responses 1'!$G$2:$G1001, A86, 'Form responses 1'!$A$2:$A1001, "&gt;=2022-10-01", 'Form responses 1'!$A$2:$A1001, "&lt;=2022-12-31")
)
</f>
        <v>0</v>
      </c>
      <c r="E86" s="2">
        <f>SUM(
    COUNTIFS('Form responses 1'!$C$2:$C1001, A86, 'Form responses 1'!$A$2:$A1001, "&gt;=2023-01-01", 'Form responses 1'!$A$2:$A1001, "&lt;=2023-03-31"),
    COUNTIFS('Form responses 1'!$B$2:$B1001, A86, 'Form responses 1'!$A$2:$A1001, "&gt;=2023-01-01", 'Form responses 1'!$A$2:$A1001, "&lt;=2023-03-31"),
    COUNTIFS('Form responses 1'!$D$2:$D1001, A86, 'Form responses 1'!$A$2:$A1001, "&gt;=2023-01-01", 'Form responses 1'!$A$2:$A1001, "&lt;=2023-03-31"),
    COUNTIFS('Form responses 1'!$E$2:$E1001, A86, 'Form responses 1'!$A$2:$A1001, "&gt;=2023-01-01", 'Form responses 1'!$A$2:$A1001, "&lt;=2023-03-31"),
    COUNTIFS('Form responses 1'!$F$2:$F1001, A86, 'Form responses 1'!$A$2:$A1001, "&gt;=2023-01-01", 'Form responses 1'!$A$2:$A1001, "&lt;=2023-03-31"),
    COUNTIFS('Form responses 1'!$G$2:$G1001, A86, 'Form responses 1'!$A$2:$A1001, "&gt;=2023-01-01", 'Form responses 1'!$A$2:$A1001, "&lt;=2023-03-31")
)
</f>
        <v>0</v>
      </c>
      <c r="F86" s="2">
        <f>SUM(
    COUNTIFS('Form responses 1'!$C$2:$C1001, A86, 'Form responses 1'!$A$2:$A1001, "&gt;=2023-04-01", 'Form responses 1'!$A$2:$A1001, "&lt;=2023-06-30"),
    COUNTIFS('Form responses 1'!$B$2:$B1001, A86, 'Form responses 1'!$A$2:$A1001, "&gt;=2023-04-01", 'Form responses 1'!$A$2:$A1001, "&lt;=2023-06-30"),
    COUNTIFS('Form responses 1'!$D$2:$D1001, A86, 'Form responses 1'!$A$2:$A1001, "&gt;=2023-04-01", 'Form responses 1'!$A$2:$A1001, "&lt;=2023-06-30"),
    COUNTIFS('Form responses 1'!$E$2:$E1001, A86, 'Form responses 1'!$A$2:$A1001, "&gt;=2023-04-01", 'Form responses 1'!$A$2:$A1001, "&lt;=2023-06-30"),
    COUNTIFS('Form responses 1'!$F$2:$F1001, A86, 'Form responses 1'!$A$2:$A1001, "&gt;=2023-04-01", 'Form responses 1'!$A$2:$A1001, "&lt;=2023-06-30"),
    COUNTIFS('Form responses 1'!$G$2:$G1001, A86, 'Form responses 1'!$A$2:$A1001, "&gt;=2023-04-01", 'Form responses 1'!$A$2:$A1001, "&lt;=2023-06-30")
)
</f>
        <v>0</v>
      </c>
      <c r="G86" s="2">
        <f>SUM(
    COUNTIFS('Form responses 1'!$C$2:$C1001, A86, 'Form responses 1'!$A$2:$A1001, "&gt;=2023-07-01", 'Form responses 1'!$A$2:$A1001, "&lt;=2023-09-30"),
    COUNTIFS('Form responses 1'!$B$2:$B1001, A86, 'Form responses 1'!$A$2:$A1001, "&gt;=2023-07-01", 'Form responses 1'!$A$2:$A1001, "&lt;=2023-09-30"),
    COUNTIFS('Form responses 1'!$D$2:$D1001, A86, 'Form responses 1'!$A$2:$A1001, "&gt;=2023-07-01", 'Form responses 1'!$A$2:$A1001, "&lt;=2023-09-30"),
    COUNTIFS('Form responses 1'!$E$2:$E1001, A86, 'Form responses 1'!$A$2:$A1001, "&gt;=2023-07-01", 'Form responses 1'!$A$2:$A1001, "&lt;=2023-09-30"),
    COUNTIFS('Form responses 1'!$F$2:$F1001, A86, 'Form responses 1'!$A$2:$A1001, "&gt;=2023-07-01", 'Form responses 1'!$A$2:$A1001, "&lt;=2023-09-30"),
    COUNTIFS('Form responses 1'!$G$2:$G1001, A86, 'Form responses 1'!$A$2:$A1001, "&gt;=2023-07-01", 'Form responses 1'!$A$2:$A1001, "&lt;=2023-09-30")
)
</f>
        <v>0</v>
      </c>
      <c r="H86" s="2">
        <f>SUM(
    COUNTIFS('Form responses 1'!$C$2:$C1001, A86, 'Form responses 1'!$A$2:$A1001, "&gt;=2023-10-01", 'Form responses 1'!$A$2:$A1001, "&lt;=2023-12-31"),
    COUNTIFS('Form responses 1'!$B$2:$B1001, A86, 'Form responses 1'!$A$2:$A1001, "&gt;=2023-10-01", 'Form responses 1'!$A$2:$A1001, "&lt;=2023-12-31"),
    COUNTIFS('Form responses 1'!$D$2:$D1001, A86, 'Form responses 1'!$A$2:$A1001, "&gt;=2023-10-01", 'Form responses 1'!$A$2:$A1001, "&lt;=2023-12-31"),
    COUNTIFS('Form responses 1'!$E$2:$E1001, A86, 'Form responses 1'!$A$2:$A1001, "&gt;=2023-10-01", 'Form responses 1'!$A$2:$A1001, "&lt;=2023-12-31"),
    COUNTIFS('Form responses 1'!$F$2:$F1001, A86, 'Form responses 1'!$A$2:$A1001, "&gt;=2023-10-01", 'Form responses 1'!$A$2:$A1001, "&lt;=2023-12-31"),
    COUNTIFS('Form responses 1'!$G$2:$G1001, A86, 'Form responses 1'!$A$2:$A1001, "&gt;=2023-10-01", 'Form responses 1'!$A$2:$A1001, "&lt;=2023-12-31")
)
</f>
        <v>0</v>
      </c>
      <c r="I86" s="2">
        <f>SUM(
    COUNTIFS('Form responses 1'!$C$2:$C1001, A86, 'Form responses 1'!$A$2:$A1001, "&gt;=2024-01-01", 'Form responses 1'!$A$2:$A1001, "&lt;=2024-03-31"),
    COUNTIFS('Form responses 1'!$B$2:$B1001, A86, 'Form responses 1'!$A$2:$A1001, "&gt;=2024-01-01", 'Form responses 1'!$A$2:$A1001, "&lt;=2024-03-31"),
    COUNTIFS('Form responses 1'!$D$2:$D1001, A86, 'Form responses 1'!$A$2:$A1001, "&gt;=2024-01-01", 'Form responses 1'!$A$2:$A1001, "&lt;=2024-03-31"),
    COUNTIFS('Form responses 1'!$E$2:$E1001, A86, 'Form responses 1'!$A$2:$A1001, "&gt;=2024-01-01", 'Form responses 1'!$A$2:$A1001, "&lt;=2024-03-31"),
    COUNTIFS('Form responses 1'!$F$2:$F1001, A86, 'Form responses 1'!$A$2:$A1001, "&gt;=2024-01-01", 'Form responses 1'!$A$2:$A1001, "&lt;=2024-03-31"),
    COUNTIFS('Form responses 1'!$G$2:$G1001, A86, 'Form responses 1'!$A$2:$A1001, "&gt;=2024-01-01", 'Form responses 1'!$A$2:$A1001, "&lt;=2024-03-31")
)
</f>
        <v>0</v>
      </c>
      <c r="J86" s="2">
        <f>SUM(
    COUNTIFS('Form responses 1'!$C$2:$C1001, A86, 'Form responses 1'!$A$2:$A1001, "&gt;=2024-04-01", 'Form responses 1'!$A$2:$A1001, "&lt;=2024-06-30"),
    COUNTIFS('Form responses 1'!$B$2:$B1001, A86, 'Form responses 1'!$A$2:$A1001, "&gt;=2024-04-01", 'Form responses 1'!$A$2:$A1001, "&lt;=2024-06-30"),
    COUNTIFS('Form responses 1'!$D$2:$D1001, A86, 'Form responses 1'!$A$2:$A1001, "&gt;=2024-04-01", 'Form responses 1'!$A$2:$A1001, "&lt;=2024-06-30"),
    COUNTIFS('Form responses 1'!$E$2:$E1001, A86, 'Form responses 1'!$A$2:$A1001, "&gt;=2024-04-01", 'Form responses 1'!$A$2:$A1001, "&lt;=2024-06-30"),
    COUNTIFS('Form responses 1'!$F$2:$F1001, A86, 'Form responses 1'!$A$2:$A1001, "&gt;=2024-04-01", 'Form responses 1'!$A$2:$A1001, "&lt;=2024-06-30"),
    COUNTIFS('Form responses 1'!$G$2:$G1001, A86, 'Form responses 1'!$A$2:$A1001, "&gt;=2024-04-01", 'Form responses 1'!$A$2:$A1001, "&lt;=2024-06-30")
)
</f>
        <v>0</v>
      </c>
      <c r="K86" s="2">
        <f>SUM(
    COUNTIFS('Form responses 1'!$C$2:$C1001, A86, 'Form responses 1'!$A$2:$A1001, "&gt;=2024-07-01", 'Form responses 1'!$A$2:$A1001, "&lt;=2024-09-30"),
    COUNTIFS('Form responses 1'!$B$2:$B1001, A86, 'Form responses 1'!$A$2:$A1001, "&gt;=2024-07-01", 'Form responses 1'!$A$2:$A1001, "&lt;=2024-09-30"),
    COUNTIFS('Form responses 1'!$D$2:$D1001, A86, 'Form responses 1'!$A$2:$A1001, "&gt;=2024-07-01", 'Form responses 1'!$A$2:$A1001, "&lt;=2024-09-30"),
    COUNTIFS('Form responses 1'!$E$2:$E1001, A86, 'Form responses 1'!$A$2:$A1001, "&gt;=2024-07-01", 'Form responses 1'!$A$2:$A1001, "&lt;=2024-09-30"),
    COUNTIFS('Form responses 1'!$F$2:$F1001, A86, 'Form responses 1'!$A$2:$A1001, "&gt;=2024-07-01", 'Form responses 1'!$A$2:$A1001, "&lt;=2024-09-30"),
    COUNTIFS('Form responses 1'!$G$2:$G1001, A86, 'Form responses 1'!$A$2:$A1001, "&gt;=2024-07-01", 'Form responses 1'!$A$2:$A1001, "&lt;=2024-09-30")
)
</f>
        <v>0</v>
      </c>
      <c r="L86" s="2">
        <f>SUM(
    COUNTIFS('Form responses 1'!$C$2:$C1001, A86, 'Form responses 1'!$A$2:$A1001, "&gt;=2024-10-01", 'Form responses 1'!$A$2:$A1001, "&lt;=2024-12-31"),
    COUNTIFS('Form responses 1'!$B$2:$B1001, A86, 'Form responses 1'!$A$2:$A1001, "&gt;=2024-10-01", 'Form responses 1'!$A$2:$A1001, "&lt;=2024-12-31"),
    COUNTIFS('Form responses 1'!$D$2:$D1001, A86, 'Form responses 1'!$A$2:$A1001, "&gt;=2024-10-01", 'Form responses 1'!$A$2:$A1001, "&lt;=2024-12-31"),
    COUNTIFS('Form responses 1'!$E$2:$E1001, A86, 'Form responses 1'!$A$2:$A1001, "&gt;=2024-10-01", 'Form responses 1'!$A$2:$A1001, "&lt;=2024-12-31"),
    COUNTIFS('Form responses 1'!$F$2:$F1001, A86, 'Form responses 1'!$A$2:$A1001, "&gt;=2024-10-01", 'Form responses 1'!$A$2:$A1001, "&lt;=2024-12-31"),
    COUNTIFS('Form responses 1'!$G$2:$G1001, A86, 'Form responses 1'!$A$2:$A1001, "&gt;=2024-10-01", 'Form responses 1'!$A$2:$A1001, "&lt;=2024-12-31")
)
</f>
        <v>0</v>
      </c>
      <c r="M86" s="2">
        <f>SUM(
    COUNTIFS('Form responses 1'!$C$2:$C1001, A86, 'Form responses 1'!$A$2:$A1001, "&gt;=2025-01-01", 'Form responses 1'!$A$2:$A1001, "&lt;=2025-03-31"),
    COUNTIFS('Form responses 1'!$B$2:$B1001, A86, 'Form responses 1'!$A$2:$A1001, "&gt;=2025-01-01", 'Form responses 1'!$A$2:$A1001, "&lt;=2025-03-31"),
    COUNTIFS('Form responses 1'!$D$2:$D1001, A86, 'Form responses 1'!$A$2:$A1001, "&gt;=2025-01-01", 'Form responses 1'!$A$2:$A1001, "&lt;=2025-03-31"),
    COUNTIFS('Form responses 1'!$E$2:$E1001, A86, 'Form responses 1'!$A$2:$A1001, "&gt;=2025-01-01", 'Form responses 1'!$A$2:$A1001, "&lt;=2025-03-31"),
    COUNTIFS('Form responses 1'!$F$2:$F1001, A86, 'Form responses 1'!$A$2:$A1001, "&gt;=2025-01-01", 'Form responses 1'!$A$2:$A1001, "&lt;=2025-03-31"),
    COUNTIFS('Form responses 1'!$G$2:$G1001, A86, 'Form responses 1'!$A$2:$A1001, "&gt;=2025-01-01", 'Form responses 1'!$A$2:$A1001, "&lt;=2025-03-31")
)
</f>
        <v>0</v>
      </c>
      <c r="N86" s="2">
        <f>SUM(
    COUNTIFS('Form responses 1'!$C$2:$C1001, A86, 'Form responses 1'!$A$2:$A1001, "&gt;=2025-04-01", 'Form responses 1'!$A$2:$A1001, "&lt;2025-07-01"),
    COUNTIFS('Form responses 1'!$B$2:$B1001, A86, 'Form responses 1'!$A$2:$A1001, "&gt;=2025-04-01", 'Form responses 1'!$A$2:$A1001, "&lt;2025-07-01"),
    COUNTIFS('Form responses 1'!$D$2:$D1001, A86, 'Form responses 1'!$A$2:$A1001, "&gt;=2025-04-01", 'Form responses 1'!$A$2:$A1001, "&lt;2025-07-01"),
    COUNTIFS('Form responses 1'!$E$2:$E1001, A86, 'Form responses 1'!$A$2:$A1001, "&gt;=2025-04-01", 'Form responses 1'!$A$2:$A1001, "&lt;2025-07-01"),
    COUNTIFS('Form responses 1'!$F$2:$F1001, A86, 'Form responses 1'!$A$2:$A1001, "&gt;=2025-04-01", 'Form responses 1'!$A$2:$A1001, "&lt;2025-07-01"),
    COUNTIFS('Form responses 1'!$G$2:$G1001, A86, 'Form responses 1'!$A$2:$A1001, "&gt;=2025-04-01", 'Form responses 1'!$A$2:$A1001, "&lt;2025-07-01")
)
</f>
        <v>15</v>
      </c>
      <c r="O86" s="2">
        <f>SUM(
    COUNTIFS('Form responses 1'!$C$2:$C1001, A86, 'Form responses 1'!$A$2:$A1001, "&gt;=2025-07-01", 'Form responses 1'!$A$2:$A1001, "&lt;=2025-09-30"),
    COUNTIFS('Form responses 1'!$B$2:$B1001, A86, 'Form responses 1'!$A$2:$A1001, "&gt;=2025-07-01", 'Form responses 1'!$A$2:$A1001, "&lt;=2025-09-30"),
    COUNTIFS('Form responses 1'!$D$2:$D1001, A86, 'Form responses 1'!$A$2:$A1001, "&gt;=2025-07-01", 'Form responses 1'!$A$2:$A1001, "&lt;=2025-09-30"),
    COUNTIFS('Form responses 1'!$E$2:$E1001, A86, 'Form responses 1'!$A$2:$A1001, "&gt;=2025-07-01", 'Form responses 1'!$A$2:$A1001, "&lt;=2025-09-30"),
    COUNTIFS('Form responses 1'!$F$2:$F1001, A86, 'Form responses 1'!$A$2:$A1001, "&gt;=2025-07-01", 'Form responses 1'!$A$2:$A1001, "&lt;=2025-09-30"),
    COUNTIFS('Form responses 1'!$G$2:$G1001, A86, 'Form responses 1'!$A$2:$A1001, "&gt;=2025-07-01", 'Form responses 1'!$A$2:$A1001, "&lt;=2025-09-30")
)
</f>
        <v>5</v>
      </c>
      <c r="P86" s="2">
        <f>SUM(
    COUNTIFS('Form responses 1'!$C$2:$C1001, A86, 'Form responses 1'!$A$2:$A1001, "&gt;=2025-10-01", 'Form responses 1'!$A$2:$A1001, "&lt;=2025-12-31"),
    COUNTIFS('Form responses 1'!$B$2:$B1001, A86, 'Form responses 1'!$A$2:$A1001, "&gt;=2025-10-01", 'Form responses 1'!$A$2:$A1001, "&lt;=2025-12-31"),
    COUNTIFS('Form responses 1'!$D$2:$D1001, A86, 'Form responses 1'!$A$2:$A1001, "&gt;=2025-10-01", 'Form responses 1'!$A$2:$A1001, "&lt;=2025-12-31"),
    COUNTIFS('Form responses 1'!$E$2:$E1001, A86, 'Form responses 1'!$A$2:$A1001, "&gt;=2025-10-01", 'Form responses 1'!$A$2:$A1001, "&lt;=2025-12-31"),
    COUNTIFS('Form responses 1'!$F$2:$F1001, A86, 'Form responses 1'!$A$2:$A1001, "&gt;=2025-10-01", 'Form responses 1'!$A$2:$A1001, "&lt;=2025-12-31"),
    COUNTIFS('Form responses 1'!$G$2:$G1001, A86, 'Form responses 1'!$A$2:$A1001, "&gt;=2025-10-01", 'Form responses 1'!$A$2:$A1001, "&lt;=2025-12-31")
)
</f>
        <v>9</v>
      </c>
    </row>
    <row r="87">
      <c r="A87" s="3" t="str">
        <f>IFERROR(__xludf.DUMMYFUNCTION("""COMPUTED_VALUE"""),"Bruine Van Lier")</f>
        <v>Bruine Van Lier</v>
      </c>
      <c r="B87" s="2">
        <f>SUM(
    COUNTIFS('Form responses 1'!$C$2:$C1001, A87, 'Form responses 1'!$A$2:$A1001, "&gt;=2022-04-01", 'Form responses 1'!$A$2:$A1001, "&lt;=2022-06-30"),
    COUNTIFS('Form responses 1'!$B$2:$B1001, A87, 'Form responses 1'!$A$2:$A1001, "&gt;=2022-04-01", 'Form responses 1'!$A$2:$A1001, "&lt;=2022-06-30"),
    COUNTIFS('Form responses 1'!$D$2:$D1001, A87, 'Form responses 1'!$A$2:$A1001, "&gt;=2022-04-01", 'Form responses 1'!$A$2:$A1001, "&lt;=2022-06-30"),
    COUNTIFS('Form responses 1'!$E$2:$E1001, A87, 'Form responses 1'!$A$2:$A1001, "&gt;=2022-04-01", 'Form responses 1'!$A$2:$A1001, "&lt;=2022-06-30"),
    COUNTIFS('Form responses 1'!$F$2:$F1001, A87, 'Form responses 1'!$A$2:$A1001, "&gt;=2022-04-01", 'Form responses 1'!$A$2:$A1001, "&lt;=2022-06-30"),
    COUNTIFS('Form responses 1'!$G$2:$G1001, A87, 'Form responses 1'!$A$2:$A1001, "&gt;=2022-04-01", 'Form responses 1'!$A$2:$A1001, "&lt;=2022-06-30")
)
</f>
        <v>0</v>
      </c>
      <c r="C87" s="2">
        <f>SUM(
    COUNTIFS('Form responses 1'!$C$2:$C1001, A87, 'Form responses 1'!$A$2:$A1001, "&gt;=2022-07-01", 'Form responses 1'!$A$2:$A1001, "&lt;=2022-09-30"),
    COUNTIFS('Form responses 1'!$B$2:$B1001, A87, 'Form responses 1'!$A$2:$A1001, "&gt;=2022-07-01", 'Form responses 1'!$A$2:$A1001, "&lt;=2022-09-30"),
    COUNTIFS('Form responses 1'!$D$2:$D1001, A87, 'Form responses 1'!$A$2:$A1001, "&gt;=2022-07-01", 'Form responses 1'!$A$2:$A1001, "&lt;=2022-09-30"),
    COUNTIFS('Form responses 1'!$E$2:$E1001, A87, 'Form responses 1'!$A$2:$A1001, "&gt;=2022-07-01", 'Form responses 1'!$A$2:$A1001, "&lt;=2022-09-30"),
    COUNTIFS('Form responses 1'!$F$2:$F1001, A87, 'Form responses 1'!$A$2:$A1001, "&gt;=2022-07-01", 'Form responses 1'!$A$2:$A1001, "&lt;=2022-09-30"),
    COUNTIFS('Form responses 1'!$G$2:$G1001, A87, 'Form responses 1'!$A$2:$A1001, "&gt;=2022-07-01", 'Form responses 1'!$A$2:$A1001, "&lt;=2022-09-30")
)
</f>
        <v>0</v>
      </c>
      <c r="D87" s="2">
        <f>SUM(
    COUNTIFS('Form responses 1'!$C$2:$C1001, A87, 'Form responses 1'!$A$2:$A1001, "&gt;=2022-10-01", 'Form responses 1'!$A$2:$A1001, "&lt;=2022-12-31"),
    COUNTIFS('Form responses 1'!$B$2:$B1001, A87, 'Form responses 1'!$A$2:$A1001, "&gt;=2022-10-01", 'Form responses 1'!$A$2:$A1001, "&lt;=2022-12-31"),
    COUNTIFS('Form responses 1'!$D$2:$D1001, A87, 'Form responses 1'!$A$2:$A1001, "&gt;=2022-10-01", 'Form responses 1'!$A$2:$A1001, "&lt;=2022-12-31"),
    COUNTIFS('Form responses 1'!$E$2:$E1001, A87, 'Form responses 1'!$A$2:$A1001, "&gt;=2022-10-01", 'Form responses 1'!$A$2:$A1001, "&lt;=2022-12-31"),
    COUNTIFS('Form responses 1'!$F$2:$F1001, A87, 'Form responses 1'!$A$2:$A1001, "&gt;=2022-10-01", 'Form responses 1'!$A$2:$A1001, "&lt;=2022-12-31"),
    COUNTIFS('Form responses 1'!$G$2:$G1001, A87, 'Form responses 1'!$A$2:$A1001, "&gt;=2022-10-01", 'Form responses 1'!$A$2:$A1001, "&lt;=2022-12-31")
)
</f>
        <v>0</v>
      </c>
      <c r="E87" s="2">
        <f>SUM(
    COUNTIFS('Form responses 1'!$C$2:$C1001, A87, 'Form responses 1'!$A$2:$A1001, "&gt;=2023-01-01", 'Form responses 1'!$A$2:$A1001, "&lt;=2023-03-31"),
    COUNTIFS('Form responses 1'!$B$2:$B1001, A87, 'Form responses 1'!$A$2:$A1001, "&gt;=2023-01-01", 'Form responses 1'!$A$2:$A1001, "&lt;=2023-03-31"),
    COUNTIFS('Form responses 1'!$D$2:$D1001, A87, 'Form responses 1'!$A$2:$A1001, "&gt;=2023-01-01", 'Form responses 1'!$A$2:$A1001, "&lt;=2023-03-31"),
    COUNTIFS('Form responses 1'!$E$2:$E1001, A87, 'Form responses 1'!$A$2:$A1001, "&gt;=2023-01-01", 'Form responses 1'!$A$2:$A1001, "&lt;=2023-03-31"),
    COUNTIFS('Form responses 1'!$F$2:$F1001, A87, 'Form responses 1'!$A$2:$A1001, "&gt;=2023-01-01", 'Form responses 1'!$A$2:$A1001, "&lt;=2023-03-31"),
    COUNTIFS('Form responses 1'!$G$2:$G1001, A87, 'Form responses 1'!$A$2:$A1001, "&gt;=2023-01-01", 'Form responses 1'!$A$2:$A1001, "&lt;=2023-03-31")
)
</f>
        <v>0</v>
      </c>
      <c r="F87" s="2">
        <f>SUM(
    COUNTIFS('Form responses 1'!$C$2:$C1001, A87, 'Form responses 1'!$A$2:$A1001, "&gt;=2023-04-01", 'Form responses 1'!$A$2:$A1001, "&lt;=2023-06-30"),
    COUNTIFS('Form responses 1'!$B$2:$B1001, A87, 'Form responses 1'!$A$2:$A1001, "&gt;=2023-04-01", 'Form responses 1'!$A$2:$A1001, "&lt;=2023-06-30"),
    COUNTIFS('Form responses 1'!$D$2:$D1001, A87, 'Form responses 1'!$A$2:$A1001, "&gt;=2023-04-01", 'Form responses 1'!$A$2:$A1001, "&lt;=2023-06-30"),
    COUNTIFS('Form responses 1'!$E$2:$E1001, A87, 'Form responses 1'!$A$2:$A1001, "&gt;=2023-04-01", 'Form responses 1'!$A$2:$A1001, "&lt;=2023-06-30"),
    COUNTIFS('Form responses 1'!$F$2:$F1001, A87, 'Form responses 1'!$A$2:$A1001, "&gt;=2023-04-01", 'Form responses 1'!$A$2:$A1001, "&lt;=2023-06-30"),
    COUNTIFS('Form responses 1'!$G$2:$G1001, A87, 'Form responses 1'!$A$2:$A1001, "&gt;=2023-04-01", 'Form responses 1'!$A$2:$A1001, "&lt;=2023-06-30")
)
</f>
        <v>0</v>
      </c>
      <c r="G87" s="2">
        <f>SUM(
    COUNTIFS('Form responses 1'!$C$2:$C1001, A87, 'Form responses 1'!$A$2:$A1001, "&gt;=2023-07-01", 'Form responses 1'!$A$2:$A1001, "&lt;=2023-09-30"),
    COUNTIFS('Form responses 1'!$B$2:$B1001, A87, 'Form responses 1'!$A$2:$A1001, "&gt;=2023-07-01", 'Form responses 1'!$A$2:$A1001, "&lt;=2023-09-30"),
    COUNTIFS('Form responses 1'!$D$2:$D1001, A87, 'Form responses 1'!$A$2:$A1001, "&gt;=2023-07-01", 'Form responses 1'!$A$2:$A1001, "&lt;=2023-09-30"),
    COUNTIFS('Form responses 1'!$E$2:$E1001, A87, 'Form responses 1'!$A$2:$A1001, "&gt;=2023-07-01", 'Form responses 1'!$A$2:$A1001, "&lt;=2023-09-30"),
    COUNTIFS('Form responses 1'!$F$2:$F1001, A87, 'Form responses 1'!$A$2:$A1001, "&gt;=2023-07-01", 'Form responses 1'!$A$2:$A1001, "&lt;=2023-09-30"),
    COUNTIFS('Form responses 1'!$G$2:$G1001, A87, 'Form responses 1'!$A$2:$A1001, "&gt;=2023-07-01", 'Form responses 1'!$A$2:$A1001, "&lt;=2023-09-30")
)
</f>
        <v>0</v>
      </c>
      <c r="H87" s="2">
        <f>SUM(
    COUNTIFS('Form responses 1'!$C$2:$C1001, A87, 'Form responses 1'!$A$2:$A1001, "&gt;=2023-10-01", 'Form responses 1'!$A$2:$A1001, "&lt;=2023-12-31"),
    COUNTIFS('Form responses 1'!$B$2:$B1001, A87, 'Form responses 1'!$A$2:$A1001, "&gt;=2023-10-01", 'Form responses 1'!$A$2:$A1001, "&lt;=2023-12-31"),
    COUNTIFS('Form responses 1'!$D$2:$D1001, A87, 'Form responses 1'!$A$2:$A1001, "&gt;=2023-10-01", 'Form responses 1'!$A$2:$A1001, "&lt;=2023-12-31"),
    COUNTIFS('Form responses 1'!$E$2:$E1001, A87, 'Form responses 1'!$A$2:$A1001, "&gt;=2023-10-01", 'Form responses 1'!$A$2:$A1001, "&lt;=2023-12-31"),
    COUNTIFS('Form responses 1'!$F$2:$F1001, A87, 'Form responses 1'!$A$2:$A1001, "&gt;=2023-10-01", 'Form responses 1'!$A$2:$A1001, "&lt;=2023-12-31"),
    COUNTIFS('Form responses 1'!$G$2:$G1001, A87, 'Form responses 1'!$A$2:$A1001, "&gt;=2023-10-01", 'Form responses 1'!$A$2:$A1001, "&lt;=2023-12-31")
)
</f>
        <v>0</v>
      </c>
      <c r="I87" s="2">
        <f>SUM(
    COUNTIFS('Form responses 1'!$C$2:$C1001, A87, 'Form responses 1'!$A$2:$A1001, "&gt;=2024-01-01", 'Form responses 1'!$A$2:$A1001, "&lt;=2024-03-31"),
    COUNTIFS('Form responses 1'!$B$2:$B1001, A87, 'Form responses 1'!$A$2:$A1001, "&gt;=2024-01-01", 'Form responses 1'!$A$2:$A1001, "&lt;=2024-03-31"),
    COUNTIFS('Form responses 1'!$D$2:$D1001, A87, 'Form responses 1'!$A$2:$A1001, "&gt;=2024-01-01", 'Form responses 1'!$A$2:$A1001, "&lt;=2024-03-31"),
    COUNTIFS('Form responses 1'!$E$2:$E1001, A87, 'Form responses 1'!$A$2:$A1001, "&gt;=2024-01-01", 'Form responses 1'!$A$2:$A1001, "&lt;=2024-03-31"),
    COUNTIFS('Form responses 1'!$F$2:$F1001, A87, 'Form responses 1'!$A$2:$A1001, "&gt;=2024-01-01", 'Form responses 1'!$A$2:$A1001, "&lt;=2024-03-31"),
    COUNTIFS('Form responses 1'!$G$2:$G1001, A87, 'Form responses 1'!$A$2:$A1001, "&gt;=2024-01-01", 'Form responses 1'!$A$2:$A1001, "&lt;=2024-03-31")
)
</f>
        <v>0</v>
      </c>
      <c r="J87" s="2">
        <f>SUM(
    COUNTIFS('Form responses 1'!$C$2:$C1001, A87, 'Form responses 1'!$A$2:$A1001, "&gt;=2024-04-01", 'Form responses 1'!$A$2:$A1001, "&lt;=2024-06-30"),
    COUNTIFS('Form responses 1'!$B$2:$B1001, A87, 'Form responses 1'!$A$2:$A1001, "&gt;=2024-04-01", 'Form responses 1'!$A$2:$A1001, "&lt;=2024-06-30"),
    COUNTIFS('Form responses 1'!$D$2:$D1001, A87, 'Form responses 1'!$A$2:$A1001, "&gt;=2024-04-01", 'Form responses 1'!$A$2:$A1001, "&lt;=2024-06-30"),
    COUNTIFS('Form responses 1'!$E$2:$E1001, A87, 'Form responses 1'!$A$2:$A1001, "&gt;=2024-04-01", 'Form responses 1'!$A$2:$A1001, "&lt;=2024-06-30"),
    COUNTIFS('Form responses 1'!$F$2:$F1001, A87, 'Form responses 1'!$A$2:$A1001, "&gt;=2024-04-01", 'Form responses 1'!$A$2:$A1001, "&lt;=2024-06-30"),
    COUNTIFS('Form responses 1'!$G$2:$G1001, A87, 'Form responses 1'!$A$2:$A1001, "&gt;=2024-04-01", 'Form responses 1'!$A$2:$A1001, "&lt;=2024-06-30")
)
</f>
        <v>0</v>
      </c>
      <c r="K87" s="2">
        <f>SUM(
    COUNTIFS('Form responses 1'!$C$2:$C1001, A87, 'Form responses 1'!$A$2:$A1001, "&gt;=2024-07-01", 'Form responses 1'!$A$2:$A1001, "&lt;=2024-09-30"),
    COUNTIFS('Form responses 1'!$B$2:$B1001, A87, 'Form responses 1'!$A$2:$A1001, "&gt;=2024-07-01", 'Form responses 1'!$A$2:$A1001, "&lt;=2024-09-30"),
    COUNTIFS('Form responses 1'!$D$2:$D1001, A87, 'Form responses 1'!$A$2:$A1001, "&gt;=2024-07-01", 'Form responses 1'!$A$2:$A1001, "&lt;=2024-09-30"),
    COUNTIFS('Form responses 1'!$E$2:$E1001, A87, 'Form responses 1'!$A$2:$A1001, "&gt;=2024-07-01", 'Form responses 1'!$A$2:$A1001, "&lt;=2024-09-30"),
    COUNTIFS('Form responses 1'!$F$2:$F1001, A87, 'Form responses 1'!$A$2:$A1001, "&gt;=2024-07-01", 'Form responses 1'!$A$2:$A1001, "&lt;=2024-09-30"),
    COUNTIFS('Form responses 1'!$G$2:$G1001, A87, 'Form responses 1'!$A$2:$A1001, "&gt;=2024-07-01", 'Form responses 1'!$A$2:$A1001, "&lt;=2024-09-30")
)
</f>
        <v>0</v>
      </c>
      <c r="L87" s="2">
        <f>SUM(
    COUNTIFS('Form responses 1'!$C$2:$C1001, A87, 'Form responses 1'!$A$2:$A1001, "&gt;=2024-10-01", 'Form responses 1'!$A$2:$A1001, "&lt;=2024-12-31"),
    COUNTIFS('Form responses 1'!$B$2:$B1001, A87, 'Form responses 1'!$A$2:$A1001, "&gt;=2024-10-01", 'Form responses 1'!$A$2:$A1001, "&lt;=2024-12-31"),
    COUNTIFS('Form responses 1'!$D$2:$D1001, A87, 'Form responses 1'!$A$2:$A1001, "&gt;=2024-10-01", 'Form responses 1'!$A$2:$A1001, "&lt;=2024-12-31"),
    COUNTIFS('Form responses 1'!$E$2:$E1001, A87, 'Form responses 1'!$A$2:$A1001, "&gt;=2024-10-01", 'Form responses 1'!$A$2:$A1001, "&lt;=2024-12-31"),
    COUNTIFS('Form responses 1'!$F$2:$F1001, A87, 'Form responses 1'!$A$2:$A1001, "&gt;=2024-10-01", 'Form responses 1'!$A$2:$A1001, "&lt;=2024-12-31"),
    COUNTIFS('Form responses 1'!$G$2:$G1001, A87, 'Form responses 1'!$A$2:$A1001, "&gt;=2024-10-01", 'Form responses 1'!$A$2:$A1001, "&lt;=2024-12-31")
)
</f>
        <v>0</v>
      </c>
      <c r="M87" s="2">
        <f>SUM(
    COUNTIFS('Form responses 1'!$C$2:$C1001, A87, 'Form responses 1'!$A$2:$A1001, "&gt;=2025-01-01", 'Form responses 1'!$A$2:$A1001, "&lt;=2025-03-31"),
    COUNTIFS('Form responses 1'!$B$2:$B1001, A87, 'Form responses 1'!$A$2:$A1001, "&gt;=2025-01-01", 'Form responses 1'!$A$2:$A1001, "&lt;=2025-03-31"),
    COUNTIFS('Form responses 1'!$D$2:$D1001, A87, 'Form responses 1'!$A$2:$A1001, "&gt;=2025-01-01", 'Form responses 1'!$A$2:$A1001, "&lt;=2025-03-31"),
    COUNTIFS('Form responses 1'!$E$2:$E1001, A87, 'Form responses 1'!$A$2:$A1001, "&gt;=2025-01-01", 'Form responses 1'!$A$2:$A1001, "&lt;=2025-03-31"),
    COUNTIFS('Form responses 1'!$F$2:$F1001, A87, 'Form responses 1'!$A$2:$A1001, "&gt;=2025-01-01", 'Form responses 1'!$A$2:$A1001, "&lt;=2025-03-31"),
    COUNTIFS('Form responses 1'!$G$2:$G1001, A87, 'Form responses 1'!$A$2:$A1001, "&gt;=2025-01-01", 'Form responses 1'!$A$2:$A1001, "&lt;=2025-03-31")
)
</f>
        <v>0</v>
      </c>
      <c r="N87" s="2">
        <f>SUM(
    COUNTIFS('Form responses 1'!$C$2:$C1001, A87, 'Form responses 1'!$A$2:$A1001, "&gt;=2025-04-01", 'Form responses 1'!$A$2:$A1001, "&lt;2025-07-01"),
    COUNTIFS('Form responses 1'!$B$2:$B1001, A87, 'Form responses 1'!$A$2:$A1001, "&gt;=2025-04-01", 'Form responses 1'!$A$2:$A1001, "&lt;2025-07-01"),
    COUNTIFS('Form responses 1'!$D$2:$D1001, A87, 'Form responses 1'!$A$2:$A1001, "&gt;=2025-04-01", 'Form responses 1'!$A$2:$A1001, "&lt;2025-07-01"),
    COUNTIFS('Form responses 1'!$E$2:$E1001, A87, 'Form responses 1'!$A$2:$A1001, "&gt;=2025-04-01", 'Form responses 1'!$A$2:$A1001, "&lt;2025-07-01"),
    COUNTIFS('Form responses 1'!$F$2:$F1001, A87, 'Form responses 1'!$A$2:$A1001, "&gt;=2025-04-01", 'Form responses 1'!$A$2:$A1001, "&lt;2025-07-01"),
    COUNTIFS('Form responses 1'!$G$2:$G1001, A87, 'Form responses 1'!$A$2:$A1001, "&gt;=2025-04-01", 'Form responses 1'!$A$2:$A1001, "&lt;2025-07-01")
)
</f>
        <v>9</v>
      </c>
      <c r="O87" s="2">
        <f>SUM(
    COUNTIFS('Form responses 1'!$C$2:$C1001, A87, 'Form responses 1'!$A$2:$A1001, "&gt;=2025-07-01", 'Form responses 1'!$A$2:$A1001, "&lt;=2025-09-30"),
    COUNTIFS('Form responses 1'!$B$2:$B1001, A87, 'Form responses 1'!$A$2:$A1001, "&gt;=2025-07-01", 'Form responses 1'!$A$2:$A1001, "&lt;=2025-09-30"),
    COUNTIFS('Form responses 1'!$D$2:$D1001, A87, 'Form responses 1'!$A$2:$A1001, "&gt;=2025-07-01", 'Form responses 1'!$A$2:$A1001, "&lt;=2025-09-30"),
    COUNTIFS('Form responses 1'!$E$2:$E1001, A87, 'Form responses 1'!$A$2:$A1001, "&gt;=2025-07-01", 'Form responses 1'!$A$2:$A1001, "&lt;=2025-09-30"),
    COUNTIFS('Form responses 1'!$F$2:$F1001, A87, 'Form responses 1'!$A$2:$A1001, "&gt;=2025-07-01", 'Form responses 1'!$A$2:$A1001, "&lt;=2025-09-30"),
    COUNTIFS('Form responses 1'!$G$2:$G1001, A87, 'Form responses 1'!$A$2:$A1001, "&gt;=2025-07-01", 'Form responses 1'!$A$2:$A1001, "&lt;=2025-09-30")
)
</f>
        <v>0</v>
      </c>
      <c r="P87" s="2">
        <f>SUM(
    COUNTIFS('Form responses 1'!$C$2:$C1001, A87, 'Form responses 1'!$A$2:$A1001, "&gt;=2025-10-01", 'Form responses 1'!$A$2:$A1001, "&lt;=2025-12-31"),
    COUNTIFS('Form responses 1'!$B$2:$B1001, A87, 'Form responses 1'!$A$2:$A1001, "&gt;=2025-10-01", 'Form responses 1'!$A$2:$A1001, "&lt;=2025-12-31"),
    COUNTIFS('Form responses 1'!$D$2:$D1001, A87, 'Form responses 1'!$A$2:$A1001, "&gt;=2025-10-01", 'Form responses 1'!$A$2:$A1001, "&lt;=2025-12-31"),
    COUNTIFS('Form responses 1'!$E$2:$E1001, A87, 'Form responses 1'!$A$2:$A1001, "&gt;=2025-10-01", 'Form responses 1'!$A$2:$A1001, "&lt;=2025-12-31"),
    COUNTIFS('Form responses 1'!$F$2:$F1001, A87, 'Form responses 1'!$A$2:$A1001, "&gt;=2025-10-01", 'Form responses 1'!$A$2:$A1001, "&lt;=2025-12-31"),
    COUNTIFS('Form responses 1'!$G$2:$G1001, A87, 'Form responses 1'!$A$2:$A1001, "&gt;=2025-10-01", 'Form responses 1'!$A$2:$A1001, "&lt;=2025-12-31")
)
</f>
        <v>17</v>
      </c>
    </row>
    <row r="88">
      <c r="A88" s="3" t="str">
        <f>IFERROR(__xludf.DUMMYFUNCTION("""COMPUTED_VALUE"""),"Bever bergschoenen")</f>
        <v>Bever bergschoenen</v>
      </c>
      <c r="B88" s="2">
        <f>SUM(
    COUNTIFS('Form responses 1'!$C$2:$C1001, A88, 'Form responses 1'!$A$2:$A1001, "&gt;=2022-04-01", 'Form responses 1'!$A$2:$A1001, "&lt;=2022-06-30"),
    COUNTIFS('Form responses 1'!$B$2:$B1001, A88, 'Form responses 1'!$A$2:$A1001, "&gt;=2022-04-01", 'Form responses 1'!$A$2:$A1001, "&lt;=2022-06-30"),
    COUNTIFS('Form responses 1'!$D$2:$D1001, A88, 'Form responses 1'!$A$2:$A1001, "&gt;=2022-04-01", 'Form responses 1'!$A$2:$A1001, "&lt;=2022-06-30"),
    COUNTIFS('Form responses 1'!$E$2:$E1001, A88, 'Form responses 1'!$A$2:$A1001, "&gt;=2022-04-01", 'Form responses 1'!$A$2:$A1001, "&lt;=2022-06-30"),
    COUNTIFS('Form responses 1'!$F$2:$F1001, A88, 'Form responses 1'!$A$2:$A1001, "&gt;=2022-04-01", 'Form responses 1'!$A$2:$A1001, "&lt;=2022-06-30"),
    COUNTIFS('Form responses 1'!$G$2:$G1001, A88, 'Form responses 1'!$A$2:$A1001, "&gt;=2022-04-01", 'Form responses 1'!$A$2:$A1001, "&lt;=2022-06-30")
)
</f>
        <v>0</v>
      </c>
      <c r="C88" s="2">
        <f>SUM(
    COUNTIFS('Form responses 1'!$C$2:$C1001, A88, 'Form responses 1'!$A$2:$A1001, "&gt;=2022-07-01", 'Form responses 1'!$A$2:$A1001, "&lt;=2022-09-30"),
    COUNTIFS('Form responses 1'!$B$2:$B1001, A88, 'Form responses 1'!$A$2:$A1001, "&gt;=2022-07-01", 'Form responses 1'!$A$2:$A1001, "&lt;=2022-09-30"),
    COUNTIFS('Form responses 1'!$D$2:$D1001, A88, 'Form responses 1'!$A$2:$A1001, "&gt;=2022-07-01", 'Form responses 1'!$A$2:$A1001, "&lt;=2022-09-30"),
    COUNTIFS('Form responses 1'!$E$2:$E1001, A88, 'Form responses 1'!$A$2:$A1001, "&gt;=2022-07-01", 'Form responses 1'!$A$2:$A1001, "&lt;=2022-09-30"),
    COUNTIFS('Form responses 1'!$F$2:$F1001, A88, 'Form responses 1'!$A$2:$A1001, "&gt;=2022-07-01", 'Form responses 1'!$A$2:$A1001, "&lt;=2022-09-30"),
    COUNTIFS('Form responses 1'!$G$2:$G1001, A88, 'Form responses 1'!$A$2:$A1001, "&gt;=2022-07-01", 'Form responses 1'!$A$2:$A1001, "&lt;=2022-09-30")
)
</f>
        <v>0</v>
      </c>
      <c r="D88" s="2">
        <f>SUM(
    COUNTIFS('Form responses 1'!$C$2:$C1001, A88, 'Form responses 1'!$A$2:$A1001, "&gt;=2022-10-01", 'Form responses 1'!$A$2:$A1001, "&lt;=2022-12-31"),
    COUNTIFS('Form responses 1'!$B$2:$B1001, A88, 'Form responses 1'!$A$2:$A1001, "&gt;=2022-10-01", 'Form responses 1'!$A$2:$A1001, "&lt;=2022-12-31"),
    COUNTIFS('Form responses 1'!$D$2:$D1001, A88, 'Form responses 1'!$A$2:$A1001, "&gt;=2022-10-01", 'Form responses 1'!$A$2:$A1001, "&lt;=2022-12-31"),
    COUNTIFS('Form responses 1'!$E$2:$E1001, A88, 'Form responses 1'!$A$2:$A1001, "&gt;=2022-10-01", 'Form responses 1'!$A$2:$A1001, "&lt;=2022-12-31"),
    COUNTIFS('Form responses 1'!$F$2:$F1001, A88, 'Form responses 1'!$A$2:$A1001, "&gt;=2022-10-01", 'Form responses 1'!$A$2:$A1001, "&lt;=2022-12-31"),
    COUNTIFS('Form responses 1'!$G$2:$G1001, A88, 'Form responses 1'!$A$2:$A1001, "&gt;=2022-10-01", 'Form responses 1'!$A$2:$A1001, "&lt;=2022-12-31")
)
</f>
        <v>0</v>
      </c>
      <c r="E88" s="2">
        <f>SUM(
    COUNTIFS('Form responses 1'!$C$2:$C1001, A88, 'Form responses 1'!$A$2:$A1001, "&gt;=2023-01-01", 'Form responses 1'!$A$2:$A1001, "&lt;=2023-03-31"),
    COUNTIFS('Form responses 1'!$B$2:$B1001, A88, 'Form responses 1'!$A$2:$A1001, "&gt;=2023-01-01", 'Form responses 1'!$A$2:$A1001, "&lt;=2023-03-31"),
    COUNTIFS('Form responses 1'!$D$2:$D1001, A88, 'Form responses 1'!$A$2:$A1001, "&gt;=2023-01-01", 'Form responses 1'!$A$2:$A1001, "&lt;=2023-03-31"),
    COUNTIFS('Form responses 1'!$E$2:$E1001, A88, 'Form responses 1'!$A$2:$A1001, "&gt;=2023-01-01", 'Form responses 1'!$A$2:$A1001, "&lt;=2023-03-31"),
    COUNTIFS('Form responses 1'!$F$2:$F1001, A88, 'Form responses 1'!$A$2:$A1001, "&gt;=2023-01-01", 'Form responses 1'!$A$2:$A1001, "&lt;=2023-03-31"),
    COUNTIFS('Form responses 1'!$G$2:$G1001, A88, 'Form responses 1'!$A$2:$A1001, "&gt;=2023-01-01", 'Form responses 1'!$A$2:$A1001, "&lt;=2023-03-31")
)
</f>
        <v>0</v>
      </c>
      <c r="F88" s="2">
        <f>SUM(
    COUNTIFS('Form responses 1'!$C$2:$C1001, A88, 'Form responses 1'!$A$2:$A1001, "&gt;=2023-04-01", 'Form responses 1'!$A$2:$A1001, "&lt;=2023-06-30"),
    COUNTIFS('Form responses 1'!$B$2:$B1001, A88, 'Form responses 1'!$A$2:$A1001, "&gt;=2023-04-01", 'Form responses 1'!$A$2:$A1001, "&lt;=2023-06-30"),
    COUNTIFS('Form responses 1'!$D$2:$D1001, A88, 'Form responses 1'!$A$2:$A1001, "&gt;=2023-04-01", 'Form responses 1'!$A$2:$A1001, "&lt;=2023-06-30"),
    COUNTIFS('Form responses 1'!$E$2:$E1001, A88, 'Form responses 1'!$A$2:$A1001, "&gt;=2023-04-01", 'Form responses 1'!$A$2:$A1001, "&lt;=2023-06-30"),
    COUNTIFS('Form responses 1'!$F$2:$F1001, A88, 'Form responses 1'!$A$2:$A1001, "&gt;=2023-04-01", 'Form responses 1'!$A$2:$A1001, "&lt;=2023-06-30"),
    COUNTIFS('Form responses 1'!$G$2:$G1001, A88, 'Form responses 1'!$A$2:$A1001, "&gt;=2023-04-01", 'Form responses 1'!$A$2:$A1001, "&lt;=2023-06-30")
)
</f>
        <v>0</v>
      </c>
      <c r="G88" s="2">
        <f>SUM(
    COUNTIFS('Form responses 1'!$C$2:$C1001, A88, 'Form responses 1'!$A$2:$A1001, "&gt;=2023-07-01", 'Form responses 1'!$A$2:$A1001, "&lt;=2023-09-30"),
    COUNTIFS('Form responses 1'!$B$2:$B1001, A88, 'Form responses 1'!$A$2:$A1001, "&gt;=2023-07-01", 'Form responses 1'!$A$2:$A1001, "&lt;=2023-09-30"),
    COUNTIFS('Form responses 1'!$D$2:$D1001, A88, 'Form responses 1'!$A$2:$A1001, "&gt;=2023-07-01", 'Form responses 1'!$A$2:$A1001, "&lt;=2023-09-30"),
    COUNTIFS('Form responses 1'!$E$2:$E1001, A88, 'Form responses 1'!$A$2:$A1001, "&gt;=2023-07-01", 'Form responses 1'!$A$2:$A1001, "&lt;=2023-09-30"),
    COUNTIFS('Form responses 1'!$F$2:$F1001, A88, 'Form responses 1'!$A$2:$A1001, "&gt;=2023-07-01", 'Form responses 1'!$A$2:$A1001, "&lt;=2023-09-30"),
    COUNTIFS('Form responses 1'!$G$2:$G1001, A88, 'Form responses 1'!$A$2:$A1001, "&gt;=2023-07-01", 'Form responses 1'!$A$2:$A1001, "&lt;=2023-09-30")
)
</f>
        <v>0</v>
      </c>
      <c r="H88" s="2">
        <f>SUM(
    COUNTIFS('Form responses 1'!$C$2:$C1001, A88, 'Form responses 1'!$A$2:$A1001, "&gt;=2023-10-01", 'Form responses 1'!$A$2:$A1001, "&lt;=2023-12-31"),
    COUNTIFS('Form responses 1'!$B$2:$B1001, A88, 'Form responses 1'!$A$2:$A1001, "&gt;=2023-10-01", 'Form responses 1'!$A$2:$A1001, "&lt;=2023-12-31"),
    COUNTIFS('Form responses 1'!$D$2:$D1001, A88, 'Form responses 1'!$A$2:$A1001, "&gt;=2023-10-01", 'Form responses 1'!$A$2:$A1001, "&lt;=2023-12-31"),
    COUNTIFS('Form responses 1'!$E$2:$E1001, A88, 'Form responses 1'!$A$2:$A1001, "&gt;=2023-10-01", 'Form responses 1'!$A$2:$A1001, "&lt;=2023-12-31"),
    COUNTIFS('Form responses 1'!$F$2:$F1001, A88, 'Form responses 1'!$A$2:$A1001, "&gt;=2023-10-01", 'Form responses 1'!$A$2:$A1001, "&lt;=2023-12-31"),
    COUNTIFS('Form responses 1'!$G$2:$G1001, A88, 'Form responses 1'!$A$2:$A1001, "&gt;=2023-10-01", 'Form responses 1'!$A$2:$A1001, "&lt;=2023-12-31")
)
</f>
        <v>0</v>
      </c>
      <c r="I88" s="2">
        <f>SUM(
    COUNTIFS('Form responses 1'!$C$2:$C1001, A88, 'Form responses 1'!$A$2:$A1001, "&gt;=2024-01-01", 'Form responses 1'!$A$2:$A1001, "&lt;=2024-03-31"),
    COUNTIFS('Form responses 1'!$B$2:$B1001, A88, 'Form responses 1'!$A$2:$A1001, "&gt;=2024-01-01", 'Form responses 1'!$A$2:$A1001, "&lt;=2024-03-31"),
    COUNTIFS('Form responses 1'!$D$2:$D1001, A88, 'Form responses 1'!$A$2:$A1001, "&gt;=2024-01-01", 'Form responses 1'!$A$2:$A1001, "&lt;=2024-03-31"),
    COUNTIFS('Form responses 1'!$E$2:$E1001, A88, 'Form responses 1'!$A$2:$A1001, "&gt;=2024-01-01", 'Form responses 1'!$A$2:$A1001, "&lt;=2024-03-31"),
    COUNTIFS('Form responses 1'!$F$2:$F1001, A88, 'Form responses 1'!$A$2:$A1001, "&gt;=2024-01-01", 'Form responses 1'!$A$2:$A1001, "&lt;=2024-03-31"),
    COUNTIFS('Form responses 1'!$G$2:$G1001, A88, 'Form responses 1'!$A$2:$A1001, "&gt;=2024-01-01", 'Form responses 1'!$A$2:$A1001, "&lt;=2024-03-31")
)
</f>
        <v>0</v>
      </c>
      <c r="J88" s="2">
        <f>SUM(
    COUNTIFS('Form responses 1'!$C$2:$C1001, A88, 'Form responses 1'!$A$2:$A1001, "&gt;=2024-04-01", 'Form responses 1'!$A$2:$A1001, "&lt;=2024-06-30"),
    COUNTIFS('Form responses 1'!$B$2:$B1001, A88, 'Form responses 1'!$A$2:$A1001, "&gt;=2024-04-01", 'Form responses 1'!$A$2:$A1001, "&lt;=2024-06-30"),
    COUNTIFS('Form responses 1'!$D$2:$D1001, A88, 'Form responses 1'!$A$2:$A1001, "&gt;=2024-04-01", 'Form responses 1'!$A$2:$A1001, "&lt;=2024-06-30"),
    COUNTIFS('Form responses 1'!$E$2:$E1001, A88, 'Form responses 1'!$A$2:$A1001, "&gt;=2024-04-01", 'Form responses 1'!$A$2:$A1001, "&lt;=2024-06-30"),
    COUNTIFS('Form responses 1'!$F$2:$F1001, A88, 'Form responses 1'!$A$2:$A1001, "&gt;=2024-04-01", 'Form responses 1'!$A$2:$A1001, "&lt;=2024-06-30"),
    COUNTIFS('Form responses 1'!$G$2:$G1001, A88, 'Form responses 1'!$A$2:$A1001, "&gt;=2024-04-01", 'Form responses 1'!$A$2:$A1001, "&lt;=2024-06-30")
)
</f>
        <v>0</v>
      </c>
      <c r="K88" s="2">
        <f>SUM(
    COUNTIFS('Form responses 1'!$C$2:$C1001, A88, 'Form responses 1'!$A$2:$A1001, "&gt;=2024-07-01", 'Form responses 1'!$A$2:$A1001, "&lt;=2024-09-30"),
    COUNTIFS('Form responses 1'!$B$2:$B1001, A88, 'Form responses 1'!$A$2:$A1001, "&gt;=2024-07-01", 'Form responses 1'!$A$2:$A1001, "&lt;=2024-09-30"),
    COUNTIFS('Form responses 1'!$D$2:$D1001, A88, 'Form responses 1'!$A$2:$A1001, "&gt;=2024-07-01", 'Form responses 1'!$A$2:$A1001, "&lt;=2024-09-30"),
    COUNTIFS('Form responses 1'!$E$2:$E1001, A88, 'Form responses 1'!$A$2:$A1001, "&gt;=2024-07-01", 'Form responses 1'!$A$2:$A1001, "&lt;=2024-09-30"),
    COUNTIFS('Form responses 1'!$F$2:$F1001, A88, 'Form responses 1'!$A$2:$A1001, "&gt;=2024-07-01", 'Form responses 1'!$A$2:$A1001, "&lt;=2024-09-30"),
    COUNTIFS('Form responses 1'!$G$2:$G1001, A88, 'Form responses 1'!$A$2:$A1001, "&gt;=2024-07-01", 'Form responses 1'!$A$2:$A1001, "&lt;=2024-09-30")
)
</f>
        <v>0</v>
      </c>
      <c r="L88" s="2">
        <f>SUM(
    COUNTIFS('Form responses 1'!$C$2:$C1001, A88, 'Form responses 1'!$A$2:$A1001, "&gt;=2024-10-01", 'Form responses 1'!$A$2:$A1001, "&lt;=2024-12-31"),
    COUNTIFS('Form responses 1'!$B$2:$B1001, A88, 'Form responses 1'!$A$2:$A1001, "&gt;=2024-10-01", 'Form responses 1'!$A$2:$A1001, "&lt;=2024-12-31"),
    COUNTIFS('Form responses 1'!$D$2:$D1001, A88, 'Form responses 1'!$A$2:$A1001, "&gt;=2024-10-01", 'Form responses 1'!$A$2:$A1001, "&lt;=2024-12-31"),
    COUNTIFS('Form responses 1'!$E$2:$E1001, A88, 'Form responses 1'!$A$2:$A1001, "&gt;=2024-10-01", 'Form responses 1'!$A$2:$A1001, "&lt;=2024-12-31"),
    COUNTIFS('Form responses 1'!$F$2:$F1001, A88, 'Form responses 1'!$A$2:$A1001, "&gt;=2024-10-01", 'Form responses 1'!$A$2:$A1001, "&lt;=2024-12-31"),
    COUNTIFS('Form responses 1'!$G$2:$G1001, A88, 'Form responses 1'!$A$2:$A1001, "&gt;=2024-10-01", 'Form responses 1'!$A$2:$A1001, "&lt;=2024-12-31")
)
</f>
        <v>0</v>
      </c>
      <c r="M88" s="2">
        <f>SUM(
    COUNTIFS('Form responses 1'!$C$2:$C1001, A88, 'Form responses 1'!$A$2:$A1001, "&gt;=2025-01-01", 'Form responses 1'!$A$2:$A1001, "&lt;=2025-03-31"),
    COUNTIFS('Form responses 1'!$B$2:$B1001, A88, 'Form responses 1'!$A$2:$A1001, "&gt;=2025-01-01", 'Form responses 1'!$A$2:$A1001, "&lt;=2025-03-31"),
    COUNTIFS('Form responses 1'!$D$2:$D1001, A88, 'Form responses 1'!$A$2:$A1001, "&gt;=2025-01-01", 'Form responses 1'!$A$2:$A1001, "&lt;=2025-03-31"),
    COUNTIFS('Form responses 1'!$E$2:$E1001, A88, 'Form responses 1'!$A$2:$A1001, "&gt;=2025-01-01", 'Form responses 1'!$A$2:$A1001, "&lt;=2025-03-31"),
    COUNTIFS('Form responses 1'!$F$2:$F1001, A88, 'Form responses 1'!$A$2:$A1001, "&gt;=2025-01-01", 'Form responses 1'!$A$2:$A1001, "&lt;=2025-03-31"),
    COUNTIFS('Form responses 1'!$G$2:$G1001, A88, 'Form responses 1'!$A$2:$A1001, "&gt;=2025-01-01", 'Form responses 1'!$A$2:$A1001, "&lt;=2025-03-31")
)
</f>
        <v>0</v>
      </c>
      <c r="N88" s="2">
        <f>SUM(
    COUNTIFS('Form responses 1'!$C$2:$C1001, A88, 'Form responses 1'!$A$2:$A1001, "&gt;=2025-04-01", 'Form responses 1'!$A$2:$A1001, "&lt;2025-07-01"),
    COUNTIFS('Form responses 1'!$B$2:$B1001, A88, 'Form responses 1'!$A$2:$A1001, "&gt;=2025-04-01", 'Form responses 1'!$A$2:$A1001, "&lt;2025-07-01"),
    COUNTIFS('Form responses 1'!$D$2:$D1001, A88, 'Form responses 1'!$A$2:$A1001, "&gt;=2025-04-01", 'Form responses 1'!$A$2:$A1001, "&lt;2025-07-01"),
    COUNTIFS('Form responses 1'!$E$2:$E1001, A88, 'Form responses 1'!$A$2:$A1001, "&gt;=2025-04-01", 'Form responses 1'!$A$2:$A1001, "&lt;2025-07-01"),
    COUNTIFS('Form responses 1'!$F$2:$F1001, A88, 'Form responses 1'!$A$2:$A1001, "&gt;=2025-04-01", 'Form responses 1'!$A$2:$A1001, "&lt;2025-07-01"),
    COUNTIFS('Form responses 1'!$G$2:$G1001, A88, 'Form responses 1'!$A$2:$A1001, "&gt;=2025-04-01", 'Form responses 1'!$A$2:$A1001, "&lt;2025-07-01")
)
</f>
        <v>13</v>
      </c>
      <c r="O88" s="2">
        <f>SUM(
    COUNTIFS('Form responses 1'!$C$2:$C1001, A88, 'Form responses 1'!$A$2:$A1001, "&gt;=2025-07-01", 'Form responses 1'!$A$2:$A1001, "&lt;=2025-09-30"),
    COUNTIFS('Form responses 1'!$B$2:$B1001, A88, 'Form responses 1'!$A$2:$A1001, "&gt;=2025-07-01", 'Form responses 1'!$A$2:$A1001, "&lt;=2025-09-30"),
    COUNTIFS('Form responses 1'!$D$2:$D1001, A88, 'Form responses 1'!$A$2:$A1001, "&gt;=2025-07-01", 'Form responses 1'!$A$2:$A1001, "&lt;=2025-09-30"),
    COUNTIFS('Form responses 1'!$E$2:$E1001, A88, 'Form responses 1'!$A$2:$A1001, "&gt;=2025-07-01", 'Form responses 1'!$A$2:$A1001, "&lt;=2025-09-30"),
    COUNTIFS('Form responses 1'!$F$2:$F1001, A88, 'Form responses 1'!$A$2:$A1001, "&gt;=2025-07-01", 'Form responses 1'!$A$2:$A1001, "&lt;=2025-09-30"),
    COUNTIFS('Form responses 1'!$G$2:$G1001, A88, 'Form responses 1'!$A$2:$A1001, "&gt;=2025-07-01", 'Form responses 1'!$A$2:$A1001, "&lt;=2025-09-30")
)
</f>
        <v>14</v>
      </c>
      <c r="P88" s="2">
        <f>SUM(
    COUNTIFS('Form responses 1'!$C$2:$C1001, A88, 'Form responses 1'!$A$2:$A1001, "&gt;=2025-10-01", 'Form responses 1'!$A$2:$A1001, "&lt;=2025-12-31"),
    COUNTIFS('Form responses 1'!$B$2:$B1001, A88, 'Form responses 1'!$A$2:$A1001, "&gt;=2025-10-01", 'Form responses 1'!$A$2:$A1001, "&lt;=2025-12-31"),
    COUNTIFS('Form responses 1'!$D$2:$D1001, A88, 'Form responses 1'!$A$2:$A1001, "&gt;=2025-10-01", 'Form responses 1'!$A$2:$A1001, "&lt;=2025-12-31"),
    COUNTIFS('Form responses 1'!$E$2:$E1001, A88, 'Form responses 1'!$A$2:$A1001, "&gt;=2025-10-01", 'Form responses 1'!$A$2:$A1001, "&lt;=2025-12-31"),
    COUNTIFS('Form responses 1'!$F$2:$F1001, A88, 'Form responses 1'!$A$2:$A1001, "&gt;=2025-10-01", 'Form responses 1'!$A$2:$A1001, "&lt;=2025-12-31"),
    COUNTIFS('Form responses 1'!$G$2:$G1001, A88, 'Form responses 1'!$A$2:$A1001, "&gt;=2025-10-01", 'Form responses 1'!$A$2:$A1001, "&lt;=2025-12-31")
)
</f>
        <v>0</v>
      </c>
    </row>
    <row r="89">
      <c r="A89" s="3" t="str">
        <f>IFERROR(__xludf.DUMMYFUNCTION("""COMPUTED_VALUE"""),"Jack en Jones t-shirt")</f>
        <v>Jack en Jones t-shirt</v>
      </c>
      <c r="B89" s="2">
        <f>SUM(
    COUNTIFS('Form responses 1'!$C$2:$C1001, A89, 'Form responses 1'!$A$2:$A1001, "&gt;=2022-04-01", 'Form responses 1'!$A$2:$A1001, "&lt;=2022-06-30"),
    COUNTIFS('Form responses 1'!$B$2:$B1001, A89, 'Form responses 1'!$A$2:$A1001, "&gt;=2022-04-01", 'Form responses 1'!$A$2:$A1001, "&lt;=2022-06-30"),
    COUNTIFS('Form responses 1'!$D$2:$D1001, A89, 'Form responses 1'!$A$2:$A1001, "&gt;=2022-04-01", 'Form responses 1'!$A$2:$A1001, "&lt;=2022-06-30"),
    COUNTIFS('Form responses 1'!$E$2:$E1001, A89, 'Form responses 1'!$A$2:$A1001, "&gt;=2022-04-01", 'Form responses 1'!$A$2:$A1001, "&lt;=2022-06-30"),
    COUNTIFS('Form responses 1'!$F$2:$F1001, A89, 'Form responses 1'!$A$2:$A1001, "&gt;=2022-04-01", 'Form responses 1'!$A$2:$A1001, "&lt;=2022-06-30"),
    COUNTIFS('Form responses 1'!$G$2:$G1001, A89, 'Form responses 1'!$A$2:$A1001, "&gt;=2022-04-01", 'Form responses 1'!$A$2:$A1001, "&lt;=2022-06-30")
)
</f>
        <v>0</v>
      </c>
      <c r="C89" s="2">
        <f>SUM(
    COUNTIFS('Form responses 1'!$C$2:$C1001, A89, 'Form responses 1'!$A$2:$A1001, "&gt;=2022-07-01", 'Form responses 1'!$A$2:$A1001, "&lt;=2022-09-30"),
    COUNTIFS('Form responses 1'!$B$2:$B1001, A89, 'Form responses 1'!$A$2:$A1001, "&gt;=2022-07-01", 'Form responses 1'!$A$2:$A1001, "&lt;=2022-09-30"),
    COUNTIFS('Form responses 1'!$D$2:$D1001, A89, 'Form responses 1'!$A$2:$A1001, "&gt;=2022-07-01", 'Form responses 1'!$A$2:$A1001, "&lt;=2022-09-30"),
    COUNTIFS('Form responses 1'!$E$2:$E1001, A89, 'Form responses 1'!$A$2:$A1001, "&gt;=2022-07-01", 'Form responses 1'!$A$2:$A1001, "&lt;=2022-09-30"),
    COUNTIFS('Form responses 1'!$F$2:$F1001, A89, 'Form responses 1'!$A$2:$A1001, "&gt;=2022-07-01", 'Form responses 1'!$A$2:$A1001, "&lt;=2022-09-30"),
    COUNTIFS('Form responses 1'!$G$2:$G1001, A89, 'Form responses 1'!$A$2:$A1001, "&gt;=2022-07-01", 'Form responses 1'!$A$2:$A1001, "&lt;=2022-09-30")
)
</f>
        <v>0</v>
      </c>
      <c r="D89" s="2">
        <f>SUM(
    COUNTIFS('Form responses 1'!$C$2:$C1001, A89, 'Form responses 1'!$A$2:$A1001, "&gt;=2022-10-01", 'Form responses 1'!$A$2:$A1001, "&lt;=2022-12-31"),
    COUNTIFS('Form responses 1'!$B$2:$B1001, A89, 'Form responses 1'!$A$2:$A1001, "&gt;=2022-10-01", 'Form responses 1'!$A$2:$A1001, "&lt;=2022-12-31"),
    COUNTIFS('Form responses 1'!$D$2:$D1001, A89, 'Form responses 1'!$A$2:$A1001, "&gt;=2022-10-01", 'Form responses 1'!$A$2:$A1001, "&lt;=2022-12-31"),
    COUNTIFS('Form responses 1'!$E$2:$E1001, A89, 'Form responses 1'!$A$2:$A1001, "&gt;=2022-10-01", 'Form responses 1'!$A$2:$A1001, "&lt;=2022-12-31"),
    COUNTIFS('Form responses 1'!$F$2:$F1001, A89, 'Form responses 1'!$A$2:$A1001, "&gt;=2022-10-01", 'Form responses 1'!$A$2:$A1001, "&lt;=2022-12-31"),
    COUNTIFS('Form responses 1'!$G$2:$G1001, A89, 'Form responses 1'!$A$2:$A1001, "&gt;=2022-10-01", 'Form responses 1'!$A$2:$A1001, "&lt;=2022-12-31")
)
</f>
        <v>0</v>
      </c>
      <c r="E89" s="2">
        <f>SUM(
    COUNTIFS('Form responses 1'!$C$2:$C1001, A89, 'Form responses 1'!$A$2:$A1001, "&gt;=2023-01-01", 'Form responses 1'!$A$2:$A1001, "&lt;=2023-03-31"),
    COUNTIFS('Form responses 1'!$B$2:$B1001, A89, 'Form responses 1'!$A$2:$A1001, "&gt;=2023-01-01", 'Form responses 1'!$A$2:$A1001, "&lt;=2023-03-31"),
    COUNTIFS('Form responses 1'!$D$2:$D1001, A89, 'Form responses 1'!$A$2:$A1001, "&gt;=2023-01-01", 'Form responses 1'!$A$2:$A1001, "&lt;=2023-03-31"),
    COUNTIFS('Form responses 1'!$E$2:$E1001, A89, 'Form responses 1'!$A$2:$A1001, "&gt;=2023-01-01", 'Form responses 1'!$A$2:$A1001, "&lt;=2023-03-31"),
    COUNTIFS('Form responses 1'!$F$2:$F1001, A89, 'Form responses 1'!$A$2:$A1001, "&gt;=2023-01-01", 'Form responses 1'!$A$2:$A1001, "&lt;=2023-03-31"),
    COUNTIFS('Form responses 1'!$G$2:$G1001, A89, 'Form responses 1'!$A$2:$A1001, "&gt;=2023-01-01", 'Form responses 1'!$A$2:$A1001, "&lt;=2023-03-31")
)
</f>
        <v>0</v>
      </c>
      <c r="F89" s="2">
        <f>SUM(
    COUNTIFS('Form responses 1'!$C$2:$C1001, A89, 'Form responses 1'!$A$2:$A1001, "&gt;=2023-04-01", 'Form responses 1'!$A$2:$A1001, "&lt;=2023-06-30"),
    COUNTIFS('Form responses 1'!$B$2:$B1001, A89, 'Form responses 1'!$A$2:$A1001, "&gt;=2023-04-01", 'Form responses 1'!$A$2:$A1001, "&lt;=2023-06-30"),
    COUNTIFS('Form responses 1'!$D$2:$D1001, A89, 'Form responses 1'!$A$2:$A1001, "&gt;=2023-04-01", 'Form responses 1'!$A$2:$A1001, "&lt;=2023-06-30"),
    COUNTIFS('Form responses 1'!$E$2:$E1001, A89, 'Form responses 1'!$A$2:$A1001, "&gt;=2023-04-01", 'Form responses 1'!$A$2:$A1001, "&lt;=2023-06-30"),
    COUNTIFS('Form responses 1'!$F$2:$F1001, A89, 'Form responses 1'!$A$2:$A1001, "&gt;=2023-04-01", 'Form responses 1'!$A$2:$A1001, "&lt;=2023-06-30"),
    COUNTIFS('Form responses 1'!$G$2:$G1001, A89, 'Form responses 1'!$A$2:$A1001, "&gt;=2023-04-01", 'Form responses 1'!$A$2:$A1001, "&lt;=2023-06-30")
)
</f>
        <v>0</v>
      </c>
      <c r="G89" s="2">
        <f>SUM(
    COUNTIFS('Form responses 1'!$C$2:$C1001, A89, 'Form responses 1'!$A$2:$A1001, "&gt;=2023-07-01", 'Form responses 1'!$A$2:$A1001, "&lt;=2023-09-30"),
    COUNTIFS('Form responses 1'!$B$2:$B1001, A89, 'Form responses 1'!$A$2:$A1001, "&gt;=2023-07-01", 'Form responses 1'!$A$2:$A1001, "&lt;=2023-09-30"),
    COUNTIFS('Form responses 1'!$D$2:$D1001, A89, 'Form responses 1'!$A$2:$A1001, "&gt;=2023-07-01", 'Form responses 1'!$A$2:$A1001, "&lt;=2023-09-30"),
    COUNTIFS('Form responses 1'!$E$2:$E1001, A89, 'Form responses 1'!$A$2:$A1001, "&gt;=2023-07-01", 'Form responses 1'!$A$2:$A1001, "&lt;=2023-09-30"),
    COUNTIFS('Form responses 1'!$F$2:$F1001, A89, 'Form responses 1'!$A$2:$A1001, "&gt;=2023-07-01", 'Form responses 1'!$A$2:$A1001, "&lt;=2023-09-30"),
    COUNTIFS('Form responses 1'!$G$2:$G1001, A89, 'Form responses 1'!$A$2:$A1001, "&gt;=2023-07-01", 'Form responses 1'!$A$2:$A1001, "&lt;=2023-09-30")
)
</f>
        <v>0</v>
      </c>
      <c r="H89" s="2">
        <f>SUM(
    COUNTIFS('Form responses 1'!$C$2:$C1001, A89, 'Form responses 1'!$A$2:$A1001, "&gt;=2023-10-01", 'Form responses 1'!$A$2:$A1001, "&lt;=2023-12-31"),
    COUNTIFS('Form responses 1'!$B$2:$B1001, A89, 'Form responses 1'!$A$2:$A1001, "&gt;=2023-10-01", 'Form responses 1'!$A$2:$A1001, "&lt;=2023-12-31"),
    COUNTIFS('Form responses 1'!$D$2:$D1001, A89, 'Form responses 1'!$A$2:$A1001, "&gt;=2023-10-01", 'Form responses 1'!$A$2:$A1001, "&lt;=2023-12-31"),
    COUNTIFS('Form responses 1'!$E$2:$E1001, A89, 'Form responses 1'!$A$2:$A1001, "&gt;=2023-10-01", 'Form responses 1'!$A$2:$A1001, "&lt;=2023-12-31"),
    COUNTIFS('Form responses 1'!$F$2:$F1001, A89, 'Form responses 1'!$A$2:$A1001, "&gt;=2023-10-01", 'Form responses 1'!$A$2:$A1001, "&lt;=2023-12-31"),
    COUNTIFS('Form responses 1'!$G$2:$G1001, A89, 'Form responses 1'!$A$2:$A1001, "&gt;=2023-10-01", 'Form responses 1'!$A$2:$A1001, "&lt;=2023-12-31")
)
</f>
        <v>0</v>
      </c>
      <c r="I89" s="2">
        <f>SUM(
    COUNTIFS('Form responses 1'!$C$2:$C1001, A89, 'Form responses 1'!$A$2:$A1001, "&gt;=2024-01-01", 'Form responses 1'!$A$2:$A1001, "&lt;=2024-03-31"),
    COUNTIFS('Form responses 1'!$B$2:$B1001, A89, 'Form responses 1'!$A$2:$A1001, "&gt;=2024-01-01", 'Form responses 1'!$A$2:$A1001, "&lt;=2024-03-31"),
    COUNTIFS('Form responses 1'!$D$2:$D1001, A89, 'Form responses 1'!$A$2:$A1001, "&gt;=2024-01-01", 'Form responses 1'!$A$2:$A1001, "&lt;=2024-03-31"),
    COUNTIFS('Form responses 1'!$E$2:$E1001, A89, 'Form responses 1'!$A$2:$A1001, "&gt;=2024-01-01", 'Form responses 1'!$A$2:$A1001, "&lt;=2024-03-31"),
    COUNTIFS('Form responses 1'!$F$2:$F1001, A89, 'Form responses 1'!$A$2:$A1001, "&gt;=2024-01-01", 'Form responses 1'!$A$2:$A1001, "&lt;=2024-03-31"),
    COUNTIFS('Form responses 1'!$G$2:$G1001, A89, 'Form responses 1'!$A$2:$A1001, "&gt;=2024-01-01", 'Form responses 1'!$A$2:$A1001, "&lt;=2024-03-31")
)
</f>
        <v>0</v>
      </c>
      <c r="J89" s="2">
        <f>SUM(
    COUNTIFS('Form responses 1'!$C$2:$C1001, A89, 'Form responses 1'!$A$2:$A1001, "&gt;=2024-04-01", 'Form responses 1'!$A$2:$A1001, "&lt;=2024-06-30"),
    COUNTIFS('Form responses 1'!$B$2:$B1001, A89, 'Form responses 1'!$A$2:$A1001, "&gt;=2024-04-01", 'Form responses 1'!$A$2:$A1001, "&lt;=2024-06-30"),
    COUNTIFS('Form responses 1'!$D$2:$D1001, A89, 'Form responses 1'!$A$2:$A1001, "&gt;=2024-04-01", 'Form responses 1'!$A$2:$A1001, "&lt;=2024-06-30"),
    COUNTIFS('Form responses 1'!$E$2:$E1001, A89, 'Form responses 1'!$A$2:$A1001, "&gt;=2024-04-01", 'Form responses 1'!$A$2:$A1001, "&lt;=2024-06-30"),
    COUNTIFS('Form responses 1'!$F$2:$F1001, A89, 'Form responses 1'!$A$2:$A1001, "&gt;=2024-04-01", 'Form responses 1'!$A$2:$A1001, "&lt;=2024-06-30"),
    COUNTIFS('Form responses 1'!$G$2:$G1001, A89, 'Form responses 1'!$A$2:$A1001, "&gt;=2024-04-01", 'Form responses 1'!$A$2:$A1001, "&lt;=2024-06-30")
)
</f>
        <v>0</v>
      </c>
      <c r="K89" s="2">
        <f>SUM(
    COUNTIFS('Form responses 1'!$C$2:$C1001, A89, 'Form responses 1'!$A$2:$A1001, "&gt;=2024-07-01", 'Form responses 1'!$A$2:$A1001, "&lt;=2024-09-30"),
    COUNTIFS('Form responses 1'!$B$2:$B1001, A89, 'Form responses 1'!$A$2:$A1001, "&gt;=2024-07-01", 'Form responses 1'!$A$2:$A1001, "&lt;=2024-09-30"),
    COUNTIFS('Form responses 1'!$D$2:$D1001, A89, 'Form responses 1'!$A$2:$A1001, "&gt;=2024-07-01", 'Form responses 1'!$A$2:$A1001, "&lt;=2024-09-30"),
    COUNTIFS('Form responses 1'!$E$2:$E1001, A89, 'Form responses 1'!$A$2:$A1001, "&gt;=2024-07-01", 'Form responses 1'!$A$2:$A1001, "&lt;=2024-09-30"),
    COUNTIFS('Form responses 1'!$F$2:$F1001, A89, 'Form responses 1'!$A$2:$A1001, "&gt;=2024-07-01", 'Form responses 1'!$A$2:$A1001, "&lt;=2024-09-30"),
    COUNTIFS('Form responses 1'!$G$2:$G1001, A89, 'Form responses 1'!$A$2:$A1001, "&gt;=2024-07-01", 'Form responses 1'!$A$2:$A1001, "&lt;=2024-09-30")
)
</f>
        <v>0</v>
      </c>
      <c r="L89" s="2">
        <f>SUM(
    COUNTIFS('Form responses 1'!$C$2:$C1001, A89, 'Form responses 1'!$A$2:$A1001, "&gt;=2024-10-01", 'Form responses 1'!$A$2:$A1001, "&lt;=2024-12-31"),
    COUNTIFS('Form responses 1'!$B$2:$B1001, A89, 'Form responses 1'!$A$2:$A1001, "&gt;=2024-10-01", 'Form responses 1'!$A$2:$A1001, "&lt;=2024-12-31"),
    COUNTIFS('Form responses 1'!$D$2:$D1001, A89, 'Form responses 1'!$A$2:$A1001, "&gt;=2024-10-01", 'Form responses 1'!$A$2:$A1001, "&lt;=2024-12-31"),
    COUNTIFS('Form responses 1'!$E$2:$E1001, A89, 'Form responses 1'!$A$2:$A1001, "&gt;=2024-10-01", 'Form responses 1'!$A$2:$A1001, "&lt;=2024-12-31"),
    COUNTIFS('Form responses 1'!$F$2:$F1001, A89, 'Form responses 1'!$A$2:$A1001, "&gt;=2024-10-01", 'Form responses 1'!$A$2:$A1001, "&lt;=2024-12-31"),
    COUNTIFS('Form responses 1'!$G$2:$G1001, A89, 'Form responses 1'!$A$2:$A1001, "&gt;=2024-10-01", 'Form responses 1'!$A$2:$A1001, "&lt;=2024-12-31")
)
</f>
        <v>0</v>
      </c>
      <c r="M89" s="2">
        <f>SUM(
    COUNTIFS('Form responses 1'!$C$2:$C1001, A89, 'Form responses 1'!$A$2:$A1001, "&gt;=2025-01-01", 'Form responses 1'!$A$2:$A1001, "&lt;=2025-03-31"),
    COUNTIFS('Form responses 1'!$B$2:$B1001, A89, 'Form responses 1'!$A$2:$A1001, "&gt;=2025-01-01", 'Form responses 1'!$A$2:$A1001, "&lt;=2025-03-31"),
    COUNTIFS('Form responses 1'!$D$2:$D1001, A89, 'Form responses 1'!$A$2:$A1001, "&gt;=2025-01-01", 'Form responses 1'!$A$2:$A1001, "&lt;=2025-03-31"),
    COUNTIFS('Form responses 1'!$E$2:$E1001, A89, 'Form responses 1'!$A$2:$A1001, "&gt;=2025-01-01", 'Form responses 1'!$A$2:$A1001, "&lt;=2025-03-31"),
    COUNTIFS('Form responses 1'!$F$2:$F1001, A89, 'Form responses 1'!$A$2:$A1001, "&gt;=2025-01-01", 'Form responses 1'!$A$2:$A1001, "&lt;=2025-03-31"),
    COUNTIFS('Form responses 1'!$G$2:$G1001, A89, 'Form responses 1'!$A$2:$A1001, "&gt;=2025-01-01", 'Form responses 1'!$A$2:$A1001, "&lt;=2025-03-31")
)
</f>
        <v>0</v>
      </c>
      <c r="N89" s="2">
        <f>SUM(
    COUNTIFS('Form responses 1'!$C$2:$C1001, A89, 'Form responses 1'!$A$2:$A1001, "&gt;=2025-04-01", 'Form responses 1'!$A$2:$A1001, "&lt;2025-07-01"),
    COUNTIFS('Form responses 1'!$B$2:$B1001, A89, 'Form responses 1'!$A$2:$A1001, "&gt;=2025-04-01", 'Form responses 1'!$A$2:$A1001, "&lt;2025-07-01"),
    COUNTIFS('Form responses 1'!$D$2:$D1001, A89, 'Form responses 1'!$A$2:$A1001, "&gt;=2025-04-01", 'Form responses 1'!$A$2:$A1001, "&lt;2025-07-01"),
    COUNTIFS('Form responses 1'!$E$2:$E1001, A89, 'Form responses 1'!$A$2:$A1001, "&gt;=2025-04-01", 'Form responses 1'!$A$2:$A1001, "&lt;2025-07-01"),
    COUNTIFS('Form responses 1'!$F$2:$F1001, A89, 'Form responses 1'!$A$2:$A1001, "&gt;=2025-04-01", 'Form responses 1'!$A$2:$A1001, "&lt;2025-07-01"),
    COUNTIFS('Form responses 1'!$G$2:$G1001, A89, 'Form responses 1'!$A$2:$A1001, "&gt;=2025-04-01", 'Form responses 1'!$A$2:$A1001, "&lt;2025-07-01")
)
</f>
        <v>1</v>
      </c>
      <c r="O89" s="2">
        <f>SUM(
    COUNTIFS('Form responses 1'!$C$2:$C1001, A89, 'Form responses 1'!$A$2:$A1001, "&gt;=2025-07-01", 'Form responses 1'!$A$2:$A1001, "&lt;=2025-09-30"),
    COUNTIFS('Form responses 1'!$B$2:$B1001, A89, 'Form responses 1'!$A$2:$A1001, "&gt;=2025-07-01", 'Form responses 1'!$A$2:$A1001, "&lt;=2025-09-30"),
    COUNTIFS('Form responses 1'!$D$2:$D1001, A89, 'Form responses 1'!$A$2:$A1001, "&gt;=2025-07-01", 'Form responses 1'!$A$2:$A1001, "&lt;=2025-09-30"),
    COUNTIFS('Form responses 1'!$E$2:$E1001, A89, 'Form responses 1'!$A$2:$A1001, "&gt;=2025-07-01", 'Form responses 1'!$A$2:$A1001, "&lt;=2025-09-30"),
    COUNTIFS('Form responses 1'!$F$2:$F1001, A89, 'Form responses 1'!$A$2:$A1001, "&gt;=2025-07-01", 'Form responses 1'!$A$2:$A1001, "&lt;=2025-09-30"),
    COUNTIFS('Form responses 1'!$G$2:$G1001, A89, 'Form responses 1'!$A$2:$A1001, "&gt;=2025-07-01", 'Form responses 1'!$A$2:$A1001, "&lt;=2025-09-30")
)
</f>
        <v>6</v>
      </c>
      <c r="P89" s="2">
        <f>SUM(
    COUNTIFS('Form responses 1'!$C$2:$C1001, A89, 'Form responses 1'!$A$2:$A1001, "&gt;=2025-10-01", 'Form responses 1'!$A$2:$A1001, "&lt;=2025-12-31"),
    COUNTIFS('Form responses 1'!$B$2:$B1001, A89, 'Form responses 1'!$A$2:$A1001, "&gt;=2025-10-01", 'Form responses 1'!$A$2:$A1001, "&lt;=2025-12-31"),
    COUNTIFS('Form responses 1'!$D$2:$D1001, A89, 'Form responses 1'!$A$2:$A1001, "&gt;=2025-10-01", 'Form responses 1'!$A$2:$A1001, "&lt;=2025-12-31"),
    COUNTIFS('Form responses 1'!$E$2:$E1001, A89, 'Form responses 1'!$A$2:$A1001, "&gt;=2025-10-01", 'Form responses 1'!$A$2:$A1001, "&lt;=2025-12-31"),
    COUNTIFS('Form responses 1'!$F$2:$F1001, A89, 'Form responses 1'!$A$2:$A1001, "&gt;=2025-10-01", 'Form responses 1'!$A$2:$A1001, "&lt;=2025-12-31"),
    COUNTIFS('Form responses 1'!$G$2:$G1001, A89, 'Form responses 1'!$A$2:$A1001, "&gt;=2025-10-01", 'Form responses 1'!$A$2:$A1001, "&lt;=2025-12-31")
)
</f>
        <v>0</v>
      </c>
    </row>
    <row r="90">
      <c r="A90" s="3" t="str">
        <f>IFERROR(__xludf.DUMMYFUNCTION("""COMPUTED_VALUE"""),"Rode lange mouwen polo")</f>
        <v>Rode lange mouwen polo</v>
      </c>
      <c r="B90" s="2">
        <f>SUM(
    COUNTIFS('Form responses 1'!$C$2:$C1001, A90, 'Form responses 1'!$A$2:$A1001, "&gt;=2022-04-01", 'Form responses 1'!$A$2:$A1001, "&lt;=2022-06-30"),
    COUNTIFS('Form responses 1'!$B$2:$B1001, A90, 'Form responses 1'!$A$2:$A1001, "&gt;=2022-04-01", 'Form responses 1'!$A$2:$A1001, "&lt;=2022-06-30"),
    COUNTIFS('Form responses 1'!$D$2:$D1001, A90, 'Form responses 1'!$A$2:$A1001, "&gt;=2022-04-01", 'Form responses 1'!$A$2:$A1001, "&lt;=2022-06-30"),
    COUNTIFS('Form responses 1'!$E$2:$E1001, A90, 'Form responses 1'!$A$2:$A1001, "&gt;=2022-04-01", 'Form responses 1'!$A$2:$A1001, "&lt;=2022-06-30"),
    COUNTIFS('Form responses 1'!$F$2:$F1001, A90, 'Form responses 1'!$A$2:$A1001, "&gt;=2022-04-01", 'Form responses 1'!$A$2:$A1001, "&lt;=2022-06-30"),
    COUNTIFS('Form responses 1'!$G$2:$G1001, A90, 'Form responses 1'!$A$2:$A1001, "&gt;=2022-04-01", 'Form responses 1'!$A$2:$A1001, "&lt;=2022-06-30")
)
</f>
        <v>0</v>
      </c>
      <c r="C90" s="2">
        <f>SUM(
    COUNTIFS('Form responses 1'!$C$2:$C1001, A90, 'Form responses 1'!$A$2:$A1001, "&gt;=2022-07-01", 'Form responses 1'!$A$2:$A1001, "&lt;=2022-09-30"),
    COUNTIFS('Form responses 1'!$B$2:$B1001, A90, 'Form responses 1'!$A$2:$A1001, "&gt;=2022-07-01", 'Form responses 1'!$A$2:$A1001, "&lt;=2022-09-30"),
    COUNTIFS('Form responses 1'!$D$2:$D1001, A90, 'Form responses 1'!$A$2:$A1001, "&gt;=2022-07-01", 'Form responses 1'!$A$2:$A1001, "&lt;=2022-09-30"),
    COUNTIFS('Form responses 1'!$E$2:$E1001, A90, 'Form responses 1'!$A$2:$A1001, "&gt;=2022-07-01", 'Form responses 1'!$A$2:$A1001, "&lt;=2022-09-30"),
    COUNTIFS('Form responses 1'!$F$2:$F1001, A90, 'Form responses 1'!$A$2:$A1001, "&gt;=2022-07-01", 'Form responses 1'!$A$2:$A1001, "&lt;=2022-09-30"),
    COUNTIFS('Form responses 1'!$G$2:$G1001, A90, 'Form responses 1'!$A$2:$A1001, "&gt;=2022-07-01", 'Form responses 1'!$A$2:$A1001, "&lt;=2022-09-30")
)
</f>
        <v>0</v>
      </c>
      <c r="D90" s="2">
        <f>SUM(
    COUNTIFS('Form responses 1'!$C$2:$C1001, A90, 'Form responses 1'!$A$2:$A1001, "&gt;=2022-10-01", 'Form responses 1'!$A$2:$A1001, "&lt;=2022-12-31"),
    COUNTIFS('Form responses 1'!$B$2:$B1001, A90, 'Form responses 1'!$A$2:$A1001, "&gt;=2022-10-01", 'Form responses 1'!$A$2:$A1001, "&lt;=2022-12-31"),
    COUNTIFS('Form responses 1'!$D$2:$D1001, A90, 'Form responses 1'!$A$2:$A1001, "&gt;=2022-10-01", 'Form responses 1'!$A$2:$A1001, "&lt;=2022-12-31"),
    COUNTIFS('Form responses 1'!$E$2:$E1001, A90, 'Form responses 1'!$A$2:$A1001, "&gt;=2022-10-01", 'Form responses 1'!$A$2:$A1001, "&lt;=2022-12-31"),
    COUNTIFS('Form responses 1'!$F$2:$F1001, A90, 'Form responses 1'!$A$2:$A1001, "&gt;=2022-10-01", 'Form responses 1'!$A$2:$A1001, "&lt;=2022-12-31"),
    COUNTIFS('Form responses 1'!$G$2:$G1001, A90, 'Form responses 1'!$A$2:$A1001, "&gt;=2022-10-01", 'Form responses 1'!$A$2:$A1001, "&lt;=2022-12-31")
)
</f>
        <v>0</v>
      </c>
      <c r="E90" s="2">
        <f>SUM(
    COUNTIFS('Form responses 1'!$C$2:$C1001, A90, 'Form responses 1'!$A$2:$A1001, "&gt;=2023-01-01", 'Form responses 1'!$A$2:$A1001, "&lt;=2023-03-31"),
    COUNTIFS('Form responses 1'!$B$2:$B1001, A90, 'Form responses 1'!$A$2:$A1001, "&gt;=2023-01-01", 'Form responses 1'!$A$2:$A1001, "&lt;=2023-03-31"),
    COUNTIFS('Form responses 1'!$D$2:$D1001, A90, 'Form responses 1'!$A$2:$A1001, "&gt;=2023-01-01", 'Form responses 1'!$A$2:$A1001, "&lt;=2023-03-31"),
    COUNTIFS('Form responses 1'!$E$2:$E1001, A90, 'Form responses 1'!$A$2:$A1001, "&gt;=2023-01-01", 'Form responses 1'!$A$2:$A1001, "&lt;=2023-03-31"),
    COUNTIFS('Form responses 1'!$F$2:$F1001, A90, 'Form responses 1'!$A$2:$A1001, "&gt;=2023-01-01", 'Form responses 1'!$A$2:$A1001, "&lt;=2023-03-31"),
    COUNTIFS('Form responses 1'!$G$2:$G1001, A90, 'Form responses 1'!$A$2:$A1001, "&gt;=2023-01-01", 'Form responses 1'!$A$2:$A1001, "&lt;=2023-03-31")
)
</f>
        <v>0</v>
      </c>
      <c r="F90" s="2">
        <f>SUM(
    COUNTIFS('Form responses 1'!$C$2:$C1001, A90, 'Form responses 1'!$A$2:$A1001, "&gt;=2023-04-01", 'Form responses 1'!$A$2:$A1001, "&lt;=2023-06-30"),
    COUNTIFS('Form responses 1'!$B$2:$B1001, A90, 'Form responses 1'!$A$2:$A1001, "&gt;=2023-04-01", 'Form responses 1'!$A$2:$A1001, "&lt;=2023-06-30"),
    COUNTIFS('Form responses 1'!$D$2:$D1001, A90, 'Form responses 1'!$A$2:$A1001, "&gt;=2023-04-01", 'Form responses 1'!$A$2:$A1001, "&lt;=2023-06-30"),
    COUNTIFS('Form responses 1'!$E$2:$E1001, A90, 'Form responses 1'!$A$2:$A1001, "&gt;=2023-04-01", 'Form responses 1'!$A$2:$A1001, "&lt;=2023-06-30"),
    COUNTIFS('Form responses 1'!$F$2:$F1001, A90, 'Form responses 1'!$A$2:$A1001, "&gt;=2023-04-01", 'Form responses 1'!$A$2:$A1001, "&lt;=2023-06-30"),
    COUNTIFS('Form responses 1'!$G$2:$G1001, A90, 'Form responses 1'!$A$2:$A1001, "&gt;=2023-04-01", 'Form responses 1'!$A$2:$A1001, "&lt;=2023-06-30")
)
</f>
        <v>0</v>
      </c>
      <c r="G90" s="2">
        <f>SUM(
    COUNTIFS('Form responses 1'!$C$2:$C1001, A90, 'Form responses 1'!$A$2:$A1001, "&gt;=2023-07-01", 'Form responses 1'!$A$2:$A1001, "&lt;=2023-09-30"),
    COUNTIFS('Form responses 1'!$B$2:$B1001, A90, 'Form responses 1'!$A$2:$A1001, "&gt;=2023-07-01", 'Form responses 1'!$A$2:$A1001, "&lt;=2023-09-30"),
    COUNTIFS('Form responses 1'!$D$2:$D1001, A90, 'Form responses 1'!$A$2:$A1001, "&gt;=2023-07-01", 'Form responses 1'!$A$2:$A1001, "&lt;=2023-09-30"),
    COUNTIFS('Form responses 1'!$E$2:$E1001, A90, 'Form responses 1'!$A$2:$A1001, "&gt;=2023-07-01", 'Form responses 1'!$A$2:$A1001, "&lt;=2023-09-30"),
    COUNTIFS('Form responses 1'!$F$2:$F1001, A90, 'Form responses 1'!$A$2:$A1001, "&gt;=2023-07-01", 'Form responses 1'!$A$2:$A1001, "&lt;=2023-09-30"),
    COUNTIFS('Form responses 1'!$G$2:$G1001, A90, 'Form responses 1'!$A$2:$A1001, "&gt;=2023-07-01", 'Form responses 1'!$A$2:$A1001, "&lt;=2023-09-30")
)
</f>
        <v>0</v>
      </c>
      <c r="H90" s="2">
        <f>SUM(
    COUNTIFS('Form responses 1'!$C$2:$C1001, A90, 'Form responses 1'!$A$2:$A1001, "&gt;=2023-10-01", 'Form responses 1'!$A$2:$A1001, "&lt;=2023-12-31"),
    COUNTIFS('Form responses 1'!$B$2:$B1001, A90, 'Form responses 1'!$A$2:$A1001, "&gt;=2023-10-01", 'Form responses 1'!$A$2:$A1001, "&lt;=2023-12-31"),
    COUNTIFS('Form responses 1'!$D$2:$D1001, A90, 'Form responses 1'!$A$2:$A1001, "&gt;=2023-10-01", 'Form responses 1'!$A$2:$A1001, "&lt;=2023-12-31"),
    COUNTIFS('Form responses 1'!$E$2:$E1001, A90, 'Form responses 1'!$A$2:$A1001, "&gt;=2023-10-01", 'Form responses 1'!$A$2:$A1001, "&lt;=2023-12-31"),
    COUNTIFS('Form responses 1'!$F$2:$F1001, A90, 'Form responses 1'!$A$2:$A1001, "&gt;=2023-10-01", 'Form responses 1'!$A$2:$A1001, "&lt;=2023-12-31"),
    COUNTIFS('Form responses 1'!$G$2:$G1001, A90, 'Form responses 1'!$A$2:$A1001, "&gt;=2023-10-01", 'Form responses 1'!$A$2:$A1001, "&lt;=2023-12-31")
)
</f>
        <v>0</v>
      </c>
      <c r="I90" s="2">
        <f>SUM(
    COUNTIFS('Form responses 1'!$C$2:$C1001, A90, 'Form responses 1'!$A$2:$A1001, "&gt;=2024-01-01", 'Form responses 1'!$A$2:$A1001, "&lt;=2024-03-31"),
    COUNTIFS('Form responses 1'!$B$2:$B1001, A90, 'Form responses 1'!$A$2:$A1001, "&gt;=2024-01-01", 'Form responses 1'!$A$2:$A1001, "&lt;=2024-03-31"),
    COUNTIFS('Form responses 1'!$D$2:$D1001, A90, 'Form responses 1'!$A$2:$A1001, "&gt;=2024-01-01", 'Form responses 1'!$A$2:$A1001, "&lt;=2024-03-31"),
    COUNTIFS('Form responses 1'!$E$2:$E1001, A90, 'Form responses 1'!$A$2:$A1001, "&gt;=2024-01-01", 'Form responses 1'!$A$2:$A1001, "&lt;=2024-03-31"),
    COUNTIFS('Form responses 1'!$F$2:$F1001, A90, 'Form responses 1'!$A$2:$A1001, "&gt;=2024-01-01", 'Form responses 1'!$A$2:$A1001, "&lt;=2024-03-31"),
    COUNTIFS('Form responses 1'!$G$2:$G1001, A90, 'Form responses 1'!$A$2:$A1001, "&gt;=2024-01-01", 'Form responses 1'!$A$2:$A1001, "&lt;=2024-03-31")
)
</f>
        <v>0</v>
      </c>
      <c r="J90" s="2">
        <f>SUM(
    COUNTIFS('Form responses 1'!$C$2:$C1001, A90, 'Form responses 1'!$A$2:$A1001, "&gt;=2024-04-01", 'Form responses 1'!$A$2:$A1001, "&lt;=2024-06-30"),
    COUNTIFS('Form responses 1'!$B$2:$B1001, A90, 'Form responses 1'!$A$2:$A1001, "&gt;=2024-04-01", 'Form responses 1'!$A$2:$A1001, "&lt;=2024-06-30"),
    COUNTIFS('Form responses 1'!$D$2:$D1001, A90, 'Form responses 1'!$A$2:$A1001, "&gt;=2024-04-01", 'Form responses 1'!$A$2:$A1001, "&lt;=2024-06-30"),
    COUNTIFS('Form responses 1'!$E$2:$E1001, A90, 'Form responses 1'!$A$2:$A1001, "&gt;=2024-04-01", 'Form responses 1'!$A$2:$A1001, "&lt;=2024-06-30"),
    COUNTIFS('Form responses 1'!$F$2:$F1001, A90, 'Form responses 1'!$A$2:$A1001, "&gt;=2024-04-01", 'Form responses 1'!$A$2:$A1001, "&lt;=2024-06-30"),
    COUNTIFS('Form responses 1'!$G$2:$G1001, A90, 'Form responses 1'!$A$2:$A1001, "&gt;=2024-04-01", 'Form responses 1'!$A$2:$A1001, "&lt;=2024-06-30")
)
</f>
        <v>0</v>
      </c>
      <c r="K90" s="2">
        <f>SUM(
    COUNTIFS('Form responses 1'!$C$2:$C1001, A90, 'Form responses 1'!$A$2:$A1001, "&gt;=2024-07-01", 'Form responses 1'!$A$2:$A1001, "&lt;=2024-09-30"),
    COUNTIFS('Form responses 1'!$B$2:$B1001, A90, 'Form responses 1'!$A$2:$A1001, "&gt;=2024-07-01", 'Form responses 1'!$A$2:$A1001, "&lt;=2024-09-30"),
    COUNTIFS('Form responses 1'!$D$2:$D1001, A90, 'Form responses 1'!$A$2:$A1001, "&gt;=2024-07-01", 'Form responses 1'!$A$2:$A1001, "&lt;=2024-09-30"),
    COUNTIFS('Form responses 1'!$E$2:$E1001, A90, 'Form responses 1'!$A$2:$A1001, "&gt;=2024-07-01", 'Form responses 1'!$A$2:$A1001, "&lt;=2024-09-30"),
    COUNTIFS('Form responses 1'!$F$2:$F1001, A90, 'Form responses 1'!$A$2:$A1001, "&gt;=2024-07-01", 'Form responses 1'!$A$2:$A1001, "&lt;=2024-09-30"),
    COUNTIFS('Form responses 1'!$G$2:$G1001, A90, 'Form responses 1'!$A$2:$A1001, "&gt;=2024-07-01", 'Form responses 1'!$A$2:$A1001, "&lt;=2024-09-30")
)
</f>
        <v>0</v>
      </c>
      <c r="L90" s="2">
        <f>SUM(
    COUNTIFS('Form responses 1'!$C$2:$C1001, A90, 'Form responses 1'!$A$2:$A1001, "&gt;=2024-10-01", 'Form responses 1'!$A$2:$A1001, "&lt;=2024-12-31"),
    COUNTIFS('Form responses 1'!$B$2:$B1001, A90, 'Form responses 1'!$A$2:$A1001, "&gt;=2024-10-01", 'Form responses 1'!$A$2:$A1001, "&lt;=2024-12-31"),
    COUNTIFS('Form responses 1'!$D$2:$D1001, A90, 'Form responses 1'!$A$2:$A1001, "&gt;=2024-10-01", 'Form responses 1'!$A$2:$A1001, "&lt;=2024-12-31"),
    COUNTIFS('Form responses 1'!$E$2:$E1001, A90, 'Form responses 1'!$A$2:$A1001, "&gt;=2024-10-01", 'Form responses 1'!$A$2:$A1001, "&lt;=2024-12-31"),
    COUNTIFS('Form responses 1'!$F$2:$F1001, A90, 'Form responses 1'!$A$2:$A1001, "&gt;=2024-10-01", 'Form responses 1'!$A$2:$A1001, "&lt;=2024-12-31"),
    COUNTIFS('Form responses 1'!$G$2:$G1001, A90, 'Form responses 1'!$A$2:$A1001, "&gt;=2024-10-01", 'Form responses 1'!$A$2:$A1001, "&lt;=2024-12-31")
)
</f>
        <v>0</v>
      </c>
      <c r="M90" s="2">
        <f>SUM(
    COUNTIFS('Form responses 1'!$C$2:$C1001, A90, 'Form responses 1'!$A$2:$A1001, "&gt;=2025-01-01", 'Form responses 1'!$A$2:$A1001, "&lt;=2025-03-31"),
    COUNTIFS('Form responses 1'!$B$2:$B1001, A90, 'Form responses 1'!$A$2:$A1001, "&gt;=2025-01-01", 'Form responses 1'!$A$2:$A1001, "&lt;=2025-03-31"),
    COUNTIFS('Form responses 1'!$D$2:$D1001, A90, 'Form responses 1'!$A$2:$A1001, "&gt;=2025-01-01", 'Form responses 1'!$A$2:$A1001, "&lt;=2025-03-31"),
    COUNTIFS('Form responses 1'!$E$2:$E1001, A90, 'Form responses 1'!$A$2:$A1001, "&gt;=2025-01-01", 'Form responses 1'!$A$2:$A1001, "&lt;=2025-03-31"),
    COUNTIFS('Form responses 1'!$F$2:$F1001, A90, 'Form responses 1'!$A$2:$A1001, "&gt;=2025-01-01", 'Form responses 1'!$A$2:$A1001, "&lt;=2025-03-31"),
    COUNTIFS('Form responses 1'!$G$2:$G1001, A90, 'Form responses 1'!$A$2:$A1001, "&gt;=2025-01-01", 'Form responses 1'!$A$2:$A1001, "&lt;=2025-03-31")
)
</f>
        <v>0</v>
      </c>
      <c r="N90" s="2">
        <f>SUM(
    COUNTIFS('Form responses 1'!$C$2:$C1001, A90, 'Form responses 1'!$A$2:$A1001, "&gt;=2025-04-01", 'Form responses 1'!$A$2:$A1001, "&lt;2025-07-01"),
    COUNTIFS('Form responses 1'!$B$2:$B1001, A90, 'Form responses 1'!$A$2:$A1001, "&gt;=2025-04-01", 'Form responses 1'!$A$2:$A1001, "&lt;2025-07-01"),
    COUNTIFS('Form responses 1'!$D$2:$D1001, A90, 'Form responses 1'!$A$2:$A1001, "&gt;=2025-04-01", 'Form responses 1'!$A$2:$A1001, "&lt;2025-07-01"),
    COUNTIFS('Form responses 1'!$E$2:$E1001, A90, 'Form responses 1'!$A$2:$A1001, "&gt;=2025-04-01", 'Form responses 1'!$A$2:$A1001, "&lt;2025-07-01"),
    COUNTIFS('Form responses 1'!$F$2:$F1001, A90, 'Form responses 1'!$A$2:$A1001, "&gt;=2025-04-01", 'Form responses 1'!$A$2:$A1001, "&lt;2025-07-01"),
    COUNTIFS('Form responses 1'!$G$2:$G1001, A90, 'Form responses 1'!$A$2:$A1001, "&gt;=2025-04-01", 'Form responses 1'!$A$2:$A1001, "&lt;2025-07-01")
)
</f>
        <v>0</v>
      </c>
      <c r="O90" s="2">
        <f>SUM(
    COUNTIFS('Form responses 1'!$C$2:$C1001, A90, 'Form responses 1'!$A$2:$A1001, "&gt;=2025-07-01", 'Form responses 1'!$A$2:$A1001, "&lt;=2025-09-30"),
    COUNTIFS('Form responses 1'!$B$2:$B1001, A90, 'Form responses 1'!$A$2:$A1001, "&gt;=2025-07-01", 'Form responses 1'!$A$2:$A1001, "&lt;=2025-09-30"),
    COUNTIFS('Form responses 1'!$D$2:$D1001, A90, 'Form responses 1'!$A$2:$A1001, "&gt;=2025-07-01", 'Form responses 1'!$A$2:$A1001, "&lt;=2025-09-30"),
    COUNTIFS('Form responses 1'!$E$2:$E1001, A90, 'Form responses 1'!$A$2:$A1001, "&gt;=2025-07-01", 'Form responses 1'!$A$2:$A1001, "&lt;=2025-09-30"),
    COUNTIFS('Form responses 1'!$F$2:$F1001, A90, 'Form responses 1'!$A$2:$A1001, "&gt;=2025-07-01", 'Form responses 1'!$A$2:$A1001, "&lt;=2025-09-30"),
    COUNTIFS('Form responses 1'!$G$2:$G1001, A90, 'Form responses 1'!$A$2:$A1001, "&gt;=2025-07-01", 'Form responses 1'!$A$2:$A1001, "&lt;=2025-09-30")
)
</f>
        <v>0</v>
      </c>
      <c r="P90" s="2">
        <f>SUM(
    COUNTIFS('Form responses 1'!$C$2:$C1001, A90, 'Form responses 1'!$A$2:$A1001, "&gt;=2025-10-01", 'Form responses 1'!$A$2:$A1001, "&lt;=2025-12-31"),
    COUNTIFS('Form responses 1'!$B$2:$B1001, A90, 'Form responses 1'!$A$2:$A1001, "&gt;=2025-10-01", 'Form responses 1'!$A$2:$A1001, "&lt;=2025-12-31"),
    COUNTIFS('Form responses 1'!$D$2:$D1001, A90, 'Form responses 1'!$A$2:$A1001, "&gt;=2025-10-01", 'Form responses 1'!$A$2:$A1001, "&lt;=2025-12-31"),
    COUNTIFS('Form responses 1'!$E$2:$E1001, A90, 'Form responses 1'!$A$2:$A1001, "&gt;=2025-10-01", 'Form responses 1'!$A$2:$A1001, "&lt;=2025-12-31"),
    COUNTIFS('Form responses 1'!$F$2:$F1001, A90, 'Form responses 1'!$A$2:$A1001, "&gt;=2025-10-01", 'Form responses 1'!$A$2:$A1001, "&lt;=2025-12-31"),
    COUNTIFS('Form responses 1'!$G$2:$G1001, A90, 'Form responses 1'!$A$2:$A1001, "&gt;=2025-10-01", 'Form responses 1'!$A$2:$A1001, "&lt;=2025-12-31")
)
</f>
        <v>0</v>
      </c>
    </row>
    <row r="91">
      <c r="A91" s="3" t="str">
        <f>IFERROR(__xludf.DUMMYFUNCTION("""COMPUTED_VALUE"""),"Blauwe korte broek")</f>
        <v>Blauwe korte broek</v>
      </c>
      <c r="B91" s="2">
        <f>SUM(
    COUNTIFS('Form responses 1'!$C$2:$C1001, A91, 'Form responses 1'!$A$2:$A1001, "&gt;=2022-04-01", 'Form responses 1'!$A$2:$A1001, "&lt;=2022-06-30"),
    COUNTIFS('Form responses 1'!$B$2:$B1001, A91, 'Form responses 1'!$A$2:$A1001, "&gt;=2022-04-01", 'Form responses 1'!$A$2:$A1001, "&lt;=2022-06-30"),
    COUNTIFS('Form responses 1'!$D$2:$D1001, A91, 'Form responses 1'!$A$2:$A1001, "&gt;=2022-04-01", 'Form responses 1'!$A$2:$A1001, "&lt;=2022-06-30"),
    COUNTIFS('Form responses 1'!$E$2:$E1001, A91, 'Form responses 1'!$A$2:$A1001, "&gt;=2022-04-01", 'Form responses 1'!$A$2:$A1001, "&lt;=2022-06-30"),
    COUNTIFS('Form responses 1'!$F$2:$F1001, A91, 'Form responses 1'!$A$2:$A1001, "&gt;=2022-04-01", 'Form responses 1'!$A$2:$A1001, "&lt;=2022-06-30"),
    COUNTIFS('Form responses 1'!$G$2:$G1001, A91, 'Form responses 1'!$A$2:$A1001, "&gt;=2022-04-01", 'Form responses 1'!$A$2:$A1001, "&lt;=2022-06-30")
)
</f>
        <v>0</v>
      </c>
      <c r="C91" s="2">
        <f>SUM(
    COUNTIFS('Form responses 1'!$C$2:$C1001, A91, 'Form responses 1'!$A$2:$A1001, "&gt;=2022-07-01", 'Form responses 1'!$A$2:$A1001, "&lt;=2022-09-30"),
    COUNTIFS('Form responses 1'!$B$2:$B1001, A91, 'Form responses 1'!$A$2:$A1001, "&gt;=2022-07-01", 'Form responses 1'!$A$2:$A1001, "&lt;=2022-09-30"),
    COUNTIFS('Form responses 1'!$D$2:$D1001, A91, 'Form responses 1'!$A$2:$A1001, "&gt;=2022-07-01", 'Form responses 1'!$A$2:$A1001, "&lt;=2022-09-30"),
    COUNTIFS('Form responses 1'!$E$2:$E1001, A91, 'Form responses 1'!$A$2:$A1001, "&gt;=2022-07-01", 'Form responses 1'!$A$2:$A1001, "&lt;=2022-09-30"),
    COUNTIFS('Form responses 1'!$F$2:$F1001, A91, 'Form responses 1'!$A$2:$A1001, "&gt;=2022-07-01", 'Form responses 1'!$A$2:$A1001, "&lt;=2022-09-30"),
    COUNTIFS('Form responses 1'!$G$2:$G1001, A91, 'Form responses 1'!$A$2:$A1001, "&gt;=2022-07-01", 'Form responses 1'!$A$2:$A1001, "&lt;=2022-09-30")
)
</f>
        <v>0</v>
      </c>
      <c r="D91" s="2">
        <f>SUM(
    COUNTIFS('Form responses 1'!$C$2:$C1001, A91, 'Form responses 1'!$A$2:$A1001, "&gt;=2022-10-01", 'Form responses 1'!$A$2:$A1001, "&lt;=2022-12-31"),
    COUNTIFS('Form responses 1'!$B$2:$B1001, A91, 'Form responses 1'!$A$2:$A1001, "&gt;=2022-10-01", 'Form responses 1'!$A$2:$A1001, "&lt;=2022-12-31"),
    COUNTIFS('Form responses 1'!$D$2:$D1001, A91, 'Form responses 1'!$A$2:$A1001, "&gt;=2022-10-01", 'Form responses 1'!$A$2:$A1001, "&lt;=2022-12-31"),
    COUNTIFS('Form responses 1'!$E$2:$E1001, A91, 'Form responses 1'!$A$2:$A1001, "&gt;=2022-10-01", 'Form responses 1'!$A$2:$A1001, "&lt;=2022-12-31"),
    COUNTIFS('Form responses 1'!$F$2:$F1001, A91, 'Form responses 1'!$A$2:$A1001, "&gt;=2022-10-01", 'Form responses 1'!$A$2:$A1001, "&lt;=2022-12-31"),
    COUNTIFS('Form responses 1'!$G$2:$G1001, A91, 'Form responses 1'!$A$2:$A1001, "&gt;=2022-10-01", 'Form responses 1'!$A$2:$A1001, "&lt;=2022-12-31")
)
</f>
        <v>0</v>
      </c>
      <c r="E91" s="2">
        <f>SUM(
    COUNTIFS('Form responses 1'!$C$2:$C1001, A91, 'Form responses 1'!$A$2:$A1001, "&gt;=2023-01-01", 'Form responses 1'!$A$2:$A1001, "&lt;=2023-03-31"),
    COUNTIFS('Form responses 1'!$B$2:$B1001, A91, 'Form responses 1'!$A$2:$A1001, "&gt;=2023-01-01", 'Form responses 1'!$A$2:$A1001, "&lt;=2023-03-31"),
    COUNTIFS('Form responses 1'!$D$2:$D1001, A91, 'Form responses 1'!$A$2:$A1001, "&gt;=2023-01-01", 'Form responses 1'!$A$2:$A1001, "&lt;=2023-03-31"),
    COUNTIFS('Form responses 1'!$E$2:$E1001, A91, 'Form responses 1'!$A$2:$A1001, "&gt;=2023-01-01", 'Form responses 1'!$A$2:$A1001, "&lt;=2023-03-31"),
    COUNTIFS('Form responses 1'!$F$2:$F1001, A91, 'Form responses 1'!$A$2:$A1001, "&gt;=2023-01-01", 'Form responses 1'!$A$2:$A1001, "&lt;=2023-03-31"),
    COUNTIFS('Form responses 1'!$G$2:$G1001, A91, 'Form responses 1'!$A$2:$A1001, "&gt;=2023-01-01", 'Form responses 1'!$A$2:$A1001, "&lt;=2023-03-31")
)
</f>
        <v>0</v>
      </c>
      <c r="F91" s="2">
        <f>SUM(
    COUNTIFS('Form responses 1'!$C$2:$C1001, A91, 'Form responses 1'!$A$2:$A1001, "&gt;=2023-04-01", 'Form responses 1'!$A$2:$A1001, "&lt;=2023-06-30"),
    COUNTIFS('Form responses 1'!$B$2:$B1001, A91, 'Form responses 1'!$A$2:$A1001, "&gt;=2023-04-01", 'Form responses 1'!$A$2:$A1001, "&lt;=2023-06-30"),
    COUNTIFS('Form responses 1'!$D$2:$D1001, A91, 'Form responses 1'!$A$2:$A1001, "&gt;=2023-04-01", 'Form responses 1'!$A$2:$A1001, "&lt;=2023-06-30"),
    COUNTIFS('Form responses 1'!$E$2:$E1001, A91, 'Form responses 1'!$A$2:$A1001, "&gt;=2023-04-01", 'Form responses 1'!$A$2:$A1001, "&lt;=2023-06-30"),
    COUNTIFS('Form responses 1'!$F$2:$F1001, A91, 'Form responses 1'!$A$2:$A1001, "&gt;=2023-04-01", 'Form responses 1'!$A$2:$A1001, "&lt;=2023-06-30"),
    COUNTIFS('Form responses 1'!$G$2:$G1001, A91, 'Form responses 1'!$A$2:$A1001, "&gt;=2023-04-01", 'Form responses 1'!$A$2:$A1001, "&lt;=2023-06-30")
)
</f>
        <v>0</v>
      </c>
      <c r="G91" s="2">
        <f>SUM(
    COUNTIFS('Form responses 1'!$C$2:$C1001, A91, 'Form responses 1'!$A$2:$A1001, "&gt;=2023-07-01", 'Form responses 1'!$A$2:$A1001, "&lt;=2023-09-30"),
    COUNTIFS('Form responses 1'!$B$2:$B1001, A91, 'Form responses 1'!$A$2:$A1001, "&gt;=2023-07-01", 'Form responses 1'!$A$2:$A1001, "&lt;=2023-09-30"),
    COUNTIFS('Form responses 1'!$D$2:$D1001, A91, 'Form responses 1'!$A$2:$A1001, "&gt;=2023-07-01", 'Form responses 1'!$A$2:$A1001, "&lt;=2023-09-30"),
    COUNTIFS('Form responses 1'!$E$2:$E1001, A91, 'Form responses 1'!$A$2:$A1001, "&gt;=2023-07-01", 'Form responses 1'!$A$2:$A1001, "&lt;=2023-09-30"),
    COUNTIFS('Form responses 1'!$F$2:$F1001, A91, 'Form responses 1'!$A$2:$A1001, "&gt;=2023-07-01", 'Form responses 1'!$A$2:$A1001, "&lt;=2023-09-30"),
    COUNTIFS('Form responses 1'!$G$2:$G1001, A91, 'Form responses 1'!$A$2:$A1001, "&gt;=2023-07-01", 'Form responses 1'!$A$2:$A1001, "&lt;=2023-09-30")
)
</f>
        <v>0</v>
      </c>
      <c r="H91" s="2">
        <f>SUM(
    COUNTIFS('Form responses 1'!$C$2:$C1001, A91, 'Form responses 1'!$A$2:$A1001, "&gt;=2023-10-01", 'Form responses 1'!$A$2:$A1001, "&lt;=2023-12-31"),
    COUNTIFS('Form responses 1'!$B$2:$B1001, A91, 'Form responses 1'!$A$2:$A1001, "&gt;=2023-10-01", 'Form responses 1'!$A$2:$A1001, "&lt;=2023-12-31"),
    COUNTIFS('Form responses 1'!$D$2:$D1001, A91, 'Form responses 1'!$A$2:$A1001, "&gt;=2023-10-01", 'Form responses 1'!$A$2:$A1001, "&lt;=2023-12-31"),
    COUNTIFS('Form responses 1'!$E$2:$E1001, A91, 'Form responses 1'!$A$2:$A1001, "&gt;=2023-10-01", 'Form responses 1'!$A$2:$A1001, "&lt;=2023-12-31"),
    COUNTIFS('Form responses 1'!$F$2:$F1001, A91, 'Form responses 1'!$A$2:$A1001, "&gt;=2023-10-01", 'Form responses 1'!$A$2:$A1001, "&lt;=2023-12-31"),
    COUNTIFS('Form responses 1'!$G$2:$G1001, A91, 'Form responses 1'!$A$2:$A1001, "&gt;=2023-10-01", 'Form responses 1'!$A$2:$A1001, "&lt;=2023-12-31")
)
</f>
        <v>0</v>
      </c>
      <c r="I91" s="2">
        <f>SUM(
    COUNTIFS('Form responses 1'!$C$2:$C1001, A91, 'Form responses 1'!$A$2:$A1001, "&gt;=2024-01-01", 'Form responses 1'!$A$2:$A1001, "&lt;=2024-03-31"),
    COUNTIFS('Form responses 1'!$B$2:$B1001, A91, 'Form responses 1'!$A$2:$A1001, "&gt;=2024-01-01", 'Form responses 1'!$A$2:$A1001, "&lt;=2024-03-31"),
    COUNTIFS('Form responses 1'!$D$2:$D1001, A91, 'Form responses 1'!$A$2:$A1001, "&gt;=2024-01-01", 'Form responses 1'!$A$2:$A1001, "&lt;=2024-03-31"),
    COUNTIFS('Form responses 1'!$E$2:$E1001, A91, 'Form responses 1'!$A$2:$A1001, "&gt;=2024-01-01", 'Form responses 1'!$A$2:$A1001, "&lt;=2024-03-31"),
    COUNTIFS('Form responses 1'!$F$2:$F1001, A91, 'Form responses 1'!$A$2:$A1001, "&gt;=2024-01-01", 'Form responses 1'!$A$2:$A1001, "&lt;=2024-03-31"),
    COUNTIFS('Form responses 1'!$G$2:$G1001, A91, 'Form responses 1'!$A$2:$A1001, "&gt;=2024-01-01", 'Form responses 1'!$A$2:$A1001, "&lt;=2024-03-31")
)
</f>
        <v>0</v>
      </c>
      <c r="J91" s="2">
        <f>SUM(
    COUNTIFS('Form responses 1'!$C$2:$C1001, A91, 'Form responses 1'!$A$2:$A1001, "&gt;=2024-04-01", 'Form responses 1'!$A$2:$A1001, "&lt;=2024-06-30"),
    COUNTIFS('Form responses 1'!$B$2:$B1001, A91, 'Form responses 1'!$A$2:$A1001, "&gt;=2024-04-01", 'Form responses 1'!$A$2:$A1001, "&lt;=2024-06-30"),
    COUNTIFS('Form responses 1'!$D$2:$D1001, A91, 'Form responses 1'!$A$2:$A1001, "&gt;=2024-04-01", 'Form responses 1'!$A$2:$A1001, "&lt;=2024-06-30"),
    COUNTIFS('Form responses 1'!$E$2:$E1001, A91, 'Form responses 1'!$A$2:$A1001, "&gt;=2024-04-01", 'Form responses 1'!$A$2:$A1001, "&lt;=2024-06-30"),
    COUNTIFS('Form responses 1'!$F$2:$F1001, A91, 'Form responses 1'!$A$2:$A1001, "&gt;=2024-04-01", 'Form responses 1'!$A$2:$A1001, "&lt;=2024-06-30"),
    COUNTIFS('Form responses 1'!$G$2:$G1001, A91, 'Form responses 1'!$A$2:$A1001, "&gt;=2024-04-01", 'Form responses 1'!$A$2:$A1001, "&lt;=2024-06-30")
)
</f>
        <v>0</v>
      </c>
      <c r="K91" s="2">
        <f>SUM(
    COUNTIFS('Form responses 1'!$C$2:$C1001, A91, 'Form responses 1'!$A$2:$A1001, "&gt;=2024-07-01", 'Form responses 1'!$A$2:$A1001, "&lt;=2024-09-30"),
    COUNTIFS('Form responses 1'!$B$2:$B1001, A91, 'Form responses 1'!$A$2:$A1001, "&gt;=2024-07-01", 'Form responses 1'!$A$2:$A1001, "&lt;=2024-09-30"),
    COUNTIFS('Form responses 1'!$D$2:$D1001, A91, 'Form responses 1'!$A$2:$A1001, "&gt;=2024-07-01", 'Form responses 1'!$A$2:$A1001, "&lt;=2024-09-30"),
    COUNTIFS('Form responses 1'!$E$2:$E1001, A91, 'Form responses 1'!$A$2:$A1001, "&gt;=2024-07-01", 'Form responses 1'!$A$2:$A1001, "&lt;=2024-09-30"),
    COUNTIFS('Form responses 1'!$F$2:$F1001, A91, 'Form responses 1'!$A$2:$A1001, "&gt;=2024-07-01", 'Form responses 1'!$A$2:$A1001, "&lt;=2024-09-30"),
    COUNTIFS('Form responses 1'!$G$2:$G1001, A91, 'Form responses 1'!$A$2:$A1001, "&gt;=2024-07-01", 'Form responses 1'!$A$2:$A1001, "&lt;=2024-09-30")
)
</f>
        <v>0</v>
      </c>
      <c r="L91" s="2">
        <f>SUM(
    COUNTIFS('Form responses 1'!$C$2:$C1001, A91, 'Form responses 1'!$A$2:$A1001, "&gt;=2024-10-01", 'Form responses 1'!$A$2:$A1001, "&lt;=2024-12-31"),
    COUNTIFS('Form responses 1'!$B$2:$B1001, A91, 'Form responses 1'!$A$2:$A1001, "&gt;=2024-10-01", 'Form responses 1'!$A$2:$A1001, "&lt;=2024-12-31"),
    COUNTIFS('Form responses 1'!$D$2:$D1001, A91, 'Form responses 1'!$A$2:$A1001, "&gt;=2024-10-01", 'Form responses 1'!$A$2:$A1001, "&lt;=2024-12-31"),
    COUNTIFS('Form responses 1'!$E$2:$E1001, A91, 'Form responses 1'!$A$2:$A1001, "&gt;=2024-10-01", 'Form responses 1'!$A$2:$A1001, "&lt;=2024-12-31"),
    COUNTIFS('Form responses 1'!$F$2:$F1001, A91, 'Form responses 1'!$A$2:$A1001, "&gt;=2024-10-01", 'Form responses 1'!$A$2:$A1001, "&lt;=2024-12-31"),
    COUNTIFS('Form responses 1'!$G$2:$G1001, A91, 'Form responses 1'!$A$2:$A1001, "&gt;=2024-10-01", 'Form responses 1'!$A$2:$A1001, "&lt;=2024-12-31")
)
</f>
        <v>0</v>
      </c>
      <c r="M91" s="2">
        <f>SUM(
    COUNTIFS('Form responses 1'!$C$2:$C1001, A91, 'Form responses 1'!$A$2:$A1001, "&gt;=2025-01-01", 'Form responses 1'!$A$2:$A1001, "&lt;=2025-03-31"),
    COUNTIFS('Form responses 1'!$B$2:$B1001, A91, 'Form responses 1'!$A$2:$A1001, "&gt;=2025-01-01", 'Form responses 1'!$A$2:$A1001, "&lt;=2025-03-31"),
    COUNTIFS('Form responses 1'!$D$2:$D1001, A91, 'Form responses 1'!$A$2:$A1001, "&gt;=2025-01-01", 'Form responses 1'!$A$2:$A1001, "&lt;=2025-03-31"),
    COUNTIFS('Form responses 1'!$E$2:$E1001, A91, 'Form responses 1'!$A$2:$A1001, "&gt;=2025-01-01", 'Form responses 1'!$A$2:$A1001, "&lt;=2025-03-31"),
    COUNTIFS('Form responses 1'!$F$2:$F1001, A91, 'Form responses 1'!$A$2:$A1001, "&gt;=2025-01-01", 'Form responses 1'!$A$2:$A1001, "&lt;=2025-03-31"),
    COUNTIFS('Form responses 1'!$G$2:$G1001, A91, 'Form responses 1'!$A$2:$A1001, "&gt;=2025-01-01", 'Form responses 1'!$A$2:$A1001, "&lt;=2025-03-31")
)
</f>
        <v>0</v>
      </c>
      <c r="N91" s="2">
        <f>SUM(
    COUNTIFS('Form responses 1'!$C$2:$C1001, A91, 'Form responses 1'!$A$2:$A1001, "&gt;=2025-04-01", 'Form responses 1'!$A$2:$A1001, "&lt;2025-07-01"),
    COUNTIFS('Form responses 1'!$B$2:$B1001, A91, 'Form responses 1'!$A$2:$A1001, "&gt;=2025-04-01", 'Form responses 1'!$A$2:$A1001, "&lt;2025-07-01"),
    COUNTIFS('Form responses 1'!$D$2:$D1001, A91, 'Form responses 1'!$A$2:$A1001, "&gt;=2025-04-01", 'Form responses 1'!$A$2:$A1001, "&lt;2025-07-01"),
    COUNTIFS('Form responses 1'!$E$2:$E1001, A91, 'Form responses 1'!$A$2:$A1001, "&gt;=2025-04-01", 'Form responses 1'!$A$2:$A1001, "&lt;2025-07-01"),
    COUNTIFS('Form responses 1'!$F$2:$F1001, A91, 'Form responses 1'!$A$2:$A1001, "&gt;=2025-04-01", 'Form responses 1'!$A$2:$A1001, "&lt;2025-07-01"),
    COUNTIFS('Form responses 1'!$G$2:$G1001, A91, 'Form responses 1'!$A$2:$A1001, "&gt;=2025-04-01", 'Form responses 1'!$A$2:$A1001, "&lt;2025-07-01")
)
</f>
        <v>0</v>
      </c>
      <c r="O91" s="2">
        <f>SUM(
    COUNTIFS('Form responses 1'!$C$2:$C1001, A91, 'Form responses 1'!$A$2:$A1001, "&gt;=2025-07-01", 'Form responses 1'!$A$2:$A1001, "&lt;=2025-09-30"),
    COUNTIFS('Form responses 1'!$B$2:$B1001, A91, 'Form responses 1'!$A$2:$A1001, "&gt;=2025-07-01", 'Form responses 1'!$A$2:$A1001, "&lt;=2025-09-30"),
    COUNTIFS('Form responses 1'!$D$2:$D1001, A91, 'Form responses 1'!$A$2:$A1001, "&gt;=2025-07-01", 'Form responses 1'!$A$2:$A1001, "&lt;=2025-09-30"),
    COUNTIFS('Form responses 1'!$E$2:$E1001, A91, 'Form responses 1'!$A$2:$A1001, "&gt;=2025-07-01", 'Form responses 1'!$A$2:$A1001, "&lt;=2025-09-30"),
    COUNTIFS('Form responses 1'!$F$2:$F1001, A91, 'Form responses 1'!$A$2:$A1001, "&gt;=2025-07-01", 'Form responses 1'!$A$2:$A1001, "&lt;=2025-09-30"),
    COUNTIFS('Form responses 1'!$G$2:$G1001, A91, 'Form responses 1'!$A$2:$A1001, "&gt;=2025-07-01", 'Form responses 1'!$A$2:$A1001, "&lt;=2025-09-30")
)
</f>
        <v>8</v>
      </c>
      <c r="P91" s="2">
        <f>SUM(
    COUNTIFS('Form responses 1'!$C$2:$C1001, A91, 'Form responses 1'!$A$2:$A1001, "&gt;=2025-10-01", 'Form responses 1'!$A$2:$A1001, "&lt;=2025-12-31"),
    COUNTIFS('Form responses 1'!$B$2:$B1001, A91, 'Form responses 1'!$A$2:$A1001, "&gt;=2025-10-01", 'Form responses 1'!$A$2:$A1001, "&lt;=2025-12-31"),
    COUNTIFS('Form responses 1'!$D$2:$D1001, A91, 'Form responses 1'!$A$2:$A1001, "&gt;=2025-10-01", 'Form responses 1'!$A$2:$A1001, "&lt;=2025-12-31"),
    COUNTIFS('Form responses 1'!$E$2:$E1001, A91, 'Form responses 1'!$A$2:$A1001, "&gt;=2025-10-01", 'Form responses 1'!$A$2:$A1001, "&lt;=2025-12-31"),
    COUNTIFS('Form responses 1'!$F$2:$F1001, A91, 'Form responses 1'!$A$2:$A1001, "&gt;=2025-10-01", 'Form responses 1'!$A$2:$A1001, "&lt;=2025-12-31"),
    COUNTIFS('Form responses 1'!$G$2:$G1001, A91, 'Form responses 1'!$A$2:$A1001, "&gt;=2025-10-01", 'Form responses 1'!$A$2:$A1001, "&lt;=2025-12-31")
)
</f>
        <v>0</v>
      </c>
    </row>
    <row r="92">
      <c r="A92" s="3" t="str">
        <f>IFERROR(__xludf.DUMMYFUNCTION("""COMPUTED_VALUE"""),"Daily Paper t-shirt")</f>
        <v>Daily Paper t-shirt</v>
      </c>
      <c r="B92" s="2">
        <f>SUM(
    COUNTIFS('Form responses 1'!$C$2:$C1001, A92, 'Form responses 1'!$A$2:$A1001, "&gt;=2022-04-01", 'Form responses 1'!$A$2:$A1001, "&lt;=2022-06-30"),
    COUNTIFS('Form responses 1'!$B$2:$B1001, A92, 'Form responses 1'!$A$2:$A1001, "&gt;=2022-04-01", 'Form responses 1'!$A$2:$A1001, "&lt;=2022-06-30"),
    COUNTIFS('Form responses 1'!$D$2:$D1001, A92, 'Form responses 1'!$A$2:$A1001, "&gt;=2022-04-01", 'Form responses 1'!$A$2:$A1001, "&lt;=2022-06-30"),
    COUNTIFS('Form responses 1'!$E$2:$E1001, A92, 'Form responses 1'!$A$2:$A1001, "&gt;=2022-04-01", 'Form responses 1'!$A$2:$A1001, "&lt;=2022-06-30"),
    COUNTIFS('Form responses 1'!$F$2:$F1001, A92, 'Form responses 1'!$A$2:$A1001, "&gt;=2022-04-01", 'Form responses 1'!$A$2:$A1001, "&lt;=2022-06-30"),
    COUNTIFS('Form responses 1'!$G$2:$G1001, A92, 'Form responses 1'!$A$2:$A1001, "&gt;=2022-04-01", 'Form responses 1'!$A$2:$A1001, "&lt;=2022-06-30")
)
</f>
        <v>0</v>
      </c>
      <c r="C92" s="2">
        <f>SUM(
    COUNTIFS('Form responses 1'!$C$2:$C1001, A92, 'Form responses 1'!$A$2:$A1001, "&gt;=2022-07-01", 'Form responses 1'!$A$2:$A1001, "&lt;=2022-09-30"),
    COUNTIFS('Form responses 1'!$B$2:$B1001, A92, 'Form responses 1'!$A$2:$A1001, "&gt;=2022-07-01", 'Form responses 1'!$A$2:$A1001, "&lt;=2022-09-30"),
    COUNTIFS('Form responses 1'!$D$2:$D1001, A92, 'Form responses 1'!$A$2:$A1001, "&gt;=2022-07-01", 'Form responses 1'!$A$2:$A1001, "&lt;=2022-09-30"),
    COUNTIFS('Form responses 1'!$E$2:$E1001, A92, 'Form responses 1'!$A$2:$A1001, "&gt;=2022-07-01", 'Form responses 1'!$A$2:$A1001, "&lt;=2022-09-30"),
    COUNTIFS('Form responses 1'!$F$2:$F1001, A92, 'Form responses 1'!$A$2:$A1001, "&gt;=2022-07-01", 'Form responses 1'!$A$2:$A1001, "&lt;=2022-09-30"),
    COUNTIFS('Form responses 1'!$G$2:$G1001, A92, 'Form responses 1'!$A$2:$A1001, "&gt;=2022-07-01", 'Form responses 1'!$A$2:$A1001, "&lt;=2022-09-30")
)
</f>
        <v>0</v>
      </c>
      <c r="D92" s="2">
        <f>SUM(
    COUNTIFS('Form responses 1'!$C$2:$C1001, A92, 'Form responses 1'!$A$2:$A1001, "&gt;=2022-10-01", 'Form responses 1'!$A$2:$A1001, "&lt;=2022-12-31"),
    COUNTIFS('Form responses 1'!$B$2:$B1001, A92, 'Form responses 1'!$A$2:$A1001, "&gt;=2022-10-01", 'Form responses 1'!$A$2:$A1001, "&lt;=2022-12-31"),
    COUNTIFS('Form responses 1'!$D$2:$D1001, A92, 'Form responses 1'!$A$2:$A1001, "&gt;=2022-10-01", 'Form responses 1'!$A$2:$A1001, "&lt;=2022-12-31"),
    COUNTIFS('Form responses 1'!$E$2:$E1001, A92, 'Form responses 1'!$A$2:$A1001, "&gt;=2022-10-01", 'Form responses 1'!$A$2:$A1001, "&lt;=2022-12-31"),
    COUNTIFS('Form responses 1'!$F$2:$F1001, A92, 'Form responses 1'!$A$2:$A1001, "&gt;=2022-10-01", 'Form responses 1'!$A$2:$A1001, "&lt;=2022-12-31"),
    COUNTIFS('Form responses 1'!$G$2:$G1001, A92, 'Form responses 1'!$A$2:$A1001, "&gt;=2022-10-01", 'Form responses 1'!$A$2:$A1001, "&lt;=2022-12-31")
)
</f>
        <v>0</v>
      </c>
      <c r="E92" s="2">
        <f>SUM(
    COUNTIFS('Form responses 1'!$C$2:$C1001, A92, 'Form responses 1'!$A$2:$A1001, "&gt;=2023-01-01", 'Form responses 1'!$A$2:$A1001, "&lt;=2023-03-31"),
    COUNTIFS('Form responses 1'!$B$2:$B1001, A92, 'Form responses 1'!$A$2:$A1001, "&gt;=2023-01-01", 'Form responses 1'!$A$2:$A1001, "&lt;=2023-03-31"),
    COUNTIFS('Form responses 1'!$D$2:$D1001, A92, 'Form responses 1'!$A$2:$A1001, "&gt;=2023-01-01", 'Form responses 1'!$A$2:$A1001, "&lt;=2023-03-31"),
    COUNTIFS('Form responses 1'!$E$2:$E1001, A92, 'Form responses 1'!$A$2:$A1001, "&gt;=2023-01-01", 'Form responses 1'!$A$2:$A1001, "&lt;=2023-03-31"),
    COUNTIFS('Form responses 1'!$F$2:$F1001, A92, 'Form responses 1'!$A$2:$A1001, "&gt;=2023-01-01", 'Form responses 1'!$A$2:$A1001, "&lt;=2023-03-31"),
    COUNTIFS('Form responses 1'!$G$2:$G1001, A92, 'Form responses 1'!$A$2:$A1001, "&gt;=2023-01-01", 'Form responses 1'!$A$2:$A1001, "&lt;=2023-03-31")
)
</f>
        <v>0</v>
      </c>
      <c r="F92" s="2">
        <f>SUM(
    COUNTIFS('Form responses 1'!$C$2:$C1001, A92, 'Form responses 1'!$A$2:$A1001, "&gt;=2023-04-01", 'Form responses 1'!$A$2:$A1001, "&lt;=2023-06-30"),
    COUNTIFS('Form responses 1'!$B$2:$B1001, A92, 'Form responses 1'!$A$2:$A1001, "&gt;=2023-04-01", 'Form responses 1'!$A$2:$A1001, "&lt;=2023-06-30"),
    COUNTIFS('Form responses 1'!$D$2:$D1001, A92, 'Form responses 1'!$A$2:$A1001, "&gt;=2023-04-01", 'Form responses 1'!$A$2:$A1001, "&lt;=2023-06-30"),
    COUNTIFS('Form responses 1'!$E$2:$E1001, A92, 'Form responses 1'!$A$2:$A1001, "&gt;=2023-04-01", 'Form responses 1'!$A$2:$A1001, "&lt;=2023-06-30"),
    COUNTIFS('Form responses 1'!$F$2:$F1001, A92, 'Form responses 1'!$A$2:$A1001, "&gt;=2023-04-01", 'Form responses 1'!$A$2:$A1001, "&lt;=2023-06-30"),
    COUNTIFS('Form responses 1'!$G$2:$G1001, A92, 'Form responses 1'!$A$2:$A1001, "&gt;=2023-04-01", 'Form responses 1'!$A$2:$A1001, "&lt;=2023-06-30")
)
</f>
        <v>0</v>
      </c>
      <c r="G92" s="2">
        <f>SUM(
    COUNTIFS('Form responses 1'!$C$2:$C1001, A92, 'Form responses 1'!$A$2:$A1001, "&gt;=2023-07-01", 'Form responses 1'!$A$2:$A1001, "&lt;=2023-09-30"),
    COUNTIFS('Form responses 1'!$B$2:$B1001, A92, 'Form responses 1'!$A$2:$A1001, "&gt;=2023-07-01", 'Form responses 1'!$A$2:$A1001, "&lt;=2023-09-30"),
    COUNTIFS('Form responses 1'!$D$2:$D1001, A92, 'Form responses 1'!$A$2:$A1001, "&gt;=2023-07-01", 'Form responses 1'!$A$2:$A1001, "&lt;=2023-09-30"),
    COUNTIFS('Form responses 1'!$E$2:$E1001, A92, 'Form responses 1'!$A$2:$A1001, "&gt;=2023-07-01", 'Form responses 1'!$A$2:$A1001, "&lt;=2023-09-30"),
    COUNTIFS('Form responses 1'!$F$2:$F1001, A92, 'Form responses 1'!$A$2:$A1001, "&gt;=2023-07-01", 'Form responses 1'!$A$2:$A1001, "&lt;=2023-09-30"),
    COUNTIFS('Form responses 1'!$G$2:$G1001, A92, 'Form responses 1'!$A$2:$A1001, "&gt;=2023-07-01", 'Form responses 1'!$A$2:$A1001, "&lt;=2023-09-30")
)
</f>
        <v>0</v>
      </c>
      <c r="H92" s="2">
        <f>SUM(
    COUNTIFS('Form responses 1'!$C$2:$C1001, A92, 'Form responses 1'!$A$2:$A1001, "&gt;=2023-10-01", 'Form responses 1'!$A$2:$A1001, "&lt;=2023-12-31"),
    COUNTIFS('Form responses 1'!$B$2:$B1001, A92, 'Form responses 1'!$A$2:$A1001, "&gt;=2023-10-01", 'Form responses 1'!$A$2:$A1001, "&lt;=2023-12-31"),
    COUNTIFS('Form responses 1'!$D$2:$D1001, A92, 'Form responses 1'!$A$2:$A1001, "&gt;=2023-10-01", 'Form responses 1'!$A$2:$A1001, "&lt;=2023-12-31"),
    COUNTIFS('Form responses 1'!$E$2:$E1001, A92, 'Form responses 1'!$A$2:$A1001, "&gt;=2023-10-01", 'Form responses 1'!$A$2:$A1001, "&lt;=2023-12-31"),
    COUNTIFS('Form responses 1'!$F$2:$F1001, A92, 'Form responses 1'!$A$2:$A1001, "&gt;=2023-10-01", 'Form responses 1'!$A$2:$A1001, "&lt;=2023-12-31"),
    COUNTIFS('Form responses 1'!$G$2:$G1001, A92, 'Form responses 1'!$A$2:$A1001, "&gt;=2023-10-01", 'Form responses 1'!$A$2:$A1001, "&lt;=2023-12-31")
)
</f>
        <v>0</v>
      </c>
      <c r="I92" s="2">
        <f>SUM(
    COUNTIFS('Form responses 1'!$C$2:$C1001, A92, 'Form responses 1'!$A$2:$A1001, "&gt;=2024-01-01", 'Form responses 1'!$A$2:$A1001, "&lt;=2024-03-31"),
    COUNTIFS('Form responses 1'!$B$2:$B1001, A92, 'Form responses 1'!$A$2:$A1001, "&gt;=2024-01-01", 'Form responses 1'!$A$2:$A1001, "&lt;=2024-03-31"),
    COUNTIFS('Form responses 1'!$D$2:$D1001, A92, 'Form responses 1'!$A$2:$A1001, "&gt;=2024-01-01", 'Form responses 1'!$A$2:$A1001, "&lt;=2024-03-31"),
    COUNTIFS('Form responses 1'!$E$2:$E1001, A92, 'Form responses 1'!$A$2:$A1001, "&gt;=2024-01-01", 'Form responses 1'!$A$2:$A1001, "&lt;=2024-03-31"),
    COUNTIFS('Form responses 1'!$F$2:$F1001, A92, 'Form responses 1'!$A$2:$A1001, "&gt;=2024-01-01", 'Form responses 1'!$A$2:$A1001, "&lt;=2024-03-31"),
    COUNTIFS('Form responses 1'!$G$2:$G1001, A92, 'Form responses 1'!$A$2:$A1001, "&gt;=2024-01-01", 'Form responses 1'!$A$2:$A1001, "&lt;=2024-03-31")
)
</f>
        <v>0</v>
      </c>
      <c r="J92" s="2">
        <f>SUM(
    COUNTIFS('Form responses 1'!$C$2:$C1001, A92, 'Form responses 1'!$A$2:$A1001, "&gt;=2024-04-01", 'Form responses 1'!$A$2:$A1001, "&lt;=2024-06-30"),
    COUNTIFS('Form responses 1'!$B$2:$B1001, A92, 'Form responses 1'!$A$2:$A1001, "&gt;=2024-04-01", 'Form responses 1'!$A$2:$A1001, "&lt;=2024-06-30"),
    COUNTIFS('Form responses 1'!$D$2:$D1001, A92, 'Form responses 1'!$A$2:$A1001, "&gt;=2024-04-01", 'Form responses 1'!$A$2:$A1001, "&lt;=2024-06-30"),
    COUNTIFS('Form responses 1'!$E$2:$E1001, A92, 'Form responses 1'!$A$2:$A1001, "&gt;=2024-04-01", 'Form responses 1'!$A$2:$A1001, "&lt;=2024-06-30"),
    COUNTIFS('Form responses 1'!$F$2:$F1001, A92, 'Form responses 1'!$A$2:$A1001, "&gt;=2024-04-01", 'Form responses 1'!$A$2:$A1001, "&lt;=2024-06-30"),
    COUNTIFS('Form responses 1'!$G$2:$G1001, A92, 'Form responses 1'!$A$2:$A1001, "&gt;=2024-04-01", 'Form responses 1'!$A$2:$A1001, "&lt;=2024-06-30")
)
</f>
        <v>0</v>
      </c>
      <c r="K92" s="2">
        <f>SUM(
    COUNTIFS('Form responses 1'!$C$2:$C1001, A92, 'Form responses 1'!$A$2:$A1001, "&gt;=2024-07-01", 'Form responses 1'!$A$2:$A1001, "&lt;=2024-09-30"),
    COUNTIFS('Form responses 1'!$B$2:$B1001, A92, 'Form responses 1'!$A$2:$A1001, "&gt;=2024-07-01", 'Form responses 1'!$A$2:$A1001, "&lt;=2024-09-30"),
    COUNTIFS('Form responses 1'!$D$2:$D1001, A92, 'Form responses 1'!$A$2:$A1001, "&gt;=2024-07-01", 'Form responses 1'!$A$2:$A1001, "&lt;=2024-09-30"),
    COUNTIFS('Form responses 1'!$E$2:$E1001, A92, 'Form responses 1'!$A$2:$A1001, "&gt;=2024-07-01", 'Form responses 1'!$A$2:$A1001, "&lt;=2024-09-30"),
    COUNTIFS('Form responses 1'!$F$2:$F1001, A92, 'Form responses 1'!$A$2:$A1001, "&gt;=2024-07-01", 'Form responses 1'!$A$2:$A1001, "&lt;=2024-09-30"),
    COUNTIFS('Form responses 1'!$G$2:$G1001, A92, 'Form responses 1'!$A$2:$A1001, "&gt;=2024-07-01", 'Form responses 1'!$A$2:$A1001, "&lt;=2024-09-30")
)
</f>
        <v>0</v>
      </c>
      <c r="L92" s="2">
        <f>SUM(
    COUNTIFS('Form responses 1'!$C$2:$C1001, A92, 'Form responses 1'!$A$2:$A1001, "&gt;=2024-10-01", 'Form responses 1'!$A$2:$A1001, "&lt;=2024-12-31"),
    COUNTIFS('Form responses 1'!$B$2:$B1001, A92, 'Form responses 1'!$A$2:$A1001, "&gt;=2024-10-01", 'Form responses 1'!$A$2:$A1001, "&lt;=2024-12-31"),
    COUNTIFS('Form responses 1'!$D$2:$D1001, A92, 'Form responses 1'!$A$2:$A1001, "&gt;=2024-10-01", 'Form responses 1'!$A$2:$A1001, "&lt;=2024-12-31"),
    COUNTIFS('Form responses 1'!$E$2:$E1001, A92, 'Form responses 1'!$A$2:$A1001, "&gt;=2024-10-01", 'Form responses 1'!$A$2:$A1001, "&lt;=2024-12-31"),
    COUNTIFS('Form responses 1'!$F$2:$F1001, A92, 'Form responses 1'!$A$2:$A1001, "&gt;=2024-10-01", 'Form responses 1'!$A$2:$A1001, "&lt;=2024-12-31"),
    COUNTIFS('Form responses 1'!$G$2:$G1001, A92, 'Form responses 1'!$A$2:$A1001, "&gt;=2024-10-01", 'Form responses 1'!$A$2:$A1001, "&lt;=2024-12-31")
)
</f>
        <v>0</v>
      </c>
      <c r="M92" s="2">
        <f>SUM(
    COUNTIFS('Form responses 1'!$C$2:$C1001, A92, 'Form responses 1'!$A$2:$A1001, "&gt;=2025-01-01", 'Form responses 1'!$A$2:$A1001, "&lt;=2025-03-31"),
    COUNTIFS('Form responses 1'!$B$2:$B1001, A92, 'Form responses 1'!$A$2:$A1001, "&gt;=2025-01-01", 'Form responses 1'!$A$2:$A1001, "&lt;=2025-03-31"),
    COUNTIFS('Form responses 1'!$D$2:$D1001, A92, 'Form responses 1'!$A$2:$A1001, "&gt;=2025-01-01", 'Form responses 1'!$A$2:$A1001, "&lt;=2025-03-31"),
    COUNTIFS('Form responses 1'!$E$2:$E1001, A92, 'Form responses 1'!$A$2:$A1001, "&gt;=2025-01-01", 'Form responses 1'!$A$2:$A1001, "&lt;=2025-03-31"),
    COUNTIFS('Form responses 1'!$F$2:$F1001, A92, 'Form responses 1'!$A$2:$A1001, "&gt;=2025-01-01", 'Form responses 1'!$A$2:$A1001, "&lt;=2025-03-31"),
    COUNTIFS('Form responses 1'!$G$2:$G1001, A92, 'Form responses 1'!$A$2:$A1001, "&gt;=2025-01-01", 'Form responses 1'!$A$2:$A1001, "&lt;=2025-03-31")
)
</f>
        <v>0</v>
      </c>
      <c r="N92" s="2">
        <f>SUM(
    COUNTIFS('Form responses 1'!$C$2:$C1001, A92, 'Form responses 1'!$A$2:$A1001, "&gt;=2025-04-01", 'Form responses 1'!$A$2:$A1001, "&lt;2025-07-01"),
    COUNTIFS('Form responses 1'!$B$2:$B1001, A92, 'Form responses 1'!$A$2:$A1001, "&gt;=2025-04-01", 'Form responses 1'!$A$2:$A1001, "&lt;2025-07-01"),
    COUNTIFS('Form responses 1'!$D$2:$D1001, A92, 'Form responses 1'!$A$2:$A1001, "&gt;=2025-04-01", 'Form responses 1'!$A$2:$A1001, "&lt;2025-07-01"),
    COUNTIFS('Form responses 1'!$E$2:$E1001, A92, 'Form responses 1'!$A$2:$A1001, "&gt;=2025-04-01", 'Form responses 1'!$A$2:$A1001, "&lt;2025-07-01"),
    COUNTIFS('Form responses 1'!$F$2:$F1001, A92, 'Form responses 1'!$A$2:$A1001, "&gt;=2025-04-01", 'Form responses 1'!$A$2:$A1001, "&lt;2025-07-01"),
    COUNTIFS('Form responses 1'!$G$2:$G1001, A92, 'Form responses 1'!$A$2:$A1001, "&gt;=2025-04-01", 'Form responses 1'!$A$2:$A1001, "&lt;2025-07-01")
)
</f>
        <v>0</v>
      </c>
      <c r="O92" s="2">
        <f>SUM(
    COUNTIFS('Form responses 1'!$C$2:$C1001, A92, 'Form responses 1'!$A$2:$A1001, "&gt;=2025-07-01", 'Form responses 1'!$A$2:$A1001, "&lt;=2025-09-30"),
    COUNTIFS('Form responses 1'!$B$2:$B1001, A92, 'Form responses 1'!$A$2:$A1001, "&gt;=2025-07-01", 'Form responses 1'!$A$2:$A1001, "&lt;=2025-09-30"),
    COUNTIFS('Form responses 1'!$D$2:$D1001, A92, 'Form responses 1'!$A$2:$A1001, "&gt;=2025-07-01", 'Form responses 1'!$A$2:$A1001, "&lt;=2025-09-30"),
    COUNTIFS('Form responses 1'!$E$2:$E1001, A92, 'Form responses 1'!$A$2:$A1001, "&gt;=2025-07-01", 'Form responses 1'!$A$2:$A1001, "&lt;=2025-09-30"),
    COUNTIFS('Form responses 1'!$F$2:$F1001, A92, 'Form responses 1'!$A$2:$A1001, "&gt;=2025-07-01", 'Form responses 1'!$A$2:$A1001, "&lt;=2025-09-30"),
    COUNTIFS('Form responses 1'!$G$2:$G1001, A92, 'Form responses 1'!$A$2:$A1001, "&gt;=2025-07-01", 'Form responses 1'!$A$2:$A1001, "&lt;=2025-09-30")
)
</f>
        <v>2</v>
      </c>
      <c r="P92" s="2">
        <f>SUM(
    COUNTIFS('Form responses 1'!$C$2:$C1001, A92, 'Form responses 1'!$A$2:$A1001, "&gt;=2025-10-01", 'Form responses 1'!$A$2:$A1001, "&lt;=2025-12-31"),
    COUNTIFS('Form responses 1'!$B$2:$B1001, A92, 'Form responses 1'!$A$2:$A1001, "&gt;=2025-10-01", 'Form responses 1'!$A$2:$A1001, "&lt;=2025-12-31"),
    COUNTIFS('Form responses 1'!$D$2:$D1001, A92, 'Form responses 1'!$A$2:$A1001, "&gt;=2025-10-01", 'Form responses 1'!$A$2:$A1001, "&lt;=2025-12-31"),
    COUNTIFS('Form responses 1'!$E$2:$E1001, A92, 'Form responses 1'!$A$2:$A1001, "&gt;=2025-10-01", 'Form responses 1'!$A$2:$A1001, "&lt;=2025-12-31"),
    COUNTIFS('Form responses 1'!$F$2:$F1001, A92, 'Form responses 1'!$A$2:$A1001, "&gt;=2025-10-01", 'Form responses 1'!$A$2:$A1001, "&lt;=2025-12-31"),
    COUNTIFS('Form responses 1'!$G$2:$G1001, A92, 'Form responses 1'!$A$2:$A1001, "&gt;=2025-10-01", 'Form responses 1'!$A$2:$A1001, "&lt;=2025-12-31")
)
</f>
        <v>0</v>
      </c>
    </row>
    <row r="93">
      <c r="A93" s="3" t="str">
        <f>IFERROR(__xludf.DUMMYFUNCTION("""COMPUTED_VALUE"""),"Flowfrog t-shirt")</f>
        <v>Flowfrog t-shirt</v>
      </c>
      <c r="B93" s="2">
        <f>SUM(
    COUNTIFS('Form responses 1'!$C$2:$C1001, A93, 'Form responses 1'!$A$2:$A1001, "&gt;=2022-04-01", 'Form responses 1'!$A$2:$A1001, "&lt;=2022-06-30"),
    COUNTIFS('Form responses 1'!$B$2:$B1001, A93, 'Form responses 1'!$A$2:$A1001, "&gt;=2022-04-01", 'Form responses 1'!$A$2:$A1001, "&lt;=2022-06-30"),
    COUNTIFS('Form responses 1'!$D$2:$D1001, A93, 'Form responses 1'!$A$2:$A1001, "&gt;=2022-04-01", 'Form responses 1'!$A$2:$A1001, "&lt;=2022-06-30"),
    COUNTIFS('Form responses 1'!$E$2:$E1001, A93, 'Form responses 1'!$A$2:$A1001, "&gt;=2022-04-01", 'Form responses 1'!$A$2:$A1001, "&lt;=2022-06-30"),
    COUNTIFS('Form responses 1'!$F$2:$F1001, A93, 'Form responses 1'!$A$2:$A1001, "&gt;=2022-04-01", 'Form responses 1'!$A$2:$A1001, "&lt;=2022-06-30"),
    COUNTIFS('Form responses 1'!$G$2:$G1001, A93, 'Form responses 1'!$A$2:$A1001, "&gt;=2022-04-01", 'Form responses 1'!$A$2:$A1001, "&lt;=2022-06-30")
)
</f>
        <v>0</v>
      </c>
      <c r="C93" s="2">
        <f>SUM(
    COUNTIFS('Form responses 1'!$C$2:$C1001, A93, 'Form responses 1'!$A$2:$A1001, "&gt;=2022-07-01", 'Form responses 1'!$A$2:$A1001, "&lt;=2022-09-30"),
    COUNTIFS('Form responses 1'!$B$2:$B1001, A93, 'Form responses 1'!$A$2:$A1001, "&gt;=2022-07-01", 'Form responses 1'!$A$2:$A1001, "&lt;=2022-09-30"),
    COUNTIFS('Form responses 1'!$D$2:$D1001, A93, 'Form responses 1'!$A$2:$A1001, "&gt;=2022-07-01", 'Form responses 1'!$A$2:$A1001, "&lt;=2022-09-30"),
    COUNTIFS('Form responses 1'!$E$2:$E1001, A93, 'Form responses 1'!$A$2:$A1001, "&gt;=2022-07-01", 'Form responses 1'!$A$2:$A1001, "&lt;=2022-09-30"),
    COUNTIFS('Form responses 1'!$F$2:$F1001, A93, 'Form responses 1'!$A$2:$A1001, "&gt;=2022-07-01", 'Form responses 1'!$A$2:$A1001, "&lt;=2022-09-30"),
    COUNTIFS('Form responses 1'!$G$2:$G1001, A93, 'Form responses 1'!$A$2:$A1001, "&gt;=2022-07-01", 'Form responses 1'!$A$2:$A1001, "&lt;=2022-09-30")
)
</f>
        <v>0</v>
      </c>
      <c r="D93" s="2">
        <f>SUM(
    COUNTIFS('Form responses 1'!$C$2:$C1001, A93, 'Form responses 1'!$A$2:$A1001, "&gt;=2022-10-01", 'Form responses 1'!$A$2:$A1001, "&lt;=2022-12-31"),
    COUNTIFS('Form responses 1'!$B$2:$B1001, A93, 'Form responses 1'!$A$2:$A1001, "&gt;=2022-10-01", 'Form responses 1'!$A$2:$A1001, "&lt;=2022-12-31"),
    COUNTIFS('Form responses 1'!$D$2:$D1001, A93, 'Form responses 1'!$A$2:$A1001, "&gt;=2022-10-01", 'Form responses 1'!$A$2:$A1001, "&lt;=2022-12-31"),
    COUNTIFS('Form responses 1'!$E$2:$E1001, A93, 'Form responses 1'!$A$2:$A1001, "&gt;=2022-10-01", 'Form responses 1'!$A$2:$A1001, "&lt;=2022-12-31"),
    COUNTIFS('Form responses 1'!$F$2:$F1001, A93, 'Form responses 1'!$A$2:$A1001, "&gt;=2022-10-01", 'Form responses 1'!$A$2:$A1001, "&lt;=2022-12-31"),
    COUNTIFS('Form responses 1'!$G$2:$G1001, A93, 'Form responses 1'!$A$2:$A1001, "&gt;=2022-10-01", 'Form responses 1'!$A$2:$A1001, "&lt;=2022-12-31")
)
</f>
        <v>0</v>
      </c>
      <c r="E93" s="2">
        <f>SUM(
    COUNTIFS('Form responses 1'!$C$2:$C1001, A93, 'Form responses 1'!$A$2:$A1001, "&gt;=2023-01-01", 'Form responses 1'!$A$2:$A1001, "&lt;=2023-03-31"),
    COUNTIFS('Form responses 1'!$B$2:$B1001, A93, 'Form responses 1'!$A$2:$A1001, "&gt;=2023-01-01", 'Form responses 1'!$A$2:$A1001, "&lt;=2023-03-31"),
    COUNTIFS('Form responses 1'!$D$2:$D1001, A93, 'Form responses 1'!$A$2:$A1001, "&gt;=2023-01-01", 'Form responses 1'!$A$2:$A1001, "&lt;=2023-03-31"),
    COUNTIFS('Form responses 1'!$E$2:$E1001, A93, 'Form responses 1'!$A$2:$A1001, "&gt;=2023-01-01", 'Form responses 1'!$A$2:$A1001, "&lt;=2023-03-31"),
    COUNTIFS('Form responses 1'!$F$2:$F1001, A93, 'Form responses 1'!$A$2:$A1001, "&gt;=2023-01-01", 'Form responses 1'!$A$2:$A1001, "&lt;=2023-03-31"),
    COUNTIFS('Form responses 1'!$G$2:$G1001, A93, 'Form responses 1'!$A$2:$A1001, "&gt;=2023-01-01", 'Form responses 1'!$A$2:$A1001, "&lt;=2023-03-31")
)
</f>
        <v>0</v>
      </c>
      <c r="F93" s="2">
        <f>SUM(
    COUNTIFS('Form responses 1'!$C$2:$C1001, A93, 'Form responses 1'!$A$2:$A1001, "&gt;=2023-04-01", 'Form responses 1'!$A$2:$A1001, "&lt;=2023-06-30"),
    COUNTIFS('Form responses 1'!$B$2:$B1001, A93, 'Form responses 1'!$A$2:$A1001, "&gt;=2023-04-01", 'Form responses 1'!$A$2:$A1001, "&lt;=2023-06-30"),
    COUNTIFS('Form responses 1'!$D$2:$D1001, A93, 'Form responses 1'!$A$2:$A1001, "&gt;=2023-04-01", 'Form responses 1'!$A$2:$A1001, "&lt;=2023-06-30"),
    COUNTIFS('Form responses 1'!$E$2:$E1001, A93, 'Form responses 1'!$A$2:$A1001, "&gt;=2023-04-01", 'Form responses 1'!$A$2:$A1001, "&lt;=2023-06-30"),
    COUNTIFS('Form responses 1'!$F$2:$F1001, A93, 'Form responses 1'!$A$2:$A1001, "&gt;=2023-04-01", 'Form responses 1'!$A$2:$A1001, "&lt;=2023-06-30"),
    COUNTIFS('Form responses 1'!$G$2:$G1001, A93, 'Form responses 1'!$A$2:$A1001, "&gt;=2023-04-01", 'Form responses 1'!$A$2:$A1001, "&lt;=2023-06-30")
)
</f>
        <v>0</v>
      </c>
      <c r="G93" s="2">
        <f>SUM(
    COUNTIFS('Form responses 1'!$C$2:$C1001, A93, 'Form responses 1'!$A$2:$A1001, "&gt;=2023-07-01", 'Form responses 1'!$A$2:$A1001, "&lt;=2023-09-30"),
    COUNTIFS('Form responses 1'!$B$2:$B1001, A93, 'Form responses 1'!$A$2:$A1001, "&gt;=2023-07-01", 'Form responses 1'!$A$2:$A1001, "&lt;=2023-09-30"),
    COUNTIFS('Form responses 1'!$D$2:$D1001, A93, 'Form responses 1'!$A$2:$A1001, "&gt;=2023-07-01", 'Form responses 1'!$A$2:$A1001, "&lt;=2023-09-30"),
    COUNTIFS('Form responses 1'!$E$2:$E1001, A93, 'Form responses 1'!$A$2:$A1001, "&gt;=2023-07-01", 'Form responses 1'!$A$2:$A1001, "&lt;=2023-09-30"),
    COUNTIFS('Form responses 1'!$F$2:$F1001, A93, 'Form responses 1'!$A$2:$A1001, "&gt;=2023-07-01", 'Form responses 1'!$A$2:$A1001, "&lt;=2023-09-30"),
    COUNTIFS('Form responses 1'!$G$2:$G1001, A93, 'Form responses 1'!$A$2:$A1001, "&gt;=2023-07-01", 'Form responses 1'!$A$2:$A1001, "&lt;=2023-09-30")
)
</f>
        <v>0</v>
      </c>
      <c r="H93" s="2">
        <f>SUM(
    COUNTIFS('Form responses 1'!$C$2:$C1001, A93, 'Form responses 1'!$A$2:$A1001, "&gt;=2023-10-01", 'Form responses 1'!$A$2:$A1001, "&lt;=2023-12-31"),
    COUNTIFS('Form responses 1'!$B$2:$B1001, A93, 'Form responses 1'!$A$2:$A1001, "&gt;=2023-10-01", 'Form responses 1'!$A$2:$A1001, "&lt;=2023-12-31"),
    COUNTIFS('Form responses 1'!$D$2:$D1001, A93, 'Form responses 1'!$A$2:$A1001, "&gt;=2023-10-01", 'Form responses 1'!$A$2:$A1001, "&lt;=2023-12-31"),
    COUNTIFS('Form responses 1'!$E$2:$E1001, A93, 'Form responses 1'!$A$2:$A1001, "&gt;=2023-10-01", 'Form responses 1'!$A$2:$A1001, "&lt;=2023-12-31"),
    COUNTIFS('Form responses 1'!$F$2:$F1001, A93, 'Form responses 1'!$A$2:$A1001, "&gt;=2023-10-01", 'Form responses 1'!$A$2:$A1001, "&lt;=2023-12-31"),
    COUNTIFS('Form responses 1'!$G$2:$G1001, A93, 'Form responses 1'!$A$2:$A1001, "&gt;=2023-10-01", 'Form responses 1'!$A$2:$A1001, "&lt;=2023-12-31")
)
</f>
        <v>0</v>
      </c>
      <c r="I93" s="2">
        <f>SUM(
    COUNTIFS('Form responses 1'!$C$2:$C1001, A93, 'Form responses 1'!$A$2:$A1001, "&gt;=2024-01-01", 'Form responses 1'!$A$2:$A1001, "&lt;=2024-03-31"),
    COUNTIFS('Form responses 1'!$B$2:$B1001, A93, 'Form responses 1'!$A$2:$A1001, "&gt;=2024-01-01", 'Form responses 1'!$A$2:$A1001, "&lt;=2024-03-31"),
    COUNTIFS('Form responses 1'!$D$2:$D1001, A93, 'Form responses 1'!$A$2:$A1001, "&gt;=2024-01-01", 'Form responses 1'!$A$2:$A1001, "&lt;=2024-03-31"),
    COUNTIFS('Form responses 1'!$E$2:$E1001, A93, 'Form responses 1'!$A$2:$A1001, "&gt;=2024-01-01", 'Form responses 1'!$A$2:$A1001, "&lt;=2024-03-31"),
    COUNTIFS('Form responses 1'!$F$2:$F1001, A93, 'Form responses 1'!$A$2:$A1001, "&gt;=2024-01-01", 'Form responses 1'!$A$2:$A1001, "&lt;=2024-03-31"),
    COUNTIFS('Form responses 1'!$G$2:$G1001, A93, 'Form responses 1'!$A$2:$A1001, "&gt;=2024-01-01", 'Form responses 1'!$A$2:$A1001, "&lt;=2024-03-31")
)
</f>
        <v>0</v>
      </c>
      <c r="J93" s="2">
        <f>SUM(
    COUNTIFS('Form responses 1'!$C$2:$C1001, A93, 'Form responses 1'!$A$2:$A1001, "&gt;=2024-04-01", 'Form responses 1'!$A$2:$A1001, "&lt;=2024-06-30"),
    COUNTIFS('Form responses 1'!$B$2:$B1001, A93, 'Form responses 1'!$A$2:$A1001, "&gt;=2024-04-01", 'Form responses 1'!$A$2:$A1001, "&lt;=2024-06-30"),
    COUNTIFS('Form responses 1'!$D$2:$D1001, A93, 'Form responses 1'!$A$2:$A1001, "&gt;=2024-04-01", 'Form responses 1'!$A$2:$A1001, "&lt;=2024-06-30"),
    COUNTIFS('Form responses 1'!$E$2:$E1001, A93, 'Form responses 1'!$A$2:$A1001, "&gt;=2024-04-01", 'Form responses 1'!$A$2:$A1001, "&lt;=2024-06-30"),
    COUNTIFS('Form responses 1'!$F$2:$F1001, A93, 'Form responses 1'!$A$2:$A1001, "&gt;=2024-04-01", 'Form responses 1'!$A$2:$A1001, "&lt;=2024-06-30"),
    COUNTIFS('Form responses 1'!$G$2:$G1001, A93, 'Form responses 1'!$A$2:$A1001, "&gt;=2024-04-01", 'Form responses 1'!$A$2:$A1001, "&lt;=2024-06-30")
)
</f>
        <v>0</v>
      </c>
      <c r="K93" s="2">
        <f>SUM(
    COUNTIFS('Form responses 1'!$C$2:$C1001, A93, 'Form responses 1'!$A$2:$A1001, "&gt;=2024-07-01", 'Form responses 1'!$A$2:$A1001, "&lt;=2024-09-30"),
    COUNTIFS('Form responses 1'!$B$2:$B1001, A93, 'Form responses 1'!$A$2:$A1001, "&gt;=2024-07-01", 'Form responses 1'!$A$2:$A1001, "&lt;=2024-09-30"),
    COUNTIFS('Form responses 1'!$D$2:$D1001, A93, 'Form responses 1'!$A$2:$A1001, "&gt;=2024-07-01", 'Form responses 1'!$A$2:$A1001, "&lt;=2024-09-30"),
    COUNTIFS('Form responses 1'!$E$2:$E1001, A93, 'Form responses 1'!$A$2:$A1001, "&gt;=2024-07-01", 'Form responses 1'!$A$2:$A1001, "&lt;=2024-09-30"),
    COUNTIFS('Form responses 1'!$F$2:$F1001, A93, 'Form responses 1'!$A$2:$A1001, "&gt;=2024-07-01", 'Form responses 1'!$A$2:$A1001, "&lt;=2024-09-30"),
    COUNTIFS('Form responses 1'!$G$2:$G1001, A93, 'Form responses 1'!$A$2:$A1001, "&gt;=2024-07-01", 'Form responses 1'!$A$2:$A1001, "&lt;=2024-09-30")
)
</f>
        <v>0</v>
      </c>
      <c r="L93" s="2">
        <f>SUM(
    COUNTIFS('Form responses 1'!$C$2:$C1001, A93, 'Form responses 1'!$A$2:$A1001, "&gt;=2024-10-01", 'Form responses 1'!$A$2:$A1001, "&lt;=2024-12-31"),
    COUNTIFS('Form responses 1'!$B$2:$B1001, A93, 'Form responses 1'!$A$2:$A1001, "&gt;=2024-10-01", 'Form responses 1'!$A$2:$A1001, "&lt;=2024-12-31"),
    COUNTIFS('Form responses 1'!$D$2:$D1001, A93, 'Form responses 1'!$A$2:$A1001, "&gt;=2024-10-01", 'Form responses 1'!$A$2:$A1001, "&lt;=2024-12-31"),
    COUNTIFS('Form responses 1'!$E$2:$E1001, A93, 'Form responses 1'!$A$2:$A1001, "&gt;=2024-10-01", 'Form responses 1'!$A$2:$A1001, "&lt;=2024-12-31"),
    COUNTIFS('Form responses 1'!$F$2:$F1001, A93, 'Form responses 1'!$A$2:$A1001, "&gt;=2024-10-01", 'Form responses 1'!$A$2:$A1001, "&lt;=2024-12-31"),
    COUNTIFS('Form responses 1'!$G$2:$G1001, A93, 'Form responses 1'!$A$2:$A1001, "&gt;=2024-10-01", 'Form responses 1'!$A$2:$A1001, "&lt;=2024-12-31")
)
</f>
        <v>0</v>
      </c>
      <c r="M93" s="2">
        <f>SUM(
    COUNTIFS('Form responses 1'!$C$2:$C1001, A93, 'Form responses 1'!$A$2:$A1001, "&gt;=2025-01-01", 'Form responses 1'!$A$2:$A1001, "&lt;=2025-03-31"),
    COUNTIFS('Form responses 1'!$B$2:$B1001, A93, 'Form responses 1'!$A$2:$A1001, "&gt;=2025-01-01", 'Form responses 1'!$A$2:$A1001, "&lt;=2025-03-31"),
    COUNTIFS('Form responses 1'!$D$2:$D1001, A93, 'Form responses 1'!$A$2:$A1001, "&gt;=2025-01-01", 'Form responses 1'!$A$2:$A1001, "&lt;=2025-03-31"),
    COUNTIFS('Form responses 1'!$E$2:$E1001, A93, 'Form responses 1'!$A$2:$A1001, "&gt;=2025-01-01", 'Form responses 1'!$A$2:$A1001, "&lt;=2025-03-31"),
    COUNTIFS('Form responses 1'!$F$2:$F1001, A93, 'Form responses 1'!$A$2:$A1001, "&gt;=2025-01-01", 'Form responses 1'!$A$2:$A1001, "&lt;=2025-03-31"),
    COUNTIFS('Form responses 1'!$G$2:$G1001, A93, 'Form responses 1'!$A$2:$A1001, "&gt;=2025-01-01", 'Form responses 1'!$A$2:$A1001, "&lt;=2025-03-31")
)
</f>
        <v>0</v>
      </c>
      <c r="N93" s="2">
        <f>SUM(
    COUNTIFS('Form responses 1'!$C$2:$C1001, A93, 'Form responses 1'!$A$2:$A1001, "&gt;=2025-04-01", 'Form responses 1'!$A$2:$A1001, "&lt;2025-07-01"),
    COUNTIFS('Form responses 1'!$B$2:$B1001, A93, 'Form responses 1'!$A$2:$A1001, "&gt;=2025-04-01", 'Form responses 1'!$A$2:$A1001, "&lt;2025-07-01"),
    COUNTIFS('Form responses 1'!$D$2:$D1001, A93, 'Form responses 1'!$A$2:$A1001, "&gt;=2025-04-01", 'Form responses 1'!$A$2:$A1001, "&lt;2025-07-01"),
    COUNTIFS('Form responses 1'!$E$2:$E1001, A93, 'Form responses 1'!$A$2:$A1001, "&gt;=2025-04-01", 'Form responses 1'!$A$2:$A1001, "&lt;2025-07-01"),
    COUNTIFS('Form responses 1'!$F$2:$F1001, A93, 'Form responses 1'!$A$2:$A1001, "&gt;=2025-04-01", 'Form responses 1'!$A$2:$A1001, "&lt;2025-07-01"),
    COUNTIFS('Form responses 1'!$G$2:$G1001, A93, 'Form responses 1'!$A$2:$A1001, "&gt;=2025-04-01", 'Form responses 1'!$A$2:$A1001, "&lt;2025-07-01")
)
</f>
        <v>0</v>
      </c>
      <c r="O93" s="2">
        <f>SUM(
    COUNTIFS('Form responses 1'!$C$2:$C1001, A93, 'Form responses 1'!$A$2:$A1001, "&gt;=2025-07-01", 'Form responses 1'!$A$2:$A1001, "&lt;=2025-09-30"),
    COUNTIFS('Form responses 1'!$B$2:$B1001, A93, 'Form responses 1'!$A$2:$A1001, "&gt;=2025-07-01", 'Form responses 1'!$A$2:$A1001, "&lt;=2025-09-30"),
    COUNTIFS('Form responses 1'!$D$2:$D1001, A93, 'Form responses 1'!$A$2:$A1001, "&gt;=2025-07-01", 'Form responses 1'!$A$2:$A1001, "&lt;=2025-09-30"),
    COUNTIFS('Form responses 1'!$E$2:$E1001, A93, 'Form responses 1'!$A$2:$A1001, "&gt;=2025-07-01", 'Form responses 1'!$A$2:$A1001, "&lt;=2025-09-30"),
    COUNTIFS('Form responses 1'!$F$2:$F1001, A93, 'Form responses 1'!$A$2:$A1001, "&gt;=2025-07-01", 'Form responses 1'!$A$2:$A1001, "&lt;=2025-09-30"),
    COUNTIFS('Form responses 1'!$G$2:$G1001, A93, 'Form responses 1'!$A$2:$A1001, "&gt;=2025-07-01", 'Form responses 1'!$A$2:$A1001, "&lt;=2025-09-30")
)
</f>
        <v>6</v>
      </c>
      <c r="P93" s="2">
        <f>SUM(
    COUNTIFS('Form responses 1'!$C$2:$C1001, A93, 'Form responses 1'!$A$2:$A1001, "&gt;=2025-10-01", 'Form responses 1'!$A$2:$A1001, "&lt;=2025-12-31"),
    COUNTIFS('Form responses 1'!$B$2:$B1001, A93, 'Form responses 1'!$A$2:$A1001, "&gt;=2025-10-01", 'Form responses 1'!$A$2:$A1001, "&lt;=2025-12-31"),
    COUNTIFS('Form responses 1'!$D$2:$D1001, A93, 'Form responses 1'!$A$2:$A1001, "&gt;=2025-10-01", 'Form responses 1'!$A$2:$A1001, "&lt;=2025-12-31"),
    COUNTIFS('Form responses 1'!$E$2:$E1001, A93, 'Form responses 1'!$A$2:$A1001, "&gt;=2025-10-01", 'Form responses 1'!$A$2:$A1001, "&lt;=2025-12-31"),
    COUNTIFS('Form responses 1'!$F$2:$F1001, A93, 'Form responses 1'!$A$2:$A1001, "&gt;=2025-10-01", 'Form responses 1'!$A$2:$A1001, "&lt;=2025-12-31"),
    COUNTIFS('Form responses 1'!$G$2:$G1001, A93, 'Form responses 1'!$A$2:$A1001, "&gt;=2025-10-01", 'Form responses 1'!$A$2:$A1001, "&lt;=2025-12-31")
)
</f>
        <v>0</v>
      </c>
    </row>
    <row r="94">
      <c r="A94" s="3" t="str">
        <f>IFERROR(__xludf.DUMMYFUNCTION("""COMPUTED_VALUE"""),"Vans Mte Crosspath Xc")</f>
        <v>Vans Mte Crosspath Xc</v>
      </c>
      <c r="B94" s="2">
        <f>SUM(
    COUNTIFS('Form responses 1'!$C$2:$C1001, A94, 'Form responses 1'!$A$2:$A1001, "&gt;=2022-04-01", 'Form responses 1'!$A$2:$A1001, "&lt;=2022-06-30"),
    COUNTIFS('Form responses 1'!$B$2:$B1001, A94, 'Form responses 1'!$A$2:$A1001, "&gt;=2022-04-01", 'Form responses 1'!$A$2:$A1001, "&lt;=2022-06-30"),
    COUNTIFS('Form responses 1'!$D$2:$D1001, A94, 'Form responses 1'!$A$2:$A1001, "&gt;=2022-04-01", 'Form responses 1'!$A$2:$A1001, "&lt;=2022-06-30"),
    COUNTIFS('Form responses 1'!$E$2:$E1001, A94, 'Form responses 1'!$A$2:$A1001, "&gt;=2022-04-01", 'Form responses 1'!$A$2:$A1001, "&lt;=2022-06-30"),
    COUNTIFS('Form responses 1'!$F$2:$F1001, A94, 'Form responses 1'!$A$2:$A1001, "&gt;=2022-04-01", 'Form responses 1'!$A$2:$A1001, "&lt;=2022-06-30"),
    COUNTIFS('Form responses 1'!$G$2:$G1001, A94, 'Form responses 1'!$A$2:$A1001, "&gt;=2022-04-01", 'Form responses 1'!$A$2:$A1001, "&lt;=2022-06-30")
)
</f>
        <v>0</v>
      </c>
      <c r="C94" s="2">
        <f>SUM(
    COUNTIFS('Form responses 1'!$C$2:$C1001, A94, 'Form responses 1'!$A$2:$A1001, "&gt;=2022-07-01", 'Form responses 1'!$A$2:$A1001, "&lt;=2022-09-30"),
    COUNTIFS('Form responses 1'!$B$2:$B1001, A94, 'Form responses 1'!$A$2:$A1001, "&gt;=2022-07-01", 'Form responses 1'!$A$2:$A1001, "&lt;=2022-09-30"),
    COUNTIFS('Form responses 1'!$D$2:$D1001, A94, 'Form responses 1'!$A$2:$A1001, "&gt;=2022-07-01", 'Form responses 1'!$A$2:$A1001, "&lt;=2022-09-30"),
    COUNTIFS('Form responses 1'!$E$2:$E1001, A94, 'Form responses 1'!$A$2:$A1001, "&gt;=2022-07-01", 'Form responses 1'!$A$2:$A1001, "&lt;=2022-09-30"),
    COUNTIFS('Form responses 1'!$F$2:$F1001, A94, 'Form responses 1'!$A$2:$A1001, "&gt;=2022-07-01", 'Form responses 1'!$A$2:$A1001, "&lt;=2022-09-30"),
    COUNTIFS('Form responses 1'!$G$2:$G1001, A94, 'Form responses 1'!$A$2:$A1001, "&gt;=2022-07-01", 'Form responses 1'!$A$2:$A1001, "&lt;=2022-09-30")
)
</f>
        <v>0</v>
      </c>
      <c r="D94" s="2">
        <f>SUM(
    COUNTIFS('Form responses 1'!$C$2:$C1001, A94, 'Form responses 1'!$A$2:$A1001, "&gt;=2022-10-01", 'Form responses 1'!$A$2:$A1001, "&lt;=2022-12-31"),
    COUNTIFS('Form responses 1'!$B$2:$B1001, A94, 'Form responses 1'!$A$2:$A1001, "&gt;=2022-10-01", 'Form responses 1'!$A$2:$A1001, "&lt;=2022-12-31"),
    COUNTIFS('Form responses 1'!$D$2:$D1001, A94, 'Form responses 1'!$A$2:$A1001, "&gt;=2022-10-01", 'Form responses 1'!$A$2:$A1001, "&lt;=2022-12-31"),
    COUNTIFS('Form responses 1'!$E$2:$E1001, A94, 'Form responses 1'!$A$2:$A1001, "&gt;=2022-10-01", 'Form responses 1'!$A$2:$A1001, "&lt;=2022-12-31"),
    COUNTIFS('Form responses 1'!$F$2:$F1001, A94, 'Form responses 1'!$A$2:$A1001, "&gt;=2022-10-01", 'Form responses 1'!$A$2:$A1001, "&lt;=2022-12-31"),
    COUNTIFS('Form responses 1'!$G$2:$G1001, A94, 'Form responses 1'!$A$2:$A1001, "&gt;=2022-10-01", 'Form responses 1'!$A$2:$A1001, "&lt;=2022-12-31")
)
</f>
        <v>0</v>
      </c>
      <c r="E94" s="2">
        <f>SUM(
    COUNTIFS('Form responses 1'!$C$2:$C1001, A94, 'Form responses 1'!$A$2:$A1001, "&gt;=2023-01-01", 'Form responses 1'!$A$2:$A1001, "&lt;=2023-03-31"),
    COUNTIFS('Form responses 1'!$B$2:$B1001, A94, 'Form responses 1'!$A$2:$A1001, "&gt;=2023-01-01", 'Form responses 1'!$A$2:$A1001, "&lt;=2023-03-31"),
    COUNTIFS('Form responses 1'!$D$2:$D1001, A94, 'Form responses 1'!$A$2:$A1001, "&gt;=2023-01-01", 'Form responses 1'!$A$2:$A1001, "&lt;=2023-03-31"),
    COUNTIFS('Form responses 1'!$E$2:$E1001, A94, 'Form responses 1'!$A$2:$A1001, "&gt;=2023-01-01", 'Form responses 1'!$A$2:$A1001, "&lt;=2023-03-31"),
    COUNTIFS('Form responses 1'!$F$2:$F1001, A94, 'Form responses 1'!$A$2:$A1001, "&gt;=2023-01-01", 'Form responses 1'!$A$2:$A1001, "&lt;=2023-03-31"),
    COUNTIFS('Form responses 1'!$G$2:$G1001, A94, 'Form responses 1'!$A$2:$A1001, "&gt;=2023-01-01", 'Form responses 1'!$A$2:$A1001, "&lt;=2023-03-31")
)
</f>
        <v>0</v>
      </c>
      <c r="F94" s="2">
        <f>SUM(
    COUNTIFS('Form responses 1'!$C$2:$C1001, A94, 'Form responses 1'!$A$2:$A1001, "&gt;=2023-04-01", 'Form responses 1'!$A$2:$A1001, "&lt;=2023-06-30"),
    COUNTIFS('Form responses 1'!$B$2:$B1001, A94, 'Form responses 1'!$A$2:$A1001, "&gt;=2023-04-01", 'Form responses 1'!$A$2:$A1001, "&lt;=2023-06-30"),
    COUNTIFS('Form responses 1'!$D$2:$D1001, A94, 'Form responses 1'!$A$2:$A1001, "&gt;=2023-04-01", 'Form responses 1'!$A$2:$A1001, "&lt;=2023-06-30"),
    COUNTIFS('Form responses 1'!$E$2:$E1001, A94, 'Form responses 1'!$A$2:$A1001, "&gt;=2023-04-01", 'Form responses 1'!$A$2:$A1001, "&lt;=2023-06-30"),
    COUNTIFS('Form responses 1'!$F$2:$F1001, A94, 'Form responses 1'!$A$2:$A1001, "&gt;=2023-04-01", 'Form responses 1'!$A$2:$A1001, "&lt;=2023-06-30"),
    COUNTIFS('Form responses 1'!$G$2:$G1001, A94, 'Form responses 1'!$A$2:$A1001, "&gt;=2023-04-01", 'Form responses 1'!$A$2:$A1001, "&lt;=2023-06-30")
)
</f>
        <v>0</v>
      </c>
      <c r="G94" s="2">
        <f>SUM(
    COUNTIFS('Form responses 1'!$C$2:$C1001, A94, 'Form responses 1'!$A$2:$A1001, "&gt;=2023-07-01", 'Form responses 1'!$A$2:$A1001, "&lt;=2023-09-30"),
    COUNTIFS('Form responses 1'!$B$2:$B1001, A94, 'Form responses 1'!$A$2:$A1001, "&gt;=2023-07-01", 'Form responses 1'!$A$2:$A1001, "&lt;=2023-09-30"),
    COUNTIFS('Form responses 1'!$D$2:$D1001, A94, 'Form responses 1'!$A$2:$A1001, "&gt;=2023-07-01", 'Form responses 1'!$A$2:$A1001, "&lt;=2023-09-30"),
    COUNTIFS('Form responses 1'!$E$2:$E1001, A94, 'Form responses 1'!$A$2:$A1001, "&gt;=2023-07-01", 'Form responses 1'!$A$2:$A1001, "&lt;=2023-09-30"),
    COUNTIFS('Form responses 1'!$F$2:$F1001, A94, 'Form responses 1'!$A$2:$A1001, "&gt;=2023-07-01", 'Form responses 1'!$A$2:$A1001, "&lt;=2023-09-30"),
    COUNTIFS('Form responses 1'!$G$2:$G1001, A94, 'Form responses 1'!$A$2:$A1001, "&gt;=2023-07-01", 'Form responses 1'!$A$2:$A1001, "&lt;=2023-09-30")
)
</f>
        <v>0</v>
      </c>
      <c r="H94" s="2">
        <f>SUM(
    COUNTIFS('Form responses 1'!$C$2:$C1001, A94, 'Form responses 1'!$A$2:$A1001, "&gt;=2023-10-01", 'Form responses 1'!$A$2:$A1001, "&lt;=2023-12-31"),
    COUNTIFS('Form responses 1'!$B$2:$B1001, A94, 'Form responses 1'!$A$2:$A1001, "&gt;=2023-10-01", 'Form responses 1'!$A$2:$A1001, "&lt;=2023-12-31"),
    COUNTIFS('Form responses 1'!$D$2:$D1001, A94, 'Form responses 1'!$A$2:$A1001, "&gt;=2023-10-01", 'Form responses 1'!$A$2:$A1001, "&lt;=2023-12-31"),
    COUNTIFS('Form responses 1'!$E$2:$E1001, A94, 'Form responses 1'!$A$2:$A1001, "&gt;=2023-10-01", 'Form responses 1'!$A$2:$A1001, "&lt;=2023-12-31"),
    COUNTIFS('Form responses 1'!$F$2:$F1001, A94, 'Form responses 1'!$A$2:$A1001, "&gt;=2023-10-01", 'Form responses 1'!$A$2:$A1001, "&lt;=2023-12-31"),
    COUNTIFS('Form responses 1'!$G$2:$G1001, A94, 'Form responses 1'!$A$2:$A1001, "&gt;=2023-10-01", 'Form responses 1'!$A$2:$A1001, "&lt;=2023-12-31")
)
</f>
        <v>0</v>
      </c>
      <c r="I94" s="2">
        <f>SUM(
    COUNTIFS('Form responses 1'!$C$2:$C1001, A94, 'Form responses 1'!$A$2:$A1001, "&gt;=2024-01-01", 'Form responses 1'!$A$2:$A1001, "&lt;=2024-03-31"),
    COUNTIFS('Form responses 1'!$B$2:$B1001, A94, 'Form responses 1'!$A$2:$A1001, "&gt;=2024-01-01", 'Form responses 1'!$A$2:$A1001, "&lt;=2024-03-31"),
    COUNTIFS('Form responses 1'!$D$2:$D1001, A94, 'Form responses 1'!$A$2:$A1001, "&gt;=2024-01-01", 'Form responses 1'!$A$2:$A1001, "&lt;=2024-03-31"),
    COUNTIFS('Form responses 1'!$E$2:$E1001, A94, 'Form responses 1'!$A$2:$A1001, "&gt;=2024-01-01", 'Form responses 1'!$A$2:$A1001, "&lt;=2024-03-31"),
    COUNTIFS('Form responses 1'!$F$2:$F1001, A94, 'Form responses 1'!$A$2:$A1001, "&gt;=2024-01-01", 'Form responses 1'!$A$2:$A1001, "&lt;=2024-03-31"),
    COUNTIFS('Form responses 1'!$G$2:$G1001, A94, 'Form responses 1'!$A$2:$A1001, "&gt;=2024-01-01", 'Form responses 1'!$A$2:$A1001, "&lt;=2024-03-31")
)
</f>
        <v>0</v>
      </c>
      <c r="J94" s="2">
        <f>SUM(
    COUNTIFS('Form responses 1'!$C$2:$C1001, A94, 'Form responses 1'!$A$2:$A1001, "&gt;=2024-04-01", 'Form responses 1'!$A$2:$A1001, "&lt;=2024-06-30"),
    COUNTIFS('Form responses 1'!$B$2:$B1001, A94, 'Form responses 1'!$A$2:$A1001, "&gt;=2024-04-01", 'Form responses 1'!$A$2:$A1001, "&lt;=2024-06-30"),
    COUNTIFS('Form responses 1'!$D$2:$D1001, A94, 'Form responses 1'!$A$2:$A1001, "&gt;=2024-04-01", 'Form responses 1'!$A$2:$A1001, "&lt;=2024-06-30"),
    COUNTIFS('Form responses 1'!$E$2:$E1001, A94, 'Form responses 1'!$A$2:$A1001, "&gt;=2024-04-01", 'Form responses 1'!$A$2:$A1001, "&lt;=2024-06-30"),
    COUNTIFS('Form responses 1'!$F$2:$F1001, A94, 'Form responses 1'!$A$2:$A1001, "&gt;=2024-04-01", 'Form responses 1'!$A$2:$A1001, "&lt;=2024-06-30"),
    COUNTIFS('Form responses 1'!$G$2:$G1001, A94, 'Form responses 1'!$A$2:$A1001, "&gt;=2024-04-01", 'Form responses 1'!$A$2:$A1001, "&lt;=2024-06-30")
)
</f>
        <v>0</v>
      </c>
      <c r="K94" s="2">
        <f>SUM(
    COUNTIFS('Form responses 1'!$C$2:$C1001, A94, 'Form responses 1'!$A$2:$A1001, "&gt;=2024-07-01", 'Form responses 1'!$A$2:$A1001, "&lt;=2024-09-30"),
    COUNTIFS('Form responses 1'!$B$2:$B1001, A94, 'Form responses 1'!$A$2:$A1001, "&gt;=2024-07-01", 'Form responses 1'!$A$2:$A1001, "&lt;=2024-09-30"),
    COUNTIFS('Form responses 1'!$D$2:$D1001, A94, 'Form responses 1'!$A$2:$A1001, "&gt;=2024-07-01", 'Form responses 1'!$A$2:$A1001, "&lt;=2024-09-30"),
    COUNTIFS('Form responses 1'!$E$2:$E1001, A94, 'Form responses 1'!$A$2:$A1001, "&gt;=2024-07-01", 'Form responses 1'!$A$2:$A1001, "&lt;=2024-09-30"),
    COUNTIFS('Form responses 1'!$F$2:$F1001, A94, 'Form responses 1'!$A$2:$A1001, "&gt;=2024-07-01", 'Form responses 1'!$A$2:$A1001, "&lt;=2024-09-30"),
    COUNTIFS('Form responses 1'!$G$2:$G1001, A94, 'Form responses 1'!$A$2:$A1001, "&gt;=2024-07-01", 'Form responses 1'!$A$2:$A1001, "&lt;=2024-09-30")
)
</f>
        <v>0</v>
      </c>
      <c r="L94" s="2">
        <f>SUM(
    COUNTIFS('Form responses 1'!$C$2:$C1001, A94, 'Form responses 1'!$A$2:$A1001, "&gt;=2024-10-01", 'Form responses 1'!$A$2:$A1001, "&lt;=2024-12-31"),
    COUNTIFS('Form responses 1'!$B$2:$B1001, A94, 'Form responses 1'!$A$2:$A1001, "&gt;=2024-10-01", 'Form responses 1'!$A$2:$A1001, "&lt;=2024-12-31"),
    COUNTIFS('Form responses 1'!$D$2:$D1001, A94, 'Form responses 1'!$A$2:$A1001, "&gt;=2024-10-01", 'Form responses 1'!$A$2:$A1001, "&lt;=2024-12-31"),
    COUNTIFS('Form responses 1'!$E$2:$E1001, A94, 'Form responses 1'!$A$2:$A1001, "&gt;=2024-10-01", 'Form responses 1'!$A$2:$A1001, "&lt;=2024-12-31"),
    COUNTIFS('Form responses 1'!$F$2:$F1001, A94, 'Form responses 1'!$A$2:$A1001, "&gt;=2024-10-01", 'Form responses 1'!$A$2:$A1001, "&lt;=2024-12-31"),
    COUNTIFS('Form responses 1'!$G$2:$G1001, A94, 'Form responses 1'!$A$2:$A1001, "&gt;=2024-10-01", 'Form responses 1'!$A$2:$A1001, "&lt;=2024-12-31")
)
</f>
        <v>0</v>
      </c>
      <c r="M94" s="2">
        <f>SUM(
    COUNTIFS('Form responses 1'!$C$2:$C1001, A94, 'Form responses 1'!$A$2:$A1001, "&gt;=2025-01-01", 'Form responses 1'!$A$2:$A1001, "&lt;=2025-03-31"),
    COUNTIFS('Form responses 1'!$B$2:$B1001, A94, 'Form responses 1'!$A$2:$A1001, "&gt;=2025-01-01", 'Form responses 1'!$A$2:$A1001, "&lt;=2025-03-31"),
    COUNTIFS('Form responses 1'!$D$2:$D1001, A94, 'Form responses 1'!$A$2:$A1001, "&gt;=2025-01-01", 'Form responses 1'!$A$2:$A1001, "&lt;=2025-03-31"),
    COUNTIFS('Form responses 1'!$E$2:$E1001, A94, 'Form responses 1'!$A$2:$A1001, "&gt;=2025-01-01", 'Form responses 1'!$A$2:$A1001, "&lt;=2025-03-31"),
    COUNTIFS('Form responses 1'!$F$2:$F1001, A94, 'Form responses 1'!$A$2:$A1001, "&gt;=2025-01-01", 'Form responses 1'!$A$2:$A1001, "&lt;=2025-03-31"),
    COUNTIFS('Form responses 1'!$G$2:$G1001, A94, 'Form responses 1'!$A$2:$A1001, "&gt;=2025-01-01", 'Form responses 1'!$A$2:$A1001, "&lt;=2025-03-31")
)
</f>
        <v>0</v>
      </c>
      <c r="N94" s="2">
        <f>SUM(
    COUNTIFS('Form responses 1'!$C$2:$C1001, A94, 'Form responses 1'!$A$2:$A1001, "&gt;=2025-04-01", 'Form responses 1'!$A$2:$A1001, "&lt;2025-07-01"),
    COUNTIFS('Form responses 1'!$B$2:$B1001, A94, 'Form responses 1'!$A$2:$A1001, "&gt;=2025-04-01", 'Form responses 1'!$A$2:$A1001, "&lt;2025-07-01"),
    COUNTIFS('Form responses 1'!$D$2:$D1001, A94, 'Form responses 1'!$A$2:$A1001, "&gt;=2025-04-01", 'Form responses 1'!$A$2:$A1001, "&lt;2025-07-01"),
    COUNTIFS('Form responses 1'!$E$2:$E1001, A94, 'Form responses 1'!$A$2:$A1001, "&gt;=2025-04-01", 'Form responses 1'!$A$2:$A1001, "&lt;2025-07-01"),
    COUNTIFS('Form responses 1'!$F$2:$F1001, A94, 'Form responses 1'!$A$2:$A1001, "&gt;=2025-04-01", 'Form responses 1'!$A$2:$A1001, "&lt;2025-07-01"),
    COUNTIFS('Form responses 1'!$G$2:$G1001, A94, 'Form responses 1'!$A$2:$A1001, "&gt;=2025-04-01", 'Form responses 1'!$A$2:$A1001, "&lt;2025-07-01")
)
</f>
        <v>0</v>
      </c>
      <c r="O94" s="2">
        <f>SUM(
    COUNTIFS('Form responses 1'!$C$2:$C1001, A94, 'Form responses 1'!$A$2:$A1001, "&gt;=2025-07-01", 'Form responses 1'!$A$2:$A1001, "&lt;=2025-09-30"),
    COUNTIFS('Form responses 1'!$B$2:$B1001, A94, 'Form responses 1'!$A$2:$A1001, "&gt;=2025-07-01", 'Form responses 1'!$A$2:$A1001, "&lt;=2025-09-30"),
    COUNTIFS('Form responses 1'!$D$2:$D1001, A94, 'Form responses 1'!$A$2:$A1001, "&gt;=2025-07-01", 'Form responses 1'!$A$2:$A1001, "&lt;=2025-09-30"),
    COUNTIFS('Form responses 1'!$E$2:$E1001, A94, 'Form responses 1'!$A$2:$A1001, "&gt;=2025-07-01", 'Form responses 1'!$A$2:$A1001, "&lt;=2025-09-30"),
    COUNTIFS('Form responses 1'!$F$2:$F1001, A94, 'Form responses 1'!$A$2:$A1001, "&gt;=2025-07-01", 'Form responses 1'!$A$2:$A1001, "&lt;=2025-09-30"),
    COUNTIFS('Form responses 1'!$G$2:$G1001, A94, 'Form responses 1'!$A$2:$A1001, "&gt;=2025-07-01", 'Form responses 1'!$A$2:$A1001, "&lt;=2025-09-30")
)
</f>
        <v>33</v>
      </c>
      <c r="P94" s="2">
        <f>SUM(
    COUNTIFS('Form responses 1'!$C$2:$C1001, A94, 'Form responses 1'!$A$2:$A1001, "&gt;=2025-10-01", 'Form responses 1'!$A$2:$A1001, "&lt;=2025-12-31"),
    COUNTIFS('Form responses 1'!$B$2:$B1001, A94, 'Form responses 1'!$A$2:$A1001, "&gt;=2025-10-01", 'Form responses 1'!$A$2:$A1001, "&lt;=2025-12-31"),
    COUNTIFS('Form responses 1'!$D$2:$D1001, A94, 'Form responses 1'!$A$2:$A1001, "&gt;=2025-10-01", 'Form responses 1'!$A$2:$A1001, "&lt;=2025-12-31"),
    COUNTIFS('Form responses 1'!$E$2:$E1001, A94, 'Form responses 1'!$A$2:$A1001, "&gt;=2025-10-01", 'Form responses 1'!$A$2:$A1001, "&lt;=2025-12-31"),
    COUNTIFS('Form responses 1'!$F$2:$F1001, A94, 'Form responses 1'!$A$2:$A1001, "&gt;=2025-10-01", 'Form responses 1'!$A$2:$A1001, "&lt;=2025-12-31"),
    COUNTIFS('Form responses 1'!$G$2:$G1001, A94, 'Form responses 1'!$A$2:$A1001, "&gt;=2025-10-01", 'Form responses 1'!$A$2:$A1001, "&lt;=2025-12-31")
)
</f>
        <v>29</v>
      </c>
    </row>
    <row r="95">
      <c r="A95" s="3" t="str">
        <f>IFERROR(__xludf.DUMMYFUNCTION("""COMPUTED_VALUE"""),"Decathlon sportshirt wit")</f>
        <v>Decathlon sportshirt wit</v>
      </c>
      <c r="B95" s="2">
        <f>SUM(
    COUNTIFS('Form responses 1'!$C$2:$C1001, A95, 'Form responses 1'!$A$2:$A1001, "&gt;=2022-04-01", 'Form responses 1'!$A$2:$A1001, "&lt;=2022-06-30"),
    COUNTIFS('Form responses 1'!$B$2:$B1001, A95, 'Form responses 1'!$A$2:$A1001, "&gt;=2022-04-01", 'Form responses 1'!$A$2:$A1001, "&lt;=2022-06-30"),
    COUNTIFS('Form responses 1'!$D$2:$D1001, A95, 'Form responses 1'!$A$2:$A1001, "&gt;=2022-04-01", 'Form responses 1'!$A$2:$A1001, "&lt;=2022-06-30"),
    COUNTIFS('Form responses 1'!$E$2:$E1001, A95, 'Form responses 1'!$A$2:$A1001, "&gt;=2022-04-01", 'Form responses 1'!$A$2:$A1001, "&lt;=2022-06-30"),
    COUNTIFS('Form responses 1'!$F$2:$F1001, A95, 'Form responses 1'!$A$2:$A1001, "&gt;=2022-04-01", 'Form responses 1'!$A$2:$A1001, "&lt;=2022-06-30"),
    COUNTIFS('Form responses 1'!$G$2:$G1001, A95, 'Form responses 1'!$A$2:$A1001, "&gt;=2022-04-01", 'Form responses 1'!$A$2:$A1001, "&lt;=2022-06-30")
)
</f>
        <v>0</v>
      </c>
      <c r="C95" s="2">
        <f>SUM(
    COUNTIFS('Form responses 1'!$C$2:$C1001, A95, 'Form responses 1'!$A$2:$A1001, "&gt;=2022-07-01", 'Form responses 1'!$A$2:$A1001, "&lt;=2022-09-30"),
    COUNTIFS('Form responses 1'!$B$2:$B1001, A95, 'Form responses 1'!$A$2:$A1001, "&gt;=2022-07-01", 'Form responses 1'!$A$2:$A1001, "&lt;=2022-09-30"),
    COUNTIFS('Form responses 1'!$D$2:$D1001, A95, 'Form responses 1'!$A$2:$A1001, "&gt;=2022-07-01", 'Form responses 1'!$A$2:$A1001, "&lt;=2022-09-30"),
    COUNTIFS('Form responses 1'!$E$2:$E1001, A95, 'Form responses 1'!$A$2:$A1001, "&gt;=2022-07-01", 'Form responses 1'!$A$2:$A1001, "&lt;=2022-09-30"),
    COUNTIFS('Form responses 1'!$F$2:$F1001, A95, 'Form responses 1'!$A$2:$A1001, "&gt;=2022-07-01", 'Form responses 1'!$A$2:$A1001, "&lt;=2022-09-30"),
    COUNTIFS('Form responses 1'!$G$2:$G1001, A95, 'Form responses 1'!$A$2:$A1001, "&gt;=2022-07-01", 'Form responses 1'!$A$2:$A1001, "&lt;=2022-09-30")
)
</f>
        <v>0</v>
      </c>
      <c r="D95" s="2">
        <f>SUM(
    COUNTIFS('Form responses 1'!$C$2:$C1001, A95, 'Form responses 1'!$A$2:$A1001, "&gt;=2022-10-01", 'Form responses 1'!$A$2:$A1001, "&lt;=2022-12-31"),
    COUNTIFS('Form responses 1'!$B$2:$B1001, A95, 'Form responses 1'!$A$2:$A1001, "&gt;=2022-10-01", 'Form responses 1'!$A$2:$A1001, "&lt;=2022-12-31"),
    COUNTIFS('Form responses 1'!$D$2:$D1001, A95, 'Form responses 1'!$A$2:$A1001, "&gt;=2022-10-01", 'Form responses 1'!$A$2:$A1001, "&lt;=2022-12-31"),
    COUNTIFS('Form responses 1'!$E$2:$E1001, A95, 'Form responses 1'!$A$2:$A1001, "&gt;=2022-10-01", 'Form responses 1'!$A$2:$A1001, "&lt;=2022-12-31"),
    COUNTIFS('Form responses 1'!$F$2:$F1001, A95, 'Form responses 1'!$A$2:$A1001, "&gt;=2022-10-01", 'Form responses 1'!$A$2:$A1001, "&lt;=2022-12-31"),
    COUNTIFS('Form responses 1'!$G$2:$G1001, A95, 'Form responses 1'!$A$2:$A1001, "&gt;=2022-10-01", 'Form responses 1'!$A$2:$A1001, "&lt;=2022-12-31")
)
</f>
        <v>0</v>
      </c>
      <c r="E95" s="2">
        <f>SUM(
    COUNTIFS('Form responses 1'!$C$2:$C1001, A95, 'Form responses 1'!$A$2:$A1001, "&gt;=2023-01-01", 'Form responses 1'!$A$2:$A1001, "&lt;=2023-03-31"),
    COUNTIFS('Form responses 1'!$B$2:$B1001, A95, 'Form responses 1'!$A$2:$A1001, "&gt;=2023-01-01", 'Form responses 1'!$A$2:$A1001, "&lt;=2023-03-31"),
    COUNTIFS('Form responses 1'!$D$2:$D1001, A95, 'Form responses 1'!$A$2:$A1001, "&gt;=2023-01-01", 'Form responses 1'!$A$2:$A1001, "&lt;=2023-03-31"),
    COUNTIFS('Form responses 1'!$E$2:$E1001, A95, 'Form responses 1'!$A$2:$A1001, "&gt;=2023-01-01", 'Form responses 1'!$A$2:$A1001, "&lt;=2023-03-31"),
    COUNTIFS('Form responses 1'!$F$2:$F1001, A95, 'Form responses 1'!$A$2:$A1001, "&gt;=2023-01-01", 'Form responses 1'!$A$2:$A1001, "&lt;=2023-03-31"),
    COUNTIFS('Form responses 1'!$G$2:$G1001, A95, 'Form responses 1'!$A$2:$A1001, "&gt;=2023-01-01", 'Form responses 1'!$A$2:$A1001, "&lt;=2023-03-31")
)
</f>
        <v>0</v>
      </c>
      <c r="F95" s="2">
        <f>SUM(
    COUNTIFS('Form responses 1'!$C$2:$C1001, A95, 'Form responses 1'!$A$2:$A1001, "&gt;=2023-04-01", 'Form responses 1'!$A$2:$A1001, "&lt;=2023-06-30"),
    COUNTIFS('Form responses 1'!$B$2:$B1001, A95, 'Form responses 1'!$A$2:$A1001, "&gt;=2023-04-01", 'Form responses 1'!$A$2:$A1001, "&lt;=2023-06-30"),
    COUNTIFS('Form responses 1'!$D$2:$D1001, A95, 'Form responses 1'!$A$2:$A1001, "&gt;=2023-04-01", 'Form responses 1'!$A$2:$A1001, "&lt;=2023-06-30"),
    COUNTIFS('Form responses 1'!$E$2:$E1001, A95, 'Form responses 1'!$A$2:$A1001, "&gt;=2023-04-01", 'Form responses 1'!$A$2:$A1001, "&lt;=2023-06-30"),
    COUNTIFS('Form responses 1'!$F$2:$F1001, A95, 'Form responses 1'!$A$2:$A1001, "&gt;=2023-04-01", 'Form responses 1'!$A$2:$A1001, "&lt;=2023-06-30"),
    COUNTIFS('Form responses 1'!$G$2:$G1001, A95, 'Form responses 1'!$A$2:$A1001, "&gt;=2023-04-01", 'Form responses 1'!$A$2:$A1001, "&lt;=2023-06-30")
)
</f>
        <v>0</v>
      </c>
      <c r="G95" s="2">
        <f>SUM(
    COUNTIFS('Form responses 1'!$C$2:$C1001, A95, 'Form responses 1'!$A$2:$A1001, "&gt;=2023-07-01", 'Form responses 1'!$A$2:$A1001, "&lt;=2023-09-30"),
    COUNTIFS('Form responses 1'!$B$2:$B1001, A95, 'Form responses 1'!$A$2:$A1001, "&gt;=2023-07-01", 'Form responses 1'!$A$2:$A1001, "&lt;=2023-09-30"),
    COUNTIFS('Form responses 1'!$D$2:$D1001, A95, 'Form responses 1'!$A$2:$A1001, "&gt;=2023-07-01", 'Form responses 1'!$A$2:$A1001, "&lt;=2023-09-30"),
    COUNTIFS('Form responses 1'!$E$2:$E1001, A95, 'Form responses 1'!$A$2:$A1001, "&gt;=2023-07-01", 'Form responses 1'!$A$2:$A1001, "&lt;=2023-09-30"),
    COUNTIFS('Form responses 1'!$F$2:$F1001, A95, 'Form responses 1'!$A$2:$A1001, "&gt;=2023-07-01", 'Form responses 1'!$A$2:$A1001, "&lt;=2023-09-30"),
    COUNTIFS('Form responses 1'!$G$2:$G1001, A95, 'Form responses 1'!$A$2:$A1001, "&gt;=2023-07-01", 'Form responses 1'!$A$2:$A1001, "&lt;=2023-09-30")
)
</f>
        <v>0</v>
      </c>
      <c r="H95" s="2">
        <f>SUM(
    COUNTIFS('Form responses 1'!$C$2:$C1001, A95, 'Form responses 1'!$A$2:$A1001, "&gt;=2023-10-01", 'Form responses 1'!$A$2:$A1001, "&lt;=2023-12-31"),
    COUNTIFS('Form responses 1'!$B$2:$B1001, A95, 'Form responses 1'!$A$2:$A1001, "&gt;=2023-10-01", 'Form responses 1'!$A$2:$A1001, "&lt;=2023-12-31"),
    COUNTIFS('Form responses 1'!$D$2:$D1001, A95, 'Form responses 1'!$A$2:$A1001, "&gt;=2023-10-01", 'Form responses 1'!$A$2:$A1001, "&lt;=2023-12-31"),
    COUNTIFS('Form responses 1'!$E$2:$E1001, A95, 'Form responses 1'!$A$2:$A1001, "&gt;=2023-10-01", 'Form responses 1'!$A$2:$A1001, "&lt;=2023-12-31"),
    COUNTIFS('Form responses 1'!$F$2:$F1001, A95, 'Form responses 1'!$A$2:$A1001, "&gt;=2023-10-01", 'Form responses 1'!$A$2:$A1001, "&lt;=2023-12-31"),
    COUNTIFS('Form responses 1'!$G$2:$G1001, A95, 'Form responses 1'!$A$2:$A1001, "&gt;=2023-10-01", 'Form responses 1'!$A$2:$A1001, "&lt;=2023-12-31")
)
</f>
        <v>0</v>
      </c>
      <c r="I95" s="2">
        <f>SUM(
    COUNTIFS('Form responses 1'!$C$2:$C1001, A95, 'Form responses 1'!$A$2:$A1001, "&gt;=2024-01-01", 'Form responses 1'!$A$2:$A1001, "&lt;=2024-03-31"),
    COUNTIFS('Form responses 1'!$B$2:$B1001, A95, 'Form responses 1'!$A$2:$A1001, "&gt;=2024-01-01", 'Form responses 1'!$A$2:$A1001, "&lt;=2024-03-31"),
    COUNTIFS('Form responses 1'!$D$2:$D1001, A95, 'Form responses 1'!$A$2:$A1001, "&gt;=2024-01-01", 'Form responses 1'!$A$2:$A1001, "&lt;=2024-03-31"),
    COUNTIFS('Form responses 1'!$E$2:$E1001, A95, 'Form responses 1'!$A$2:$A1001, "&gt;=2024-01-01", 'Form responses 1'!$A$2:$A1001, "&lt;=2024-03-31"),
    COUNTIFS('Form responses 1'!$F$2:$F1001, A95, 'Form responses 1'!$A$2:$A1001, "&gt;=2024-01-01", 'Form responses 1'!$A$2:$A1001, "&lt;=2024-03-31"),
    COUNTIFS('Form responses 1'!$G$2:$G1001, A95, 'Form responses 1'!$A$2:$A1001, "&gt;=2024-01-01", 'Form responses 1'!$A$2:$A1001, "&lt;=2024-03-31")
)
</f>
        <v>0</v>
      </c>
      <c r="J95" s="2">
        <f>SUM(
    COUNTIFS('Form responses 1'!$C$2:$C1001, A95, 'Form responses 1'!$A$2:$A1001, "&gt;=2024-04-01", 'Form responses 1'!$A$2:$A1001, "&lt;=2024-06-30"),
    COUNTIFS('Form responses 1'!$B$2:$B1001, A95, 'Form responses 1'!$A$2:$A1001, "&gt;=2024-04-01", 'Form responses 1'!$A$2:$A1001, "&lt;=2024-06-30"),
    COUNTIFS('Form responses 1'!$D$2:$D1001, A95, 'Form responses 1'!$A$2:$A1001, "&gt;=2024-04-01", 'Form responses 1'!$A$2:$A1001, "&lt;=2024-06-30"),
    COUNTIFS('Form responses 1'!$E$2:$E1001, A95, 'Form responses 1'!$A$2:$A1001, "&gt;=2024-04-01", 'Form responses 1'!$A$2:$A1001, "&lt;=2024-06-30"),
    COUNTIFS('Form responses 1'!$F$2:$F1001, A95, 'Form responses 1'!$A$2:$A1001, "&gt;=2024-04-01", 'Form responses 1'!$A$2:$A1001, "&lt;=2024-06-30"),
    COUNTIFS('Form responses 1'!$G$2:$G1001, A95, 'Form responses 1'!$A$2:$A1001, "&gt;=2024-04-01", 'Form responses 1'!$A$2:$A1001, "&lt;=2024-06-30")
)
</f>
        <v>0</v>
      </c>
      <c r="K95" s="2">
        <f>SUM(
    COUNTIFS('Form responses 1'!$C$2:$C1001, A95, 'Form responses 1'!$A$2:$A1001, "&gt;=2024-07-01", 'Form responses 1'!$A$2:$A1001, "&lt;=2024-09-30"),
    COUNTIFS('Form responses 1'!$B$2:$B1001, A95, 'Form responses 1'!$A$2:$A1001, "&gt;=2024-07-01", 'Form responses 1'!$A$2:$A1001, "&lt;=2024-09-30"),
    COUNTIFS('Form responses 1'!$D$2:$D1001, A95, 'Form responses 1'!$A$2:$A1001, "&gt;=2024-07-01", 'Form responses 1'!$A$2:$A1001, "&lt;=2024-09-30"),
    COUNTIFS('Form responses 1'!$E$2:$E1001, A95, 'Form responses 1'!$A$2:$A1001, "&gt;=2024-07-01", 'Form responses 1'!$A$2:$A1001, "&lt;=2024-09-30"),
    COUNTIFS('Form responses 1'!$F$2:$F1001, A95, 'Form responses 1'!$A$2:$A1001, "&gt;=2024-07-01", 'Form responses 1'!$A$2:$A1001, "&lt;=2024-09-30"),
    COUNTIFS('Form responses 1'!$G$2:$G1001, A95, 'Form responses 1'!$A$2:$A1001, "&gt;=2024-07-01", 'Form responses 1'!$A$2:$A1001, "&lt;=2024-09-30")
)
</f>
        <v>0</v>
      </c>
      <c r="L95" s="2">
        <f>SUM(
    COUNTIFS('Form responses 1'!$C$2:$C1001, A95, 'Form responses 1'!$A$2:$A1001, "&gt;=2024-10-01", 'Form responses 1'!$A$2:$A1001, "&lt;=2024-12-31"),
    COUNTIFS('Form responses 1'!$B$2:$B1001, A95, 'Form responses 1'!$A$2:$A1001, "&gt;=2024-10-01", 'Form responses 1'!$A$2:$A1001, "&lt;=2024-12-31"),
    COUNTIFS('Form responses 1'!$D$2:$D1001, A95, 'Form responses 1'!$A$2:$A1001, "&gt;=2024-10-01", 'Form responses 1'!$A$2:$A1001, "&lt;=2024-12-31"),
    COUNTIFS('Form responses 1'!$E$2:$E1001, A95, 'Form responses 1'!$A$2:$A1001, "&gt;=2024-10-01", 'Form responses 1'!$A$2:$A1001, "&lt;=2024-12-31"),
    COUNTIFS('Form responses 1'!$F$2:$F1001, A95, 'Form responses 1'!$A$2:$A1001, "&gt;=2024-10-01", 'Form responses 1'!$A$2:$A1001, "&lt;=2024-12-31"),
    COUNTIFS('Form responses 1'!$G$2:$G1001, A95, 'Form responses 1'!$A$2:$A1001, "&gt;=2024-10-01", 'Form responses 1'!$A$2:$A1001, "&lt;=2024-12-31")
)
</f>
        <v>0</v>
      </c>
      <c r="M95" s="2">
        <f>SUM(
    COUNTIFS('Form responses 1'!$C$2:$C1001, A95, 'Form responses 1'!$A$2:$A1001, "&gt;=2025-01-01", 'Form responses 1'!$A$2:$A1001, "&lt;=2025-03-31"),
    COUNTIFS('Form responses 1'!$B$2:$B1001, A95, 'Form responses 1'!$A$2:$A1001, "&gt;=2025-01-01", 'Form responses 1'!$A$2:$A1001, "&lt;=2025-03-31"),
    COUNTIFS('Form responses 1'!$D$2:$D1001, A95, 'Form responses 1'!$A$2:$A1001, "&gt;=2025-01-01", 'Form responses 1'!$A$2:$A1001, "&lt;=2025-03-31"),
    COUNTIFS('Form responses 1'!$E$2:$E1001, A95, 'Form responses 1'!$A$2:$A1001, "&gt;=2025-01-01", 'Form responses 1'!$A$2:$A1001, "&lt;=2025-03-31"),
    COUNTIFS('Form responses 1'!$F$2:$F1001, A95, 'Form responses 1'!$A$2:$A1001, "&gt;=2025-01-01", 'Form responses 1'!$A$2:$A1001, "&lt;=2025-03-31"),
    COUNTIFS('Form responses 1'!$G$2:$G1001, A95, 'Form responses 1'!$A$2:$A1001, "&gt;=2025-01-01", 'Form responses 1'!$A$2:$A1001, "&lt;=2025-03-31")
)
</f>
        <v>0</v>
      </c>
      <c r="N95" s="2">
        <f>SUM(
    COUNTIFS('Form responses 1'!$C$2:$C1001, A95, 'Form responses 1'!$A$2:$A1001, "&gt;=2025-04-01", 'Form responses 1'!$A$2:$A1001, "&lt;2025-07-01"),
    COUNTIFS('Form responses 1'!$B$2:$B1001, A95, 'Form responses 1'!$A$2:$A1001, "&gt;=2025-04-01", 'Form responses 1'!$A$2:$A1001, "&lt;2025-07-01"),
    COUNTIFS('Form responses 1'!$D$2:$D1001, A95, 'Form responses 1'!$A$2:$A1001, "&gt;=2025-04-01", 'Form responses 1'!$A$2:$A1001, "&lt;2025-07-01"),
    COUNTIFS('Form responses 1'!$E$2:$E1001, A95, 'Form responses 1'!$A$2:$A1001, "&gt;=2025-04-01", 'Form responses 1'!$A$2:$A1001, "&lt;2025-07-01"),
    COUNTIFS('Form responses 1'!$F$2:$F1001, A95, 'Form responses 1'!$A$2:$A1001, "&gt;=2025-04-01", 'Form responses 1'!$A$2:$A1001, "&lt;2025-07-01"),
    COUNTIFS('Form responses 1'!$G$2:$G1001, A95, 'Form responses 1'!$A$2:$A1001, "&gt;=2025-04-01", 'Form responses 1'!$A$2:$A1001, "&lt;2025-07-01")
)
</f>
        <v>0</v>
      </c>
      <c r="O95" s="2">
        <f>SUM(
    COUNTIFS('Form responses 1'!$C$2:$C1001, A95, 'Form responses 1'!$A$2:$A1001, "&gt;=2025-07-01", 'Form responses 1'!$A$2:$A1001, "&lt;=2025-09-30"),
    COUNTIFS('Form responses 1'!$B$2:$B1001, A95, 'Form responses 1'!$A$2:$A1001, "&gt;=2025-07-01", 'Form responses 1'!$A$2:$A1001, "&lt;=2025-09-30"),
    COUNTIFS('Form responses 1'!$D$2:$D1001, A95, 'Form responses 1'!$A$2:$A1001, "&gt;=2025-07-01", 'Form responses 1'!$A$2:$A1001, "&lt;=2025-09-30"),
    COUNTIFS('Form responses 1'!$E$2:$E1001, A95, 'Form responses 1'!$A$2:$A1001, "&gt;=2025-07-01", 'Form responses 1'!$A$2:$A1001, "&lt;=2025-09-30"),
    COUNTIFS('Form responses 1'!$F$2:$F1001, A95, 'Form responses 1'!$A$2:$A1001, "&gt;=2025-07-01", 'Form responses 1'!$A$2:$A1001, "&lt;=2025-09-30"),
    COUNTIFS('Form responses 1'!$G$2:$G1001, A95, 'Form responses 1'!$A$2:$A1001, "&gt;=2025-07-01", 'Form responses 1'!$A$2:$A1001, "&lt;=2025-09-30")
)
</f>
        <v>12</v>
      </c>
      <c r="P95" s="2">
        <f>SUM(
    COUNTIFS('Form responses 1'!$C$2:$C1001, A95, 'Form responses 1'!$A$2:$A1001, "&gt;=2025-10-01", 'Form responses 1'!$A$2:$A1001, "&lt;=2025-12-31"),
    COUNTIFS('Form responses 1'!$B$2:$B1001, A95, 'Form responses 1'!$A$2:$A1001, "&gt;=2025-10-01", 'Form responses 1'!$A$2:$A1001, "&lt;=2025-12-31"),
    COUNTIFS('Form responses 1'!$D$2:$D1001, A95, 'Form responses 1'!$A$2:$A1001, "&gt;=2025-10-01", 'Form responses 1'!$A$2:$A1001, "&lt;=2025-12-31"),
    COUNTIFS('Form responses 1'!$E$2:$E1001, A95, 'Form responses 1'!$A$2:$A1001, "&gt;=2025-10-01", 'Form responses 1'!$A$2:$A1001, "&lt;=2025-12-31"),
    COUNTIFS('Form responses 1'!$F$2:$F1001, A95, 'Form responses 1'!$A$2:$A1001, "&gt;=2025-10-01", 'Form responses 1'!$A$2:$A1001, "&lt;=2025-12-31"),
    COUNTIFS('Form responses 1'!$G$2:$G1001, A95, 'Form responses 1'!$A$2:$A1001, "&gt;=2025-10-01", 'Form responses 1'!$A$2:$A1001, "&lt;=2025-12-31")
)
</f>
        <v>6</v>
      </c>
    </row>
    <row r="96">
      <c r="A96" s="3" t="str">
        <f>IFERROR(__xludf.DUMMYFUNCTION("""COMPUTED_VALUE"""),"Decathlon sportshirt zwart")</f>
        <v>Decathlon sportshirt zwart</v>
      </c>
      <c r="B96" s="2">
        <f>SUM(
    COUNTIFS('Form responses 1'!$C$2:$C1001, A96, 'Form responses 1'!$A$2:$A1001, "&gt;=2022-04-01", 'Form responses 1'!$A$2:$A1001, "&lt;=2022-06-30"),
    COUNTIFS('Form responses 1'!$B$2:$B1001, A96, 'Form responses 1'!$A$2:$A1001, "&gt;=2022-04-01", 'Form responses 1'!$A$2:$A1001, "&lt;=2022-06-30"),
    COUNTIFS('Form responses 1'!$D$2:$D1001, A96, 'Form responses 1'!$A$2:$A1001, "&gt;=2022-04-01", 'Form responses 1'!$A$2:$A1001, "&lt;=2022-06-30"),
    COUNTIFS('Form responses 1'!$E$2:$E1001, A96, 'Form responses 1'!$A$2:$A1001, "&gt;=2022-04-01", 'Form responses 1'!$A$2:$A1001, "&lt;=2022-06-30"),
    COUNTIFS('Form responses 1'!$F$2:$F1001, A96, 'Form responses 1'!$A$2:$A1001, "&gt;=2022-04-01", 'Form responses 1'!$A$2:$A1001, "&lt;=2022-06-30"),
    COUNTIFS('Form responses 1'!$G$2:$G1001, A96, 'Form responses 1'!$A$2:$A1001, "&gt;=2022-04-01", 'Form responses 1'!$A$2:$A1001, "&lt;=2022-06-30")
)
</f>
        <v>0</v>
      </c>
      <c r="C96" s="2">
        <f>SUM(
    COUNTIFS('Form responses 1'!$C$2:$C1001, A96, 'Form responses 1'!$A$2:$A1001, "&gt;=2022-07-01", 'Form responses 1'!$A$2:$A1001, "&lt;=2022-09-30"),
    COUNTIFS('Form responses 1'!$B$2:$B1001, A96, 'Form responses 1'!$A$2:$A1001, "&gt;=2022-07-01", 'Form responses 1'!$A$2:$A1001, "&lt;=2022-09-30"),
    COUNTIFS('Form responses 1'!$D$2:$D1001, A96, 'Form responses 1'!$A$2:$A1001, "&gt;=2022-07-01", 'Form responses 1'!$A$2:$A1001, "&lt;=2022-09-30"),
    COUNTIFS('Form responses 1'!$E$2:$E1001, A96, 'Form responses 1'!$A$2:$A1001, "&gt;=2022-07-01", 'Form responses 1'!$A$2:$A1001, "&lt;=2022-09-30"),
    COUNTIFS('Form responses 1'!$F$2:$F1001, A96, 'Form responses 1'!$A$2:$A1001, "&gt;=2022-07-01", 'Form responses 1'!$A$2:$A1001, "&lt;=2022-09-30"),
    COUNTIFS('Form responses 1'!$G$2:$G1001, A96, 'Form responses 1'!$A$2:$A1001, "&gt;=2022-07-01", 'Form responses 1'!$A$2:$A1001, "&lt;=2022-09-30")
)
</f>
        <v>0</v>
      </c>
      <c r="D96" s="2">
        <f>SUM(
    COUNTIFS('Form responses 1'!$C$2:$C1001, A96, 'Form responses 1'!$A$2:$A1001, "&gt;=2022-10-01", 'Form responses 1'!$A$2:$A1001, "&lt;=2022-12-31"),
    COUNTIFS('Form responses 1'!$B$2:$B1001, A96, 'Form responses 1'!$A$2:$A1001, "&gt;=2022-10-01", 'Form responses 1'!$A$2:$A1001, "&lt;=2022-12-31"),
    COUNTIFS('Form responses 1'!$D$2:$D1001, A96, 'Form responses 1'!$A$2:$A1001, "&gt;=2022-10-01", 'Form responses 1'!$A$2:$A1001, "&lt;=2022-12-31"),
    COUNTIFS('Form responses 1'!$E$2:$E1001, A96, 'Form responses 1'!$A$2:$A1001, "&gt;=2022-10-01", 'Form responses 1'!$A$2:$A1001, "&lt;=2022-12-31"),
    COUNTIFS('Form responses 1'!$F$2:$F1001, A96, 'Form responses 1'!$A$2:$A1001, "&gt;=2022-10-01", 'Form responses 1'!$A$2:$A1001, "&lt;=2022-12-31"),
    COUNTIFS('Form responses 1'!$G$2:$G1001, A96, 'Form responses 1'!$A$2:$A1001, "&gt;=2022-10-01", 'Form responses 1'!$A$2:$A1001, "&lt;=2022-12-31")
)
</f>
        <v>0</v>
      </c>
      <c r="E96" s="2">
        <f>SUM(
    COUNTIFS('Form responses 1'!$C$2:$C1001, A96, 'Form responses 1'!$A$2:$A1001, "&gt;=2023-01-01", 'Form responses 1'!$A$2:$A1001, "&lt;=2023-03-31"),
    COUNTIFS('Form responses 1'!$B$2:$B1001, A96, 'Form responses 1'!$A$2:$A1001, "&gt;=2023-01-01", 'Form responses 1'!$A$2:$A1001, "&lt;=2023-03-31"),
    COUNTIFS('Form responses 1'!$D$2:$D1001, A96, 'Form responses 1'!$A$2:$A1001, "&gt;=2023-01-01", 'Form responses 1'!$A$2:$A1001, "&lt;=2023-03-31"),
    COUNTIFS('Form responses 1'!$E$2:$E1001, A96, 'Form responses 1'!$A$2:$A1001, "&gt;=2023-01-01", 'Form responses 1'!$A$2:$A1001, "&lt;=2023-03-31"),
    COUNTIFS('Form responses 1'!$F$2:$F1001, A96, 'Form responses 1'!$A$2:$A1001, "&gt;=2023-01-01", 'Form responses 1'!$A$2:$A1001, "&lt;=2023-03-31"),
    COUNTIFS('Form responses 1'!$G$2:$G1001, A96, 'Form responses 1'!$A$2:$A1001, "&gt;=2023-01-01", 'Form responses 1'!$A$2:$A1001, "&lt;=2023-03-31")
)
</f>
        <v>0</v>
      </c>
      <c r="F96" s="2">
        <f>SUM(
    COUNTIFS('Form responses 1'!$C$2:$C1001, A96, 'Form responses 1'!$A$2:$A1001, "&gt;=2023-04-01", 'Form responses 1'!$A$2:$A1001, "&lt;=2023-06-30"),
    COUNTIFS('Form responses 1'!$B$2:$B1001, A96, 'Form responses 1'!$A$2:$A1001, "&gt;=2023-04-01", 'Form responses 1'!$A$2:$A1001, "&lt;=2023-06-30"),
    COUNTIFS('Form responses 1'!$D$2:$D1001, A96, 'Form responses 1'!$A$2:$A1001, "&gt;=2023-04-01", 'Form responses 1'!$A$2:$A1001, "&lt;=2023-06-30"),
    COUNTIFS('Form responses 1'!$E$2:$E1001, A96, 'Form responses 1'!$A$2:$A1001, "&gt;=2023-04-01", 'Form responses 1'!$A$2:$A1001, "&lt;=2023-06-30"),
    COUNTIFS('Form responses 1'!$F$2:$F1001, A96, 'Form responses 1'!$A$2:$A1001, "&gt;=2023-04-01", 'Form responses 1'!$A$2:$A1001, "&lt;=2023-06-30"),
    COUNTIFS('Form responses 1'!$G$2:$G1001, A96, 'Form responses 1'!$A$2:$A1001, "&gt;=2023-04-01", 'Form responses 1'!$A$2:$A1001, "&lt;=2023-06-30")
)
</f>
        <v>0</v>
      </c>
      <c r="G96" s="2">
        <f>SUM(
    COUNTIFS('Form responses 1'!$C$2:$C1001, A96, 'Form responses 1'!$A$2:$A1001, "&gt;=2023-07-01", 'Form responses 1'!$A$2:$A1001, "&lt;=2023-09-30"),
    COUNTIFS('Form responses 1'!$B$2:$B1001, A96, 'Form responses 1'!$A$2:$A1001, "&gt;=2023-07-01", 'Form responses 1'!$A$2:$A1001, "&lt;=2023-09-30"),
    COUNTIFS('Form responses 1'!$D$2:$D1001, A96, 'Form responses 1'!$A$2:$A1001, "&gt;=2023-07-01", 'Form responses 1'!$A$2:$A1001, "&lt;=2023-09-30"),
    COUNTIFS('Form responses 1'!$E$2:$E1001, A96, 'Form responses 1'!$A$2:$A1001, "&gt;=2023-07-01", 'Form responses 1'!$A$2:$A1001, "&lt;=2023-09-30"),
    COUNTIFS('Form responses 1'!$F$2:$F1001, A96, 'Form responses 1'!$A$2:$A1001, "&gt;=2023-07-01", 'Form responses 1'!$A$2:$A1001, "&lt;=2023-09-30"),
    COUNTIFS('Form responses 1'!$G$2:$G1001, A96, 'Form responses 1'!$A$2:$A1001, "&gt;=2023-07-01", 'Form responses 1'!$A$2:$A1001, "&lt;=2023-09-30")
)
</f>
        <v>0</v>
      </c>
      <c r="H96" s="2">
        <f>SUM(
    COUNTIFS('Form responses 1'!$C$2:$C1001, A96, 'Form responses 1'!$A$2:$A1001, "&gt;=2023-10-01", 'Form responses 1'!$A$2:$A1001, "&lt;=2023-12-31"),
    COUNTIFS('Form responses 1'!$B$2:$B1001, A96, 'Form responses 1'!$A$2:$A1001, "&gt;=2023-10-01", 'Form responses 1'!$A$2:$A1001, "&lt;=2023-12-31"),
    COUNTIFS('Form responses 1'!$D$2:$D1001, A96, 'Form responses 1'!$A$2:$A1001, "&gt;=2023-10-01", 'Form responses 1'!$A$2:$A1001, "&lt;=2023-12-31"),
    COUNTIFS('Form responses 1'!$E$2:$E1001, A96, 'Form responses 1'!$A$2:$A1001, "&gt;=2023-10-01", 'Form responses 1'!$A$2:$A1001, "&lt;=2023-12-31"),
    COUNTIFS('Form responses 1'!$F$2:$F1001, A96, 'Form responses 1'!$A$2:$A1001, "&gt;=2023-10-01", 'Form responses 1'!$A$2:$A1001, "&lt;=2023-12-31"),
    COUNTIFS('Form responses 1'!$G$2:$G1001, A96, 'Form responses 1'!$A$2:$A1001, "&gt;=2023-10-01", 'Form responses 1'!$A$2:$A1001, "&lt;=2023-12-31")
)
</f>
        <v>0</v>
      </c>
      <c r="I96" s="2">
        <f>SUM(
    COUNTIFS('Form responses 1'!$C$2:$C1001, A96, 'Form responses 1'!$A$2:$A1001, "&gt;=2024-01-01", 'Form responses 1'!$A$2:$A1001, "&lt;=2024-03-31"),
    COUNTIFS('Form responses 1'!$B$2:$B1001, A96, 'Form responses 1'!$A$2:$A1001, "&gt;=2024-01-01", 'Form responses 1'!$A$2:$A1001, "&lt;=2024-03-31"),
    COUNTIFS('Form responses 1'!$D$2:$D1001, A96, 'Form responses 1'!$A$2:$A1001, "&gt;=2024-01-01", 'Form responses 1'!$A$2:$A1001, "&lt;=2024-03-31"),
    COUNTIFS('Form responses 1'!$E$2:$E1001, A96, 'Form responses 1'!$A$2:$A1001, "&gt;=2024-01-01", 'Form responses 1'!$A$2:$A1001, "&lt;=2024-03-31"),
    COUNTIFS('Form responses 1'!$F$2:$F1001, A96, 'Form responses 1'!$A$2:$A1001, "&gt;=2024-01-01", 'Form responses 1'!$A$2:$A1001, "&lt;=2024-03-31"),
    COUNTIFS('Form responses 1'!$G$2:$G1001, A96, 'Form responses 1'!$A$2:$A1001, "&gt;=2024-01-01", 'Form responses 1'!$A$2:$A1001, "&lt;=2024-03-31")
)
</f>
        <v>0</v>
      </c>
      <c r="J96" s="2">
        <f>SUM(
    COUNTIFS('Form responses 1'!$C$2:$C1001, A96, 'Form responses 1'!$A$2:$A1001, "&gt;=2024-04-01", 'Form responses 1'!$A$2:$A1001, "&lt;=2024-06-30"),
    COUNTIFS('Form responses 1'!$B$2:$B1001, A96, 'Form responses 1'!$A$2:$A1001, "&gt;=2024-04-01", 'Form responses 1'!$A$2:$A1001, "&lt;=2024-06-30"),
    COUNTIFS('Form responses 1'!$D$2:$D1001, A96, 'Form responses 1'!$A$2:$A1001, "&gt;=2024-04-01", 'Form responses 1'!$A$2:$A1001, "&lt;=2024-06-30"),
    COUNTIFS('Form responses 1'!$E$2:$E1001, A96, 'Form responses 1'!$A$2:$A1001, "&gt;=2024-04-01", 'Form responses 1'!$A$2:$A1001, "&lt;=2024-06-30"),
    COUNTIFS('Form responses 1'!$F$2:$F1001, A96, 'Form responses 1'!$A$2:$A1001, "&gt;=2024-04-01", 'Form responses 1'!$A$2:$A1001, "&lt;=2024-06-30"),
    COUNTIFS('Form responses 1'!$G$2:$G1001, A96, 'Form responses 1'!$A$2:$A1001, "&gt;=2024-04-01", 'Form responses 1'!$A$2:$A1001, "&lt;=2024-06-30")
)
</f>
        <v>0</v>
      </c>
      <c r="K96" s="2">
        <f>SUM(
    COUNTIFS('Form responses 1'!$C$2:$C1001, A96, 'Form responses 1'!$A$2:$A1001, "&gt;=2024-07-01", 'Form responses 1'!$A$2:$A1001, "&lt;=2024-09-30"),
    COUNTIFS('Form responses 1'!$B$2:$B1001, A96, 'Form responses 1'!$A$2:$A1001, "&gt;=2024-07-01", 'Form responses 1'!$A$2:$A1001, "&lt;=2024-09-30"),
    COUNTIFS('Form responses 1'!$D$2:$D1001, A96, 'Form responses 1'!$A$2:$A1001, "&gt;=2024-07-01", 'Form responses 1'!$A$2:$A1001, "&lt;=2024-09-30"),
    COUNTIFS('Form responses 1'!$E$2:$E1001, A96, 'Form responses 1'!$A$2:$A1001, "&gt;=2024-07-01", 'Form responses 1'!$A$2:$A1001, "&lt;=2024-09-30"),
    COUNTIFS('Form responses 1'!$F$2:$F1001, A96, 'Form responses 1'!$A$2:$A1001, "&gt;=2024-07-01", 'Form responses 1'!$A$2:$A1001, "&lt;=2024-09-30"),
    COUNTIFS('Form responses 1'!$G$2:$G1001, A96, 'Form responses 1'!$A$2:$A1001, "&gt;=2024-07-01", 'Form responses 1'!$A$2:$A1001, "&lt;=2024-09-30")
)
</f>
        <v>0</v>
      </c>
      <c r="L96" s="2">
        <f>SUM(
    COUNTIFS('Form responses 1'!$C$2:$C1001, A96, 'Form responses 1'!$A$2:$A1001, "&gt;=2024-10-01", 'Form responses 1'!$A$2:$A1001, "&lt;=2024-12-31"),
    COUNTIFS('Form responses 1'!$B$2:$B1001, A96, 'Form responses 1'!$A$2:$A1001, "&gt;=2024-10-01", 'Form responses 1'!$A$2:$A1001, "&lt;=2024-12-31"),
    COUNTIFS('Form responses 1'!$D$2:$D1001, A96, 'Form responses 1'!$A$2:$A1001, "&gt;=2024-10-01", 'Form responses 1'!$A$2:$A1001, "&lt;=2024-12-31"),
    COUNTIFS('Form responses 1'!$E$2:$E1001, A96, 'Form responses 1'!$A$2:$A1001, "&gt;=2024-10-01", 'Form responses 1'!$A$2:$A1001, "&lt;=2024-12-31"),
    COUNTIFS('Form responses 1'!$F$2:$F1001, A96, 'Form responses 1'!$A$2:$A1001, "&gt;=2024-10-01", 'Form responses 1'!$A$2:$A1001, "&lt;=2024-12-31"),
    COUNTIFS('Form responses 1'!$G$2:$G1001, A96, 'Form responses 1'!$A$2:$A1001, "&gt;=2024-10-01", 'Form responses 1'!$A$2:$A1001, "&lt;=2024-12-31")
)
</f>
        <v>0</v>
      </c>
      <c r="M96" s="2">
        <f>SUM(
    COUNTIFS('Form responses 1'!$C$2:$C1001, A96, 'Form responses 1'!$A$2:$A1001, "&gt;=2025-01-01", 'Form responses 1'!$A$2:$A1001, "&lt;=2025-03-31"),
    COUNTIFS('Form responses 1'!$B$2:$B1001, A96, 'Form responses 1'!$A$2:$A1001, "&gt;=2025-01-01", 'Form responses 1'!$A$2:$A1001, "&lt;=2025-03-31"),
    COUNTIFS('Form responses 1'!$D$2:$D1001, A96, 'Form responses 1'!$A$2:$A1001, "&gt;=2025-01-01", 'Form responses 1'!$A$2:$A1001, "&lt;=2025-03-31"),
    COUNTIFS('Form responses 1'!$E$2:$E1001, A96, 'Form responses 1'!$A$2:$A1001, "&gt;=2025-01-01", 'Form responses 1'!$A$2:$A1001, "&lt;=2025-03-31"),
    COUNTIFS('Form responses 1'!$F$2:$F1001, A96, 'Form responses 1'!$A$2:$A1001, "&gt;=2025-01-01", 'Form responses 1'!$A$2:$A1001, "&lt;=2025-03-31"),
    COUNTIFS('Form responses 1'!$G$2:$G1001, A96, 'Form responses 1'!$A$2:$A1001, "&gt;=2025-01-01", 'Form responses 1'!$A$2:$A1001, "&lt;=2025-03-31")
)
</f>
        <v>0</v>
      </c>
      <c r="N96" s="2">
        <f>SUM(
    COUNTIFS('Form responses 1'!$C$2:$C1001, A96, 'Form responses 1'!$A$2:$A1001, "&gt;=2025-04-01", 'Form responses 1'!$A$2:$A1001, "&lt;2025-07-01"),
    COUNTIFS('Form responses 1'!$B$2:$B1001, A96, 'Form responses 1'!$A$2:$A1001, "&gt;=2025-04-01", 'Form responses 1'!$A$2:$A1001, "&lt;2025-07-01"),
    COUNTIFS('Form responses 1'!$D$2:$D1001, A96, 'Form responses 1'!$A$2:$A1001, "&gt;=2025-04-01", 'Form responses 1'!$A$2:$A1001, "&lt;2025-07-01"),
    COUNTIFS('Form responses 1'!$E$2:$E1001, A96, 'Form responses 1'!$A$2:$A1001, "&gt;=2025-04-01", 'Form responses 1'!$A$2:$A1001, "&lt;2025-07-01"),
    COUNTIFS('Form responses 1'!$F$2:$F1001, A96, 'Form responses 1'!$A$2:$A1001, "&gt;=2025-04-01", 'Form responses 1'!$A$2:$A1001, "&lt;2025-07-01"),
    COUNTIFS('Form responses 1'!$G$2:$G1001, A96, 'Form responses 1'!$A$2:$A1001, "&gt;=2025-04-01", 'Form responses 1'!$A$2:$A1001, "&lt;2025-07-01")
)
</f>
        <v>0</v>
      </c>
      <c r="O96" s="2">
        <f>SUM(
    COUNTIFS('Form responses 1'!$C$2:$C1001, A96, 'Form responses 1'!$A$2:$A1001, "&gt;=2025-07-01", 'Form responses 1'!$A$2:$A1001, "&lt;=2025-09-30"),
    COUNTIFS('Form responses 1'!$B$2:$B1001, A96, 'Form responses 1'!$A$2:$A1001, "&gt;=2025-07-01", 'Form responses 1'!$A$2:$A1001, "&lt;=2025-09-30"),
    COUNTIFS('Form responses 1'!$D$2:$D1001, A96, 'Form responses 1'!$A$2:$A1001, "&gt;=2025-07-01", 'Form responses 1'!$A$2:$A1001, "&lt;=2025-09-30"),
    COUNTIFS('Form responses 1'!$E$2:$E1001, A96, 'Form responses 1'!$A$2:$A1001, "&gt;=2025-07-01", 'Form responses 1'!$A$2:$A1001, "&lt;=2025-09-30"),
    COUNTIFS('Form responses 1'!$F$2:$F1001, A96, 'Form responses 1'!$A$2:$A1001, "&gt;=2025-07-01", 'Form responses 1'!$A$2:$A1001, "&lt;=2025-09-30"),
    COUNTIFS('Form responses 1'!$G$2:$G1001, A96, 'Form responses 1'!$A$2:$A1001, "&gt;=2025-07-01", 'Form responses 1'!$A$2:$A1001, "&lt;=2025-09-30")
)
</f>
        <v>3</v>
      </c>
      <c r="P96" s="2">
        <f>SUM(
    COUNTIFS('Form responses 1'!$C$2:$C1001, A96, 'Form responses 1'!$A$2:$A1001, "&gt;=2025-10-01", 'Form responses 1'!$A$2:$A1001, "&lt;=2025-12-31"),
    COUNTIFS('Form responses 1'!$B$2:$B1001, A96, 'Form responses 1'!$A$2:$A1001, "&gt;=2025-10-01", 'Form responses 1'!$A$2:$A1001, "&lt;=2025-12-31"),
    COUNTIFS('Form responses 1'!$D$2:$D1001, A96, 'Form responses 1'!$A$2:$A1001, "&gt;=2025-10-01", 'Form responses 1'!$A$2:$A1001, "&lt;=2025-12-31"),
    COUNTIFS('Form responses 1'!$E$2:$E1001, A96, 'Form responses 1'!$A$2:$A1001, "&gt;=2025-10-01", 'Form responses 1'!$A$2:$A1001, "&lt;=2025-12-31"),
    COUNTIFS('Form responses 1'!$F$2:$F1001, A96, 'Form responses 1'!$A$2:$A1001, "&gt;=2025-10-01", 'Form responses 1'!$A$2:$A1001, "&lt;=2025-12-31"),
    COUNTIFS('Form responses 1'!$G$2:$G1001, A96, 'Form responses 1'!$A$2:$A1001, "&gt;=2025-10-01", 'Form responses 1'!$A$2:$A1001, "&lt;=2025-12-31")
)
</f>
        <v>1</v>
      </c>
    </row>
    <row r="97">
      <c r="A97" s="3" t="str">
        <f>IFERROR(__xludf.DUMMYFUNCTION("""COMPUTED_VALUE"""),"Decathlon hardloopshirt blauw")</f>
        <v>Decathlon hardloopshirt blauw</v>
      </c>
      <c r="B97" s="2">
        <f>SUM(
    COUNTIFS('Form responses 1'!$C$2:$C1001, A97, 'Form responses 1'!$A$2:$A1001, "&gt;=2022-04-01", 'Form responses 1'!$A$2:$A1001, "&lt;=2022-06-30"),
    COUNTIFS('Form responses 1'!$B$2:$B1001, A97, 'Form responses 1'!$A$2:$A1001, "&gt;=2022-04-01", 'Form responses 1'!$A$2:$A1001, "&lt;=2022-06-30"),
    COUNTIFS('Form responses 1'!$D$2:$D1001, A97, 'Form responses 1'!$A$2:$A1001, "&gt;=2022-04-01", 'Form responses 1'!$A$2:$A1001, "&lt;=2022-06-30"),
    COUNTIFS('Form responses 1'!$E$2:$E1001, A97, 'Form responses 1'!$A$2:$A1001, "&gt;=2022-04-01", 'Form responses 1'!$A$2:$A1001, "&lt;=2022-06-30"),
    COUNTIFS('Form responses 1'!$F$2:$F1001, A97, 'Form responses 1'!$A$2:$A1001, "&gt;=2022-04-01", 'Form responses 1'!$A$2:$A1001, "&lt;=2022-06-30"),
    COUNTIFS('Form responses 1'!$G$2:$G1001, A97, 'Form responses 1'!$A$2:$A1001, "&gt;=2022-04-01", 'Form responses 1'!$A$2:$A1001, "&lt;=2022-06-30")
)
</f>
        <v>0</v>
      </c>
      <c r="C97" s="2">
        <f>SUM(
    COUNTIFS('Form responses 1'!$C$2:$C1001, A97, 'Form responses 1'!$A$2:$A1001, "&gt;=2022-07-01", 'Form responses 1'!$A$2:$A1001, "&lt;=2022-09-30"),
    COUNTIFS('Form responses 1'!$B$2:$B1001, A97, 'Form responses 1'!$A$2:$A1001, "&gt;=2022-07-01", 'Form responses 1'!$A$2:$A1001, "&lt;=2022-09-30"),
    COUNTIFS('Form responses 1'!$D$2:$D1001, A97, 'Form responses 1'!$A$2:$A1001, "&gt;=2022-07-01", 'Form responses 1'!$A$2:$A1001, "&lt;=2022-09-30"),
    COUNTIFS('Form responses 1'!$E$2:$E1001, A97, 'Form responses 1'!$A$2:$A1001, "&gt;=2022-07-01", 'Form responses 1'!$A$2:$A1001, "&lt;=2022-09-30"),
    COUNTIFS('Form responses 1'!$F$2:$F1001, A97, 'Form responses 1'!$A$2:$A1001, "&gt;=2022-07-01", 'Form responses 1'!$A$2:$A1001, "&lt;=2022-09-30"),
    COUNTIFS('Form responses 1'!$G$2:$G1001, A97, 'Form responses 1'!$A$2:$A1001, "&gt;=2022-07-01", 'Form responses 1'!$A$2:$A1001, "&lt;=2022-09-30")
)
</f>
        <v>0</v>
      </c>
      <c r="D97" s="2">
        <f>SUM(
    COUNTIFS('Form responses 1'!$C$2:$C1001, A97, 'Form responses 1'!$A$2:$A1001, "&gt;=2022-10-01", 'Form responses 1'!$A$2:$A1001, "&lt;=2022-12-31"),
    COUNTIFS('Form responses 1'!$B$2:$B1001, A97, 'Form responses 1'!$A$2:$A1001, "&gt;=2022-10-01", 'Form responses 1'!$A$2:$A1001, "&lt;=2022-12-31"),
    COUNTIFS('Form responses 1'!$D$2:$D1001, A97, 'Form responses 1'!$A$2:$A1001, "&gt;=2022-10-01", 'Form responses 1'!$A$2:$A1001, "&lt;=2022-12-31"),
    COUNTIFS('Form responses 1'!$E$2:$E1001, A97, 'Form responses 1'!$A$2:$A1001, "&gt;=2022-10-01", 'Form responses 1'!$A$2:$A1001, "&lt;=2022-12-31"),
    COUNTIFS('Form responses 1'!$F$2:$F1001, A97, 'Form responses 1'!$A$2:$A1001, "&gt;=2022-10-01", 'Form responses 1'!$A$2:$A1001, "&lt;=2022-12-31"),
    COUNTIFS('Form responses 1'!$G$2:$G1001, A97, 'Form responses 1'!$A$2:$A1001, "&gt;=2022-10-01", 'Form responses 1'!$A$2:$A1001, "&lt;=2022-12-31")
)
</f>
        <v>0</v>
      </c>
      <c r="E97" s="2">
        <f>SUM(
    COUNTIFS('Form responses 1'!$C$2:$C1001, A97, 'Form responses 1'!$A$2:$A1001, "&gt;=2023-01-01", 'Form responses 1'!$A$2:$A1001, "&lt;=2023-03-31"),
    COUNTIFS('Form responses 1'!$B$2:$B1001, A97, 'Form responses 1'!$A$2:$A1001, "&gt;=2023-01-01", 'Form responses 1'!$A$2:$A1001, "&lt;=2023-03-31"),
    COUNTIFS('Form responses 1'!$D$2:$D1001, A97, 'Form responses 1'!$A$2:$A1001, "&gt;=2023-01-01", 'Form responses 1'!$A$2:$A1001, "&lt;=2023-03-31"),
    COUNTIFS('Form responses 1'!$E$2:$E1001, A97, 'Form responses 1'!$A$2:$A1001, "&gt;=2023-01-01", 'Form responses 1'!$A$2:$A1001, "&lt;=2023-03-31"),
    COUNTIFS('Form responses 1'!$F$2:$F1001, A97, 'Form responses 1'!$A$2:$A1001, "&gt;=2023-01-01", 'Form responses 1'!$A$2:$A1001, "&lt;=2023-03-31"),
    COUNTIFS('Form responses 1'!$G$2:$G1001, A97, 'Form responses 1'!$A$2:$A1001, "&gt;=2023-01-01", 'Form responses 1'!$A$2:$A1001, "&lt;=2023-03-31")
)
</f>
        <v>0</v>
      </c>
      <c r="F97" s="2">
        <f>SUM(
    COUNTIFS('Form responses 1'!$C$2:$C1001, A97, 'Form responses 1'!$A$2:$A1001, "&gt;=2023-04-01", 'Form responses 1'!$A$2:$A1001, "&lt;=2023-06-30"),
    COUNTIFS('Form responses 1'!$B$2:$B1001, A97, 'Form responses 1'!$A$2:$A1001, "&gt;=2023-04-01", 'Form responses 1'!$A$2:$A1001, "&lt;=2023-06-30"),
    COUNTIFS('Form responses 1'!$D$2:$D1001, A97, 'Form responses 1'!$A$2:$A1001, "&gt;=2023-04-01", 'Form responses 1'!$A$2:$A1001, "&lt;=2023-06-30"),
    COUNTIFS('Form responses 1'!$E$2:$E1001, A97, 'Form responses 1'!$A$2:$A1001, "&gt;=2023-04-01", 'Form responses 1'!$A$2:$A1001, "&lt;=2023-06-30"),
    COUNTIFS('Form responses 1'!$F$2:$F1001, A97, 'Form responses 1'!$A$2:$A1001, "&gt;=2023-04-01", 'Form responses 1'!$A$2:$A1001, "&lt;=2023-06-30"),
    COUNTIFS('Form responses 1'!$G$2:$G1001, A97, 'Form responses 1'!$A$2:$A1001, "&gt;=2023-04-01", 'Form responses 1'!$A$2:$A1001, "&lt;=2023-06-30")
)
</f>
        <v>0</v>
      </c>
      <c r="G97" s="2">
        <f>SUM(
    COUNTIFS('Form responses 1'!$C$2:$C1001, A97, 'Form responses 1'!$A$2:$A1001, "&gt;=2023-07-01", 'Form responses 1'!$A$2:$A1001, "&lt;=2023-09-30"),
    COUNTIFS('Form responses 1'!$B$2:$B1001, A97, 'Form responses 1'!$A$2:$A1001, "&gt;=2023-07-01", 'Form responses 1'!$A$2:$A1001, "&lt;=2023-09-30"),
    COUNTIFS('Form responses 1'!$D$2:$D1001, A97, 'Form responses 1'!$A$2:$A1001, "&gt;=2023-07-01", 'Form responses 1'!$A$2:$A1001, "&lt;=2023-09-30"),
    COUNTIFS('Form responses 1'!$E$2:$E1001, A97, 'Form responses 1'!$A$2:$A1001, "&gt;=2023-07-01", 'Form responses 1'!$A$2:$A1001, "&lt;=2023-09-30"),
    COUNTIFS('Form responses 1'!$F$2:$F1001, A97, 'Form responses 1'!$A$2:$A1001, "&gt;=2023-07-01", 'Form responses 1'!$A$2:$A1001, "&lt;=2023-09-30"),
    COUNTIFS('Form responses 1'!$G$2:$G1001, A97, 'Form responses 1'!$A$2:$A1001, "&gt;=2023-07-01", 'Form responses 1'!$A$2:$A1001, "&lt;=2023-09-30")
)
</f>
        <v>0</v>
      </c>
      <c r="H97" s="2">
        <f>SUM(
    COUNTIFS('Form responses 1'!$C$2:$C1001, A97, 'Form responses 1'!$A$2:$A1001, "&gt;=2023-10-01", 'Form responses 1'!$A$2:$A1001, "&lt;=2023-12-31"),
    COUNTIFS('Form responses 1'!$B$2:$B1001, A97, 'Form responses 1'!$A$2:$A1001, "&gt;=2023-10-01", 'Form responses 1'!$A$2:$A1001, "&lt;=2023-12-31"),
    COUNTIFS('Form responses 1'!$D$2:$D1001, A97, 'Form responses 1'!$A$2:$A1001, "&gt;=2023-10-01", 'Form responses 1'!$A$2:$A1001, "&lt;=2023-12-31"),
    COUNTIFS('Form responses 1'!$E$2:$E1001, A97, 'Form responses 1'!$A$2:$A1001, "&gt;=2023-10-01", 'Form responses 1'!$A$2:$A1001, "&lt;=2023-12-31"),
    COUNTIFS('Form responses 1'!$F$2:$F1001, A97, 'Form responses 1'!$A$2:$A1001, "&gt;=2023-10-01", 'Form responses 1'!$A$2:$A1001, "&lt;=2023-12-31"),
    COUNTIFS('Form responses 1'!$G$2:$G1001, A97, 'Form responses 1'!$A$2:$A1001, "&gt;=2023-10-01", 'Form responses 1'!$A$2:$A1001, "&lt;=2023-12-31")
)
</f>
        <v>0</v>
      </c>
      <c r="I97" s="2">
        <f>SUM(
    COUNTIFS('Form responses 1'!$C$2:$C1001, A97, 'Form responses 1'!$A$2:$A1001, "&gt;=2024-01-01", 'Form responses 1'!$A$2:$A1001, "&lt;=2024-03-31"),
    COUNTIFS('Form responses 1'!$B$2:$B1001, A97, 'Form responses 1'!$A$2:$A1001, "&gt;=2024-01-01", 'Form responses 1'!$A$2:$A1001, "&lt;=2024-03-31"),
    COUNTIFS('Form responses 1'!$D$2:$D1001, A97, 'Form responses 1'!$A$2:$A1001, "&gt;=2024-01-01", 'Form responses 1'!$A$2:$A1001, "&lt;=2024-03-31"),
    COUNTIFS('Form responses 1'!$E$2:$E1001, A97, 'Form responses 1'!$A$2:$A1001, "&gt;=2024-01-01", 'Form responses 1'!$A$2:$A1001, "&lt;=2024-03-31"),
    COUNTIFS('Form responses 1'!$F$2:$F1001, A97, 'Form responses 1'!$A$2:$A1001, "&gt;=2024-01-01", 'Form responses 1'!$A$2:$A1001, "&lt;=2024-03-31"),
    COUNTIFS('Form responses 1'!$G$2:$G1001, A97, 'Form responses 1'!$A$2:$A1001, "&gt;=2024-01-01", 'Form responses 1'!$A$2:$A1001, "&lt;=2024-03-31")
)
</f>
        <v>0</v>
      </c>
      <c r="J97" s="2">
        <f>SUM(
    COUNTIFS('Form responses 1'!$C$2:$C1001, A97, 'Form responses 1'!$A$2:$A1001, "&gt;=2024-04-01", 'Form responses 1'!$A$2:$A1001, "&lt;=2024-06-30"),
    COUNTIFS('Form responses 1'!$B$2:$B1001, A97, 'Form responses 1'!$A$2:$A1001, "&gt;=2024-04-01", 'Form responses 1'!$A$2:$A1001, "&lt;=2024-06-30"),
    COUNTIFS('Form responses 1'!$D$2:$D1001, A97, 'Form responses 1'!$A$2:$A1001, "&gt;=2024-04-01", 'Form responses 1'!$A$2:$A1001, "&lt;=2024-06-30"),
    COUNTIFS('Form responses 1'!$E$2:$E1001, A97, 'Form responses 1'!$A$2:$A1001, "&gt;=2024-04-01", 'Form responses 1'!$A$2:$A1001, "&lt;=2024-06-30"),
    COUNTIFS('Form responses 1'!$F$2:$F1001, A97, 'Form responses 1'!$A$2:$A1001, "&gt;=2024-04-01", 'Form responses 1'!$A$2:$A1001, "&lt;=2024-06-30"),
    COUNTIFS('Form responses 1'!$G$2:$G1001, A97, 'Form responses 1'!$A$2:$A1001, "&gt;=2024-04-01", 'Form responses 1'!$A$2:$A1001, "&lt;=2024-06-30")
)
</f>
        <v>0</v>
      </c>
      <c r="K97" s="2">
        <f>SUM(
    COUNTIFS('Form responses 1'!$C$2:$C1001, A97, 'Form responses 1'!$A$2:$A1001, "&gt;=2024-07-01", 'Form responses 1'!$A$2:$A1001, "&lt;=2024-09-30"),
    COUNTIFS('Form responses 1'!$B$2:$B1001, A97, 'Form responses 1'!$A$2:$A1001, "&gt;=2024-07-01", 'Form responses 1'!$A$2:$A1001, "&lt;=2024-09-30"),
    COUNTIFS('Form responses 1'!$D$2:$D1001, A97, 'Form responses 1'!$A$2:$A1001, "&gt;=2024-07-01", 'Form responses 1'!$A$2:$A1001, "&lt;=2024-09-30"),
    COUNTIFS('Form responses 1'!$E$2:$E1001, A97, 'Form responses 1'!$A$2:$A1001, "&gt;=2024-07-01", 'Form responses 1'!$A$2:$A1001, "&lt;=2024-09-30"),
    COUNTIFS('Form responses 1'!$F$2:$F1001, A97, 'Form responses 1'!$A$2:$A1001, "&gt;=2024-07-01", 'Form responses 1'!$A$2:$A1001, "&lt;=2024-09-30"),
    COUNTIFS('Form responses 1'!$G$2:$G1001, A97, 'Form responses 1'!$A$2:$A1001, "&gt;=2024-07-01", 'Form responses 1'!$A$2:$A1001, "&lt;=2024-09-30")
)
</f>
        <v>0</v>
      </c>
      <c r="L97" s="2">
        <f>SUM(
    COUNTIFS('Form responses 1'!$C$2:$C1001, A97, 'Form responses 1'!$A$2:$A1001, "&gt;=2024-10-01", 'Form responses 1'!$A$2:$A1001, "&lt;=2024-12-31"),
    COUNTIFS('Form responses 1'!$B$2:$B1001, A97, 'Form responses 1'!$A$2:$A1001, "&gt;=2024-10-01", 'Form responses 1'!$A$2:$A1001, "&lt;=2024-12-31"),
    COUNTIFS('Form responses 1'!$D$2:$D1001, A97, 'Form responses 1'!$A$2:$A1001, "&gt;=2024-10-01", 'Form responses 1'!$A$2:$A1001, "&lt;=2024-12-31"),
    COUNTIFS('Form responses 1'!$E$2:$E1001, A97, 'Form responses 1'!$A$2:$A1001, "&gt;=2024-10-01", 'Form responses 1'!$A$2:$A1001, "&lt;=2024-12-31"),
    COUNTIFS('Form responses 1'!$F$2:$F1001, A97, 'Form responses 1'!$A$2:$A1001, "&gt;=2024-10-01", 'Form responses 1'!$A$2:$A1001, "&lt;=2024-12-31"),
    COUNTIFS('Form responses 1'!$G$2:$G1001, A97, 'Form responses 1'!$A$2:$A1001, "&gt;=2024-10-01", 'Form responses 1'!$A$2:$A1001, "&lt;=2024-12-31")
)
</f>
        <v>0</v>
      </c>
      <c r="M97" s="2">
        <f>SUM(
    COUNTIFS('Form responses 1'!$C$2:$C1001, A97, 'Form responses 1'!$A$2:$A1001, "&gt;=2025-01-01", 'Form responses 1'!$A$2:$A1001, "&lt;=2025-03-31"),
    COUNTIFS('Form responses 1'!$B$2:$B1001, A97, 'Form responses 1'!$A$2:$A1001, "&gt;=2025-01-01", 'Form responses 1'!$A$2:$A1001, "&lt;=2025-03-31"),
    COUNTIFS('Form responses 1'!$D$2:$D1001, A97, 'Form responses 1'!$A$2:$A1001, "&gt;=2025-01-01", 'Form responses 1'!$A$2:$A1001, "&lt;=2025-03-31"),
    COUNTIFS('Form responses 1'!$E$2:$E1001, A97, 'Form responses 1'!$A$2:$A1001, "&gt;=2025-01-01", 'Form responses 1'!$A$2:$A1001, "&lt;=2025-03-31"),
    COUNTIFS('Form responses 1'!$F$2:$F1001, A97, 'Form responses 1'!$A$2:$A1001, "&gt;=2025-01-01", 'Form responses 1'!$A$2:$A1001, "&lt;=2025-03-31"),
    COUNTIFS('Form responses 1'!$G$2:$G1001, A97, 'Form responses 1'!$A$2:$A1001, "&gt;=2025-01-01", 'Form responses 1'!$A$2:$A1001, "&lt;=2025-03-31")
)
</f>
        <v>0</v>
      </c>
      <c r="N97" s="2">
        <f>SUM(
    COUNTIFS('Form responses 1'!$C$2:$C1001, A97, 'Form responses 1'!$A$2:$A1001, "&gt;=2025-04-01", 'Form responses 1'!$A$2:$A1001, "&lt;2025-07-01"),
    COUNTIFS('Form responses 1'!$B$2:$B1001, A97, 'Form responses 1'!$A$2:$A1001, "&gt;=2025-04-01", 'Form responses 1'!$A$2:$A1001, "&lt;2025-07-01"),
    COUNTIFS('Form responses 1'!$D$2:$D1001, A97, 'Form responses 1'!$A$2:$A1001, "&gt;=2025-04-01", 'Form responses 1'!$A$2:$A1001, "&lt;2025-07-01"),
    COUNTIFS('Form responses 1'!$E$2:$E1001, A97, 'Form responses 1'!$A$2:$A1001, "&gt;=2025-04-01", 'Form responses 1'!$A$2:$A1001, "&lt;2025-07-01"),
    COUNTIFS('Form responses 1'!$F$2:$F1001, A97, 'Form responses 1'!$A$2:$A1001, "&gt;=2025-04-01", 'Form responses 1'!$A$2:$A1001, "&lt;2025-07-01"),
    COUNTIFS('Form responses 1'!$G$2:$G1001, A97, 'Form responses 1'!$A$2:$A1001, "&gt;=2025-04-01", 'Form responses 1'!$A$2:$A1001, "&lt;2025-07-01")
)
</f>
        <v>0</v>
      </c>
      <c r="O97" s="2">
        <f>SUM(
    COUNTIFS('Form responses 1'!$C$2:$C1001, A97, 'Form responses 1'!$A$2:$A1001, "&gt;=2025-07-01", 'Form responses 1'!$A$2:$A1001, "&lt;=2025-09-30"),
    COUNTIFS('Form responses 1'!$B$2:$B1001, A97, 'Form responses 1'!$A$2:$A1001, "&gt;=2025-07-01", 'Form responses 1'!$A$2:$A1001, "&lt;=2025-09-30"),
    COUNTIFS('Form responses 1'!$D$2:$D1001, A97, 'Form responses 1'!$A$2:$A1001, "&gt;=2025-07-01", 'Form responses 1'!$A$2:$A1001, "&lt;=2025-09-30"),
    COUNTIFS('Form responses 1'!$E$2:$E1001, A97, 'Form responses 1'!$A$2:$A1001, "&gt;=2025-07-01", 'Form responses 1'!$A$2:$A1001, "&lt;=2025-09-30"),
    COUNTIFS('Form responses 1'!$F$2:$F1001, A97, 'Form responses 1'!$A$2:$A1001, "&gt;=2025-07-01", 'Form responses 1'!$A$2:$A1001, "&lt;=2025-09-30"),
    COUNTIFS('Form responses 1'!$G$2:$G1001, A97, 'Form responses 1'!$A$2:$A1001, "&gt;=2025-07-01", 'Form responses 1'!$A$2:$A1001, "&lt;=2025-09-30")
)
</f>
        <v>8</v>
      </c>
      <c r="P97" s="2">
        <f>SUM(
    COUNTIFS('Form responses 1'!$C$2:$C1001, A97, 'Form responses 1'!$A$2:$A1001, "&gt;=2025-10-01", 'Form responses 1'!$A$2:$A1001, "&lt;=2025-12-31"),
    COUNTIFS('Form responses 1'!$B$2:$B1001, A97, 'Form responses 1'!$A$2:$A1001, "&gt;=2025-10-01", 'Form responses 1'!$A$2:$A1001, "&lt;=2025-12-31"),
    COUNTIFS('Form responses 1'!$D$2:$D1001, A97, 'Form responses 1'!$A$2:$A1001, "&gt;=2025-10-01", 'Form responses 1'!$A$2:$A1001, "&lt;=2025-12-31"),
    COUNTIFS('Form responses 1'!$E$2:$E1001, A97, 'Form responses 1'!$A$2:$A1001, "&gt;=2025-10-01", 'Form responses 1'!$A$2:$A1001, "&lt;=2025-12-31"),
    COUNTIFS('Form responses 1'!$F$2:$F1001, A97, 'Form responses 1'!$A$2:$A1001, "&gt;=2025-10-01", 'Form responses 1'!$A$2:$A1001, "&lt;=2025-12-31"),
    COUNTIFS('Form responses 1'!$G$2:$G1001, A97, 'Form responses 1'!$A$2:$A1001, "&gt;=2025-10-01", 'Form responses 1'!$A$2:$A1001, "&lt;=2025-12-31")
)
</f>
        <v>0</v>
      </c>
    </row>
    <row r="98">
      <c r="A98" s="3" t="str">
        <f>IFERROR(__xludf.DUMMYFUNCTION("""COMPUTED_VALUE"""),"Decathlon zwemshirt")</f>
        <v>Decathlon zwemshirt</v>
      </c>
      <c r="B98" s="2">
        <f>SUM(
    COUNTIFS('Form responses 1'!$C$2:$C1001, A98, 'Form responses 1'!$A$2:$A1001, "&gt;=2022-04-01", 'Form responses 1'!$A$2:$A1001, "&lt;=2022-06-30"),
    COUNTIFS('Form responses 1'!$B$2:$B1001, A98, 'Form responses 1'!$A$2:$A1001, "&gt;=2022-04-01", 'Form responses 1'!$A$2:$A1001, "&lt;=2022-06-30"),
    COUNTIFS('Form responses 1'!$D$2:$D1001, A98, 'Form responses 1'!$A$2:$A1001, "&gt;=2022-04-01", 'Form responses 1'!$A$2:$A1001, "&lt;=2022-06-30"),
    COUNTIFS('Form responses 1'!$E$2:$E1001, A98, 'Form responses 1'!$A$2:$A1001, "&gt;=2022-04-01", 'Form responses 1'!$A$2:$A1001, "&lt;=2022-06-30"),
    COUNTIFS('Form responses 1'!$F$2:$F1001, A98, 'Form responses 1'!$A$2:$A1001, "&gt;=2022-04-01", 'Form responses 1'!$A$2:$A1001, "&lt;=2022-06-30"),
    COUNTIFS('Form responses 1'!$G$2:$G1001, A98, 'Form responses 1'!$A$2:$A1001, "&gt;=2022-04-01", 'Form responses 1'!$A$2:$A1001, "&lt;=2022-06-30")
)
</f>
        <v>0</v>
      </c>
      <c r="C98" s="2">
        <f>SUM(
    COUNTIFS('Form responses 1'!$C$2:$C1001, A98, 'Form responses 1'!$A$2:$A1001, "&gt;=2022-07-01", 'Form responses 1'!$A$2:$A1001, "&lt;=2022-09-30"),
    COUNTIFS('Form responses 1'!$B$2:$B1001, A98, 'Form responses 1'!$A$2:$A1001, "&gt;=2022-07-01", 'Form responses 1'!$A$2:$A1001, "&lt;=2022-09-30"),
    COUNTIFS('Form responses 1'!$D$2:$D1001, A98, 'Form responses 1'!$A$2:$A1001, "&gt;=2022-07-01", 'Form responses 1'!$A$2:$A1001, "&lt;=2022-09-30"),
    COUNTIFS('Form responses 1'!$E$2:$E1001, A98, 'Form responses 1'!$A$2:$A1001, "&gt;=2022-07-01", 'Form responses 1'!$A$2:$A1001, "&lt;=2022-09-30"),
    COUNTIFS('Form responses 1'!$F$2:$F1001, A98, 'Form responses 1'!$A$2:$A1001, "&gt;=2022-07-01", 'Form responses 1'!$A$2:$A1001, "&lt;=2022-09-30"),
    COUNTIFS('Form responses 1'!$G$2:$G1001, A98, 'Form responses 1'!$A$2:$A1001, "&gt;=2022-07-01", 'Form responses 1'!$A$2:$A1001, "&lt;=2022-09-30")
)
</f>
        <v>0</v>
      </c>
      <c r="D98" s="2">
        <f>SUM(
    COUNTIFS('Form responses 1'!$C$2:$C1001, A98, 'Form responses 1'!$A$2:$A1001, "&gt;=2022-10-01", 'Form responses 1'!$A$2:$A1001, "&lt;=2022-12-31"),
    COUNTIFS('Form responses 1'!$B$2:$B1001, A98, 'Form responses 1'!$A$2:$A1001, "&gt;=2022-10-01", 'Form responses 1'!$A$2:$A1001, "&lt;=2022-12-31"),
    COUNTIFS('Form responses 1'!$D$2:$D1001, A98, 'Form responses 1'!$A$2:$A1001, "&gt;=2022-10-01", 'Form responses 1'!$A$2:$A1001, "&lt;=2022-12-31"),
    COUNTIFS('Form responses 1'!$E$2:$E1001, A98, 'Form responses 1'!$A$2:$A1001, "&gt;=2022-10-01", 'Form responses 1'!$A$2:$A1001, "&lt;=2022-12-31"),
    COUNTIFS('Form responses 1'!$F$2:$F1001, A98, 'Form responses 1'!$A$2:$A1001, "&gt;=2022-10-01", 'Form responses 1'!$A$2:$A1001, "&lt;=2022-12-31"),
    COUNTIFS('Form responses 1'!$G$2:$G1001, A98, 'Form responses 1'!$A$2:$A1001, "&gt;=2022-10-01", 'Form responses 1'!$A$2:$A1001, "&lt;=2022-12-31")
)
</f>
        <v>0</v>
      </c>
      <c r="E98" s="2">
        <f>SUM(
    COUNTIFS('Form responses 1'!$C$2:$C1001, A98, 'Form responses 1'!$A$2:$A1001, "&gt;=2023-01-01", 'Form responses 1'!$A$2:$A1001, "&lt;=2023-03-31"),
    COUNTIFS('Form responses 1'!$B$2:$B1001, A98, 'Form responses 1'!$A$2:$A1001, "&gt;=2023-01-01", 'Form responses 1'!$A$2:$A1001, "&lt;=2023-03-31"),
    COUNTIFS('Form responses 1'!$D$2:$D1001, A98, 'Form responses 1'!$A$2:$A1001, "&gt;=2023-01-01", 'Form responses 1'!$A$2:$A1001, "&lt;=2023-03-31"),
    COUNTIFS('Form responses 1'!$E$2:$E1001, A98, 'Form responses 1'!$A$2:$A1001, "&gt;=2023-01-01", 'Form responses 1'!$A$2:$A1001, "&lt;=2023-03-31"),
    COUNTIFS('Form responses 1'!$F$2:$F1001, A98, 'Form responses 1'!$A$2:$A1001, "&gt;=2023-01-01", 'Form responses 1'!$A$2:$A1001, "&lt;=2023-03-31"),
    COUNTIFS('Form responses 1'!$G$2:$G1001, A98, 'Form responses 1'!$A$2:$A1001, "&gt;=2023-01-01", 'Form responses 1'!$A$2:$A1001, "&lt;=2023-03-31")
)
</f>
        <v>0</v>
      </c>
      <c r="F98" s="2">
        <f>SUM(
    COUNTIFS('Form responses 1'!$C$2:$C1001, A98, 'Form responses 1'!$A$2:$A1001, "&gt;=2023-04-01", 'Form responses 1'!$A$2:$A1001, "&lt;=2023-06-30"),
    COUNTIFS('Form responses 1'!$B$2:$B1001, A98, 'Form responses 1'!$A$2:$A1001, "&gt;=2023-04-01", 'Form responses 1'!$A$2:$A1001, "&lt;=2023-06-30"),
    COUNTIFS('Form responses 1'!$D$2:$D1001, A98, 'Form responses 1'!$A$2:$A1001, "&gt;=2023-04-01", 'Form responses 1'!$A$2:$A1001, "&lt;=2023-06-30"),
    COUNTIFS('Form responses 1'!$E$2:$E1001, A98, 'Form responses 1'!$A$2:$A1001, "&gt;=2023-04-01", 'Form responses 1'!$A$2:$A1001, "&lt;=2023-06-30"),
    COUNTIFS('Form responses 1'!$F$2:$F1001, A98, 'Form responses 1'!$A$2:$A1001, "&gt;=2023-04-01", 'Form responses 1'!$A$2:$A1001, "&lt;=2023-06-30"),
    COUNTIFS('Form responses 1'!$G$2:$G1001, A98, 'Form responses 1'!$A$2:$A1001, "&gt;=2023-04-01", 'Form responses 1'!$A$2:$A1001, "&lt;=2023-06-30")
)
</f>
        <v>0</v>
      </c>
      <c r="G98" s="2">
        <f>SUM(
    COUNTIFS('Form responses 1'!$C$2:$C1001, A98, 'Form responses 1'!$A$2:$A1001, "&gt;=2023-07-01", 'Form responses 1'!$A$2:$A1001, "&lt;=2023-09-30"),
    COUNTIFS('Form responses 1'!$B$2:$B1001, A98, 'Form responses 1'!$A$2:$A1001, "&gt;=2023-07-01", 'Form responses 1'!$A$2:$A1001, "&lt;=2023-09-30"),
    COUNTIFS('Form responses 1'!$D$2:$D1001, A98, 'Form responses 1'!$A$2:$A1001, "&gt;=2023-07-01", 'Form responses 1'!$A$2:$A1001, "&lt;=2023-09-30"),
    COUNTIFS('Form responses 1'!$E$2:$E1001, A98, 'Form responses 1'!$A$2:$A1001, "&gt;=2023-07-01", 'Form responses 1'!$A$2:$A1001, "&lt;=2023-09-30"),
    COUNTIFS('Form responses 1'!$F$2:$F1001, A98, 'Form responses 1'!$A$2:$A1001, "&gt;=2023-07-01", 'Form responses 1'!$A$2:$A1001, "&lt;=2023-09-30"),
    COUNTIFS('Form responses 1'!$G$2:$G1001, A98, 'Form responses 1'!$A$2:$A1001, "&gt;=2023-07-01", 'Form responses 1'!$A$2:$A1001, "&lt;=2023-09-30")
)
</f>
        <v>0</v>
      </c>
      <c r="H98" s="2">
        <f>SUM(
    COUNTIFS('Form responses 1'!$C$2:$C1001, A98, 'Form responses 1'!$A$2:$A1001, "&gt;=2023-10-01", 'Form responses 1'!$A$2:$A1001, "&lt;=2023-12-31"),
    COUNTIFS('Form responses 1'!$B$2:$B1001, A98, 'Form responses 1'!$A$2:$A1001, "&gt;=2023-10-01", 'Form responses 1'!$A$2:$A1001, "&lt;=2023-12-31"),
    COUNTIFS('Form responses 1'!$D$2:$D1001, A98, 'Form responses 1'!$A$2:$A1001, "&gt;=2023-10-01", 'Form responses 1'!$A$2:$A1001, "&lt;=2023-12-31"),
    COUNTIFS('Form responses 1'!$E$2:$E1001, A98, 'Form responses 1'!$A$2:$A1001, "&gt;=2023-10-01", 'Form responses 1'!$A$2:$A1001, "&lt;=2023-12-31"),
    COUNTIFS('Form responses 1'!$F$2:$F1001, A98, 'Form responses 1'!$A$2:$A1001, "&gt;=2023-10-01", 'Form responses 1'!$A$2:$A1001, "&lt;=2023-12-31"),
    COUNTIFS('Form responses 1'!$G$2:$G1001, A98, 'Form responses 1'!$A$2:$A1001, "&gt;=2023-10-01", 'Form responses 1'!$A$2:$A1001, "&lt;=2023-12-31")
)
</f>
        <v>0</v>
      </c>
      <c r="I98" s="2">
        <f>SUM(
    COUNTIFS('Form responses 1'!$C$2:$C1001, A98, 'Form responses 1'!$A$2:$A1001, "&gt;=2024-01-01", 'Form responses 1'!$A$2:$A1001, "&lt;=2024-03-31"),
    COUNTIFS('Form responses 1'!$B$2:$B1001, A98, 'Form responses 1'!$A$2:$A1001, "&gt;=2024-01-01", 'Form responses 1'!$A$2:$A1001, "&lt;=2024-03-31"),
    COUNTIFS('Form responses 1'!$D$2:$D1001, A98, 'Form responses 1'!$A$2:$A1001, "&gt;=2024-01-01", 'Form responses 1'!$A$2:$A1001, "&lt;=2024-03-31"),
    COUNTIFS('Form responses 1'!$E$2:$E1001, A98, 'Form responses 1'!$A$2:$A1001, "&gt;=2024-01-01", 'Form responses 1'!$A$2:$A1001, "&lt;=2024-03-31"),
    COUNTIFS('Form responses 1'!$F$2:$F1001, A98, 'Form responses 1'!$A$2:$A1001, "&gt;=2024-01-01", 'Form responses 1'!$A$2:$A1001, "&lt;=2024-03-31"),
    COUNTIFS('Form responses 1'!$G$2:$G1001, A98, 'Form responses 1'!$A$2:$A1001, "&gt;=2024-01-01", 'Form responses 1'!$A$2:$A1001, "&lt;=2024-03-31")
)
</f>
        <v>0</v>
      </c>
      <c r="J98" s="2">
        <f>SUM(
    COUNTIFS('Form responses 1'!$C$2:$C1001, A98, 'Form responses 1'!$A$2:$A1001, "&gt;=2024-04-01", 'Form responses 1'!$A$2:$A1001, "&lt;=2024-06-30"),
    COUNTIFS('Form responses 1'!$B$2:$B1001, A98, 'Form responses 1'!$A$2:$A1001, "&gt;=2024-04-01", 'Form responses 1'!$A$2:$A1001, "&lt;=2024-06-30"),
    COUNTIFS('Form responses 1'!$D$2:$D1001, A98, 'Form responses 1'!$A$2:$A1001, "&gt;=2024-04-01", 'Form responses 1'!$A$2:$A1001, "&lt;=2024-06-30"),
    COUNTIFS('Form responses 1'!$E$2:$E1001, A98, 'Form responses 1'!$A$2:$A1001, "&gt;=2024-04-01", 'Form responses 1'!$A$2:$A1001, "&lt;=2024-06-30"),
    COUNTIFS('Form responses 1'!$F$2:$F1001, A98, 'Form responses 1'!$A$2:$A1001, "&gt;=2024-04-01", 'Form responses 1'!$A$2:$A1001, "&lt;=2024-06-30"),
    COUNTIFS('Form responses 1'!$G$2:$G1001, A98, 'Form responses 1'!$A$2:$A1001, "&gt;=2024-04-01", 'Form responses 1'!$A$2:$A1001, "&lt;=2024-06-30")
)
</f>
        <v>0</v>
      </c>
      <c r="K98" s="2">
        <f>SUM(
    COUNTIFS('Form responses 1'!$C$2:$C1001, A98, 'Form responses 1'!$A$2:$A1001, "&gt;=2024-07-01", 'Form responses 1'!$A$2:$A1001, "&lt;=2024-09-30"),
    COUNTIFS('Form responses 1'!$B$2:$B1001, A98, 'Form responses 1'!$A$2:$A1001, "&gt;=2024-07-01", 'Form responses 1'!$A$2:$A1001, "&lt;=2024-09-30"),
    COUNTIFS('Form responses 1'!$D$2:$D1001, A98, 'Form responses 1'!$A$2:$A1001, "&gt;=2024-07-01", 'Form responses 1'!$A$2:$A1001, "&lt;=2024-09-30"),
    COUNTIFS('Form responses 1'!$E$2:$E1001, A98, 'Form responses 1'!$A$2:$A1001, "&gt;=2024-07-01", 'Form responses 1'!$A$2:$A1001, "&lt;=2024-09-30"),
    COUNTIFS('Form responses 1'!$F$2:$F1001, A98, 'Form responses 1'!$A$2:$A1001, "&gt;=2024-07-01", 'Form responses 1'!$A$2:$A1001, "&lt;=2024-09-30"),
    COUNTIFS('Form responses 1'!$G$2:$G1001, A98, 'Form responses 1'!$A$2:$A1001, "&gt;=2024-07-01", 'Form responses 1'!$A$2:$A1001, "&lt;=2024-09-30")
)
</f>
        <v>0</v>
      </c>
      <c r="L98" s="2">
        <f>SUM(
    COUNTIFS('Form responses 1'!$C$2:$C1001, A98, 'Form responses 1'!$A$2:$A1001, "&gt;=2024-10-01", 'Form responses 1'!$A$2:$A1001, "&lt;=2024-12-31"),
    COUNTIFS('Form responses 1'!$B$2:$B1001, A98, 'Form responses 1'!$A$2:$A1001, "&gt;=2024-10-01", 'Form responses 1'!$A$2:$A1001, "&lt;=2024-12-31"),
    COUNTIFS('Form responses 1'!$D$2:$D1001, A98, 'Form responses 1'!$A$2:$A1001, "&gt;=2024-10-01", 'Form responses 1'!$A$2:$A1001, "&lt;=2024-12-31"),
    COUNTIFS('Form responses 1'!$E$2:$E1001, A98, 'Form responses 1'!$A$2:$A1001, "&gt;=2024-10-01", 'Form responses 1'!$A$2:$A1001, "&lt;=2024-12-31"),
    COUNTIFS('Form responses 1'!$F$2:$F1001, A98, 'Form responses 1'!$A$2:$A1001, "&gt;=2024-10-01", 'Form responses 1'!$A$2:$A1001, "&lt;=2024-12-31"),
    COUNTIFS('Form responses 1'!$G$2:$G1001, A98, 'Form responses 1'!$A$2:$A1001, "&gt;=2024-10-01", 'Form responses 1'!$A$2:$A1001, "&lt;=2024-12-31")
)
</f>
        <v>0</v>
      </c>
      <c r="M98" s="2">
        <f>SUM(
    COUNTIFS('Form responses 1'!$C$2:$C1001, A98, 'Form responses 1'!$A$2:$A1001, "&gt;=2025-01-01", 'Form responses 1'!$A$2:$A1001, "&lt;=2025-03-31"),
    COUNTIFS('Form responses 1'!$B$2:$B1001, A98, 'Form responses 1'!$A$2:$A1001, "&gt;=2025-01-01", 'Form responses 1'!$A$2:$A1001, "&lt;=2025-03-31"),
    COUNTIFS('Form responses 1'!$D$2:$D1001, A98, 'Form responses 1'!$A$2:$A1001, "&gt;=2025-01-01", 'Form responses 1'!$A$2:$A1001, "&lt;=2025-03-31"),
    COUNTIFS('Form responses 1'!$E$2:$E1001, A98, 'Form responses 1'!$A$2:$A1001, "&gt;=2025-01-01", 'Form responses 1'!$A$2:$A1001, "&lt;=2025-03-31"),
    COUNTIFS('Form responses 1'!$F$2:$F1001, A98, 'Form responses 1'!$A$2:$A1001, "&gt;=2025-01-01", 'Form responses 1'!$A$2:$A1001, "&lt;=2025-03-31"),
    COUNTIFS('Form responses 1'!$G$2:$G1001, A98, 'Form responses 1'!$A$2:$A1001, "&gt;=2025-01-01", 'Form responses 1'!$A$2:$A1001, "&lt;=2025-03-31")
)
</f>
        <v>0</v>
      </c>
      <c r="N98" s="2">
        <f>SUM(
    COUNTIFS('Form responses 1'!$C$2:$C1001, A98, 'Form responses 1'!$A$2:$A1001, "&gt;=2025-04-01", 'Form responses 1'!$A$2:$A1001, "&lt;2025-07-01"),
    COUNTIFS('Form responses 1'!$B$2:$B1001, A98, 'Form responses 1'!$A$2:$A1001, "&gt;=2025-04-01", 'Form responses 1'!$A$2:$A1001, "&lt;2025-07-01"),
    COUNTIFS('Form responses 1'!$D$2:$D1001, A98, 'Form responses 1'!$A$2:$A1001, "&gt;=2025-04-01", 'Form responses 1'!$A$2:$A1001, "&lt;2025-07-01"),
    COUNTIFS('Form responses 1'!$E$2:$E1001, A98, 'Form responses 1'!$A$2:$A1001, "&gt;=2025-04-01", 'Form responses 1'!$A$2:$A1001, "&lt;2025-07-01"),
    COUNTIFS('Form responses 1'!$F$2:$F1001, A98, 'Form responses 1'!$A$2:$A1001, "&gt;=2025-04-01", 'Form responses 1'!$A$2:$A1001, "&lt;2025-07-01"),
    COUNTIFS('Form responses 1'!$G$2:$G1001, A98, 'Form responses 1'!$A$2:$A1001, "&gt;=2025-04-01", 'Form responses 1'!$A$2:$A1001, "&lt;2025-07-01")
)
</f>
        <v>0</v>
      </c>
      <c r="O98" s="2">
        <f>SUM(
    COUNTIFS('Form responses 1'!$C$2:$C1001, A98, 'Form responses 1'!$A$2:$A1001, "&gt;=2025-07-01", 'Form responses 1'!$A$2:$A1001, "&lt;=2025-09-30"),
    COUNTIFS('Form responses 1'!$B$2:$B1001, A98, 'Form responses 1'!$A$2:$A1001, "&gt;=2025-07-01", 'Form responses 1'!$A$2:$A1001, "&lt;=2025-09-30"),
    COUNTIFS('Form responses 1'!$D$2:$D1001, A98, 'Form responses 1'!$A$2:$A1001, "&gt;=2025-07-01", 'Form responses 1'!$A$2:$A1001, "&lt;=2025-09-30"),
    COUNTIFS('Form responses 1'!$E$2:$E1001, A98, 'Form responses 1'!$A$2:$A1001, "&gt;=2025-07-01", 'Form responses 1'!$A$2:$A1001, "&lt;=2025-09-30"),
    COUNTIFS('Form responses 1'!$F$2:$F1001, A98, 'Form responses 1'!$A$2:$A1001, "&gt;=2025-07-01", 'Form responses 1'!$A$2:$A1001, "&lt;=2025-09-30"),
    COUNTIFS('Form responses 1'!$G$2:$G1001, A98, 'Form responses 1'!$A$2:$A1001, "&gt;=2025-07-01", 'Form responses 1'!$A$2:$A1001, "&lt;=2025-09-30")
)
</f>
        <v>2</v>
      </c>
      <c r="P98" s="2">
        <f>SUM(
    COUNTIFS('Form responses 1'!$C$2:$C1001, A98, 'Form responses 1'!$A$2:$A1001, "&gt;=2025-10-01", 'Form responses 1'!$A$2:$A1001, "&lt;=2025-12-31"),
    COUNTIFS('Form responses 1'!$B$2:$B1001, A98, 'Form responses 1'!$A$2:$A1001, "&gt;=2025-10-01", 'Form responses 1'!$A$2:$A1001, "&lt;=2025-12-31"),
    COUNTIFS('Form responses 1'!$D$2:$D1001, A98, 'Form responses 1'!$A$2:$A1001, "&gt;=2025-10-01", 'Form responses 1'!$A$2:$A1001, "&lt;=2025-12-31"),
    COUNTIFS('Form responses 1'!$E$2:$E1001, A98, 'Form responses 1'!$A$2:$A1001, "&gt;=2025-10-01", 'Form responses 1'!$A$2:$A1001, "&lt;=2025-12-31"),
    COUNTIFS('Form responses 1'!$F$2:$F1001, A98, 'Form responses 1'!$A$2:$A1001, "&gt;=2025-10-01", 'Form responses 1'!$A$2:$A1001, "&lt;=2025-12-31"),
    COUNTIFS('Form responses 1'!$G$2:$G1001, A98, 'Form responses 1'!$A$2:$A1001, "&gt;=2025-10-01", 'Form responses 1'!$A$2:$A1001, "&lt;=2025-12-31")
)
</f>
        <v>0</v>
      </c>
    </row>
    <row r="99">
      <c r="A99" s="3" t="str">
        <f>IFERROR(__xludf.DUMMYFUNCTION("""COMPUTED_VALUE"""),"Decathlon Fitness short")</f>
        <v>Decathlon Fitness short</v>
      </c>
      <c r="B99" s="2">
        <f>SUM(
    COUNTIFS('Form responses 1'!$C$2:$C1001, A99, 'Form responses 1'!$A$2:$A1001, "&gt;=2022-04-01", 'Form responses 1'!$A$2:$A1001, "&lt;=2022-06-30"),
    COUNTIFS('Form responses 1'!$B$2:$B1001, A99, 'Form responses 1'!$A$2:$A1001, "&gt;=2022-04-01", 'Form responses 1'!$A$2:$A1001, "&lt;=2022-06-30"),
    COUNTIFS('Form responses 1'!$D$2:$D1001, A99, 'Form responses 1'!$A$2:$A1001, "&gt;=2022-04-01", 'Form responses 1'!$A$2:$A1001, "&lt;=2022-06-30"),
    COUNTIFS('Form responses 1'!$E$2:$E1001, A99, 'Form responses 1'!$A$2:$A1001, "&gt;=2022-04-01", 'Form responses 1'!$A$2:$A1001, "&lt;=2022-06-30"),
    COUNTIFS('Form responses 1'!$F$2:$F1001, A99, 'Form responses 1'!$A$2:$A1001, "&gt;=2022-04-01", 'Form responses 1'!$A$2:$A1001, "&lt;=2022-06-30"),
    COUNTIFS('Form responses 1'!$G$2:$G1001, A99, 'Form responses 1'!$A$2:$A1001, "&gt;=2022-04-01", 'Form responses 1'!$A$2:$A1001, "&lt;=2022-06-30")
)
</f>
        <v>0</v>
      </c>
      <c r="C99" s="2">
        <f>SUM(
    COUNTIFS('Form responses 1'!$C$2:$C1001, A99, 'Form responses 1'!$A$2:$A1001, "&gt;=2022-07-01", 'Form responses 1'!$A$2:$A1001, "&lt;=2022-09-30"),
    COUNTIFS('Form responses 1'!$B$2:$B1001, A99, 'Form responses 1'!$A$2:$A1001, "&gt;=2022-07-01", 'Form responses 1'!$A$2:$A1001, "&lt;=2022-09-30"),
    COUNTIFS('Form responses 1'!$D$2:$D1001, A99, 'Form responses 1'!$A$2:$A1001, "&gt;=2022-07-01", 'Form responses 1'!$A$2:$A1001, "&lt;=2022-09-30"),
    COUNTIFS('Form responses 1'!$E$2:$E1001, A99, 'Form responses 1'!$A$2:$A1001, "&gt;=2022-07-01", 'Form responses 1'!$A$2:$A1001, "&lt;=2022-09-30"),
    COUNTIFS('Form responses 1'!$F$2:$F1001, A99, 'Form responses 1'!$A$2:$A1001, "&gt;=2022-07-01", 'Form responses 1'!$A$2:$A1001, "&lt;=2022-09-30"),
    COUNTIFS('Form responses 1'!$G$2:$G1001, A99, 'Form responses 1'!$A$2:$A1001, "&gt;=2022-07-01", 'Form responses 1'!$A$2:$A1001, "&lt;=2022-09-30")
)
</f>
        <v>0</v>
      </c>
      <c r="D99" s="2">
        <f>SUM(
    COUNTIFS('Form responses 1'!$C$2:$C1001, A99, 'Form responses 1'!$A$2:$A1001, "&gt;=2022-10-01", 'Form responses 1'!$A$2:$A1001, "&lt;=2022-12-31"),
    COUNTIFS('Form responses 1'!$B$2:$B1001, A99, 'Form responses 1'!$A$2:$A1001, "&gt;=2022-10-01", 'Form responses 1'!$A$2:$A1001, "&lt;=2022-12-31"),
    COUNTIFS('Form responses 1'!$D$2:$D1001, A99, 'Form responses 1'!$A$2:$A1001, "&gt;=2022-10-01", 'Form responses 1'!$A$2:$A1001, "&lt;=2022-12-31"),
    COUNTIFS('Form responses 1'!$E$2:$E1001, A99, 'Form responses 1'!$A$2:$A1001, "&gt;=2022-10-01", 'Form responses 1'!$A$2:$A1001, "&lt;=2022-12-31"),
    COUNTIFS('Form responses 1'!$F$2:$F1001, A99, 'Form responses 1'!$A$2:$A1001, "&gt;=2022-10-01", 'Form responses 1'!$A$2:$A1001, "&lt;=2022-12-31"),
    COUNTIFS('Form responses 1'!$G$2:$G1001, A99, 'Form responses 1'!$A$2:$A1001, "&gt;=2022-10-01", 'Form responses 1'!$A$2:$A1001, "&lt;=2022-12-31")
)
</f>
        <v>0</v>
      </c>
      <c r="E99" s="2">
        <f>SUM(
    COUNTIFS('Form responses 1'!$C$2:$C1001, A99, 'Form responses 1'!$A$2:$A1001, "&gt;=2023-01-01", 'Form responses 1'!$A$2:$A1001, "&lt;=2023-03-31"),
    COUNTIFS('Form responses 1'!$B$2:$B1001, A99, 'Form responses 1'!$A$2:$A1001, "&gt;=2023-01-01", 'Form responses 1'!$A$2:$A1001, "&lt;=2023-03-31"),
    COUNTIFS('Form responses 1'!$D$2:$D1001, A99, 'Form responses 1'!$A$2:$A1001, "&gt;=2023-01-01", 'Form responses 1'!$A$2:$A1001, "&lt;=2023-03-31"),
    COUNTIFS('Form responses 1'!$E$2:$E1001, A99, 'Form responses 1'!$A$2:$A1001, "&gt;=2023-01-01", 'Form responses 1'!$A$2:$A1001, "&lt;=2023-03-31"),
    COUNTIFS('Form responses 1'!$F$2:$F1001, A99, 'Form responses 1'!$A$2:$A1001, "&gt;=2023-01-01", 'Form responses 1'!$A$2:$A1001, "&lt;=2023-03-31"),
    COUNTIFS('Form responses 1'!$G$2:$G1001, A99, 'Form responses 1'!$A$2:$A1001, "&gt;=2023-01-01", 'Form responses 1'!$A$2:$A1001, "&lt;=2023-03-31")
)
</f>
        <v>0</v>
      </c>
      <c r="F99" s="2">
        <f>SUM(
    COUNTIFS('Form responses 1'!$C$2:$C1001, A99, 'Form responses 1'!$A$2:$A1001, "&gt;=2023-04-01", 'Form responses 1'!$A$2:$A1001, "&lt;=2023-06-30"),
    COUNTIFS('Form responses 1'!$B$2:$B1001, A99, 'Form responses 1'!$A$2:$A1001, "&gt;=2023-04-01", 'Form responses 1'!$A$2:$A1001, "&lt;=2023-06-30"),
    COUNTIFS('Form responses 1'!$D$2:$D1001, A99, 'Form responses 1'!$A$2:$A1001, "&gt;=2023-04-01", 'Form responses 1'!$A$2:$A1001, "&lt;=2023-06-30"),
    COUNTIFS('Form responses 1'!$E$2:$E1001, A99, 'Form responses 1'!$A$2:$A1001, "&gt;=2023-04-01", 'Form responses 1'!$A$2:$A1001, "&lt;=2023-06-30"),
    COUNTIFS('Form responses 1'!$F$2:$F1001, A99, 'Form responses 1'!$A$2:$A1001, "&gt;=2023-04-01", 'Form responses 1'!$A$2:$A1001, "&lt;=2023-06-30"),
    COUNTIFS('Form responses 1'!$G$2:$G1001, A99, 'Form responses 1'!$A$2:$A1001, "&gt;=2023-04-01", 'Form responses 1'!$A$2:$A1001, "&lt;=2023-06-30")
)
</f>
        <v>0</v>
      </c>
      <c r="G99" s="2">
        <f>SUM(
    COUNTIFS('Form responses 1'!$C$2:$C1001, A99, 'Form responses 1'!$A$2:$A1001, "&gt;=2023-07-01", 'Form responses 1'!$A$2:$A1001, "&lt;=2023-09-30"),
    COUNTIFS('Form responses 1'!$B$2:$B1001, A99, 'Form responses 1'!$A$2:$A1001, "&gt;=2023-07-01", 'Form responses 1'!$A$2:$A1001, "&lt;=2023-09-30"),
    COUNTIFS('Form responses 1'!$D$2:$D1001, A99, 'Form responses 1'!$A$2:$A1001, "&gt;=2023-07-01", 'Form responses 1'!$A$2:$A1001, "&lt;=2023-09-30"),
    COUNTIFS('Form responses 1'!$E$2:$E1001, A99, 'Form responses 1'!$A$2:$A1001, "&gt;=2023-07-01", 'Form responses 1'!$A$2:$A1001, "&lt;=2023-09-30"),
    COUNTIFS('Form responses 1'!$F$2:$F1001, A99, 'Form responses 1'!$A$2:$A1001, "&gt;=2023-07-01", 'Form responses 1'!$A$2:$A1001, "&lt;=2023-09-30"),
    COUNTIFS('Form responses 1'!$G$2:$G1001, A99, 'Form responses 1'!$A$2:$A1001, "&gt;=2023-07-01", 'Form responses 1'!$A$2:$A1001, "&lt;=2023-09-30")
)
</f>
        <v>0</v>
      </c>
      <c r="H99" s="2">
        <f>SUM(
    COUNTIFS('Form responses 1'!$C$2:$C1001, A99, 'Form responses 1'!$A$2:$A1001, "&gt;=2023-10-01", 'Form responses 1'!$A$2:$A1001, "&lt;=2023-12-31"),
    COUNTIFS('Form responses 1'!$B$2:$B1001, A99, 'Form responses 1'!$A$2:$A1001, "&gt;=2023-10-01", 'Form responses 1'!$A$2:$A1001, "&lt;=2023-12-31"),
    COUNTIFS('Form responses 1'!$D$2:$D1001, A99, 'Form responses 1'!$A$2:$A1001, "&gt;=2023-10-01", 'Form responses 1'!$A$2:$A1001, "&lt;=2023-12-31"),
    COUNTIFS('Form responses 1'!$E$2:$E1001, A99, 'Form responses 1'!$A$2:$A1001, "&gt;=2023-10-01", 'Form responses 1'!$A$2:$A1001, "&lt;=2023-12-31"),
    COUNTIFS('Form responses 1'!$F$2:$F1001, A99, 'Form responses 1'!$A$2:$A1001, "&gt;=2023-10-01", 'Form responses 1'!$A$2:$A1001, "&lt;=2023-12-31"),
    COUNTIFS('Form responses 1'!$G$2:$G1001, A99, 'Form responses 1'!$A$2:$A1001, "&gt;=2023-10-01", 'Form responses 1'!$A$2:$A1001, "&lt;=2023-12-31")
)
</f>
        <v>0</v>
      </c>
      <c r="I99" s="2">
        <f>SUM(
    COUNTIFS('Form responses 1'!$C$2:$C1001, A99, 'Form responses 1'!$A$2:$A1001, "&gt;=2024-01-01", 'Form responses 1'!$A$2:$A1001, "&lt;=2024-03-31"),
    COUNTIFS('Form responses 1'!$B$2:$B1001, A99, 'Form responses 1'!$A$2:$A1001, "&gt;=2024-01-01", 'Form responses 1'!$A$2:$A1001, "&lt;=2024-03-31"),
    COUNTIFS('Form responses 1'!$D$2:$D1001, A99, 'Form responses 1'!$A$2:$A1001, "&gt;=2024-01-01", 'Form responses 1'!$A$2:$A1001, "&lt;=2024-03-31"),
    COUNTIFS('Form responses 1'!$E$2:$E1001, A99, 'Form responses 1'!$A$2:$A1001, "&gt;=2024-01-01", 'Form responses 1'!$A$2:$A1001, "&lt;=2024-03-31"),
    COUNTIFS('Form responses 1'!$F$2:$F1001, A99, 'Form responses 1'!$A$2:$A1001, "&gt;=2024-01-01", 'Form responses 1'!$A$2:$A1001, "&lt;=2024-03-31"),
    COUNTIFS('Form responses 1'!$G$2:$G1001, A99, 'Form responses 1'!$A$2:$A1001, "&gt;=2024-01-01", 'Form responses 1'!$A$2:$A1001, "&lt;=2024-03-31")
)
</f>
        <v>0</v>
      </c>
      <c r="J99" s="2">
        <f>SUM(
    COUNTIFS('Form responses 1'!$C$2:$C1001, A99, 'Form responses 1'!$A$2:$A1001, "&gt;=2024-04-01", 'Form responses 1'!$A$2:$A1001, "&lt;=2024-06-30"),
    COUNTIFS('Form responses 1'!$B$2:$B1001, A99, 'Form responses 1'!$A$2:$A1001, "&gt;=2024-04-01", 'Form responses 1'!$A$2:$A1001, "&lt;=2024-06-30"),
    COUNTIFS('Form responses 1'!$D$2:$D1001, A99, 'Form responses 1'!$A$2:$A1001, "&gt;=2024-04-01", 'Form responses 1'!$A$2:$A1001, "&lt;=2024-06-30"),
    COUNTIFS('Form responses 1'!$E$2:$E1001, A99, 'Form responses 1'!$A$2:$A1001, "&gt;=2024-04-01", 'Form responses 1'!$A$2:$A1001, "&lt;=2024-06-30"),
    COUNTIFS('Form responses 1'!$F$2:$F1001, A99, 'Form responses 1'!$A$2:$A1001, "&gt;=2024-04-01", 'Form responses 1'!$A$2:$A1001, "&lt;=2024-06-30"),
    COUNTIFS('Form responses 1'!$G$2:$G1001, A99, 'Form responses 1'!$A$2:$A1001, "&gt;=2024-04-01", 'Form responses 1'!$A$2:$A1001, "&lt;=2024-06-30")
)
</f>
        <v>0</v>
      </c>
      <c r="K99" s="2">
        <f>SUM(
    COUNTIFS('Form responses 1'!$C$2:$C1001, A99, 'Form responses 1'!$A$2:$A1001, "&gt;=2024-07-01", 'Form responses 1'!$A$2:$A1001, "&lt;=2024-09-30"),
    COUNTIFS('Form responses 1'!$B$2:$B1001, A99, 'Form responses 1'!$A$2:$A1001, "&gt;=2024-07-01", 'Form responses 1'!$A$2:$A1001, "&lt;=2024-09-30"),
    COUNTIFS('Form responses 1'!$D$2:$D1001, A99, 'Form responses 1'!$A$2:$A1001, "&gt;=2024-07-01", 'Form responses 1'!$A$2:$A1001, "&lt;=2024-09-30"),
    COUNTIFS('Form responses 1'!$E$2:$E1001, A99, 'Form responses 1'!$A$2:$A1001, "&gt;=2024-07-01", 'Form responses 1'!$A$2:$A1001, "&lt;=2024-09-30"),
    COUNTIFS('Form responses 1'!$F$2:$F1001, A99, 'Form responses 1'!$A$2:$A1001, "&gt;=2024-07-01", 'Form responses 1'!$A$2:$A1001, "&lt;=2024-09-30"),
    COUNTIFS('Form responses 1'!$G$2:$G1001, A99, 'Form responses 1'!$A$2:$A1001, "&gt;=2024-07-01", 'Form responses 1'!$A$2:$A1001, "&lt;=2024-09-30")
)
</f>
        <v>0</v>
      </c>
      <c r="L99" s="2">
        <f>SUM(
    COUNTIFS('Form responses 1'!$C$2:$C1001, A99, 'Form responses 1'!$A$2:$A1001, "&gt;=2024-10-01", 'Form responses 1'!$A$2:$A1001, "&lt;=2024-12-31"),
    COUNTIFS('Form responses 1'!$B$2:$B1001, A99, 'Form responses 1'!$A$2:$A1001, "&gt;=2024-10-01", 'Form responses 1'!$A$2:$A1001, "&lt;=2024-12-31"),
    COUNTIFS('Form responses 1'!$D$2:$D1001, A99, 'Form responses 1'!$A$2:$A1001, "&gt;=2024-10-01", 'Form responses 1'!$A$2:$A1001, "&lt;=2024-12-31"),
    COUNTIFS('Form responses 1'!$E$2:$E1001, A99, 'Form responses 1'!$A$2:$A1001, "&gt;=2024-10-01", 'Form responses 1'!$A$2:$A1001, "&lt;=2024-12-31"),
    COUNTIFS('Form responses 1'!$F$2:$F1001, A99, 'Form responses 1'!$A$2:$A1001, "&gt;=2024-10-01", 'Form responses 1'!$A$2:$A1001, "&lt;=2024-12-31"),
    COUNTIFS('Form responses 1'!$G$2:$G1001, A99, 'Form responses 1'!$A$2:$A1001, "&gt;=2024-10-01", 'Form responses 1'!$A$2:$A1001, "&lt;=2024-12-31")
)
</f>
        <v>0</v>
      </c>
      <c r="M99" s="2">
        <f>SUM(
    COUNTIFS('Form responses 1'!$C$2:$C1001, A99, 'Form responses 1'!$A$2:$A1001, "&gt;=2025-01-01", 'Form responses 1'!$A$2:$A1001, "&lt;=2025-03-31"),
    COUNTIFS('Form responses 1'!$B$2:$B1001, A99, 'Form responses 1'!$A$2:$A1001, "&gt;=2025-01-01", 'Form responses 1'!$A$2:$A1001, "&lt;=2025-03-31"),
    COUNTIFS('Form responses 1'!$D$2:$D1001, A99, 'Form responses 1'!$A$2:$A1001, "&gt;=2025-01-01", 'Form responses 1'!$A$2:$A1001, "&lt;=2025-03-31"),
    COUNTIFS('Form responses 1'!$E$2:$E1001, A99, 'Form responses 1'!$A$2:$A1001, "&gt;=2025-01-01", 'Form responses 1'!$A$2:$A1001, "&lt;=2025-03-31"),
    COUNTIFS('Form responses 1'!$F$2:$F1001, A99, 'Form responses 1'!$A$2:$A1001, "&gt;=2025-01-01", 'Form responses 1'!$A$2:$A1001, "&lt;=2025-03-31"),
    COUNTIFS('Form responses 1'!$G$2:$G1001, A99, 'Form responses 1'!$A$2:$A1001, "&gt;=2025-01-01", 'Form responses 1'!$A$2:$A1001, "&lt;=2025-03-31")
)
</f>
        <v>0</v>
      </c>
      <c r="N99" s="2">
        <f>SUM(
    COUNTIFS('Form responses 1'!$C$2:$C1001, A99, 'Form responses 1'!$A$2:$A1001, "&gt;=2025-04-01", 'Form responses 1'!$A$2:$A1001, "&lt;2025-07-01"),
    COUNTIFS('Form responses 1'!$B$2:$B1001, A99, 'Form responses 1'!$A$2:$A1001, "&gt;=2025-04-01", 'Form responses 1'!$A$2:$A1001, "&lt;2025-07-01"),
    COUNTIFS('Form responses 1'!$D$2:$D1001, A99, 'Form responses 1'!$A$2:$A1001, "&gt;=2025-04-01", 'Form responses 1'!$A$2:$A1001, "&lt;2025-07-01"),
    COUNTIFS('Form responses 1'!$E$2:$E1001, A99, 'Form responses 1'!$A$2:$A1001, "&gt;=2025-04-01", 'Form responses 1'!$A$2:$A1001, "&lt;2025-07-01"),
    COUNTIFS('Form responses 1'!$F$2:$F1001, A99, 'Form responses 1'!$A$2:$A1001, "&gt;=2025-04-01", 'Form responses 1'!$A$2:$A1001, "&lt;2025-07-01"),
    COUNTIFS('Form responses 1'!$G$2:$G1001, A99, 'Form responses 1'!$A$2:$A1001, "&gt;=2025-04-01", 'Form responses 1'!$A$2:$A1001, "&lt;2025-07-01")
)
</f>
        <v>0</v>
      </c>
      <c r="O99" s="2">
        <f>SUM(
    COUNTIFS('Form responses 1'!$C$2:$C1001, A99, 'Form responses 1'!$A$2:$A1001, "&gt;=2025-07-01", 'Form responses 1'!$A$2:$A1001, "&lt;=2025-09-30"),
    COUNTIFS('Form responses 1'!$B$2:$B1001, A99, 'Form responses 1'!$A$2:$A1001, "&gt;=2025-07-01", 'Form responses 1'!$A$2:$A1001, "&lt;=2025-09-30"),
    COUNTIFS('Form responses 1'!$D$2:$D1001, A99, 'Form responses 1'!$A$2:$A1001, "&gt;=2025-07-01", 'Form responses 1'!$A$2:$A1001, "&lt;=2025-09-30"),
    COUNTIFS('Form responses 1'!$E$2:$E1001, A99, 'Form responses 1'!$A$2:$A1001, "&gt;=2025-07-01", 'Form responses 1'!$A$2:$A1001, "&lt;=2025-09-30"),
    COUNTIFS('Form responses 1'!$F$2:$F1001, A99, 'Form responses 1'!$A$2:$A1001, "&gt;=2025-07-01", 'Form responses 1'!$A$2:$A1001, "&lt;=2025-09-30"),
    COUNTIFS('Form responses 1'!$G$2:$G1001, A99, 'Form responses 1'!$A$2:$A1001, "&gt;=2025-07-01", 'Form responses 1'!$A$2:$A1001, "&lt;=2025-09-30")
)
</f>
        <v>50</v>
      </c>
      <c r="P99" s="2">
        <f>SUM(
    COUNTIFS('Form responses 1'!$C$2:$C1001, A99, 'Form responses 1'!$A$2:$A1001, "&gt;=2025-10-01", 'Form responses 1'!$A$2:$A1001, "&lt;=2025-12-31"),
    COUNTIFS('Form responses 1'!$B$2:$B1001, A99, 'Form responses 1'!$A$2:$A1001, "&gt;=2025-10-01", 'Form responses 1'!$A$2:$A1001, "&lt;=2025-12-31"),
    COUNTIFS('Form responses 1'!$D$2:$D1001, A99, 'Form responses 1'!$A$2:$A1001, "&gt;=2025-10-01", 'Form responses 1'!$A$2:$A1001, "&lt;=2025-12-31"),
    COUNTIFS('Form responses 1'!$E$2:$E1001, A99, 'Form responses 1'!$A$2:$A1001, "&gt;=2025-10-01", 'Form responses 1'!$A$2:$A1001, "&lt;=2025-12-31"),
    COUNTIFS('Form responses 1'!$F$2:$F1001, A99, 'Form responses 1'!$A$2:$A1001, "&gt;=2025-10-01", 'Form responses 1'!$A$2:$A1001, "&lt;=2025-12-31"),
    COUNTIFS('Form responses 1'!$G$2:$G1001, A99, 'Form responses 1'!$A$2:$A1001, "&gt;=2025-10-01", 'Form responses 1'!$A$2:$A1001, "&lt;=2025-12-31")
)
</f>
        <v>8</v>
      </c>
    </row>
    <row r="100">
      <c r="A100" s="3" t="str">
        <f>IFERROR(__xludf.DUMMYFUNCTION("""COMPUTED_VALUE"""),"Decathlon wandelbroek dun")</f>
        <v>Decathlon wandelbroek dun</v>
      </c>
      <c r="B100" s="2">
        <f>SUM(
    COUNTIFS('Form responses 1'!$C$2:$C1001, A100, 'Form responses 1'!$A$2:$A1001, "&gt;=2022-04-01", 'Form responses 1'!$A$2:$A1001, "&lt;=2022-06-30"),
    COUNTIFS('Form responses 1'!$B$2:$B1001, A100, 'Form responses 1'!$A$2:$A1001, "&gt;=2022-04-01", 'Form responses 1'!$A$2:$A1001, "&lt;=2022-06-30"),
    COUNTIFS('Form responses 1'!$D$2:$D1001, A100, 'Form responses 1'!$A$2:$A1001, "&gt;=2022-04-01", 'Form responses 1'!$A$2:$A1001, "&lt;=2022-06-30"),
    COUNTIFS('Form responses 1'!$E$2:$E1001, A100, 'Form responses 1'!$A$2:$A1001, "&gt;=2022-04-01", 'Form responses 1'!$A$2:$A1001, "&lt;=2022-06-30"),
    COUNTIFS('Form responses 1'!$F$2:$F1001, A100, 'Form responses 1'!$A$2:$A1001, "&gt;=2022-04-01", 'Form responses 1'!$A$2:$A1001, "&lt;=2022-06-30"),
    COUNTIFS('Form responses 1'!$G$2:$G1001, A100, 'Form responses 1'!$A$2:$A1001, "&gt;=2022-04-01", 'Form responses 1'!$A$2:$A1001, "&lt;=2022-06-30")
)
</f>
        <v>0</v>
      </c>
      <c r="C100" s="2">
        <f>SUM(
    COUNTIFS('Form responses 1'!$C$2:$C1001, A100, 'Form responses 1'!$A$2:$A1001, "&gt;=2022-07-01", 'Form responses 1'!$A$2:$A1001, "&lt;=2022-09-30"),
    COUNTIFS('Form responses 1'!$B$2:$B1001, A100, 'Form responses 1'!$A$2:$A1001, "&gt;=2022-07-01", 'Form responses 1'!$A$2:$A1001, "&lt;=2022-09-30"),
    COUNTIFS('Form responses 1'!$D$2:$D1001, A100, 'Form responses 1'!$A$2:$A1001, "&gt;=2022-07-01", 'Form responses 1'!$A$2:$A1001, "&lt;=2022-09-30"),
    COUNTIFS('Form responses 1'!$E$2:$E1001, A100, 'Form responses 1'!$A$2:$A1001, "&gt;=2022-07-01", 'Form responses 1'!$A$2:$A1001, "&lt;=2022-09-30"),
    COUNTIFS('Form responses 1'!$F$2:$F1001, A100, 'Form responses 1'!$A$2:$A1001, "&gt;=2022-07-01", 'Form responses 1'!$A$2:$A1001, "&lt;=2022-09-30"),
    COUNTIFS('Form responses 1'!$G$2:$G1001, A100, 'Form responses 1'!$A$2:$A1001, "&gt;=2022-07-01", 'Form responses 1'!$A$2:$A1001, "&lt;=2022-09-30")
)
</f>
        <v>0</v>
      </c>
      <c r="D100" s="2">
        <f>SUM(
    COUNTIFS('Form responses 1'!$C$2:$C1001, A100, 'Form responses 1'!$A$2:$A1001, "&gt;=2022-10-01", 'Form responses 1'!$A$2:$A1001, "&lt;=2022-12-31"),
    COUNTIFS('Form responses 1'!$B$2:$B1001, A100, 'Form responses 1'!$A$2:$A1001, "&gt;=2022-10-01", 'Form responses 1'!$A$2:$A1001, "&lt;=2022-12-31"),
    COUNTIFS('Form responses 1'!$D$2:$D1001, A100, 'Form responses 1'!$A$2:$A1001, "&gt;=2022-10-01", 'Form responses 1'!$A$2:$A1001, "&lt;=2022-12-31"),
    COUNTIFS('Form responses 1'!$E$2:$E1001, A100, 'Form responses 1'!$A$2:$A1001, "&gt;=2022-10-01", 'Form responses 1'!$A$2:$A1001, "&lt;=2022-12-31"),
    COUNTIFS('Form responses 1'!$F$2:$F1001, A100, 'Form responses 1'!$A$2:$A1001, "&gt;=2022-10-01", 'Form responses 1'!$A$2:$A1001, "&lt;=2022-12-31"),
    COUNTIFS('Form responses 1'!$G$2:$G1001, A100, 'Form responses 1'!$A$2:$A1001, "&gt;=2022-10-01", 'Form responses 1'!$A$2:$A1001, "&lt;=2022-12-31")
)
</f>
        <v>0</v>
      </c>
      <c r="E100" s="2">
        <f>SUM(
    COUNTIFS('Form responses 1'!$C$2:$C1001, A100, 'Form responses 1'!$A$2:$A1001, "&gt;=2023-01-01", 'Form responses 1'!$A$2:$A1001, "&lt;=2023-03-31"),
    COUNTIFS('Form responses 1'!$B$2:$B1001, A100, 'Form responses 1'!$A$2:$A1001, "&gt;=2023-01-01", 'Form responses 1'!$A$2:$A1001, "&lt;=2023-03-31"),
    COUNTIFS('Form responses 1'!$D$2:$D1001, A100, 'Form responses 1'!$A$2:$A1001, "&gt;=2023-01-01", 'Form responses 1'!$A$2:$A1001, "&lt;=2023-03-31"),
    COUNTIFS('Form responses 1'!$E$2:$E1001, A100, 'Form responses 1'!$A$2:$A1001, "&gt;=2023-01-01", 'Form responses 1'!$A$2:$A1001, "&lt;=2023-03-31"),
    COUNTIFS('Form responses 1'!$F$2:$F1001, A100, 'Form responses 1'!$A$2:$A1001, "&gt;=2023-01-01", 'Form responses 1'!$A$2:$A1001, "&lt;=2023-03-31"),
    COUNTIFS('Form responses 1'!$G$2:$G1001, A100, 'Form responses 1'!$A$2:$A1001, "&gt;=2023-01-01", 'Form responses 1'!$A$2:$A1001, "&lt;=2023-03-31")
)
</f>
        <v>0</v>
      </c>
      <c r="F100" s="2">
        <f>SUM(
    COUNTIFS('Form responses 1'!$C$2:$C1001, A100, 'Form responses 1'!$A$2:$A1001, "&gt;=2023-04-01", 'Form responses 1'!$A$2:$A1001, "&lt;=2023-06-30"),
    COUNTIFS('Form responses 1'!$B$2:$B1001, A100, 'Form responses 1'!$A$2:$A1001, "&gt;=2023-04-01", 'Form responses 1'!$A$2:$A1001, "&lt;=2023-06-30"),
    COUNTIFS('Form responses 1'!$D$2:$D1001, A100, 'Form responses 1'!$A$2:$A1001, "&gt;=2023-04-01", 'Form responses 1'!$A$2:$A1001, "&lt;=2023-06-30"),
    COUNTIFS('Form responses 1'!$E$2:$E1001, A100, 'Form responses 1'!$A$2:$A1001, "&gt;=2023-04-01", 'Form responses 1'!$A$2:$A1001, "&lt;=2023-06-30"),
    COUNTIFS('Form responses 1'!$F$2:$F1001, A100, 'Form responses 1'!$A$2:$A1001, "&gt;=2023-04-01", 'Form responses 1'!$A$2:$A1001, "&lt;=2023-06-30"),
    COUNTIFS('Form responses 1'!$G$2:$G1001, A100, 'Form responses 1'!$A$2:$A1001, "&gt;=2023-04-01", 'Form responses 1'!$A$2:$A1001, "&lt;=2023-06-30")
)
</f>
        <v>0</v>
      </c>
      <c r="G100" s="2">
        <f>SUM(
    COUNTIFS('Form responses 1'!$C$2:$C1001, A100, 'Form responses 1'!$A$2:$A1001, "&gt;=2023-07-01", 'Form responses 1'!$A$2:$A1001, "&lt;=2023-09-30"),
    COUNTIFS('Form responses 1'!$B$2:$B1001, A100, 'Form responses 1'!$A$2:$A1001, "&gt;=2023-07-01", 'Form responses 1'!$A$2:$A1001, "&lt;=2023-09-30"),
    COUNTIFS('Form responses 1'!$D$2:$D1001, A100, 'Form responses 1'!$A$2:$A1001, "&gt;=2023-07-01", 'Form responses 1'!$A$2:$A1001, "&lt;=2023-09-30"),
    COUNTIFS('Form responses 1'!$E$2:$E1001, A100, 'Form responses 1'!$A$2:$A1001, "&gt;=2023-07-01", 'Form responses 1'!$A$2:$A1001, "&lt;=2023-09-30"),
    COUNTIFS('Form responses 1'!$F$2:$F1001, A100, 'Form responses 1'!$A$2:$A1001, "&gt;=2023-07-01", 'Form responses 1'!$A$2:$A1001, "&lt;=2023-09-30"),
    COUNTIFS('Form responses 1'!$G$2:$G1001, A100, 'Form responses 1'!$A$2:$A1001, "&gt;=2023-07-01", 'Form responses 1'!$A$2:$A1001, "&lt;=2023-09-30")
)
</f>
        <v>0</v>
      </c>
      <c r="H100" s="2">
        <f>SUM(
    COUNTIFS('Form responses 1'!$C$2:$C1001, A100, 'Form responses 1'!$A$2:$A1001, "&gt;=2023-10-01", 'Form responses 1'!$A$2:$A1001, "&lt;=2023-12-31"),
    COUNTIFS('Form responses 1'!$B$2:$B1001, A100, 'Form responses 1'!$A$2:$A1001, "&gt;=2023-10-01", 'Form responses 1'!$A$2:$A1001, "&lt;=2023-12-31"),
    COUNTIFS('Form responses 1'!$D$2:$D1001, A100, 'Form responses 1'!$A$2:$A1001, "&gt;=2023-10-01", 'Form responses 1'!$A$2:$A1001, "&lt;=2023-12-31"),
    COUNTIFS('Form responses 1'!$E$2:$E1001, A100, 'Form responses 1'!$A$2:$A1001, "&gt;=2023-10-01", 'Form responses 1'!$A$2:$A1001, "&lt;=2023-12-31"),
    COUNTIFS('Form responses 1'!$F$2:$F1001, A100, 'Form responses 1'!$A$2:$A1001, "&gt;=2023-10-01", 'Form responses 1'!$A$2:$A1001, "&lt;=2023-12-31"),
    COUNTIFS('Form responses 1'!$G$2:$G1001, A100, 'Form responses 1'!$A$2:$A1001, "&gt;=2023-10-01", 'Form responses 1'!$A$2:$A1001, "&lt;=2023-12-31")
)
</f>
        <v>0</v>
      </c>
      <c r="I100" s="2">
        <f>SUM(
    COUNTIFS('Form responses 1'!$C$2:$C1001, A100, 'Form responses 1'!$A$2:$A1001, "&gt;=2024-01-01", 'Form responses 1'!$A$2:$A1001, "&lt;=2024-03-31"),
    COUNTIFS('Form responses 1'!$B$2:$B1001, A100, 'Form responses 1'!$A$2:$A1001, "&gt;=2024-01-01", 'Form responses 1'!$A$2:$A1001, "&lt;=2024-03-31"),
    COUNTIFS('Form responses 1'!$D$2:$D1001, A100, 'Form responses 1'!$A$2:$A1001, "&gt;=2024-01-01", 'Form responses 1'!$A$2:$A1001, "&lt;=2024-03-31"),
    COUNTIFS('Form responses 1'!$E$2:$E1001, A100, 'Form responses 1'!$A$2:$A1001, "&gt;=2024-01-01", 'Form responses 1'!$A$2:$A1001, "&lt;=2024-03-31"),
    COUNTIFS('Form responses 1'!$F$2:$F1001, A100, 'Form responses 1'!$A$2:$A1001, "&gt;=2024-01-01", 'Form responses 1'!$A$2:$A1001, "&lt;=2024-03-31"),
    COUNTIFS('Form responses 1'!$G$2:$G1001, A100, 'Form responses 1'!$A$2:$A1001, "&gt;=2024-01-01", 'Form responses 1'!$A$2:$A1001, "&lt;=2024-03-31")
)
</f>
        <v>0</v>
      </c>
      <c r="J100" s="2">
        <f>SUM(
    COUNTIFS('Form responses 1'!$C$2:$C1001, A100, 'Form responses 1'!$A$2:$A1001, "&gt;=2024-04-01", 'Form responses 1'!$A$2:$A1001, "&lt;=2024-06-30"),
    COUNTIFS('Form responses 1'!$B$2:$B1001, A100, 'Form responses 1'!$A$2:$A1001, "&gt;=2024-04-01", 'Form responses 1'!$A$2:$A1001, "&lt;=2024-06-30"),
    COUNTIFS('Form responses 1'!$D$2:$D1001, A100, 'Form responses 1'!$A$2:$A1001, "&gt;=2024-04-01", 'Form responses 1'!$A$2:$A1001, "&lt;=2024-06-30"),
    COUNTIFS('Form responses 1'!$E$2:$E1001, A100, 'Form responses 1'!$A$2:$A1001, "&gt;=2024-04-01", 'Form responses 1'!$A$2:$A1001, "&lt;=2024-06-30"),
    COUNTIFS('Form responses 1'!$F$2:$F1001, A100, 'Form responses 1'!$A$2:$A1001, "&gt;=2024-04-01", 'Form responses 1'!$A$2:$A1001, "&lt;=2024-06-30"),
    COUNTIFS('Form responses 1'!$G$2:$G1001, A100, 'Form responses 1'!$A$2:$A1001, "&gt;=2024-04-01", 'Form responses 1'!$A$2:$A1001, "&lt;=2024-06-30")
)
</f>
        <v>0</v>
      </c>
      <c r="K100" s="2">
        <f>SUM(
    COUNTIFS('Form responses 1'!$C$2:$C1001, A100, 'Form responses 1'!$A$2:$A1001, "&gt;=2024-07-01", 'Form responses 1'!$A$2:$A1001, "&lt;=2024-09-30"),
    COUNTIFS('Form responses 1'!$B$2:$B1001, A100, 'Form responses 1'!$A$2:$A1001, "&gt;=2024-07-01", 'Form responses 1'!$A$2:$A1001, "&lt;=2024-09-30"),
    COUNTIFS('Form responses 1'!$D$2:$D1001, A100, 'Form responses 1'!$A$2:$A1001, "&gt;=2024-07-01", 'Form responses 1'!$A$2:$A1001, "&lt;=2024-09-30"),
    COUNTIFS('Form responses 1'!$E$2:$E1001, A100, 'Form responses 1'!$A$2:$A1001, "&gt;=2024-07-01", 'Form responses 1'!$A$2:$A1001, "&lt;=2024-09-30"),
    COUNTIFS('Form responses 1'!$F$2:$F1001, A100, 'Form responses 1'!$A$2:$A1001, "&gt;=2024-07-01", 'Form responses 1'!$A$2:$A1001, "&lt;=2024-09-30"),
    COUNTIFS('Form responses 1'!$G$2:$G1001, A100, 'Form responses 1'!$A$2:$A1001, "&gt;=2024-07-01", 'Form responses 1'!$A$2:$A1001, "&lt;=2024-09-30")
)
</f>
        <v>0</v>
      </c>
      <c r="L100" s="2">
        <f>SUM(
    COUNTIFS('Form responses 1'!$C$2:$C1001, A100, 'Form responses 1'!$A$2:$A1001, "&gt;=2024-10-01", 'Form responses 1'!$A$2:$A1001, "&lt;=2024-12-31"),
    COUNTIFS('Form responses 1'!$B$2:$B1001, A100, 'Form responses 1'!$A$2:$A1001, "&gt;=2024-10-01", 'Form responses 1'!$A$2:$A1001, "&lt;=2024-12-31"),
    COUNTIFS('Form responses 1'!$D$2:$D1001, A100, 'Form responses 1'!$A$2:$A1001, "&gt;=2024-10-01", 'Form responses 1'!$A$2:$A1001, "&lt;=2024-12-31"),
    COUNTIFS('Form responses 1'!$E$2:$E1001, A100, 'Form responses 1'!$A$2:$A1001, "&gt;=2024-10-01", 'Form responses 1'!$A$2:$A1001, "&lt;=2024-12-31"),
    COUNTIFS('Form responses 1'!$F$2:$F1001, A100, 'Form responses 1'!$A$2:$A1001, "&gt;=2024-10-01", 'Form responses 1'!$A$2:$A1001, "&lt;=2024-12-31"),
    COUNTIFS('Form responses 1'!$G$2:$G1001, A100, 'Form responses 1'!$A$2:$A1001, "&gt;=2024-10-01", 'Form responses 1'!$A$2:$A1001, "&lt;=2024-12-31")
)
</f>
        <v>0</v>
      </c>
      <c r="M100" s="2">
        <f>SUM(
    COUNTIFS('Form responses 1'!$C$2:$C1001, A100, 'Form responses 1'!$A$2:$A1001, "&gt;=2025-01-01", 'Form responses 1'!$A$2:$A1001, "&lt;=2025-03-31"),
    COUNTIFS('Form responses 1'!$B$2:$B1001, A100, 'Form responses 1'!$A$2:$A1001, "&gt;=2025-01-01", 'Form responses 1'!$A$2:$A1001, "&lt;=2025-03-31"),
    COUNTIFS('Form responses 1'!$D$2:$D1001, A100, 'Form responses 1'!$A$2:$A1001, "&gt;=2025-01-01", 'Form responses 1'!$A$2:$A1001, "&lt;=2025-03-31"),
    COUNTIFS('Form responses 1'!$E$2:$E1001, A100, 'Form responses 1'!$A$2:$A1001, "&gt;=2025-01-01", 'Form responses 1'!$A$2:$A1001, "&lt;=2025-03-31"),
    COUNTIFS('Form responses 1'!$F$2:$F1001, A100, 'Form responses 1'!$A$2:$A1001, "&gt;=2025-01-01", 'Form responses 1'!$A$2:$A1001, "&lt;=2025-03-31"),
    COUNTIFS('Form responses 1'!$G$2:$G1001, A100, 'Form responses 1'!$A$2:$A1001, "&gt;=2025-01-01", 'Form responses 1'!$A$2:$A1001, "&lt;=2025-03-31")
)
</f>
        <v>0</v>
      </c>
      <c r="N100" s="2">
        <f>SUM(
    COUNTIFS('Form responses 1'!$C$2:$C1001, A100, 'Form responses 1'!$A$2:$A1001, "&gt;=2025-04-01", 'Form responses 1'!$A$2:$A1001, "&lt;2025-07-01"),
    COUNTIFS('Form responses 1'!$B$2:$B1001, A100, 'Form responses 1'!$A$2:$A1001, "&gt;=2025-04-01", 'Form responses 1'!$A$2:$A1001, "&lt;2025-07-01"),
    COUNTIFS('Form responses 1'!$D$2:$D1001, A100, 'Form responses 1'!$A$2:$A1001, "&gt;=2025-04-01", 'Form responses 1'!$A$2:$A1001, "&lt;2025-07-01"),
    COUNTIFS('Form responses 1'!$E$2:$E1001, A100, 'Form responses 1'!$A$2:$A1001, "&gt;=2025-04-01", 'Form responses 1'!$A$2:$A1001, "&lt;2025-07-01"),
    COUNTIFS('Form responses 1'!$F$2:$F1001, A100, 'Form responses 1'!$A$2:$A1001, "&gt;=2025-04-01", 'Form responses 1'!$A$2:$A1001, "&lt;2025-07-01"),
    COUNTIFS('Form responses 1'!$G$2:$G1001, A100, 'Form responses 1'!$A$2:$A1001, "&gt;=2025-04-01", 'Form responses 1'!$A$2:$A1001, "&lt;2025-07-01")
)
</f>
        <v>0</v>
      </c>
      <c r="O100" s="2">
        <f>SUM(
    COUNTIFS('Form responses 1'!$C$2:$C1001, A100, 'Form responses 1'!$A$2:$A1001, "&gt;=2025-07-01", 'Form responses 1'!$A$2:$A1001, "&lt;=2025-09-30"),
    COUNTIFS('Form responses 1'!$B$2:$B1001, A100, 'Form responses 1'!$A$2:$A1001, "&gt;=2025-07-01", 'Form responses 1'!$A$2:$A1001, "&lt;=2025-09-30"),
    COUNTIFS('Form responses 1'!$D$2:$D1001, A100, 'Form responses 1'!$A$2:$A1001, "&gt;=2025-07-01", 'Form responses 1'!$A$2:$A1001, "&lt;=2025-09-30"),
    COUNTIFS('Form responses 1'!$E$2:$E1001, A100, 'Form responses 1'!$A$2:$A1001, "&gt;=2025-07-01", 'Form responses 1'!$A$2:$A1001, "&lt;=2025-09-30"),
    COUNTIFS('Form responses 1'!$F$2:$F1001, A100, 'Form responses 1'!$A$2:$A1001, "&gt;=2025-07-01", 'Form responses 1'!$A$2:$A1001, "&lt;=2025-09-30"),
    COUNTIFS('Form responses 1'!$G$2:$G1001, A100, 'Form responses 1'!$A$2:$A1001, "&gt;=2025-07-01", 'Form responses 1'!$A$2:$A1001, "&lt;=2025-09-30")
)
</f>
        <v>9</v>
      </c>
      <c r="P100" s="2">
        <f>SUM(
    COUNTIFS('Form responses 1'!$C$2:$C1001, A100, 'Form responses 1'!$A$2:$A1001, "&gt;=2025-10-01", 'Form responses 1'!$A$2:$A1001, "&lt;=2025-12-31"),
    COUNTIFS('Form responses 1'!$B$2:$B1001, A100, 'Form responses 1'!$A$2:$A1001, "&gt;=2025-10-01", 'Form responses 1'!$A$2:$A1001, "&lt;=2025-12-31"),
    COUNTIFS('Form responses 1'!$D$2:$D1001, A100, 'Form responses 1'!$A$2:$A1001, "&gt;=2025-10-01", 'Form responses 1'!$A$2:$A1001, "&lt;=2025-12-31"),
    COUNTIFS('Form responses 1'!$E$2:$E1001, A100, 'Form responses 1'!$A$2:$A1001, "&gt;=2025-10-01", 'Form responses 1'!$A$2:$A1001, "&lt;=2025-12-31"),
    COUNTIFS('Form responses 1'!$F$2:$F1001, A100, 'Form responses 1'!$A$2:$A1001, "&gt;=2025-10-01", 'Form responses 1'!$A$2:$A1001, "&lt;=2025-12-31"),
    COUNTIFS('Form responses 1'!$G$2:$G1001, A100, 'Form responses 1'!$A$2:$A1001, "&gt;=2025-10-01", 'Form responses 1'!$A$2:$A1001, "&lt;=2025-12-31")
)
</f>
        <v>0</v>
      </c>
    </row>
    <row r="101">
      <c r="A101" s="3" t="str">
        <f>IFERROR(__xludf.DUMMYFUNCTION("""COMPUTED_VALUE"""),"Decathlon wandelbroek dik")</f>
        <v>Decathlon wandelbroek dik</v>
      </c>
      <c r="B101" s="2">
        <f>SUM(
    COUNTIFS('Form responses 1'!$C$2:$C1001, A101, 'Form responses 1'!$A$2:$A1001, "&gt;=2022-04-01", 'Form responses 1'!$A$2:$A1001, "&lt;=2022-06-30"),
    COUNTIFS('Form responses 1'!$B$2:$B1001, A101, 'Form responses 1'!$A$2:$A1001, "&gt;=2022-04-01", 'Form responses 1'!$A$2:$A1001, "&lt;=2022-06-30"),
    COUNTIFS('Form responses 1'!$D$2:$D1001, A101, 'Form responses 1'!$A$2:$A1001, "&gt;=2022-04-01", 'Form responses 1'!$A$2:$A1001, "&lt;=2022-06-30"),
    COUNTIFS('Form responses 1'!$E$2:$E1001, A101, 'Form responses 1'!$A$2:$A1001, "&gt;=2022-04-01", 'Form responses 1'!$A$2:$A1001, "&lt;=2022-06-30"),
    COUNTIFS('Form responses 1'!$F$2:$F1001, A101, 'Form responses 1'!$A$2:$A1001, "&gt;=2022-04-01", 'Form responses 1'!$A$2:$A1001, "&lt;=2022-06-30"),
    COUNTIFS('Form responses 1'!$G$2:$G1001, A101, 'Form responses 1'!$A$2:$A1001, "&gt;=2022-04-01", 'Form responses 1'!$A$2:$A1001, "&lt;=2022-06-30")
)
</f>
        <v>0</v>
      </c>
      <c r="C101" s="2">
        <f>SUM(
    COUNTIFS('Form responses 1'!$C$2:$C1001, A101, 'Form responses 1'!$A$2:$A1001, "&gt;=2022-07-01", 'Form responses 1'!$A$2:$A1001, "&lt;=2022-09-30"),
    COUNTIFS('Form responses 1'!$B$2:$B1001, A101, 'Form responses 1'!$A$2:$A1001, "&gt;=2022-07-01", 'Form responses 1'!$A$2:$A1001, "&lt;=2022-09-30"),
    COUNTIFS('Form responses 1'!$D$2:$D1001, A101, 'Form responses 1'!$A$2:$A1001, "&gt;=2022-07-01", 'Form responses 1'!$A$2:$A1001, "&lt;=2022-09-30"),
    COUNTIFS('Form responses 1'!$E$2:$E1001, A101, 'Form responses 1'!$A$2:$A1001, "&gt;=2022-07-01", 'Form responses 1'!$A$2:$A1001, "&lt;=2022-09-30"),
    COUNTIFS('Form responses 1'!$F$2:$F1001, A101, 'Form responses 1'!$A$2:$A1001, "&gt;=2022-07-01", 'Form responses 1'!$A$2:$A1001, "&lt;=2022-09-30"),
    COUNTIFS('Form responses 1'!$G$2:$G1001, A101, 'Form responses 1'!$A$2:$A1001, "&gt;=2022-07-01", 'Form responses 1'!$A$2:$A1001, "&lt;=2022-09-30")
)
</f>
        <v>0</v>
      </c>
      <c r="D101" s="2">
        <f>SUM(
    COUNTIFS('Form responses 1'!$C$2:$C1001, A101, 'Form responses 1'!$A$2:$A1001, "&gt;=2022-10-01", 'Form responses 1'!$A$2:$A1001, "&lt;=2022-12-31"),
    COUNTIFS('Form responses 1'!$B$2:$B1001, A101, 'Form responses 1'!$A$2:$A1001, "&gt;=2022-10-01", 'Form responses 1'!$A$2:$A1001, "&lt;=2022-12-31"),
    COUNTIFS('Form responses 1'!$D$2:$D1001, A101, 'Form responses 1'!$A$2:$A1001, "&gt;=2022-10-01", 'Form responses 1'!$A$2:$A1001, "&lt;=2022-12-31"),
    COUNTIFS('Form responses 1'!$E$2:$E1001, A101, 'Form responses 1'!$A$2:$A1001, "&gt;=2022-10-01", 'Form responses 1'!$A$2:$A1001, "&lt;=2022-12-31"),
    COUNTIFS('Form responses 1'!$F$2:$F1001, A101, 'Form responses 1'!$A$2:$A1001, "&gt;=2022-10-01", 'Form responses 1'!$A$2:$A1001, "&lt;=2022-12-31"),
    COUNTIFS('Form responses 1'!$G$2:$G1001, A101, 'Form responses 1'!$A$2:$A1001, "&gt;=2022-10-01", 'Form responses 1'!$A$2:$A1001, "&lt;=2022-12-31")
)
</f>
        <v>0</v>
      </c>
      <c r="E101" s="2">
        <f>SUM(
    COUNTIFS('Form responses 1'!$C$2:$C1001, A101, 'Form responses 1'!$A$2:$A1001, "&gt;=2023-01-01", 'Form responses 1'!$A$2:$A1001, "&lt;=2023-03-31"),
    COUNTIFS('Form responses 1'!$B$2:$B1001, A101, 'Form responses 1'!$A$2:$A1001, "&gt;=2023-01-01", 'Form responses 1'!$A$2:$A1001, "&lt;=2023-03-31"),
    COUNTIFS('Form responses 1'!$D$2:$D1001, A101, 'Form responses 1'!$A$2:$A1001, "&gt;=2023-01-01", 'Form responses 1'!$A$2:$A1001, "&lt;=2023-03-31"),
    COUNTIFS('Form responses 1'!$E$2:$E1001, A101, 'Form responses 1'!$A$2:$A1001, "&gt;=2023-01-01", 'Form responses 1'!$A$2:$A1001, "&lt;=2023-03-31"),
    COUNTIFS('Form responses 1'!$F$2:$F1001, A101, 'Form responses 1'!$A$2:$A1001, "&gt;=2023-01-01", 'Form responses 1'!$A$2:$A1001, "&lt;=2023-03-31"),
    COUNTIFS('Form responses 1'!$G$2:$G1001, A101, 'Form responses 1'!$A$2:$A1001, "&gt;=2023-01-01", 'Form responses 1'!$A$2:$A1001, "&lt;=2023-03-31")
)
</f>
        <v>0</v>
      </c>
      <c r="F101" s="2">
        <f>SUM(
    COUNTIFS('Form responses 1'!$C$2:$C1001, A101, 'Form responses 1'!$A$2:$A1001, "&gt;=2023-04-01", 'Form responses 1'!$A$2:$A1001, "&lt;=2023-06-30"),
    COUNTIFS('Form responses 1'!$B$2:$B1001, A101, 'Form responses 1'!$A$2:$A1001, "&gt;=2023-04-01", 'Form responses 1'!$A$2:$A1001, "&lt;=2023-06-30"),
    COUNTIFS('Form responses 1'!$D$2:$D1001, A101, 'Form responses 1'!$A$2:$A1001, "&gt;=2023-04-01", 'Form responses 1'!$A$2:$A1001, "&lt;=2023-06-30"),
    COUNTIFS('Form responses 1'!$E$2:$E1001, A101, 'Form responses 1'!$A$2:$A1001, "&gt;=2023-04-01", 'Form responses 1'!$A$2:$A1001, "&lt;=2023-06-30"),
    COUNTIFS('Form responses 1'!$F$2:$F1001, A101, 'Form responses 1'!$A$2:$A1001, "&gt;=2023-04-01", 'Form responses 1'!$A$2:$A1001, "&lt;=2023-06-30"),
    COUNTIFS('Form responses 1'!$G$2:$G1001, A101, 'Form responses 1'!$A$2:$A1001, "&gt;=2023-04-01", 'Form responses 1'!$A$2:$A1001, "&lt;=2023-06-30")
)
</f>
        <v>0</v>
      </c>
      <c r="G101" s="2">
        <f>SUM(
    COUNTIFS('Form responses 1'!$C$2:$C1001, A101, 'Form responses 1'!$A$2:$A1001, "&gt;=2023-07-01", 'Form responses 1'!$A$2:$A1001, "&lt;=2023-09-30"),
    COUNTIFS('Form responses 1'!$B$2:$B1001, A101, 'Form responses 1'!$A$2:$A1001, "&gt;=2023-07-01", 'Form responses 1'!$A$2:$A1001, "&lt;=2023-09-30"),
    COUNTIFS('Form responses 1'!$D$2:$D1001, A101, 'Form responses 1'!$A$2:$A1001, "&gt;=2023-07-01", 'Form responses 1'!$A$2:$A1001, "&lt;=2023-09-30"),
    COUNTIFS('Form responses 1'!$E$2:$E1001, A101, 'Form responses 1'!$A$2:$A1001, "&gt;=2023-07-01", 'Form responses 1'!$A$2:$A1001, "&lt;=2023-09-30"),
    COUNTIFS('Form responses 1'!$F$2:$F1001, A101, 'Form responses 1'!$A$2:$A1001, "&gt;=2023-07-01", 'Form responses 1'!$A$2:$A1001, "&lt;=2023-09-30"),
    COUNTIFS('Form responses 1'!$G$2:$G1001, A101, 'Form responses 1'!$A$2:$A1001, "&gt;=2023-07-01", 'Form responses 1'!$A$2:$A1001, "&lt;=2023-09-30")
)
</f>
        <v>0</v>
      </c>
      <c r="H101" s="2">
        <f>SUM(
    COUNTIFS('Form responses 1'!$C$2:$C1001, A101, 'Form responses 1'!$A$2:$A1001, "&gt;=2023-10-01", 'Form responses 1'!$A$2:$A1001, "&lt;=2023-12-31"),
    COUNTIFS('Form responses 1'!$B$2:$B1001, A101, 'Form responses 1'!$A$2:$A1001, "&gt;=2023-10-01", 'Form responses 1'!$A$2:$A1001, "&lt;=2023-12-31"),
    COUNTIFS('Form responses 1'!$D$2:$D1001, A101, 'Form responses 1'!$A$2:$A1001, "&gt;=2023-10-01", 'Form responses 1'!$A$2:$A1001, "&lt;=2023-12-31"),
    COUNTIFS('Form responses 1'!$E$2:$E1001, A101, 'Form responses 1'!$A$2:$A1001, "&gt;=2023-10-01", 'Form responses 1'!$A$2:$A1001, "&lt;=2023-12-31"),
    COUNTIFS('Form responses 1'!$F$2:$F1001, A101, 'Form responses 1'!$A$2:$A1001, "&gt;=2023-10-01", 'Form responses 1'!$A$2:$A1001, "&lt;=2023-12-31"),
    COUNTIFS('Form responses 1'!$G$2:$G1001, A101, 'Form responses 1'!$A$2:$A1001, "&gt;=2023-10-01", 'Form responses 1'!$A$2:$A1001, "&lt;=2023-12-31")
)
</f>
        <v>0</v>
      </c>
      <c r="I101" s="2">
        <f>SUM(
    COUNTIFS('Form responses 1'!$C$2:$C1001, A101, 'Form responses 1'!$A$2:$A1001, "&gt;=2024-01-01", 'Form responses 1'!$A$2:$A1001, "&lt;=2024-03-31"),
    COUNTIFS('Form responses 1'!$B$2:$B1001, A101, 'Form responses 1'!$A$2:$A1001, "&gt;=2024-01-01", 'Form responses 1'!$A$2:$A1001, "&lt;=2024-03-31"),
    COUNTIFS('Form responses 1'!$D$2:$D1001, A101, 'Form responses 1'!$A$2:$A1001, "&gt;=2024-01-01", 'Form responses 1'!$A$2:$A1001, "&lt;=2024-03-31"),
    COUNTIFS('Form responses 1'!$E$2:$E1001, A101, 'Form responses 1'!$A$2:$A1001, "&gt;=2024-01-01", 'Form responses 1'!$A$2:$A1001, "&lt;=2024-03-31"),
    COUNTIFS('Form responses 1'!$F$2:$F1001, A101, 'Form responses 1'!$A$2:$A1001, "&gt;=2024-01-01", 'Form responses 1'!$A$2:$A1001, "&lt;=2024-03-31"),
    COUNTIFS('Form responses 1'!$G$2:$G1001, A101, 'Form responses 1'!$A$2:$A1001, "&gt;=2024-01-01", 'Form responses 1'!$A$2:$A1001, "&lt;=2024-03-31")
)
</f>
        <v>0</v>
      </c>
      <c r="J101" s="2">
        <f>SUM(
    COUNTIFS('Form responses 1'!$C$2:$C1001, A101, 'Form responses 1'!$A$2:$A1001, "&gt;=2024-04-01", 'Form responses 1'!$A$2:$A1001, "&lt;=2024-06-30"),
    COUNTIFS('Form responses 1'!$B$2:$B1001, A101, 'Form responses 1'!$A$2:$A1001, "&gt;=2024-04-01", 'Form responses 1'!$A$2:$A1001, "&lt;=2024-06-30"),
    COUNTIFS('Form responses 1'!$D$2:$D1001, A101, 'Form responses 1'!$A$2:$A1001, "&gt;=2024-04-01", 'Form responses 1'!$A$2:$A1001, "&lt;=2024-06-30"),
    COUNTIFS('Form responses 1'!$E$2:$E1001, A101, 'Form responses 1'!$A$2:$A1001, "&gt;=2024-04-01", 'Form responses 1'!$A$2:$A1001, "&lt;=2024-06-30"),
    COUNTIFS('Form responses 1'!$F$2:$F1001, A101, 'Form responses 1'!$A$2:$A1001, "&gt;=2024-04-01", 'Form responses 1'!$A$2:$A1001, "&lt;=2024-06-30"),
    COUNTIFS('Form responses 1'!$G$2:$G1001, A101, 'Form responses 1'!$A$2:$A1001, "&gt;=2024-04-01", 'Form responses 1'!$A$2:$A1001, "&lt;=2024-06-30")
)
</f>
        <v>0</v>
      </c>
      <c r="K101" s="2">
        <f>SUM(
    COUNTIFS('Form responses 1'!$C$2:$C1001, A101, 'Form responses 1'!$A$2:$A1001, "&gt;=2024-07-01", 'Form responses 1'!$A$2:$A1001, "&lt;=2024-09-30"),
    COUNTIFS('Form responses 1'!$B$2:$B1001, A101, 'Form responses 1'!$A$2:$A1001, "&gt;=2024-07-01", 'Form responses 1'!$A$2:$A1001, "&lt;=2024-09-30"),
    COUNTIFS('Form responses 1'!$D$2:$D1001, A101, 'Form responses 1'!$A$2:$A1001, "&gt;=2024-07-01", 'Form responses 1'!$A$2:$A1001, "&lt;=2024-09-30"),
    COUNTIFS('Form responses 1'!$E$2:$E1001, A101, 'Form responses 1'!$A$2:$A1001, "&gt;=2024-07-01", 'Form responses 1'!$A$2:$A1001, "&lt;=2024-09-30"),
    COUNTIFS('Form responses 1'!$F$2:$F1001, A101, 'Form responses 1'!$A$2:$A1001, "&gt;=2024-07-01", 'Form responses 1'!$A$2:$A1001, "&lt;=2024-09-30"),
    COUNTIFS('Form responses 1'!$G$2:$G1001, A101, 'Form responses 1'!$A$2:$A1001, "&gt;=2024-07-01", 'Form responses 1'!$A$2:$A1001, "&lt;=2024-09-30")
)
</f>
        <v>0</v>
      </c>
      <c r="L101" s="2">
        <f>SUM(
    COUNTIFS('Form responses 1'!$C$2:$C1001, A101, 'Form responses 1'!$A$2:$A1001, "&gt;=2024-10-01", 'Form responses 1'!$A$2:$A1001, "&lt;=2024-12-31"),
    COUNTIFS('Form responses 1'!$B$2:$B1001, A101, 'Form responses 1'!$A$2:$A1001, "&gt;=2024-10-01", 'Form responses 1'!$A$2:$A1001, "&lt;=2024-12-31"),
    COUNTIFS('Form responses 1'!$D$2:$D1001, A101, 'Form responses 1'!$A$2:$A1001, "&gt;=2024-10-01", 'Form responses 1'!$A$2:$A1001, "&lt;=2024-12-31"),
    COUNTIFS('Form responses 1'!$E$2:$E1001, A101, 'Form responses 1'!$A$2:$A1001, "&gt;=2024-10-01", 'Form responses 1'!$A$2:$A1001, "&lt;=2024-12-31"),
    COUNTIFS('Form responses 1'!$F$2:$F1001, A101, 'Form responses 1'!$A$2:$A1001, "&gt;=2024-10-01", 'Form responses 1'!$A$2:$A1001, "&lt;=2024-12-31"),
    COUNTIFS('Form responses 1'!$G$2:$G1001, A101, 'Form responses 1'!$A$2:$A1001, "&gt;=2024-10-01", 'Form responses 1'!$A$2:$A1001, "&lt;=2024-12-31")
)
</f>
        <v>0</v>
      </c>
      <c r="M101" s="2">
        <f>SUM(
    COUNTIFS('Form responses 1'!$C$2:$C1001, A101, 'Form responses 1'!$A$2:$A1001, "&gt;=2025-01-01", 'Form responses 1'!$A$2:$A1001, "&lt;=2025-03-31"),
    COUNTIFS('Form responses 1'!$B$2:$B1001, A101, 'Form responses 1'!$A$2:$A1001, "&gt;=2025-01-01", 'Form responses 1'!$A$2:$A1001, "&lt;=2025-03-31"),
    COUNTIFS('Form responses 1'!$D$2:$D1001, A101, 'Form responses 1'!$A$2:$A1001, "&gt;=2025-01-01", 'Form responses 1'!$A$2:$A1001, "&lt;=2025-03-31"),
    COUNTIFS('Form responses 1'!$E$2:$E1001, A101, 'Form responses 1'!$A$2:$A1001, "&gt;=2025-01-01", 'Form responses 1'!$A$2:$A1001, "&lt;=2025-03-31"),
    COUNTIFS('Form responses 1'!$F$2:$F1001, A101, 'Form responses 1'!$A$2:$A1001, "&gt;=2025-01-01", 'Form responses 1'!$A$2:$A1001, "&lt;=2025-03-31"),
    COUNTIFS('Form responses 1'!$G$2:$G1001, A101, 'Form responses 1'!$A$2:$A1001, "&gt;=2025-01-01", 'Form responses 1'!$A$2:$A1001, "&lt;=2025-03-31")
)
</f>
        <v>0</v>
      </c>
      <c r="N101" s="2">
        <f>SUM(
    COUNTIFS('Form responses 1'!$C$2:$C1001, A101, 'Form responses 1'!$A$2:$A1001, "&gt;=2025-04-01", 'Form responses 1'!$A$2:$A1001, "&lt;2025-07-01"),
    COUNTIFS('Form responses 1'!$B$2:$B1001, A101, 'Form responses 1'!$A$2:$A1001, "&gt;=2025-04-01", 'Form responses 1'!$A$2:$A1001, "&lt;2025-07-01"),
    COUNTIFS('Form responses 1'!$D$2:$D1001, A101, 'Form responses 1'!$A$2:$A1001, "&gt;=2025-04-01", 'Form responses 1'!$A$2:$A1001, "&lt;2025-07-01"),
    COUNTIFS('Form responses 1'!$E$2:$E1001, A101, 'Form responses 1'!$A$2:$A1001, "&gt;=2025-04-01", 'Form responses 1'!$A$2:$A1001, "&lt;2025-07-01"),
    COUNTIFS('Form responses 1'!$F$2:$F1001, A101, 'Form responses 1'!$A$2:$A1001, "&gt;=2025-04-01", 'Form responses 1'!$A$2:$A1001, "&lt;2025-07-01"),
    COUNTIFS('Form responses 1'!$G$2:$G1001, A101, 'Form responses 1'!$A$2:$A1001, "&gt;=2025-04-01", 'Form responses 1'!$A$2:$A1001, "&lt;2025-07-01")
)
</f>
        <v>0</v>
      </c>
      <c r="O101" s="2">
        <f>SUM(
    COUNTIFS('Form responses 1'!$C$2:$C1001, A101, 'Form responses 1'!$A$2:$A1001, "&gt;=2025-07-01", 'Form responses 1'!$A$2:$A1001, "&lt;=2025-09-30"),
    COUNTIFS('Form responses 1'!$B$2:$B1001, A101, 'Form responses 1'!$A$2:$A1001, "&gt;=2025-07-01", 'Form responses 1'!$A$2:$A1001, "&lt;=2025-09-30"),
    COUNTIFS('Form responses 1'!$D$2:$D1001, A101, 'Form responses 1'!$A$2:$A1001, "&gt;=2025-07-01", 'Form responses 1'!$A$2:$A1001, "&lt;=2025-09-30"),
    COUNTIFS('Form responses 1'!$E$2:$E1001, A101, 'Form responses 1'!$A$2:$A1001, "&gt;=2025-07-01", 'Form responses 1'!$A$2:$A1001, "&lt;=2025-09-30"),
    COUNTIFS('Form responses 1'!$F$2:$F1001, A101, 'Form responses 1'!$A$2:$A1001, "&gt;=2025-07-01", 'Form responses 1'!$A$2:$A1001, "&lt;=2025-09-30"),
    COUNTIFS('Form responses 1'!$G$2:$G1001, A101, 'Form responses 1'!$A$2:$A1001, "&gt;=2025-07-01", 'Form responses 1'!$A$2:$A1001, "&lt;=2025-09-30")
)
</f>
        <v>6</v>
      </c>
      <c r="P101" s="2">
        <f>SUM(
    COUNTIFS('Form responses 1'!$C$2:$C1001, A101, 'Form responses 1'!$A$2:$A1001, "&gt;=2025-10-01", 'Form responses 1'!$A$2:$A1001, "&lt;=2025-12-31"),
    COUNTIFS('Form responses 1'!$B$2:$B1001, A101, 'Form responses 1'!$A$2:$A1001, "&gt;=2025-10-01", 'Form responses 1'!$A$2:$A1001, "&lt;=2025-12-31"),
    COUNTIFS('Form responses 1'!$D$2:$D1001, A101, 'Form responses 1'!$A$2:$A1001, "&gt;=2025-10-01", 'Form responses 1'!$A$2:$A1001, "&lt;=2025-12-31"),
    COUNTIFS('Form responses 1'!$E$2:$E1001, A101, 'Form responses 1'!$A$2:$A1001, "&gt;=2025-10-01", 'Form responses 1'!$A$2:$A1001, "&lt;=2025-12-31"),
    COUNTIFS('Form responses 1'!$F$2:$F1001, A101, 'Form responses 1'!$A$2:$A1001, "&gt;=2025-10-01", 'Form responses 1'!$A$2:$A1001, "&lt;=2025-12-31"),
    COUNTIFS('Form responses 1'!$G$2:$G1001, A101, 'Form responses 1'!$A$2:$A1001, "&gt;=2025-10-01", 'Form responses 1'!$A$2:$A1001, "&lt;=2025-12-31")
)
</f>
        <v>0</v>
      </c>
    </row>
    <row r="102">
      <c r="A102" s="3" t="str">
        <f>IFERROR(__xludf.DUMMYFUNCTION("""COMPUTED_VALUE"""),"Beige linnen overhemd Vanda Tailors")</f>
        <v>Beige linnen overhemd Vanda Tailors</v>
      </c>
      <c r="B102" s="2">
        <f>SUM(
    COUNTIFS('Form responses 1'!$C$2:$C1001, A102, 'Form responses 1'!$A$2:$A1001, "&gt;=2022-04-01", 'Form responses 1'!$A$2:$A1001, "&lt;=2022-06-30"),
    COUNTIFS('Form responses 1'!$B$2:$B1001, A102, 'Form responses 1'!$A$2:$A1001, "&gt;=2022-04-01", 'Form responses 1'!$A$2:$A1001, "&lt;=2022-06-30"),
    COUNTIFS('Form responses 1'!$D$2:$D1001, A102, 'Form responses 1'!$A$2:$A1001, "&gt;=2022-04-01", 'Form responses 1'!$A$2:$A1001, "&lt;=2022-06-30"),
    COUNTIFS('Form responses 1'!$E$2:$E1001, A102, 'Form responses 1'!$A$2:$A1001, "&gt;=2022-04-01", 'Form responses 1'!$A$2:$A1001, "&lt;=2022-06-30"),
    COUNTIFS('Form responses 1'!$F$2:$F1001, A102, 'Form responses 1'!$A$2:$A1001, "&gt;=2022-04-01", 'Form responses 1'!$A$2:$A1001, "&lt;=2022-06-30"),
    COUNTIFS('Form responses 1'!$G$2:$G1001, A102, 'Form responses 1'!$A$2:$A1001, "&gt;=2022-04-01", 'Form responses 1'!$A$2:$A1001, "&lt;=2022-06-30")
)
</f>
        <v>0</v>
      </c>
      <c r="C102" s="2">
        <f>SUM(
    COUNTIFS('Form responses 1'!$C$2:$C1001, A102, 'Form responses 1'!$A$2:$A1001, "&gt;=2022-07-01", 'Form responses 1'!$A$2:$A1001, "&lt;=2022-09-30"),
    COUNTIFS('Form responses 1'!$B$2:$B1001, A102, 'Form responses 1'!$A$2:$A1001, "&gt;=2022-07-01", 'Form responses 1'!$A$2:$A1001, "&lt;=2022-09-30"),
    COUNTIFS('Form responses 1'!$D$2:$D1001, A102, 'Form responses 1'!$A$2:$A1001, "&gt;=2022-07-01", 'Form responses 1'!$A$2:$A1001, "&lt;=2022-09-30"),
    COUNTIFS('Form responses 1'!$E$2:$E1001, A102, 'Form responses 1'!$A$2:$A1001, "&gt;=2022-07-01", 'Form responses 1'!$A$2:$A1001, "&lt;=2022-09-30"),
    COUNTIFS('Form responses 1'!$F$2:$F1001, A102, 'Form responses 1'!$A$2:$A1001, "&gt;=2022-07-01", 'Form responses 1'!$A$2:$A1001, "&lt;=2022-09-30"),
    COUNTIFS('Form responses 1'!$G$2:$G1001, A102, 'Form responses 1'!$A$2:$A1001, "&gt;=2022-07-01", 'Form responses 1'!$A$2:$A1001, "&lt;=2022-09-30")
)
</f>
        <v>0</v>
      </c>
      <c r="D102" s="2">
        <f>SUM(
    COUNTIFS('Form responses 1'!$C$2:$C1001, A102, 'Form responses 1'!$A$2:$A1001, "&gt;=2022-10-01", 'Form responses 1'!$A$2:$A1001, "&lt;=2022-12-31"),
    COUNTIFS('Form responses 1'!$B$2:$B1001, A102, 'Form responses 1'!$A$2:$A1001, "&gt;=2022-10-01", 'Form responses 1'!$A$2:$A1001, "&lt;=2022-12-31"),
    COUNTIFS('Form responses 1'!$D$2:$D1001, A102, 'Form responses 1'!$A$2:$A1001, "&gt;=2022-10-01", 'Form responses 1'!$A$2:$A1001, "&lt;=2022-12-31"),
    COUNTIFS('Form responses 1'!$E$2:$E1001, A102, 'Form responses 1'!$A$2:$A1001, "&gt;=2022-10-01", 'Form responses 1'!$A$2:$A1001, "&lt;=2022-12-31"),
    COUNTIFS('Form responses 1'!$F$2:$F1001, A102, 'Form responses 1'!$A$2:$A1001, "&gt;=2022-10-01", 'Form responses 1'!$A$2:$A1001, "&lt;=2022-12-31"),
    COUNTIFS('Form responses 1'!$G$2:$G1001, A102, 'Form responses 1'!$A$2:$A1001, "&gt;=2022-10-01", 'Form responses 1'!$A$2:$A1001, "&lt;=2022-12-31")
)
</f>
        <v>0</v>
      </c>
      <c r="E102" s="2">
        <f>SUM(
    COUNTIFS('Form responses 1'!$C$2:$C1001, A102, 'Form responses 1'!$A$2:$A1001, "&gt;=2023-01-01", 'Form responses 1'!$A$2:$A1001, "&lt;=2023-03-31"),
    COUNTIFS('Form responses 1'!$B$2:$B1001, A102, 'Form responses 1'!$A$2:$A1001, "&gt;=2023-01-01", 'Form responses 1'!$A$2:$A1001, "&lt;=2023-03-31"),
    COUNTIFS('Form responses 1'!$D$2:$D1001, A102, 'Form responses 1'!$A$2:$A1001, "&gt;=2023-01-01", 'Form responses 1'!$A$2:$A1001, "&lt;=2023-03-31"),
    COUNTIFS('Form responses 1'!$E$2:$E1001, A102, 'Form responses 1'!$A$2:$A1001, "&gt;=2023-01-01", 'Form responses 1'!$A$2:$A1001, "&lt;=2023-03-31"),
    COUNTIFS('Form responses 1'!$F$2:$F1001, A102, 'Form responses 1'!$A$2:$A1001, "&gt;=2023-01-01", 'Form responses 1'!$A$2:$A1001, "&lt;=2023-03-31"),
    COUNTIFS('Form responses 1'!$G$2:$G1001, A102, 'Form responses 1'!$A$2:$A1001, "&gt;=2023-01-01", 'Form responses 1'!$A$2:$A1001, "&lt;=2023-03-31")
)
</f>
        <v>0</v>
      </c>
      <c r="F102" s="2">
        <f>SUM(
    COUNTIFS('Form responses 1'!$C$2:$C1001, A102, 'Form responses 1'!$A$2:$A1001, "&gt;=2023-04-01", 'Form responses 1'!$A$2:$A1001, "&lt;=2023-06-30"),
    COUNTIFS('Form responses 1'!$B$2:$B1001, A102, 'Form responses 1'!$A$2:$A1001, "&gt;=2023-04-01", 'Form responses 1'!$A$2:$A1001, "&lt;=2023-06-30"),
    COUNTIFS('Form responses 1'!$D$2:$D1001, A102, 'Form responses 1'!$A$2:$A1001, "&gt;=2023-04-01", 'Form responses 1'!$A$2:$A1001, "&lt;=2023-06-30"),
    COUNTIFS('Form responses 1'!$E$2:$E1001, A102, 'Form responses 1'!$A$2:$A1001, "&gt;=2023-04-01", 'Form responses 1'!$A$2:$A1001, "&lt;=2023-06-30"),
    COUNTIFS('Form responses 1'!$F$2:$F1001, A102, 'Form responses 1'!$A$2:$A1001, "&gt;=2023-04-01", 'Form responses 1'!$A$2:$A1001, "&lt;=2023-06-30"),
    COUNTIFS('Form responses 1'!$G$2:$G1001, A102, 'Form responses 1'!$A$2:$A1001, "&gt;=2023-04-01", 'Form responses 1'!$A$2:$A1001, "&lt;=2023-06-30")
)
</f>
        <v>0</v>
      </c>
      <c r="G102" s="2">
        <f>SUM(
    COUNTIFS('Form responses 1'!$C$2:$C1001, A102, 'Form responses 1'!$A$2:$A1001, "&gt;=2023-07-01", 'Form responses 1'!$A$2:$A1001, "&lt;=2023-09-30"),
    COUNTIFS('Form responses 1'!$B$2:$B1001, A102, 'Form responses 1'!$A$2:$A1001, "&gt;=2023-07-01", 'Form responses 1'!$A$2:$A1001, "&lt;=2023-09-30"),
    COUNTIFS('Form responses 1'!$D$2:$D1001, A102, 'Form responses 1'!$A$2:$A1001, "&gt;=2023-07-01", 'Form responses 1'!$A$2:$A1001, "&lt;=2023-09-30"),
    COUNTIFS('Form responses 1'!$E$2:$E1001, A102, 'Form responses 1'!$A$2:$A1001, "&gt;=2023-07-01", 'Form responses 1'!$A$2:$A1001, "&lt;=2023-09-30"),
    COUNTIFS('Form responses 1'!$F$2:$F1001, A102, 'Form responses 1'!$A$2:$A1001, "&gt;=2023-07-01", 'Form responses 1'!$A$2:$A1001, "&lt;=2023-09-30"),
    COUNTIFS('Form responses 1'!$G$2:$G1001, A102, 'Form responses 1'!$A$2:$A1001, "&gt;=2023-07-01", 'Form responses 1'!$A$2:$A1001, "&lt;=2023-09-30")
)
</f>
        <v>0</v>
      </c>
      <c r="H102" s="2">
        <f>SUM(
    COUNTIFS('Form responses 1'!$C$2:$C1001, A102, 'Form responses 1'!$A$2:$A1001, "&gt;=2023-10-01", 'Form responses 1'!$A$2:$A1001, "&lt;=2023-12-31"),
    COUNTIFS('Form responses 1'!$B$2:$B1001, A102, 'Form responses 1'!$A$2:$A1001, "&gt;=2023-10-01", 'Form responses 1'!$A$2:$A1001, "&lt;=2023-12-31"),
    COUNTIFS('Form responses 1'!$D$2:$D1001, A102, 'Form responses 1'!$A$2:$A1001, "&gt;=2023-10-01", 'Form responses 1'!$A$2:$A1001, "&lt;=2023-12-31"),
    COUNTIFS('Form responses 1'!$E$2:$E1001, A102, 'Form responses 1'!$A$2:$A1001, "&gt;=2023-10-01", 'Form responses 1'!$A$2:$A1001, "&lt;=2023-12-31"),
    COUNTIFS('Form responses 1'!$F$2:$F1001, A102, 'Form responses 1'!$A$2:$A1001, "&gt;=2023-10-01", 'Form responses 1'!$A$2:$A1001, "&lt;=2023-12-31"),
    COUNTIFS('Form responses 1'!$G$2:$G1001, A102, 'Form responses 1'!$A$2:$A1001, "&gt;=2023-10-01", 'Form responses 1'!$A$2:$A1001, "&lt;=2023-12-31")
)
</f>
        <v>0</v>
      </c>
      <c r="I102" s="2">
        <f>SUM(
    COUNTIFS('Form responses 1'!$C$2:$C1001, A102, 'Form responses 1'!$A$2:$A1001, "&gt;=2024-01-01", 'Form responses 1'!$A$2:$A1001, "&lt;=2024-03-31"),
    COUNTIFS('Form responses 1'!$B$2:$B1001, A102, 'Form responses 1'!$A$2:$A1001, "&gt;=2024-01-01", 'Form responses 1'!$A$2:$A1001, "&lt;=2024-03-31"),
    COUNTIFS('Form responses 1'!$D$2:$D1001, A102, 'Form responses 1'!$A$2:$A1001, "&gt;=2024-01-01", 'Form responses 1'!$A$2:$A1001, "&lt;=2024-03-31"),
    COUNTIFS('Form responses 1'!$E$2:$E1001, A102, 'Form responses 1'!$A$2:$A1001, "&gt;=2024-01-01", 'Form responses 1'!$A$2:$A1001, "&lt;=2024-03-31"),
    COUNTIFS('Form responses 1'!$F$2:$F1001, A102, 'Form responses 1'!$A$2:$A1001, "&gt;=2024-01-01", 'Form responses 1'!$A$2:$A1001, "&lt;=2024-03-31"),
    COUNTIFS('Form responses 1'!$G$2:$G1001, A102, 'Form responses 1'!$A$2:$A1001, "&gt;=2024-01-01", 'Form responses 1'!$A$2:$A1001, "&lt;=2024-03-31")
)
</f>
        <v>0</v>
      </c>
      <c r="J102" s="2">
        <f>SUM(
    COUNTIFS('Form responses 1'!$C$2:$C1001, A102, 'Form responses 1'!$A$2:$A1001, "&gt;=2024-04-01", 'Form responses 1'!$A$2:$A1001, "&lt;=2024-06-30"),
    COUNTIFS('Form responses 1'!$B$2:$B1001, A102, 'Form responses 1'!$A$2:$A1001, "&gt;=2024-04-01", 'Form responses 1'!$A$2:$A1001, "&lt;=2024-06-30"),
    COUNTIFS('Form responses 1'!$D$2:$D1001, A102, 'Form responses 1'!$A$2:$A1001, "&gt;=2024-04-01", 'Form responses 1'!$A$2:$A1001, "&lt;=2024-06-30"),
    COUNTIFS('Form responses 1'!$E$2:$E1001, A102, 'Form responses 1'!$A$2:$A1001, "&gt;=2024-04-01", 'Form responses 1'!$A$2:$A1001, "&lt;=2024-06-30"),
    COUNTIFS('Form responses 1'!$F$2:$F1001, A102, 'Form responses 1'!$A$2:$A1001, "&gt;=2024-04-01", 'Form responses 1'!$A$2:$A1001, "&lt;=2024-06-30"),
    COUNTIFS('Form responses 1'!$G$2:$G1001, A102, 'Form responses 1'!$A$2:$A1001, "&gt;=2024-04-01", 'Form responses 1'!$A$2:$A1001, "&lt;=2024-06-30")
)
</f>
        <v>0</v>
      </c>
      <c r="K102" s="2">
        <f>SUM(
    COUNTIFS('Form responses 1'!$C$2:$C1001, A102, 'Form responses 1'!$A$2:$A1001, "&gt;=2024-07-01", 'Form responses 1'!$A$2:$A1001, "&lt;=2024-09-30"),
    COUNTIFS('Form responses 1'!$B$2:$B1001, A102, 'Form responses 1'!$A$2:$A1001, "&gt;=2024-07-01", 'Form responses 1'!$A$2:$A1001, "&lt;=2024-09-30"),
    COUNTIFS('Form responses 1'!$D$2:$D1001, A102, 'Form responses 1'!$A$2:$A1001, "&gt;=2024-07-01", 'Form responses 1'!$A$2:$A1001, "&lt;=2024-09-30"),
    COUNTIFS('Form responses 1'!$E$2:$E1001, A102, 'Form responses 1'!$A$2:$A1001, "&gt;=2024-07-01", 'Form responses 1'!$A$2:$A1001, "&lt;=2024-09-30"),
    COUNTIFS('Form responses 1'!$F$2:$F1001, A102, 'Form responses 1'!$A$2:$A1001, "&gt;=2024-07-01", 'Form responses 1'!$A$2:$A1001, "&lt;=2024-09-30"),
    COUNTIFS('Form responses 1'!$G$2:$G1001, A102, 'Form responses 1'!$A$2:$A1001, "&gt;=2024-07-01", 'Form responses 1'!$A$2:$A1001, "&lt;=2024-09-30")
)
</f>
        <v>0</v>
      </c>
      <c r="L102" s="2">
        <f>SUM(
    COUNTIFS('Form responses 1'!$C$2:$C1001, A102, 'Form responses 1'!$A$2:$A1001, "&gt;=2024-10-01", 'Form responses 1'!$A$2:$A1001, "&lt;=2024-12-31"),
    COUNTIFS('Form responses 1'!$B$2:$B1001, A102, 'Form responses 1'!$A$2:$A1001, "&gt;=2024-10-01", 'Form responses 1'!$A$2:$A1001, "&lt;=2024-12-31"),
    COUNTIFS('Form responses 1'!$D$2:$D1001, A102, 'Form responses 1'!$A$2:$A1001, "&gt;=2024-10-01", 'Form responses 1'!$A$2:$A1001, "&lt;=2024-12-31"),
    COUNTIFS('Form responses 1'!$E$2:$E1001, A102, 'Form responses 1'!$A$2:$A1001, "&gt;=2024-10-01", 'Form responses 1'!$A$2:$A1001, "&lt;=2024-12-31"),
    COUNTIFS('Form responses 1'!$F$2:$F1001, A102, 'Form responses 1'!$A$2:$A1001, "&gt;=2024-10-01", 'Form responses 1'!$A$2:$A1001, "&lt;=2024-12-31"),
    COUNTIFS('Form responses 1'!$G$2:$G1001, A102, 'Form responses 1'!$A$2:$A1001, "&gt;=2024-10-01", 'Form responses 1'!$A$2:$A1001, "&lt;=2024-12-31")
)
</f>
        <v>0</v>
      </c>
      <c r="M102" s="2">
        <f>SUM(
    COUNTIFS('Form responses 1'!$C$2:$C1001, A102, 'Form responses 1'!$A$2:$A1001, "&gt;=2025-01-01", 'Form responses 1'!$A$2:$A1001, "&lt;=2025-03-31"),
    COUNTIFS('Form responses 1'!$B$2:$B1001, A102, 'Form responses 1'!$A$2:$A1001, "&gt;=2025-01-01", 'Form responses 1'!$A$2:$A1001, "&lt;=2025-03-31"),
    COUNTIFS('Form responses 1'!$D$2:$D1001, A102, 'Form responses 1'!$A$2:$A1001, "&gt;=2025-01-01", 'Form responses 1'!$A$2:$A1001, "&lt;=2025-03-31"),
    COUNTIFS('Form responses 1'!$E$2:$E1001, A102, 'Form responses 1'!$A$2:$A1001, "&gt;=2025-01-01", 'Form responses 1'!$A$2:$A1001, "&lt;=2025-03-31"),
    COUNTIFS('Form responses 1'!$F$2:$F1001, A102, 'Form responses 1'!$A$2:$A1001, "&gt;=2025-01-01", 'Form responses 1'!$A$2:$A1001, "&lt;=2025-03-31"),
    COUNTIFS('Form responses 1'!$G$2:$G1001, A102, 'Form responses 1'!$A$2:$A1001, "&gt;=2025-01-01", 'Form responses 1'!$A$2:$A1001, "&lt;=2025-03-31")
)
</f>
        <v>0</v>
      </c>
      <c r="N102" s="2">
        <f>SUM(
    COUNTIFS('Form responses 1'!$C$2:$C1001, A102, 'Form responses 1'!$A$2:$A1001, "&gt;=2025-04-01", 'Form responses 1'!$A$2:$A1001, "&lt;2025-07-01"),
    COUNTIFS('Form responses 1'!$B$2:$B1001, A102, 'Form responses 1'!$A$2:$A1001, "&gt;=2025-04-01", 'Form responses 1'!$A$2:$A1001, "&lt;2025-07-01"),
    COUNTIFS('Form responses 1'!$D$2:$D1001, A102, 'Form responses 1'!$A$2:$A1001, "&gt;=2025-04-01", 'Form responses 1'!$A$2:$A1001, "&lt;2025-07-01"),
    COUNTIFS('Form responses 1'!$E$2:$E1001, A102, 'Form responses 1'!$A$2:$A1001, "&gt;=2025-04-01", 'Form responses 1'!$A$2:$A1001, "&lt;2025-07-01"),
    COUNTIFS('Form responses 1'!$F$2:$F1001, A102, 'Form responses 1'!$A$2:$A1001, "&gt;=2025-04-01", 'Form responses 1'!$A$2:$A1001, "&lt;2025-07-01"),
    COUNTIFS('Form responses 1'!$G$2:$G1001, A102, 'Form responses 1'!$A$2:$A1001, "&gt;=2025-04-01", 'Form responses 1'!$A$2:$A1001, "&lt;2025-07-01")
)
</f>
        <v>0</v>
      </c>
      <c r="O102" s="2">
        <f>SUM(
    COUNTIFS('Form responses 1'!$C$2:$C1001, A102, 'Form responses 1'!$A$2:$A1001, "&gt;=2025-07-01", 'Form responses 1'!$A$2:$A1001, "&lt;=2025-09-30"),
    COUNTIFS('Form responses 1'!$B$2:$B1001, A102, 'Form responses 1'!$A$2:$A1001, "&gt;=2025-07-01", 'Form responses 1'!$A$2:$A1001, "&lt;=2025-09-30"),
    COUNTIFS('Form responses 1'!$D$2:$D1001, A102, 'Form responses 1'!$A$2:$A1001, "&gt;=2025-07-01", 'Form responses 1'!$A$2:$A1001, "&lt;=2025-09-30"),
    COUNTIFS('Form responses 1'!$E$2:$E1001, A102, 'Form responses 1'!$A$2:$A1001, "&gt;=2025-07-01", 'Form responses 1'!$A$2:$A1001, "&lt;=2025-09-30"),
    COUNTIFS('Form responses 1'!$F$2:$F1001, A102, 'Form responses 1'!$A$2:$A1001, "&gt;=2025-07-01", 'Form responses 1'!$A$2:$A1001, "&lt;=2025-09-30"),
    COUNTIFS('Form responses 1'!$G$2:$G1001, A102, 'Form responses 1'!$A$2:$A1001, "&gt;=2025-07-01", 'Form responses 1'!$A$2:$A1001, "&lt;=2025-09-30")
)
</f>
        <v>1</v>
      </c>
      <c r="P102" s="2">
        <f>SUM(
    COUNTIFS('Form responses 1'!$C$2:$C1001, A102, 'Form responses 1'!$A$2:$A1001, "&gt;=2025-10-01", 'Form responses 1'!$A$2:$A1001, "&lt;=2025-12-31"),
    COUNTIFS('Form responses 1'!$B$2:$B1001, A102, 'Form responses 1'!$A$2:$A1001, "&gt;=2025-10-01", 'Form responses 1'!$A$2:$A1001, "&lt;=2025-12-31"),
    COUNTIFS('Form responses 1'!$D$2:$D1001, A102, 'Form responses 1'!$A$2:$A1001, "&gt;=2025-10-01", 'Form responses 1'!$A$2:$A1001, "&lt;=2025-12-31"),
    COUNTIFS('Form responses 1'!$E$2:$E1001, A102, 'Form responses 1'!$A$2:$A1001, "&gt;=2025-10-01", 'Form responses 1'!$A$2:$A1001, "&lt;=2025-12-31"),
    COUNTIFS('Form responses 1'!$F$2:$F1001, A102, 'Form responses 1'!$A$2:$A1001, "&gt;=2025-10-01", 'Form responses 1'!$A$2:$A1001, "&lt;=2025-12-31"),
    COUNTIFS('Form responses 1'!$G$2:$G1001, A102, 'Form responses 1'!$A$2:$A1001, "&gt;=2025-10-01", 'Form responses 1'!$A$2:$A1001, "&lt;=2025-12-31")
)
</f>
        <v>0</v>
      </c>
    </row>
    <row r="103">
      <c r="A103" s="3" t="str">
        <f>IFERROR(__xludf.DUMMYFUNCTION("""COMPUTED_VALUE"""),"Wit overhemd Vanda Tailors")</f>
        <v>Wit overhemd Vanda Tailors</v>
      </c>
      <c r="B103" s="2">
        <f>SUM(
    COUNTIFS('Form responses 1'!$C$2:$C1001, A103, 'Form responses 1'!$A$2:$A1001, "&gt;=2022-04-01", 'Form responses 1'!$A$2:$A1001, "&lt;=2022-06-30"),
    COUNTIFS('Form responses 1'!$B$2:$B1001, A103, 'Form responses 1'!$A$2:$A1001, "&gt;=2022-04-01", 'Form responses 1'!$A$2:$A1001, "&lt;=2022-06-30"),
    COUNTIFS('Form responses 1'!$D$2:$D1001, A103, 'Form responses 1'!$A$2:$A1001, "&gt;=2022-04-01", 'Form responses 1'!$A$2:$A1001, "&lt;=2022-06-30"),
    COUNTIFS('Form responses 1'!$E$2:$E1001, A103, 'Form responses 1'!$A$2:$A1001, "&gt;=2022-04-01", 'Form responses 1'!$A$2:$A1001, "&lt;=2022-06-30"),
    COUNTIFS('Form responses 1'!$F$2:$F1001, A103, 'Form responses 1'!$A$2:$A1001, "&gt;=2022-04-01", 'Form responses 1'!$A$2:$A1001, "&lt;=2022-06-30"),
    COUNTIFS('Form responses 1'!$G$2:$G1001, A103, 'Form responses 1'!$A$2:$A1001, "&gt;=2022-04-01", 'Form responses 1'!$A$2:$A1001, "&lt;=2022-06-30")
)
</f>
        <v>0</v>
      </c>
      <c r="C103" s="2">
        <f>SUM(
    COUNTIFS('Form responses 1'!$C$2:$C1001, A103, 'Form responses 1'!$A$2:$A1001, "&gt;=2022-07-01", 'Form responses 1'!$A$2:$A1001, "&lt;=2022-09-30"),
    COUNTIFS('Form responses 1'!$B$2:$B1001, A103, 'Form responses 1'!$A$2:$A1001, "&gt;=2022-07-01", 'Form responses 1'!$A$2:$A1001, "&lt;=2022-09-30"),
    COUNTIFS('Form responses 1'!$D$2:$D1001, A103, 'Form responses 1'!$A$2:$A1001, "&gt;=2022-07-01", 'Form responses 1'!$A$2:$A1001, "&lt;=2022-09-30"),
    COUNTIFS('Form responses 1'!$E$2:$E1001, A103, 'Form responses 1'!$A$2:$A1001, "&gt;=2022-07-01", 'Form responses 1'!$A$2:$A1001, "&lt;=2022-09-30"),
    COUNTIFS('Form responses 1'!$F$2:$F1001, A103, 'Form responses 1'!$A$2:$A1001, "&gt;=2022-07-01", 'Form responses 1'!$A$2:$A1001, "&lt;=2022-09-30"),
    COUNTIFS('Form responses 1'!$G$2:$G1001, A103, 'Form responses 1'!$A$2:$A1001, "&gt;=2022-07-01", 'Form responses 1'!$A$2:$A1001, "&lt;=2022-09-30")
)
</f>
        <v>0</v>
      </c>
      <c r="D103" s="2">
        <f>SUM(
    COUNTIFS('Form responses 1'!$C$2:$C1001, A103, 'Form responses 1'!$A$2:$A1001, "&gt;=2022-10-01", 'Form responses 1'!$A$2:$A1001, "&lt;=2022-12-31"),
    COUNTIFS('Form responses 1'!$B$2:$B1001, A103, 'Form responses 1'!$A$2:$A1001, "&gt;=2022-10-01", 'Form responses 1'!$A$2:$A1001, "&lt;=2022-12-31"),
    COUNTIFS('Form responses 1'!$D$2:$D1001, A103, 'Form responses 1'!$A$2:$A1001, "&gt;=2022-10-01", 'Form responses 1'!$A$2:$A1001, "&lt;=2022-12-31"),
    COUNTIFS('Form responses 1'!$E$2:$E1001, A103, 'Form responses 1'!$A$2:$A1001, "&gt;=2022-10-01", 'Form responses 1'!$A$2:$A1001, "&lt;=2022-12-31"),
    COUNTIFS('Form responses 1'!$F$2:$F1001, A103, 'Form responses 1'!$A$2:$A1001, "&gt;=2022-10-01", 'Form responses 1'!$A$2:$A1001, "&lt;=2022-12-31"),
    COUNTIFS('Form responses 1'!$G$2:$G1001, A103, 'Form responses 1'!$A$2:$A1001, "&gt;=2022-10-01", 'Form responses 1'!$A$2:$A1001, "&lt;=2022-12-31")
)
</f>
        <v>0</v>
      </c>
      <c r="E103" s="2">
        <f>SUM(
    COUNTIFS('Form responses 1'!$C$2:$C1001, A103, 'Form responses 1'!$A$2:$A1001, "&gt;=2023-01-01", 'Form responses 1'!$A$2:$A1001, "&lt;=2023-03-31"),
    COUNTIFS('Form responses 1'!$B$2:$B1001, A103, 'Form responses 1'!$A$2:$A1001, "&gt;=2023-01-01", 'Form responses 1'!$A$2:$A1001, "&lt;=2023-03-31"),
    COUNTIFS('Form responses 1'!$D$2:$D1001, A103, 'Form responses 1'!$A$2:$A1001, "&gt;=2023-01-01", 'Form responses 1'!$A$2:$A1001, "&lt;=2023-03-31"),
    COUNTIFS('Form responses 1'!$E$2:$E1001, A103, 'Form responses 1'!$A$2:$A1001, "&gt;=2023-01-01", 'Form responses 1'!$A$2:$A1001, "&lt;=2023-03-31"),
    COUNTIFS('Form responses 1'!$F$2:$F1001, A103, 'Form responses 1'!$A$2:$A1001, "&gt;=2023-01-01", 'Form responses 1'!$A$2:$A1001, "&lt;=2023-03-31"),
    COUNTIFS('Form responses 1'!$G$2:$G1001, A103, 'Form responses 1'!$A$2:$A1001, "&gt;=2023-01-01", 'Form responses 1'!$A$2:$A1001, "&lt;=2023-03-31")
)
</f>
        <v>0</v>
      </c>
      <c r="F103" s="2">
        <f>SUM(
    COUNTIFS('Form responses 1'!$C$2:$C1001, A103, 'Form responses 1'!$A$2:$A1001, "&gt;=2023-04-01", 'Form responses 1'!$A$2:$A1001, "&lt;=2023-06-30"),
    COUNTIFS('Form responses 1'!$B$2:$B1001, A103, 'Form responses 1'!$A$2:$A1001, "&gt;=2023-04-01", 'Form responses 1'!$A$2:$A1001, "&lt;=2023-06-30"),
    COUNTIFS('Form responses 1'!$D$2:$D1001, A103, 'Form responses 1'!$A$2:$A1001, "&gt;=2023-04-01", 'Form responses 1'!$A$2:$A1001, "&lt;=2023-06-30"),
    COUNTIFS('Form responses 1'!$E$2:$E1001, A103, 'Form responses 1'!$A$2:$A1001, "&gt;=2023-04-01", 'Form responses 1'!$A$2:$A1001, "&lt;=2023-06-30"),
    COUNTIFS('Form responses 1'!$F$2:$F1001, A103, 'Form responses 1'!$A$2:$A1001, "&gt;=2023-04-01", 'Form responses 1'!$A$2:$A1001, "&lt;=2023-06-30"),
    COUNTIFS('Form responses 1'!$G$2:$G1001, A103, 'Form responses 1'!$A$2:$A1001, "&gt;=2023-04-01", 'Form responses 1'!$A$2:$A1001, "&lt;=2023-06-30")
)
</f>
        <v>0</v>
      </c>
      <c r="G103" s="2">
        <f>SUM(
    COUNTIFS('Form responses 1'!$C$2:$C1001, A103, 'Form responses 1'!$A$2:$A1001, "&gt;=2023-07-01", 'Form responses 1'!$A$2:$A1001, "&lt;=2023-09-30"),
    COUNTIFS('Form responses 1'!$B$2:$B1001, A103, 'Form responses 1'!$A$2:$A1001, "&gt;=2023-07-01", 'Form responses 1'!$A$2:$A1001, "&lt;=2023-09-30"),
    COUNTIFS('Form responses 1'!$D$2:$D1001, A103, 'Form responses 1'!$A$2:$A1001, "&gt;=2023-07-01", 'Form responses 1'!$A$2:$A1001, "&lt;=2023-09-30"),
    COUNTIFS('Form responses 1'!$E$2:$E1001, A103, 'Form responses 1'!$A$2:$A1001, "&gt;=2023-07-01", 'Form responses 1'!$A$2:$A1001, "&lt;=2023-09-30"),
    COUNTIFS('Form responses 1'!$F$2:$F1001, A103, 'Form responses 1'!$A$2:$A1001, "&gt;=2023-07-01", 'Form responses 1'!$A$2:$A1001, "&lt;=2023-09-30"),
    COUNTIFS('Form responses 1'!$G$2:$G1001, A103, 'Form responses 1'!$A$2:$A1001, "&gt;=2023-07-01", 'Form responses 1'!$A$2:$A1001, "&lt;=2023-09-30")
)
</f>
        <v>0</v>
      </c>
      <c r="H103" s="2">
        <f>SUM(
    COUNTIFS('Form responses 1'!$C$2:$C1001, A103, 'Form responses 1'!$A$2:$A1001, "&gt;=2023-10-01", 'Form responses 1'!$A$2:$A1001, "&lt;=2023-12-31"),
    COUNTIFS('Form responses 1'!$B$2:$B1001, A103, 'Form responses 1'!$A$2:$A1001, "&gt;=2023-10-01", 'Form responses 1'!$A$2:$A1001, "&lt;=2023-12-31"),
    COUNTIFS('Form responses 1'!$D$2:$D1001, A103, 'Form responses 1'!$A$2:$A1001, "&gt;=2023-10-01", 'Form responses 1'!$A$2:$A1001, "&lt;=2023-12-31"),
    COUNTIFS('Form responses 1'!$E$2:$E1001, A103, 'Form responses 1'!$A$2:$A1001, "&gt;=2023-10-01", 'Form responses 1'!$A$2:$A1001, "&lt;=2023-12-31"),
    COUNTIFS('Form responses 1'!$F$2:$F1001, A103, 'Form responses 1'!$A$2:$A1001, "&gt;=2023-10-01", 'Form responses 1'!$A$2:$A1001, "&lt;=2023-12-31"),
    COUNTIFS('Form responses 1'!$G$2:$G1001, A103, 'Form responses 1'!$A$2:$A1001, "&gt;=2023-10-01", 'Form responses 1'!$A$2:$A1001, "&lt;=2023-12-31")
)
</f>
        <v>0</v>
      </c>
      <c r="I103" s="2">
        <f>SUM(
    COUNTIFS('Form responses 1'!$C$2:$C1001, A103, 'Form responses 1'!$A$2:$A1001, "&gt;=2024-01-01", 'Form responses 1'!$A$2:$A1001, "&lt;=2024-03-31"),
    COUNTIFS('Form responses 1'!$B$2:$B1001, A103, 'Form responses 1'!$A$2:$A1001, "&gt;=2024-01-01", 'Form responses 1'!$A$2:$A1001, "&lt;=2024-03-31"),
    COUNTIFS('Form responses 1'!$D$2:$D1001, A103, 'Form responses 1'!$A$2:$A1001, "&gt;=2024-01-01", 'Form responses 1'!$A$2:$A1001, "&lt;=2024-03-31"),
    COUNTIFS('Form responses 1'!$E$2:$E1001, A103, 'Form responses 1'!$A$2:$A1001, "&gt;=2024-01-01", 'Form responses 1'!$A$2:$A1001, "&lt;=2024-03-31"),
    COUNTIFS('Form responses 1'!$F$2:$F1001, A103, 'Form responses 1'!$A$2:$A1001, "&gt;=2024-01-01", 'Form responses 1'!$A$2:$A1001, "&lt;=2024-03-31"),
    COUNTIFS('Form responses 1'!$G$2:$G1001, A103, 'Form responses 1'!$A$2:$A1001, "&gt;=2024-01-01", 'Form responses 1'!$A$2:$A1001, "&lt;=2024-03-31")
)
</f>
        <v>0</v>
      </c>
      <c r="J103" s="2">
        <f>SUM(
    COUNTIFS('Form responses 1'!$C$2:$C1001, A103, 'Form responses 1'!$A$2:$A1001, "&gt;=2024-04-01", 'Form responses 1'!$A$2:$A1001, "&lt;=2024-06-30"),
    COUNTIFS('Form responses 1'!$B$2:$B1001, A103, 'Form responses 1'!$A$2:$A1001, "&gt;=2024-04-01", 'Form responses 1'!$A$2:$A1001, "&lt;=2024-06-30"),
    COUNTIFS('Form responses 1'!$D$2:$D1001, A103, 'Form responses 1'!$A$2:$A1001, "&gt;=2024-04-01", 'Form responses 1'!$A$2:$A1001, "&lt;=2024-06-30"),
    COUNTIFS('Form responses 1'!$E$2:$E1001, A103, 'Form responses 1'!$A$2:$A1001, "&gt;=2024-04-01", 'Form responses 1'!$A$2:$A1001, "&lt;=2024-06-30"),
    COUNTIFS('Form responses 1'!$F$2:$F1001, A103, 'Form responses 1'!$A$2:$A1001, "&gt;=2024-04-01", 'Form responses 1'!$A$2:$A1001, "&lt;=2024-06-30"),
    COUNTIFS('Form responses 1'!$G$2:$G1001, A103, 'Form responses 1'!$A$2:$A1001, "&gt;=2024-04-01", 'Form responses 1'!$A$2:$A1001, "&lt;=2024-06-30")
)
</f>
        <v>0</v>
      </c>
      <c r="K103" s="2">
        <f>SUM(
    COUNTIFS('Form responses 1'!$C$2:$C1001, A103, 'Form responses 1'!$A$2:$A1001, "&gt;=2024-07-01", 'Form responses 1'!$A$2:$A1001, "&lt;=2024-09-30"),
    COUNTIFS('Form responses 1'!$B$2:$B1001, A103, 'Form responses 1'!$A$2:$A1001, "&gt;=2024-07-01", 'Form responses 1'!$A$2:$A1001, "&lt;=2024-09-30"),
    COUNTIFS('Form responses 1'!$D$2:$D1001, A103, 'Form responses 1'!$A$2:$A1001, "&gt;=2024-07-01", 'Form responses 1'!$A$2:$A1001, "&lt;=2024-09-30"),
    COUNTIFS('Form responses 1'!$E$2:$E1001, A103, 'Form responses 1'!$A$2:$A1001, "&gt;=2024-07-01", 'Form responses 1'!$A$2:$A1001, "&lt;=2024-09-30"),
    COUNTIFS('Form responses 1'!$F$2:$F1001, A103, 'Form responses 1'!$A$2:$A1001, "&gt;=2024-07-01", 'Form responses 1'!$A$2:$A1001, "&lt;=2024-09-30"),
    COUNTIFS('Form responses 1'!$G$2:$G1001, A103, 'Form responses 1'!$A$2:$A1001, "&gt;=2024-07-01", 'Form responses 1'!$A$2:$A1001, "&lt;=2024-09-30")
)
</f>
        <v>0</v>
      </c>
      <c r="L103" s="2">
        <f>SUM(
    COUNTIFS('Form responses 1'!$C$2:$C1001, A103, 'Form responses 1'!$A$2:$A1001, "&gt;=2024-10-01", 'Form responses 1'!$A$2:$A1001, "&lt;=2024-12-31"),
    COUNTIFS('Form responses 1'!$B$2:$B1001, A103, 'Form responses 1'!$A$2:$A1001, "&gt;=2024-10-01", 'Form responses 1'!$A$2:$A1001, "&lt;=2024-12-31"),
    COUNTIFS('Form responses 1'!$D$2:$D1001, A103, 'Form responses 1'!$A$2:$A1001, "&gt;=2024-10-01", 'Form responses 1'!$A$2:$A1001, "&lt;=2024-12-31"),
    COUNTIFS('Form responses 1'!$E$2:$E1001, A103, 'Form responses 1'!$A$2:$A1001, "&gt;=2024-10-01", 'Form responses 1'!$A$2:$A1001, "&lt;=2024-12-31"),
    COUNTIFS('Form responses 1'!$F$2:$F1001, A103, 'Form responses 1'!$A$2:$A1001, "&gt;=2024-10-01", 'Form responses 1'!$A$2:$A1001, "&lt;=2024-12-31"),
    COUNTIFS('Form responses 1'!$G$2:$G1001, A103, 'Form responses 1'!$A$2:$A1001, "&gt;=2024-10-01", 'Form responses 1'!$A$2:$A1001, "&lt;=2024-12-31")
)
</f>
        <v>0</v>
      </c>
      <c r="M103" s="2">
        <f>SUM(
    COUNTIFS('Form responses 1'!$C$2:$C1001, A103, 'Form responses 1'!$A$2:$A1001, "&gt;=2025-01-01", 'Form responses 1'!$A$2:$A1001, "&lt;=2025-03-31"),
    COUNTIFS('Form responses 1'!$B$2:$B1001, A103, 'Form responses 1'!$A$2:$A1001, "&gt;=2025-01-01", 'Form responses 1'!$A$2:$A1001, "&lt;=2025-03-31"),
    COUNTIFS('Form responses 1'!$D$2:$D1001, A103, 'Form responses 1'!$A$2:$A1001, "&gt;=2025-01-01", 'Form responses 1'!$A$2:$A1001, "&lt;=2025-03-31"),
    COUNTIFS('Form responses 1'!$E$2:$E1001, A103, 'Form responses 1'!$A$2:$A1001, "&gt;=2025-01-01", 'Form responses 1'!$A$2:$A1001, "&lt;=2025-03-31"),
    COUNTIFS('Form responses 1'!$F$2:$F1001, A103, 'Form responses 1'!$A$2:$A1001, "&gt;=2025-01-01", 'Form responses 1'!$A$2:$A1001, "&lt;=2025-03-31"),
    COUNTIFS('Form responses 1'!$G$2:$G1001, A103, 'Form responses 1'!$A$2:$A1001, "&gt;=2025-01-01", 'Form responses 1'!$A$2:$A1001, "&lt;=2025-03-31")
)
</f>
        <v>0</v>
      </c>
      <c r="N103" s="2">
        <f>SUM(
    COUNTIFS('Form responses 1'!$C$2:$C1001, A103, 'Form responses 1'!$A$2:$A1001, "&gt;=2025-04-01", 'Form responses 1'!$A$2:$A1001, "&lt;2025-07-01"),
    COUNTIFS('Form responses 1'!$B$2:$B1001, A103, 'Form responses 1'!$A$2:$A1001, "&gt;=2025-04-01", 'Form responses 1'!$A$2:$A1001, "&lt;2025-07-01"),
    COUNTIFS('Form responses 1'!$D$2:$D1001, A103, 'Form responses 1'!$A$2:$A1001, "&gt;=2025-04-01", 'Form responses 1'!$A$2:$A1001, "&lt;2025-07-01"),
    COUNTIFS('Form responses 1'!$E$2:$E1001, A103, 'Form responses 1'!$A$2:$A1001, "&gt;=2025-04-01", 'Form responses 1'!$A$2:$A1001, "&lt;2025-07-01"),
    COUNTIFS('Form responses 1'!$F$2:$F1001, A103, 'Form responses 1'!$A$2:$A1001, "&gt;=2025-04-01", 'Form responses 1'!$A$2:$A1001, "&lt;2025-07-01"),
    COUNTIFS('Form responses 1'!$G$2:$G1001, A103, 'Form responses 1'!$A$2:$A1001, "&gt;=2025-04-01", 'Form responses 1'!$A$2:$A1001, "&lt;2025-07-01")
)
</f>
        <v>0</v>
      </c>
      <c r="O103" s="2">
        <f>SUM(
    COUNTIFS('Form responses 1'!$C$2:$C1001, A103, 'Form responses 1'!$A$2:$A1001, "&gt;=2025-07-01", 'Form responses 1'!$A$2:$A1001, "&lt;=2025-09-30"),
    COUNTIFS('Form responses 1'!$B$2:$B1001, A103, 'Form responses 1'!$A$2:$A1001, "&gt;=2025-07-01", 'Form responses 1'!$A$2:$A1001, "&lt;=2025-09-30"),
    COUNTIFS('Form responses 1'!$D$2:$D1001, A103, 'Form responses 1'!$A$2:$A1001, "&gt;=2025-07-01", 'Form responses 1'!$A$2:$A1001, "&lt;=2025-09-30"),
    COUNTIFS('Form responses 1'!$E$2:$E1001, A103, 'Form responses 1'!$A$2:$A1001, "&gt;=2025-07-01", 'Form responses 1'!$A$2:$A1001, "&lt;=2025-09-30"),
    COUNTIFS('Form responses 1'!$F$2:$F1001, A103, 'Form responses 1'!$A$2:$A1001, "&gt;=2025-07-01", 'Form responses 1'!$A$2:$A1001, "&lt;=2025-09-30"),
    COUNTIFS('Form responses 1'!$G$2:$G1001, A103, 'Form responses 1'!$A$2:$A1001, "&gt;=2025-07-01", 'Form responses 1'!$A$2:$A1001, "&lt;=2025-09-30")
)
</f>
        <v>0</v>
      </c>
      <c r="P103" s="2">
        <f>SUM(
    COUNTIFS('Form responses 1'!$C$2:$C1001, A103, 'Form responses 1'!$A$2:$A1001, "&gt;=2025-10-01", 'Form responses 1'!$A$2:$A1001, "&lt;=2025-12-31"),
    COUNTIFS('Form responses 1'!$B$2:$B1001, A103, 'Form responses 1'!$A$2:$A1001, "&gt;=2025-10-01", 'Form responses 1'!$A$2:$A1001, "&lt;=2025-12-31"),
    COUNTIFS('Form responses 1'!$D$2:$D1001, A103, 'Form responses 1'!$A$2:$A1001, "&gt;=2025-10-01", 'Form responses 1'!$A$2:$A1001, "&lt;=2025-12-31"),
    COUNTIFS('Form responses 1'!$E$2:$E1001, A103, 'Form responses 1'!$A$2:$A1001, "&gt;=2025-10-01", 'Form responses 1'!$A$2:$A1001, "&lt;=2025-12-31"),
    COUNTIFS('Form responses 1'!$F$2:$F1001, A103, 'Form responses 1'!$A$2:$A1001, "&gt;=2025-10-01", 'Form responses 1'!$A$2:$A1001, "&lt;=2025-12-31"),
    COUNTIFS('Form responses 1'!$G$2:$G1001, A103, 'Form responses 1'!$A$2:$A1001, "&gt;=2025-10-01", 'Form responses 1'!$A$2:$A1001, "&lt;=2025-12-31")
)
</f>
        <v>9</v>
      </c>
    </row>
    <row r="104">
      <c r="A104" s="3" t="str">
        <f>IFERROR(__xludf.DUMMYFUNCTION("""COMPUTED_VALUE"""),"Blauw overhemd Vanda Tailors")</f>
        <v>Blauw overhemd Vanda Tailors</v>
      </c>
      <c r="B104" s="2">
        <f>SUM(
    COUNTIFS('Form responses 1'!$C$2:$C1001, A104, 'Form responses 1'!$A$2:$A1001, "&gt;=2022-04-01", 'Form responses 1'!$A$2:$A1001, "&lt;=2022-06-30"),
    COUNTIFS('Form responses 1'!$B$2:$B1001, A104, 'Form responses 1'!$A$2:$A1001, "&gt;=2022-04-01", 'Form responses 1'!$A$2:$A1001, "&lt;=2022-06-30"),
    COUNTIFS('Form responses 1'!$D$2:$D1001, A104, 'Form responses 1'!$A$2:$A1001, "&gt;=2022-04-01", 'Form responses 1'!$A$2:$A1001, "&lt;=2022-06-30"),
    COUNTIFS('Form responses 1'!$E$2:$E1001, A104, 'Form responses 1'!$A$2:$A1001, "&gt;=2022-04-01", 'Form responses 1'!$A$2:$A1001, "&lt;=2022-06-30"),
    COUNTIFS('Form responses 1'!$F$2:$F1001, A104, 'Form responses 1'!$A$2:$A1001, "&gt;=2022-04-01", 'Form responses 1'!$A$2:$A1001, "&lt;=2022-06-30"),
    COUNTIFS('Form responses 1'!$G$2:$G1001, A104, 'Form responses 1'!$A$2:$A1001, "&gt;=2022-04-01", 'Form responses 1'!$A$2:$A1001, "&lt;=2022-06-30")
)
</f>
        <v>0</v>
      </c>
      <c r="C104" s="2">
        <f>SUM(
    COUNTIFS('Form responses 1'!$C$2:$C1001, A104, 'Form responses 1'!$A$2:$A1001, "&gt;=2022-07-01", 'Form responses 1'!$A$2:$A1001, "&lt;=2022-09-30"),
    COUNTIFS('Form responses 1'!$B$2:$B1001, A104, 'Form responses 1'!$A$2:$A1001, "&gt;=2022-07-01", 'Form responses 1'!$A$2:$A1001, "&lt;=2022-09-30"),
    COUNTIFS('Form responses 1'!$D$2:$D1001, A104, 'Form responses 1'!$A$2:$A1001, "&gt;=2022-07-01", 'Form responses 1'!$A$2:$A1001, "&lt;=2022-09-30"),
    COUNTIFS('Form responses 1'!$E$2:$E1001, A104, 'Form responses 1'!$A$2:$A1001, "&gt;=2022-07-01", 'Form responses 1'!$A$2:$A1001, "&lt;=2022-09-30"),
    COUNTIFS('Form responses 1'!$F$2:$F1001, A104, 'Form responses 1'!$A$2:$A1001, "&gt;=2022-07-01", 'Form responses 1'!$A$2:$A1001, "&lt;=2022-09-30"),
    COUNTIFS('Form responses 1'!$G$2:$G1001, A104, 'Form responses 1'!$A$2:$A1001, "&gt;=2022-07-01", 'Form responses 1'!$A$2:$A1001, "&lt;=2022-09-30")
)
</f>
        <v>0</v>
      </c>
      <c r="D104" s="2">
        <f>SUM(
    COUNTIFS('Form responses 1'!$C$2:$C1001, A104, 'Form responses 1'!$A$2:$A1001, "&gt;=2022-10-01", 'Form responses 1'!$A$2:$A1001, "&lt;=2022-12-31"),
    COUNTIFS('Form responses 1'!$B$2:$B1001, A104, 'Form responses 1'!$A$2:$A1001, "&gt;=2022-10-01", 'Form responses 1'!$A$2:$A1001, "&lt;=2022-12-31"),
    COUNTIFS('Form responses 1'!$D$2:$D1001, A104, 'Form responses 1'!$A$2:$A1001, "&gt;=2022-10-01", 'Form responses 1'!$A$2:$A1001, "&lt;=2022-12-31"),
    COUNTIFS('Form responses 1'!$E$2:$E1001, A104, 'Form responses 1'!$A$2:$A1001, "&gt;=2022-10-01", 'Form responses 1'!$A$2:$A1001, "&lt;=2022-12-31"),
    COUNTIFS('Form responses 1'!$F$2:$F1001, A104, 'Form responses 1'!$A$2:$A1001, "&gt;=2022-10-01", 'Form responses 1'!$A$2:$A1001, "&lt;=2022-12-31"),
    COUNTIFS('Form responses 1'!$G$2:$G1001, A104, 'Form responses 1'!$A$2:$A1001, "&gt;=2022-10-01", 'Form responses 1'!$A$2:$A1001, "&lt;=2022-12-31")
)
</f>
        <v>0</v>
      </c>
      <c r="E104" s="2">
        <f>SUM(
    COUNTIFS('Form responses 1'!$C$2:$C1001, A104, 'Form responses 1'!$A$2:$A1001, "&gt;=2023-01-01", 'Form responses 1'!$A$2:$A1001, "&lt;=2023-03-31"),
    COUNTIFS('Form responses 1'!$B$2:$B1001, A104, 'Form responses 1'!$A$2:$A1001, "&gt;=2023-01-01", 'Form responses 1'!$A$2:$A1001, "&lt;=2023-03-31"),
    COUNTIFS('Form responses 1'!$D$2:$D1001, A104, 'Form responses 1'!$A$2:$A1001, "&gt;=2023-01-01", 'Form responses 1'!$A$2:$A1001, "&lt;=2023-03-31"),
    COUNTIFS('Form responses 1'!$E$2:$E1001, A104, 'Form responses 1'!$A$2:$A1001, "&gt;=2023-01-01", 'Form responses 1'!$A$2:$A1001, "&lt;=2023-03-31"),
    COUNTIFS('Form responses 1'!$F$2:$F1001, A104, 'Form responses 1'!$A$2:$A1001, "&gt;=2023-01-01", 'Form responses 1'!$A$2:$A1001, "&lt;=2023-03-31"),
    COUNTIFS('Form responses 1'!$G$2:$G1001, A104, 'Form responses 1'!$A$2:$A1001, "&gt;=2023-01-01", 'Form responses 1'!$A$2:$A1001, "&lt;=2023-03-31")
)
</f>
        <v>0</v>
      </c>
      <c r="F104" s="2">
        <f>SUM(
    COUNTIFS('Form responses 1'!$C$2:$C1001, A104, 'Form responses 1'!$A$2:$A1001, "&gt;=2023-04-01", 'Form responses 1'!$A$2:$A1001, "&lt;=2023-06-30"),
    COUNTIFS('Form responses 1'!$B$2:$B1001, A104, 'Form responses 1'!$A$2:$A1001, "&gt;=2023-04-01", 'Form responses 1'!$A$2:$A1001, "&lt;=2023-06-30"),
    COUNTIFS('Form responses 1'!$D$2:$D1001, A104, 'Form responses 1'!$A$2:$A1001, "&gt;=2023-04-01", 'Form responses 1'!$A$2:$A1001, "&lt;=2023-06-30"),
    COUNTIFS('Form responses 1'!$E$2:$E1001, A104, 'Form responses 1'!$A$2:$A1001, "&gt;=2023-04-01", 'Form responses 1'!$A$2:$A1001, "&lt;=2023-06-30"),
    COUNTIFS('Form responses 1'!$F$2:$F1001, A104, 'Form responses 1'!$A$2:$A1001, "&gt;=2023-04-01", 'Form responses 1'!$A$2:$A1001, "&lt;=2023-06-30"),
    COUNTIFS('Form responses 1'!$G$2:$G1001, A104, 'Form responses 1'!$A$2:$A1001, "&gt;=2023-04-01", 'Form responses 1'!$A$2:$A1001, "&lt;=2023-06-30")
)
</f>
        <v>0</v>
      </c>
      <c r="G104" s="2">
        <f>SUM(
    COUNTIFS('Form responses 1'!$C$2:$C1001, A104, 'Form responses 1'!$A$2:$A1001, "&gt;=2023-07-01", 'Form responses 1'!$A$2:$A1001, "&lt;=2023-09-30"),
    COUNTIFS('Form responses 1'!$B$2:$B1001, A104, 'Form responses 1'!$A$2:$A1001, "&gt;=2023-07-01", 'Form responses 1'!$A$2:$A1001, "&lt;=2023-09-30"),
    COUNTIFS('Form responses 1'!$D$2:$D1001, A104, 'Form responses 1'!$A$2:$A1001, "&gt;=2023-07-01", 'Form responses 1'!$A$2:$A1001, "&lt;=2023-09-30"),
    COUNTIFS('Form responses 1'!$E$2:$E1001, A104, 'Form responses 1'!$A$2:$A1001, "&gt;=2023-07-01", 'Form responses 1'!$A$2:$A1001, "&lt;=2023-09-30"),
    COUNTIFS('Form responses 1'!$F$2:$F1001, A104, 'Form responses 1'!$A$2:$A1001, "&gt;=2023-07-01", 'Form responses 1'!$A$2:$A1001, "&lt;=2023-09-30"),
    COUNTIFS('Form responses 1'!$G$2:$G1001, A104, 'Form responses 1'!$A$2:$A1001, "&gt;=2023-07-01", 'Form responses 1'!$A$2:$A1001, "&lt;=2023-09-30")
)
</f>
        <v>0</v>
      </c>
      <c r="H104" s="2">
        <f>SUM(
    COUNTIFS('Form responses 1'!$C$2:$C1001, A104, 'Form responses 1'!$A$2:$A1001, "&gt;=2023-10-01", 'Form responses 1'!$A$2:$A1001, "&lt;=2023-12-31"),
    COUNTIFS('Form responses 1'!$B$2:$B1001, A104, 'Form responses 1'!$A$2:$A1001, "&gt;=2023-10-01", 'Form responses 1'!$A$2:$A1001, "&lt;=2023-12-31"),
    COUNTIFS('Form responses 1'!$D$2:$D1001, A104, 'Form responses 1'!$A$2:$A1001, "&gt;=2023-10-01", 'Form responses 1'!$A$2:$A1001, "&lt;=2023-12-31"),
    COUNTIFS('Form responses 1'!$E$2:$E1001, A104, 'Form responses 1'!$A$2:$A1001, "&gt;=2023-10-01", 'Form responses 1'!$A$2:$A1001, "&lt;=2023-12-31"),
    COUNTIFS('Form responses 1'!$F$2:$F1001, A104, 'Form responses 1'!$A$2:$A1001, "&gt;=2023-10-01", 'Form responses 1'!$A$2:$A1001, "&lt;=2023-12-31"),
    COUNTIFS('Form responses 1'!$G$2:$G1001, A104, 'Form responses 1'!$A$2:$A1001, "&gt;=2023-10-01", 'Form responses 1'!$A$2:$A1001, "&lt;=2023-12-31")
)
</f>
        <v>0</v>
      </c>
      <c r="I104" s="2">
        <f>SUM(
    COUNTIFS('Form responses 1'!$C$2:$C1001, A104, 'Form responses 1'!$A$2:$A1001, "&gt;=2024-01-01", 'Form responses 1'!$A$2:$A1001, "&lt;=2024-03-31"),
    COUNTIFS('Form responses 1'!$B$2:$B1001, A104, 'Form responses 1'!$A$2:$A1001, "&gt;=2024-01-01", 'Form responses 1'!$A$2:$A1001, "&lt;=2024-03-31"),
    COUNTIFS('Form responses 1'!$D$2:$D1001, A104, 'Form responses 1'!$A$2:$A1001, "&gt;=2024-01-01", 'Form responses 1'!$A$2:$A1001, "&lt;=2024-03-31"),
    COUNTIFS('Form responses 1'!$E$2:$E1001, A104, 'Form responses 1'!$A$2:$A1001, "&gt;=2024-01-01", 'Form responses 1'!$A$2:$A1001, "&lt;=2024-03-31"),
    COUNTIFS('Form responses 1'!$F$2:$F1001, A104, 'Form responses 1'!$A$2:$A1001, "&gt;=2024-01-01", 'Form responses 1'!$A$2:$A1001, "&lt;=2024-03-31"),
    COUNTIFS('Form responses 1'!$G$2:$G1001, A104, 'Form responses 1'!$A$2:$A1001, "&gt;=2024-01-01", 'Form responses 1'!$A$2:$A1001, "&lt;=2024-03-31")
)
</f>
        <v>0</v>
      </c>
      <c r="J104" s="2">
        <f>SUM(
    COUNTIFS('Form responses 1'!$C$2:$C1001, A104, 'Form responses 1'!$A$2:$A1001, "&gt;=2024-04-01", 'Form responses 1'!$A$2:$A1001, "&lt;=2024-06-30"),
    COUNTIFS('Form responses 1'!$B$2:$B1001, A104, 'Form responses 1'!$A$2:$A1001, "&gt;=2024-04-01", 'Form responses 1'!$A$2:$A1001, "&lt;=2024-06-30"),
    COUNTIFS('Form responses 1'!$D$2:$D1001, A104, 'Form responses 1'!$A$2:$A1001, "&gt;=2024-04-01", 'Form responses 1'!$A$2:$A1001, "&lt;=2024-06-30"),
    COUNTIFS('Form responses 1'!$E$2:$E1001, A104, 'Form responses 1'!$A$2:$A1001, "&gt;=2024-04-01", 'Form responses 1'!$A$2:$A1001, "&lt;=2024-06-30"),
    COUNTIFS('Form responses 1'!$F$2:$F1001, A104, 'Form responses 1'!$A$2:$A1001, "&gt;=2024-04-01", 'Form responses 1'!$A$2:$A1001, "&lt;=2024-06-30"),
    COUNTIFS('Form responses 1'!$G$2:$G1001, A104, 'Form responses 1'!$A$2:$A1001, "&gt;=2024-04-01", 'Form responses 1'!$A$2:$A1001, "&lt;=2024-06-30")
)
</f>
        <v>0</v>
      </c>
      <c r="K104" s="2">
        <f>SUM(
    COUNTIFS('Form responses 1'!$C$2:$C1001, A104, 'Form responses 1'!$A$2:$A1001, "&gt;=2024-07-01", 'Form responses 1'!$A$2:$A1001, "&lt;=2024-09-30"),
    COUNTIFS('Form responses 1'!$B$2:$B1001, A104, 'Form responses 1'!$A$2:$A1001, "&gt;=2024-07-01", 'Form responses 1'!$A$2:$A1001, "&lt;=2024-09-30"),
    COUNTIFS('Form responses 1'!$D$2:$D1001, A104, 'Form responses 1'!$A$2:$A1001, "&gt;=2024-07-01", 'Form responses 1'!$A$2:$A1001, "&lt;=2024-09-30"),
    COUNTIFS('Form responses 1'!$E$2:$E1001, A104, 'Form responses 1'!$A$2:$A1001, "&gt;=2024-07-01", 'Form responses 1'!$A$2:$A1001, "&lt;=2024-09-30"),
    COUNTIFS('Form responses 1'!$F$2:$F1001, A104, 'Form responses 1'!$A$2:$A1001, "&gt;=2024-07-01", 'Form responses 1'!$A$2:$A1001, "&lt;=2024-09-30"),
    COUNTIFS('Form responses 1'!$G$2:$G1001, A104, 'Form responses 1'!$A$2:$A1001, "&gt;=2024-07-01", 'Form responses 1'!$A$2:$A1001, "&lt;=2024-09-30")
)
</f>
        <v>0</v>
      </c>
      <c r="L104" s="2">
        <f>SUM(
    COUNTIFS('Form responses 1'!$C$2:$C1001, A104, 'Form responses 1'!$A$2:$A1001, "&gt;=2024-10-01", 'Form responses 1'!$A$2:$A1001, "&lt;=2024-12-31"),
    COUNTIFS('Form responses 1'!$B$2:$B1001, A104, 'Form responses 1'!$A$2:$A1001, "&gt;=2024-10-01", 'Form responses 1'!$A$2:$A1001, "&lt;=2024-12-31"),
    COUNTIFS('Form responses 1'!$D$2:$D1001, A104, 'Form responses 1'!$A$2:$A1001, "&gt;=2024-10-01", 'Form responses 1'!$A$2:$A1001, "&lt;=2024-12-31"),
    COUNTIFS('Form responses 1'!$E$2:$E1001, A104, 'Form responses 1'!$A$2:$A1001, "&gt;=2024-10-01", 'Form responses 1'!$A$2:$A1001, "&lt;=2024-12-31"),
    COUNTIFS('Form responses 1'!$F$2:$F1001, A104, 'Form responses 1'!$A$2:$A1001, "&gt;=2024-10-01", 'Form responses 1'!$A$2:$A1001, "&lt;=2024-12-31"),
    COUNTIFS('Form responses 1'!$G$2:$G1001, A104, 'Form responses 1'!$A$2:$A1001, "&gt;=2024-10-01", 'Form responses 1'!$A$2:$A1001, "&lt;=2024-12-31")
)
</f>
        <v>0</v>
      </c>
      <c r="M104" s="2">
        <f>SUM(
    COUNTIFS('Form responses 1'!$C$2:$C1001, A104, 'Form responses 1'!$A$2:$A1001, "&gt;=2025-01-01", 'Form responses 1'!$A$2:$A1001, "&lt;=2025-03-31"),
    COUNTIFS('Form responses 1'!$B$2:$B1001, A104, 'Form responses 1'!$A$2:$A1001, "&gt;=2025-01-01", 'Form responses 1'!$A$2:$A1001, "&lt;=2025-03-31"),
    COUNTIFS('Form responses 1'!$D$2:$D1001, A104, 'Form responses 1'!$A$2:$A1001, "&gt;=2025-01-01", 'Form responses 1'!$A$2:$A1001, "&lt;=2025-03-31"),
    COUNTIFS('Form responses 1'!$E$2:$E1001, A104, 'Form responses 1'!$A$2:$A1001, "&gt;=2025-01-01", 'Form responses 1'!$A$2:$A1001, "&lt;=2025-03-31"),
    COUNTIFS('Form responses 1'!$F$2:$F1001, A104, 'Form responses 1'!$A$2:$A1001, "&gt;=2025-01-01", 'Form responses 1'!$A$2:$A1001, "&lt;=2025-03-31"),
    COUNTIFS('Form responses 1'!$G$2:$G1001, A104, 'Form responses 1'!$A$2:$A1001, "&gt;=2025-01-01", 'Form responses 1'!$A$2:$A1001, "&lt;=2025-03-31")
)
</f>
        <v>0</v>
      </c>
      <c r="N104" s="2">
        <f>SUM(
    COUNTIFS('Form responses 1'!$C$2:$C1001, A104, 'Form responses 1'!$A$2:$A1001, "&gt;=2025-04-01", 'Form responses 1'!$A$2:$A1001, "&lt;2025-07-01"),
    COUNTIFS('Form responses 1'!$B$2:$B1001, A104, 'Form responses 1'!$A$2:$A1001, "&gt;=2025-04-01", 'Form responses 1'!$A$2:$A1001, "&lt;2025-07-01"),
    COUNTIFS('Form responses 1'!$D$2:$D1001, A104, 'Form responses 1'!$A$2:$A1001, "&gt;=2025-04-01", 'Form responses 1'!$A$2:$A1001, "&lt;2025-07-01"),
    COUNTIFS('Form responses 1'!$E$2:$E1001, A104, 'Form responses 1'!$A$2:$A1001, "&gt;=2025-04-01", 'Form responses 1'!$A$2:$A1001, "&lt;2025-07-01"),
    COUNTIFS('Form responses 1'!$F$2:$F1001, A104, 'Form responses 1'!$A$2:$A1001, "&gt;=2025-04-01", 'Form responses 1'!$A$2:$A1001, "&lt;2025-07-01"),
    COUNTIFS('Form responses 1'!$G$2:$G1001, A104, 'Form responses 1'!$A$2:$A1001, "&gt;=2025-04-01", 'Form responses 1'!$A$2:$A1001, "&lt;2025-07-01")
)
</f>
        <v>0</v>
      </c>
      <c r="O104" s="2">
        <f>SUM(
    COUNTIFS('Form responses 1'!$C$2:$C1001, A104, 'Form responses 1'!$A$2:$A1001, "&gt;=2025-07-01", 'Form responses 1'!$A$2:$A1001, "&lt;=2025-09-30"),
    COUNTIFS('Form responses 1'!$B$2:$B1001, A104, 'Form responses 1'!$A$2:$A1001, "&gt;=2025-07-01", 'Form responses 1'!$A$2:$A1001, "&lt;=2025-09-30"),
    COUNTIFS('Form responses 1'!$D$2:$D1001, A104, 'Form responses 1'!$A$2:$A1001, "&gt;=2025-07-01", 'Form responses 1'!$A$2:$A1001, "&lt;=2025-09-30"),
    COUNTIFS('Form responses 1'!$E$2:$E1001, A104, 'Form responses 1'!$A$2:$A1001, "&gt;=2025-07-01", 'Form responses 1'!$A$2:$A1001, "&lt;=2025-09-30"),
    COUNTIFS('Form responses 1'!$F$2:$F1001, A104, 'Form responses 1'!$A$2:$A1001, "&gt;=2025-07-01", 'Form responses 1'!$A$2:$A1001, "&lt;=2025-09-30"),
    COUNTIFS('Form responses 1'!$G$2:$G1001, A104, 'Form responses 1'!$A$2:$A1001, "&gt;=2025-07-01", 'Form responses 1'!$A$2:$A1001, "&lt;=2025-09-30")
)
</f>
        <v>0</v>
      </c>
      <c r="P104" s="2">
        <f>SUM(
    COUNTIFS('Form responses 1'!$C$2:$C1001, A104, 'Form responses 1'!$A$2:$A1001, "&gt;=2025-10-01", 'Form responses 1'!$A$2:$A1001, "&lt;=2025-12-31"),
    COUNTIFS('Form responses 1'!$B$2:$B1001, A104, 'Form responses 1'!$A$2:$A1001, "&gt;=2025-10-01", 'Form responses 1'!$A$2:$A1001, "&lt;=2025-12-31"),
    COUNTIFS('Form responses 1'!$D$2:$D1001, A104, 'Form responses 1'!$A$2:$A1001, "&gt;=2025-10-01", 'Form responses 1'!$A$2:$A1001, "&lt;=2025-12-31"),
    COUNTIFS('Form responses 1'!$E$2:$E1001, A104, 'Form responses 1'!$A$2:$A1001, "&gt;=2025-10-01", 'Form responses 1'!$A$2:$A1001, "&lt;=2025-12-31"),
    COUNTIFS('Form responses 1'!$F$2:$F1001, A104, 'Form responses 1'!$A$2:$A1001, "&gt;=2025-10-01", 'Form responses 1'!$A$2:$A1001, "&lt;=2025-12-31"),
    COUNTIFS('Form responses 1'!$G$2:$G1001, A104, 'Form responses 1'!$A$2:$A1001, "&gt;=2025-10-01", 'Form responses 1'!$A$2:$A1001, "&lt;=2025-12-31")
)
</f>
        <v>3</v>
      </c>
    </row>
    <row r="105">
      <c r="A105" s="3" t="str">
        <f>IFERROR(__xludf.DUMMYFUNCTION("""COMPUTED_VALUE"""),"Spijkerbroek Compound Garment")</f>
        <v>Spijkerbroek Compound Garment</v>
      </c>
      <c r="B105" s="2">
        <f>SUM(
    COUNTIFS('Form responses 1'!$C$2:$C1001, A105, 'Form responses 1'!$A$2:$A1001, "&gt;=2022-04-01", 'Form responses 1'!$A$2:$A1001, "&lt;=2022-06-30"),
    COUNTIFS('Form responses 1'!$B$2:$B1001, A105, 'Form responses 1'!$A$2:$A1001, "&gt;=2022-04-01", 'Form responses 1'!$A$2:$A1001, "&lt;=2022-06-30"),
    COUNTIFS('Form responses 1'!$D$2:$D1001, A105, 'Form responses 1'!$A$2:$A1001, "&gt;=2022-04-01", 'Form responses 1'!$A$2:$A1001, "&lt;=2022-06-30"),
    COUNTIFS('Form responses 1'!$E$2:$E1001, A105, 'Form responses 1'!$A$2:$A1001, "&gt;=2022-04-01", 'Form responses 1'!$A$2:$A1001, "&lt;=2022-06-30"),
    COUNTIFS('Form responses 1'!$F$2:$F1001, A105, 'Form responses 1'!$A$2:$A1001, "&gt;=2022-04-01", 'Form responses 1'!$A$2:$A1001, "&lt;=2022-06-30"),
    COUNTIFS('Form responses 1'!$G$2:$G1001, A105, 'Form responses 1'!$A$2:$A1001, "&gt;=2022-04-01", 'Form responses 1'!$A$2:$A1001, "&lt;=2022-06-30")
)
</f>
        <v>0</v>
      </c>
      <c r="C105" s="2">
        <f>SUM(
    COUNTIFS('Form responses 1'!$C$2:$C1001, A105, 'Form responses 1'!$A$2:$A1001, "&gt;=2022-07-01", 'Form responses 1'!$A$2:$A1001, "&lt;=2022-09-30"),
    COUNTIFS('Form responses 1'!$B$2:$B1001, A105, 'Form responses 1'!$A$2:$A1001, "&gt;=2022-07-01", 'Form responses 1'!$A$2:$A1001, "&lt;=2022-09-30"),
    COUNTIFS('Form responses 1'!$D$2:$D1001, A105, 'Form responses 1'!$A$2:$A1001, "&gt;=2022-07-01", 'Form responses 1'!$A$2:$A1001, "&lt;=2022-09-30"),
    COUNTIFS('Form responses 1'!$E$2:$E1001, A105, 'Form responses 1'!$A$2:$A1001, "&gt;=2022-07-01", 'Form responses 1'!$A$2:$A1001, "&lt;=2022-09-30"),
    COUNTIFS('Form responses 1'!$F$2:$F1001, A105, 'Form responses 1'!$A$2:$A1001, "&gt;=2022-07-01", 'Form responses 1'!$A$2:$A1001, "&lt;=2022-09-30"),
    COUNTIFS('Form responses 1'!$G$2:$G1001, A105, 'Form responses 1'!$A$2:$A1001, "&gt;=2022-07-01", 'Form responses 1'!$A$2:$A1001, "&lt;=2022-09-30")
)
</f>
        <v>0</v>
      </c>
      <c r="D105" s="2">
        <f>SUM(
    COUNTIFS('Form responses 1'!$C$2:$C1001, A105, 'Form responses 1'!$A$2:$A1001, "&gt;=2022-10-01", 'Form responses 1'!$A$2:$A1001, "&lt;=2022-12-31"),
    COUNTIFS('Form responses 1'!$B$2:$B1001, A105, 'Form responses 1'!$A$2:$A1001, "&gt;=2022-10-01", 'Form responses 1'!$A$2:$A1001, "&lt;=2022-12-31"),
    COUNTIFS('Form responses 1'!$D$2:$D1001, A105, 'Form responses 1'!$A$2:$A1001, "&gt;=2022-10-01", 'Form responses 1'!$A$2:$A1001, "&lt;=2022-12-31"),
    COUNTIFS('Form responses 1'!$E$2:$E1001, A105, 'Form responses 1'!$A$2:$A1001, "&gt;=2022-10-01", 'Form responses 1'!$A$2:$A1001, "&lt;=2022-12-31"),
    COUNTIFS('Form responses 1'!$F$2:$F1001, A105, 'Form responses 1'!$A$2:$A1001, "&gt;=2022-10-01", 'Form responses 1'!$A$2:$A1001, "&lt;=2022-12-31"),
    COUNTIFS('Form responses 1'!$G$2:$G1001, A105, 'Form responses 1'!$A$2:$A1001, "&gt;=2022-10-01", 'Form responses 1'!$A$2:$A1001, "&lt;=2022-12-31")
)
</f>
        <v>0</v>
      </c>
      <c r="E105" s="2">
        <f>SUM(
    COUNTIFS('Form responses 1'!$C$2:$C1001, A105, 'Form responses 1'!$A$2:$A1001, "&gt;=2023-01-01", 'Form responses 1'!$A$2:$A1001, "&lt;=2023-03-31"),
    COUNTIFS('Form responses 1'!$B$2:$B1001, A105, 'Form responses 1'!$A$2:$A1001, "&gt;=2023-01-01", 'Form responses 1'!$A$2:$A1001, "&lt;=2023-03-31"),
    COUNTIFS('Form responses 1'!$D$2:$D1001, A105, 'Form responses 1'!$A$2:$A1001, "&gt;=2023-01-01", 'Form responses 1'!$A$2:$A1001, "&lt;=2023-03-31"),
    COUNTIFS('Form responses 1'!$E$2:$E1001, A105, 'Form responses 1'!$A$2:$A1001, "&gt;=2023-01-01", 'Form responses 1'!$A$2:$A1001, "&lt;=2023-03-31"),
    COUNTIFS('Form responses 1'!$F$2:$F1001, A105, 'Form responses 1'!$A$2:$A1001, "&gt;=2023-01-01", 'Form responses 1'!$A$2:$A1001, "&lt;=2023-03-31"),
    COUNTIFS('Form responses 1'!$G$2:$G1001, A105, 'Form responses 1'!$A$2:$A1001, "&gt;=2023-01-01", 'Form responses 1'!$A$2:$A1001, "&lt;=2023-03-31")
)
</f>
        <v>0</v>
      </c>
      <c r="F105" s="2">
        <f>SUM(
    COUNTIFS('Form responses 1'!$C$2:$C1001, A105, 'Form responses 1'!$A$2:$A1001, "&gt;=2023-04-01", 'Form responses 1'!$A$2:$A1001, "&lt;=2023-06-30"),
    COUNTIFS('Form responses 1'!$B$2:$B1001, A105, 'Form responses 1'!$A$2:$A1001, "&gt;=2023-04-01", 'Form responses 1'!$A$2:$A1001, "&lt;=2023-06-30"),
    COUNTIFS('Form responses 1'!$D$2:$D1001, A105, 'Form responses 1'!$A$2:$A1001, "&gt;=2023-04-01", 'Form responses 1'!$A$2:$A1001, "&lt;=2023-06-30"),
    COUNTIFS('Form responses 1'!$E$2:$E1001, A105, 'Form responses 1'!$A$2:$A1001, "&gt;=2023-04-01", 'Form responses 1'!$A$2:$A1001, "&lt;=2023-06-30"),
    COUNTIFS('Form responses 1'!$F$2:$F1001, A105, 'Form responses 1'!$A$2:$A1001, "&gt;=2023-04-01", 'Form responses 1'!$A$2:$A1001, "&lt;=2023-06-30"),
    COUNTIFS('Form responses 1'!$G$2:$G1001, A105, 'Form responses 1'!$A$2:$A1001, "&gt;=2023-04-01", 'Form responses 1'!$A$2:$A1001, "&lt;=2023-06-30")
)
</f>
        <v>0</v>
      </c>
      <c r="G105" s="2">
        <f>SUM(
    COUNTIFS('Form responses 1'!$C$2:$C1001, A105, 'Form responses 1'!$A$2:$A1001, "&gt;=2023-07-01", 'Form responses 1'!$A$2:$A1001, "&lt;=2023-09-30"),
    COUNTIFS('Form responses 1'!$B$2:$B1001, A105, 'Form responses 1'!$A$2:$A1001, "&gt;=2023-07-01", 'Form responses 1'!$A$2:$A1001, "&lt;=2023-09-30"),
    COUNTIFS('Form responses 1'!$D$2:$D1001, A105, 'Form responses 1'!$A$2:$A1001, "&gt;=2023-07-01", 'Form responses 1'!$A$2:$A1001, "&lt;=2023-09-30"),
    COUNTIFS('Form responses 1'!$E$2:$E1001, A105, 'Form responses 1'!$A$2:$A1001, "&gt;=2023-07-01", 'Form responses 1'!$A$2:$A1001, "&lt;=2023-09-30"),
    COUNTIFS('Form responses 1'!$F$2:$F1001, A105, 'Form responses 1'!$A$2:$A1001, "&gt;=2023-07-01", 'Form responses 1'!$A$2:$A1001, "&lt;=2023-09-30"),
    COUNTIFS('Form responses 1'!$G$2:$G1001, A105, 'Form responses 1'!$A$2:$A1001, "&gt;=2023-07-01", 'Form responses 1'!$A$2:$A1001, "&lt;=2023-09-30")
)
</f>
        <v>0</v>
      </c>
      <c r="H105" s="2">
        <f>SUM(
    COUNTIFS('Form responses 1'!$C$2:$C1001, A105, 'Form responses 1'!$A$2:$A1001, "&gt;=2023-10-01", 'Form responses 1'!$A$2:$A1001, "&lt;=2023-12-31"),
    COUNTIFS('Form responses 1'!$B$2:$B1001, A105, 'Form responses 1'!$A$2:$A1001, "&gt;=2023-10-01", 'Form responses 1'!$A$2:$A1001, "&lt;=2023-12-31"),
    COUNTIFS('Form responses 1'!$D$2:$D1001, A105, 'Form responses 1'!$A$2:$A1001, "&gt;=2023-10-01", 'Form responses 1'!$A$2:$A1001, "&lt;=2023-12-31"),
    COUNTIFS('Form responses 1'!$E$2:$E1001, A105, 'Form responses 1'!$A$2:$A1001, "&gt;=2023-10-01", 'Form responses 1'!$A$2:$A1001, "&lt;=2023-12-31"),
    COUNTIFS('Form responses 1'!$F$2:$F1001, A105, 'Form responses 1'!$A$2:$A1001, "&gt;=2023-10-01", 'Form responses 1'!$A$2:$A1001, "&lt;=2023-12-31"),
    COUNTIFS('Form responses 1'!$G$2:$G1001, A105, 'Form responses 1'!$A$2:$A1001, "&gt;=2023-10-01", 'Form responses 1'!$A$2:$A1001, "&lt;=2023-12-31")
)
</f>
        <v>0</v>
      </c>
      <c r="I105" s="2">
        <f>SUM(
    COUNTIFS('Form responses 1'!$C$2:$C1001, A105, 'Form responses 1'!$A$2:$A1001, "&gt;=2024-01-01", 'Form responses 1'!$A$2:$A1001, "&lt;=2024-03-31"),
    COUNTIFS('Form responses 1'!$B$2:$B1001, A105, 'Form responses 1'!$A$2:$A1001, "&gt;=2024-01-01", 'Form responses 1'!$A$2:$A1001, "&lt;=2024-03-31"),
    COUNTIFS('Form responses 1'!$D$2:$D1001, A105, 'Form responses 1'!$A$2:$A1001, "&gt;=2024-01-01", 'Form responses 1'!$A$2:$A1001, "&lt;=2024-03-31"),
    COUNTIFS('Form responses 1'!$E$2:$E1001, A105, 'Form responses 1'!$A$2:$A1001, "&gt;=2024-01-01", 'Form responses 1'!$A$2:$A1001, "&lt;=2024-03-31"),
    COUNTIFS('Form responses 1'!$F$2:$F1001, A105, 'Form responses 1'!$A$2:$A1001, "&gt;=2024-01-01", 'Form responses 1'!$A$2:$A1001, "&lt;=2024-03-31"),
    COUNTIFS('Form responses 1'!$G$2:$G1001, A105, 'Form responses 1'!$A$2:$A1001, "&gt;=2024-01-01", 'Form responses 1'!$A$2:$A1001, "&lt;=2024-03-31")
)
</f>
        <v>0</v>
      </c>
      <c r="J105" s="2">
        <f>SUM(
    COUNTIFS('Form responses 1'!$C$2:$C1001, A105, 'Form responses 1'!$A$2:$A1001, "&gt;=2024-04-01", 'Form responses 1'!$A$2:$A1001, "&lt;=2024-06-30"),
    COUNTIFS('Form responses 1'!$B$2:$B1001, A105, 'Form responses 1'!$A$2:$A1001, "&gt;=2024-04-01", 'Form responses 1'!$A$2:$A1001, "&lt;=2024-06-30"),
    COUNTIFS('Form responses 1'!$D$2:$D1001, A105, 'Form responses 1'!$A$2:$A1001, "&gt;=2024-04-01", 'Form responses 1'!$A$2:$A1001, "&lt;=2024-06-30"),
    COUNTIFS('Form responses 1'!$E$2:$E1001, A105, 'Form responses 1'!$A$2:$A1001, "&gt;=2024-04-01", 'Form responses 1'!$A$2:$A1001, "&lt;=2024-06-30"),
    COUNTIFS('Form responses 1'!$F$2:$F1001, A105, 'Form responses 1'!$A$2:$A1001, "&gt;=2024-04-01", 'Form responses 1'!$A$2:$A1001, "&lt;=2024-06-30"),
    COUNTIFS('Form responses 1'!$G$2:$G1001, A105, 'Form responses 1'!$A$2:$A1001, "&gt;=2024-04-01", 'Form responses 1'!$A$2:$A1001, "&lt;=2024-06-30")
)
</f>
        <v>0</v>
      </c>
      <c r="K105" s="2">
        <f>SUM(
    COUNTIFS('Form responses 1'!$C$2:$C1001, A105, 'Form responses 1'!$A$2:$A1001, "&gt;=2024-07-01", 'Form responses 1'!$A$2:$A1001, "&lt;=2024-09-30"),
    COUNTIFS('Form responses 1'!$B$2:$B1001, A105, 'Form responses 1'!$A$2:$A1001, "&gt;=2024-07-01", 'Form responses 1'!$A$2:$A1001, "&lt;=2024-09-30"),
    COUNTIFS('Form responses 1'!$D$2:$D1001, A105, 'Form responses 1'!$A$2:$A1001, "&gt;=2024-07-01", 'Form responses 1'!$A$2:$A1001, "&lt;=2024-09-30"),
    COUNTIFS('Form responses 1'!$E$2:$E1001, A105, 'Form responses 1'!$A$2:$A1001, "&gt;=2024-07-01", 'Form responses 1'!$A$2:$A1001, "&lt;=2024-09-30"),
    COUNTIFS('Form responses 1'!$F$2:$F1001, A105, 'Form responses 1'!$A$2:$A1001, "&gt;=2024-07-01", 'Form responses 1'!$A$2:$A1001, "&lt;=2024-09-30"),
    COUNTIFS('Form responses 1'!$G$2:$G1001, A105, 'Form responses 1'!$A$2:$A1001, "&gt;=2024-07-01", 'Form responses 1'!$A$2:$A1001, "&lt;=2024-09-30")
)
</f>
        <v>0</v>
      </c>
      <c r="L105" s="2">
        <f>SUM(
    COUNTIFS('Form responses 1'!$C$2:$C1001, A105, 'Form responses 1'!$A$2:$A1001, "&gt;=2024-10-01", 'Form responses 1'!$A$2:$A1001, "&lt;=2024-12-31"),
    COUNTIFS('Form responses 1'!$B$2:$B1001, A105, 'Form responses 1'!$A$2:$A1001, "&gt;=2024-10-01", 'Form responses 1'!$A$2:$A1001, "&lt;=2024-12-31"),
    COUNTIFS('Form responses 1'!$D$2:$D1001, A105, 'Form responses 1'!$A$2:$A1001, "&gt;=2024-10-01", 'Form responses 1'!$A$2:$A1001, "&lt;=2024-12-31"),
    COUNTIFS('Form responses 1'!$E$2:$E1001, A105, 'Form responses 1'!$A$2:$A1001, "&gt;=2024-10-01", 'Form responses 1'!$A$2:$A1001, "&lt;=2024-12-31"),
    COUNTIFS('Form responses 1'!$F$2:$F1001, A105, 'Form responses 1'!$A$2:$A1001, "&gt;=2024-10-01", 'Form responses 1'!$A$2:$A1001, "&lt;=2024-12-31"),
    COUNTIFS('Form responses 1'!$G$2:$G1001, A105, 'Form responses 1'!$A$2:$A1001, "&gt;=2024-10-01", 'Form responses 1'!$A$2:$A1001, "&lt;=2024-12-31")
)
</f>
        <v>0</v>
      </c>
      <c r="M105" s="2">
        <f>SUM(
    COUNTIFS('Form responses 1'!$C$2:$C1001, A105, 'Form responses 1'!$A$2:$A1001, "&gt;=2025-01-01", 'Form responses 1'!$A$2:$A1001, "&lt;=2025-03-31"),
    COUNTIFS('Form responses 1'!$B$2:$B1001, A105, 'Form responses 1'!$A$2:$A1001, "&gt;=2025-01-01", 'Form responses 1'!$A$2:$A1001, "&lt;=2025-03-31"),
    COUNTIFS('Form responses 1'!$D$2:$D1001, A105, 'Form responses 1'!$A$2:$A1001, "&gt;=2025-01-01", 'Form responses 1'!$A$2:$A1001, "&lt;=2025-03-31"),
    COUNTIFS('Form responses 1'!$E$2:$E1001, A105, 'Form responses 1'!$A$2:$A1001, "&gt;=2025-01-01", 'Form responses 1'!$A$2:$A1001, "&lt;=2025-03-31"),
    COUNTIFS('Form responses 1'!$F$2:$F1001, A105, 'Form responses 1'!$A$2:$A1001, "&gt;=2025-01-01", 'Form responses 1'!$A$2:$A1001, "&lt;=2025-03-31"),
    COUNTIFS('Form responses 1'!$G$2:$G1001, A105, 'Form responses 1'!$A$2:$A1001, "&gt;=2025-01-01", 'Form responses 1'!$A$2:$A1001, "&lt;=2025-03-31")
)
</f>
        <v>0</v>
      </c>
      <c r="N105" s="2">
        <f>SUM(
    COUNTIFS('Form responses 1'!$C$2:$C1001, A105, 'Form responses 1'!$A$2:$A1001, "&gt;=2025-04-01", 'Form responses 1'!$A$2:$A1001, "&lt;2025-07-01"),
    COUNTIFS('Form responses 1'!$B$2:$B1001, A105, 'Form responses 1'!$A$2:$A1001, "&gt;=2025-04-01", 'Form responses 1'!$A$2:$A1001, "&lt;2025-07-01"),
    COUNTIFS('Form responses 1'!$D$2:$D1001, A105, 'Form responses 1'!$A$2:$A1001, "&gt;=2025-04-01", 'Form responses 1'!$A$2:$A1001, "&lt;2025-07-01"),
    COUNTIFS('Form responses 1'!$E$2:$E1001, A105, 'Form responses 1'!$A$2:$A1001, "&gt;=2025-04-01", 'Form responses 1'!$A$2:$A1001, "&lt;2025-07-01"),
    COUNTIFS('Form responses 1'!$F$2:$F1001, A105, 'Form responses 1'!$A$2:$A1001, "&gt;=2025-04-01", 'Form responses 1'!$A$2:$A1001, "&lt;2025-07-01"),
    COUNTIFS('Form responses 1'!$G$2:$G1001, A105, 'Form responses 1'!$A$2:$A1001, "&gt;=2025-04-01", 'Form responses 1'!$A$2:$A1001, "&lt;2025-07-01")
)
</f>
        <v>0</v>
      </c>
      <c r="O105" s="2">
        <f>SUM(
    COUNTIFS('Form responses 1'!$C$2:$C1001, A105, 'Form responses 1'!$A$2:$A1001, "&gt;=2025-07-01", 'Form responses 1'!$A$2:$A1001, "&lt;=2025-09-30"),
    COUNTIFS('Form responses 1'!$B$2:$B1001, A105, 'Form responses 1'!$A$2:$A1001, "&gt;=2025-07-01", 'Form responses 1'!$A$2:$A1001, "&lt;=2025-09-30"),
    COUNTIFS('Form responses 1'!$D$2:$D1001, A105, 'Form responses 1'!$A$2:$A1001, "&gt;=2025-07-01", 'Form responses 1'!$A$2:$A1001, "&lt;=2025-09-30"),
    COUNTIFS('Form responses 1'!$E$2:$E1001, A105, 'Form responses 1'!$A$2:$A1001, "&gt;=2025-07-01", 'Form responses 1'!$A$2:$A1001, "&lt;=2025-09-30"),
    COUNTIFS('Form responses 1'!$F$2:$F1001, A105, 'Form responses 1'!$A$2:$A1001, "&gt;=2025-07-01", 'Form responses 1'!$A$2:$A1001, "&lt;=2025-09-30"),
    COUNTIFS('Form responses 1'!$G$2:$G1001, A105, 'Form responses 1'!$A$2:$A1001, "&gt;=2025-07-01", 'Form responses 1'!$A$2:$A1001, "&lt;=2025-09-30")
)
</f>
        <v>7</v>
      </c>
      <c r="P105" s="2">
        <f>SUM(
    COUNTIFS('Form responses 1'!$C$2:$C1001, A105, 'Form responses 1'!$A$2:$A1001, "&gt;=2025-10-01", 'Form responses 1'!$A$2:$A1001, "&lt;=2025-12-31"),
    COUNTIFS('Form responses 1'!$B$2:$B1001, A105, 'Form responses 1'!$A$2:$A1001, "&gt;=2025-10-01", 'Form responses 1'!$A$2:$A1001, "&lt;=2025-12-31"),
    COUNTIFS('Form responses 1'!$D$2:$D1001, A105, 'Form responses 1'!$A$2:$A1001, "&gt;=2025-10-01", 'Form responses 1'!$A$2:$A1001, "&lt;=2025-12-31"),
    COUNTIFS('Form responses 1'!$E$2:$E1001, A105, 'Form responses 1'!$A$2:$A1001, "&gt;=2025-10-01", 'Form responses 1'!$A$2:$A1001, "&lt;=2025-12-31"),
    COUNTIFS('Form responses 1'!$F$2:$F1001, A105, 'Form responses 1'!$A$2:$A1001, "&gt;=2025-10-01", 'Form responses 1'!$A$2:$A1001, "&lt;=2025-12-31"),
    COUNTIFS('Form responses 1'!$G$2:$G1001, A105, 'Form responses 1'!$A$2:$A1001, "&gt;=2025-10-01", 'Form responses 1'!$A$2:$A1001, "&lt;=2025-12-31")
)
</f>
        <v>4</v>
      </c>
    </row>
    <row r="106">
      <c r="A106" s="3" t="str">
        <f>IFERROR(__xludf.DUMMYFUNCTION("""COMPUTED_VALUE"""),"Grijze pantalon pak Vanda Tailors")</f>
        <v>Grijze pantalon pak Vanda Tailors</v>
      </c>
      <c r="B106" s="2">
        <f>SUM(
    COUNTIFS('Form responses 1'!$C$2:$C1001, A106, 'Form responses 1'!$A$2:$A1001, "&gt;=2022-04-01", 'Form responses 1'!$A$2:$A1001, "&lt;=2022-06-30"),
    COUNTIFS('Form responses 1'!$B$2:$B1001, A106, 'Form responses 1'!$A$2:$A1001, "&gt;=2022-04-01", 'Form responses 1'!$A$2:$A1001, "&lt;=2022-06-30"),
    COUNTIFS('Form responses 1'!$D$2:$D1001, A106, 'Form responses 1'!$A$2:$A1001, "&gt;=2022-04-01", 'Form responses 1'!$A$2:$A1001, "&lt;=2022-06-30"),
    COUNTIFS('Form responses 1'!$E$2:$E1001, A106, 'Form responses 1'!$A$2:$A1001, "&gt;=2022-04-01", 'Form responses 1'!$A$2:$A1001, "&lt;=2022-06-30"),
    COUNTIFS('Form responses 1'!$F$2:$F1001, A106, 'Form responses 1'!$A$2:$A1001, "&gt;=2022-04-01", 'Form responses 1'!$A$2:$A1001, "&lt;=2022-06-30"),
    COUNTIFS('Form responses 1'!$G$2:$G1001, A106, 'Form responses 1'!$A$2:$A1001, "&gt;=2022-04-01", 'Form responses 1'!$A$2:$A1001, "&lt;=2022-06-30")
)
</f>
        <v>0</v>
      </c>
      <c r="C106" s="2">
        <f>SUM(
    COUNTIFS('Form responses 1'!$C$2:$C1001, A106, 'Form responses 1'!$A$2:$A1001, "&gt;=2022-07-01", 'Form responses 1'!$A$2:$A1001, "&lt;=2022-09-30"),
    COUNTIFS('Form responses 1'!$B$2:$B1001, A106, 'Form responses 1'!$A$2:$A1001, "&gt;=2022-07-01", 'Form responses 1'!$A$2:$A1001, "&lt;=2022-09-30"),
    COUNTIFS('Form responses 1'!$D$2:$D1001, A106, 'Form responses 1'!$A$2:$A1001, "&gt;=2022-07-01", 'Form responses 1'!$A$2:$A1001, "&lt;=2022-09-30"),
    COUNTIFS('Form responses 1'!$E$2:$E1001, A106, 'Form responses 1'!$A$2:$A1001, "&gt;=2022-07-01", 'Form responses 1'!$A$2:$A1001, "&lt;=2022-09-30"),
    COUNTIFS('Form responses 1'!$F$2:$F1001, A106, 'Form responses 1'!$A$2:$A1001, "&gt;=2022-07-01", 'Form responses 1'!$A$2:$A1001, "&lt;=2022-09-30"),
    COUNTIFS('Form responses 1'!$G$2:$G1001, A106, 'Form responses 1'!$A$2:$A1001, "&gt;=2022-07-01", 'Form responses 1'!$A$2:$A1001, "&lt;=2022-09-30")
)
</f>
        <v>0</v>
      </c>
      <c r="D106" s="2">
        <f>SUM(
    COUNTIFS('Form responses 1'!$C$2:$C1001, A106, 'Form responses 1'!$A$2:$A1001, "&gt;=2022-10-01", 'Form responses 1'!$A$2:$A1001, "&lt;=2022-12-31"),
    COUNTIFS('Form responses 1'!$B$2:$B1001, A106, 'Form responses 1'!$A$2:$A1001, "&gt;=2022-10-01", 'Form responses 1'!$A$2:$A1001, "&lt;=2022-12-31"),
    COUNTIFS('Form responses 1'!$D$2:$D1001, A106, 'Form responses 1'!$A$2:$A1001, "&gt;=2022-10-01", 'Form responses 1'!$A$2:$A1001, "&lt;=2022-12-31"),
    COUNTIFS('Form responses 1'!$E$2:$E1001, A106, 'Form responses 1'!$A$2:$A1001, "&gt;=2022-10-01", 'Form responses 1'!$A$2:$A1001, "&lt;=2022-12-31"),
    COUNTIFS('Form responses 1'!$F$2:$F1001, A106, 'Form responses 1'!$A$2:$A1001, "&gt;=2022-10-01", 'Form responses 1'!$A$2:$A1001, "&lt;=2022-12-31"),
    COUNTIFS('Form responses 1'!$G$2:$G1001, A106, 'Form responses 1'!$A$2:$A1001, "&gt;=2022-10-01", 'Form responses 1'!$A$2:$A1001, "&lt;=2022-12-31")
)
</f>
        <v>0</v>
      </c>
      <c r="E106" s="2">
        <f>SUM(
    COUNTIFS('Form responses 1'!$C$2:$C1001, A106, 'Form responses 1'!$A$2:$A1001, "&gt;=2023-01-01", 'Form responses 1'!$A$2:$A1001, "&lt;=2023-03-31"),
    COUNTIFS('Form responses 1'!$B$2:$B1001, A106, 'Form responses 1'!$A$2:$A1001, "&gt;=2023-01-01", 'Form responses 1'!$A$2:$A1001, "&lt;=2023-03-31"),
    COUNTIFS('Form responses 1'!$D$2:$D1001, A106, 'Form responses 1'!$A$2:$A1001, "&gt;=2023-01-01", 'Form responses 1'!$A$2:$A1001, "&lt;=2023-03-31"),
    COUNTIFS('Form responses 1'!$E$2:$E1001, A106, 'Form responses 1'!$A$2:$A1001, "&gt;=2023-01-01", 'Form responses 1'!$A$2:$A1001, "&lt;=2023-03-31"),
    COUNTIFS('Form responses 1'!$F$2:$F1001, A106, 'Form responses 1'!$A$2:$A1001, "&gt;=2023-01-01", 'Form responses 1'!$A$2:$A1001, "&lt;=2023-03-31"),
    COUNTIFS('Form responses 1'!$G$2:$G1001, A106, 'Form responses 1'!$A$2:$A1001, "&gt;=2023-01-01", 'Form responses 1'!$A$2:$A1001, "&lt;=2023-03-31")
)
</f>
        <v>0</v>
      </c>
      <c r="F106" s="2">
        <f>SUM(
    COUNTIFS('Form responses 1'!$C$2:$C1001, A106, 'Form responses 1'!$A$2:$A1001, "&gt;=2023-04-01", 'Form responses 1'!$A$2:$A1001, "&lt;=2023-06-30"),
    COUNTIFS('Form responses 1'!$B$2:$B1001, A106, 'Form responses 1'!$A$2:$A1001, "&gt;=2023-04-01", 'Form responses 1'!$A$2:$A1001, "&lt;=2023-06-30"),
    COUNTIFS('Form responses 1'!$D$2:$D1001, A106, 'Form responses 1'!$A$2:$A1001, "&gt;=2023-04-01", 'Form responses 1'!$A$2:$A1001, "&lt;=2023-06-30"),
    COUNTIFS('Form responses 1'!$E$2:$E1001, A106, 'Form responses 1'!$A$2:$A1001, "&gt;=2023-04-01", 'Form responses 1'!$A$2:$A1001, "&lt;=2023-06-30"),
    COUNTIFS('Form responses 1'!$F$2:$F1001, A106, 'Form responses 1'!$A$2:$A1001, "&gt;=2023-04-01", 'Form responses 1'!$A$2:$A1001, "&lt;=2023-06-30"),
    COUNTIFS('Form responses 1'!$G$2:$G1001, A106, 'Form responses 1'!$A$2:$A1001, "&gt;=2023-04-01", 'Form responses 1'!$A$2:$A1001, "&lt;=2023-06-30")
)
</f>
        <v>0</v>
      </c>
      <c r="G106" s="2">
        <f>SUM(
    COUNTIFS('Form responses 1'!$C$2:$C1001, A106, 'Form responses 1'!$A$2:$A1001, "&gt;=2023-07-01", 'Form responses 1'!$A$2:$A1001, "&lt;=2023-09-30"),
    COUNTIFS('Form responses 1'!$B$2:$B1001, A106, 'Form responses 1'!$A$2:$A1001, "&gt;=2023-07-01", 'Form responses 1'!$A$2:$A1001, "&lt;=2023-09-30"),
    COUNTIFS('Form responses 1'!$D$2:$D1001, A106, 'Form responses 1'!$A$2:$A1001, "&gt;=2023-07-01", 'Form responses 1'!$A$2:$A1001, "&lt;=2023-09-30"),
    COUNTIFS('Form responses 1'!$E$2:$E1001, A106, 'Form responses 1'!$A$2:$A1001, "&gt;=2023-07-01", 'Form responses 1'!$A$2:$A1001, "&lt;=2023-09-30"),
    COUNTIFS('Form responses 1'!$F$2:$F1001, A106, 'Form responses 1'!$A$2:$A1001, "&gt;=2023-07-01", 'Form responses 1'!$A$2:$A1001, "&lt;=2023-09-30"),
    COUNTIFS('Form responses 1'!$G$2:$G1001, A106, 'Form responses 1'!$A$2:$A1001, "&gt;=2023-07-01", 'Form responses 1'!$A$2:$A1001, "&lt;=2023-09-30")
)
</f>
        <v>0</v>
      </c>
      <c r="H106" s="2">
        <f>SUM(
    COUNTIFS('Form responses 1'!$C$2:$C1001, A106, 'Form responses 1'!$A$2:$A1001, "&gt;=2023-10-01", 'Form responses 1'!$A$2:$A1001, "&lt;=2023-12-31"),
    COUNTIFS('Form responses 1'!$B$2:$B1001, A106, 'Form responses 1'!$A$2:$A1001, "&gt;=2023-10-01", 'Form responses 1'!$A$2:$A1001, "&lt;=2023-12-31"),
    COUNTIFS('Form responses 1'!$D$2:$D1001, A106, 'Form responses 1'!$A$2:$A1001, "&gt;=2023-10-01", 'Form responses 1'!$A$2:$A1001, "&lt;=2023-12-31"),
    COUNTIFS('Form responses 1'!$E$2:$E1001, A106, 'Form responses 1'!$A$2:$A1001, "&gt;=2023-10-01", 'Form responses 1'!$A$2:$A1001, "&lt;=2023-12-31"),
    COUNTIFS('Form responses 1'!$F$2:$F1001, A106, 'Form responses 1'!$A$2:$A1001, "&gt;=2023-10-01", 'Form responses 1'!$A$2:$A1001, "&lt;=2023-12-31"),
    COUNTIFS('Form responses 1'!$G$2:$G1001, A106, 'Form responses 1'!$A$2:$A1001, "&gt;=2023-10-01", 'Form responses 1'!$A$2:$A1001, "&lt;=2023-12-31")
)
</f>
        <v>0</v>
      </c>
      <c r="I106" s="2">
        <f>SUM(
    COUNTIFS('Form responses 1'!$C$2:$C1001, A106, 'Form responses 1'!$A$2:$A1001, "&gt;=2024-01-01", 'Form responses 1'!$A$2:$A1001, "&lt;=2024-03-31"),
    COUNTIFS('Form responses 1'!$B$2:$B1001, A106, 'Form responses 1'!$A$2:$A1001, "&gt;=2024-01-01", 'Form responses 1'!$A$2:$A1001, "&lt;=2024-03-31"),
    COUNTIFS('Form responses 1'!$D$2:$D1001, A106, 'Form responses 1'!$A$2:$A1001, "&gt;=2024-01-01", 'Form responses 1'!$A$2:$A1001, "&lt;=2024-03-31"),
    COUNTIFS('Form responses 1'!$E$2:$E1001, A106, 'Form responses 1'!$A$2:$A1001, "&gt;=2024-01-01", 'Form responses 1'!$A$2:$A1001, "&lt;=2024-03-31"),
    COUNTIFS('Form responses 1'!$F$2:$F1001, A106, 'Form responses 1'!$A$2:$A1001, "&gt;=2024-01-01", 'Form responses 1'!$A$2:$A1001, "&lt;=2024-03-31"),
    COUNTIFS('Form responses 1'!$G$2:$G1001, A106, 'Form responses 1'!$A$2:$A1001, "&gt;=2024-01-01", 'Form responses 1'!$A$2:$A1001, "&lt;=2024-03-31")
)
</f>
        <v>0</v>
      </c>
      <c r="J106" s="2">
        <f>SUM(
    COUNTIFS('Form responses 1'!$C$2:$C1001, A106, 'Form responses 1'!$A$2:$A1001, "&gt;=2024-04-01", 'Form responses 1'!$A$2:$A1001, "&lt;=2024-06-30"),
    COUNTIFS('Form responses 1'!$B$2:$B1001, A106, 'Form responses 1'!$A$2:$A1001, "&gt;=2024-04-01", 'Form responses 1'!$A$2:$A1001, "&lt;=2024-06-30"),
    COUNTIFS('Form responses 1'!$D$2:$D1001, A106, 'Form responses 1'!$A$2:$A1001, "&gt;=2024-04-01", 'Form responses 1'!$A$2:$A1001, "&lt;=2024-06-30"),
    COUNTIFS('Form responses 1'!$E$2:$E1001, A106, 'Form responses 1'!$A$2:$A1001, "&gt;=2024-04-01", 'Form responses 1'!$A$2:$A1001, "&lt;=2024-06-30"),
    COUNTIFS('Form responses 1'!$F$2:$F1001, A106, 'Form responses 1'!$A$2:$A1001, "&gt;=2024-04-01", 'Form responses 1'!$A$2:$A1001, "&lt;=2024-06-30"),
    COUNTIFS('Form responses 1'!$G$2:$G1001, A106, 'Form responses 1'!$A$2:$A1001, "&gt;=2024-04-01", 'Form responses 1'!$A$2:$A1001, "&lt;=2024-06-30")
)
</f>
        <v>0</v>
      </c>
      <c r="K106" s="2">
        <f>SUM(
    COUNTIFS('Form responses 1'!$C$2:$C1001, A106, 'Form responses 1'!$A$2:$A1001, "&gt;=2024-07-01", 'Form responses 1'!$A$2:$A1001, "&lt;=2024-09-30"),
    COUNTIFS('Form responses 1'!$B$2:$B1001, A106, 'Form responses 1'!$A$2:$A1001, "&gt;=2024-07-01", 'Form responses 1'!$A$2:$A1001, "&lt;=2024-09-30"),
    COUNTIFS('Form responses 1'!$D$2:$D1001, A106, 'Form responses 1'!$A$2:$A1001, "&gt;=2024-07-01", 'Form responses 1'!$A$2:$A1001, "&lt;=2024-09-30"),
    COUNTIFS('Form responses 1'!$E$2:$E1001, A106, 'Form responses 1'!$A$2:$A1001, "&gt;=2024-07-01", 'Form responses 1'!$A$2:$A1001, "&lt;=2024-09-30"),
    COUNTIFS('Form responses 1'!$F$2:$F1001, A106, 'Form responses 1'!$A$2:$A1001, "&gt;=2024-07-01", 'Form responses 1'!$A$2:$A1001, "&lt;=2024-09-30"),
    COUNTIFS('Form responses 1'!$G$2:$G1001, A106, 'Form responses 1'!$A$2:$A1001, "&gt;=2024-07-01", 'Form responses 1'!$A$2:$A1001, "&lt;=2024-09-30")
)
</f>
        <v>0</v>
      </c>
      <c r="L106" s="2">
        <f>SUM(
    COUNTIFS('Form responses 1'!$C$2:$C1001, A106, 'Form responses 1'!$A$2:$A1001, "&gt;=2024-10-01", 'Form responses 1'!$A$2:$A1001, "&lt;=2024-12-31"),
    COUNTIFS('Form responses 1'!$B$2:$B1001, A106, 'Form responses 1'!$A$2:$A1001, "&gt;=2024-10-01", 'Form responses 1'!$A$2:$A1001, "&lt;=2024-12-31"),
    COUNTIFS('Form responses 1'!$D$2:$D1001, A106, 'Form responses 1'!$A$2:$A1001, "&gt;=2024-10-01", 'Form responses 1'!$A$2:$A1001, "&lt;=2024-12-31"),
    COUNTIFS('Form responses 1'!$E$2:$E1001, A106, 'Form responses 1'!$A$2:$A1001, "&gt;=2024-10-01", 'Form responses 1'!$A$2:$A1001, "&lt;=2024-12-31"),
    COUNTIFS('Form responses 1'!$F$2:$F1001, A106, 'Form responses 1'!$A$2:$A1001, "&gt;=2024-10-01", 'Form responses 1'!$A$2:$A1001, "&lt;=2024-12-31"),
    COUNTIFS('Form responses 1'!$G$2:$G1001, A106, 'Form responses 1'!$A$2:$A1001, "&gt;=2024-10-01", 'Form responses 1'!$A$2:$A1001, "&lt;=2024-12-31")
)
</f>
        <v>0</v>
      </c>
      <c r="M106" s="2">
        <f>SUM(
    COUNTIFS('Form responses 1'!$C$2:$C1001, A106, 'Form responses 1'!$A$2:$A1001, "&gt;=2025-01-01", 'Form responses 1'!$A$2:$A1001, "&lt;=2025-03-31"),
    COUNTIFS('Form responses 1'!$B$2:$B1001, A106, 'Form responses 1'!$A$2:$A1001, "&gt;=2025-01-01", 'Form responses 1'!$A$2:$A1001, "&lt;=2025-03-31"),
    COUNTIFS('Form responses 1'!$D$2:$D1001, A106, 'Form responses 1'!$A$2:$A1001, "&gt;=2025-01-01", 'Form responses 1'!$A$2:$A1001, "&lt;=2025-03-31"),
    COUNTIFS('Form responses 1'!$E$2:$E1001, A106, 'Form responses 1'!$A$2:$A1001, "&gt;=2025-01-01", 'Form responses 1'!$A$2:$A1001, "&lt;=2025-03-31"),
    COUNTIFS('Form responses 1'!$F$2:$F1001, A106, 'Form responses 1'!$A$2:$A1001, "&gt;=2025-01-01", 'Form responses 1'!$A$2:$A1001, "&lt;=2025-03-31"),
    COUNTIFS('Form responses 1'!$G$2:$G1001, A106, 'Form responses 1'!$A$2:$A1001, "&gt;=2025-01-01", 'Form responses 1'!$A$2:$A1001, "&lt;=2025-03-31")
)
</f>
        <v>0</v>
      </c>
      <c r="N106" s="2">
        <f>SUM(
    COUNTIFS('Form responses 1'!$C$2:$C1001, A106, 'Form responses 1'!$A$2:$A1001, "&gt;=2025-04-01", 'Form responses 1'!$A$2:$A1001, "&lt;2025-07-01"),
    COUNTIFS('Form responses 1'!$B$2:$B1001, A106, 'Form responses 1'!$A$2:$A1001, "&gt;=2025-04-01", 'Form responses 1'!$A$2:$A1001, "&lt;2025-07-01"),
    COUNTIFS('Form responses 1'!$D$2:$D1001, A106, 'Form responses 1'!$A$2:$A1001, "&gt;=2025-04-01", 'Form responses 1'!$A$2:$A1001, "&lt;2025-07-01"),
    COUNTIFS('Form responses 1'!$E$2:$E1001, A106, 'Form responses 1'!$A$2:$A1001, "&gt;=2025-04-01", 'Form responses 1'!$A$2:$A1001, "&lt;2025-07-01"),
    COUNTIFS('Form responses 1'!$F$2:$F1001, A106, 'Form responses 1'!$A$2:$A1001, "&gt;=2025-04-01", 'Form responses 1'!$A$2:$A1001, "&lt;2025-07-01"),
    COUNTIFS('Form responses 1'!$G$2:$G1001, A106, 'Form responses 1'!$A$2:$A1001, "&gt;=2025-04-01", 'Form responses 1'!$A$2:$A1001, "&lt;2025-07-01")
)
</f>
        <v>0</v>
      </c>
      <c r="O106" s="2">
        <f>SUM(
    COUNTIFS('Form responses 1'!$C$2:$C1001, A106, 'Form responses 1'!$A$2:$A1001, "&gt;=2025-07-01", 'Form responses 1'!$A$2:$A1001, "&lt;=2025-09-30"),
    COUNTIFS('Form responses 1'!$B$2:$B1001, A106, 'Form responses 1'!$A$2:$A1001, "&gt;=2025-07-01", 'Form responses 1'!$A$2:$A1001, "&lt;=2025-09-30"),
    COUNTIFS('Form responses 1'!$D$2:$D1001, A106, 'Form responses 1'!$A$2:$A1001, "&gt;=2025-07-01", 'Form responses 1'!$A$2:$A1001, "&lt;=2025-09-30"),
    COUNTIFS('Form responses 1'!$E$2:$E1001, A106, 'Form responses 1'!$A$2:$A1001, "&gt;=2025-07-01", 'Form responses 1'!$A$2:$A1001, "&lt;=2025-09-30"),
    COUNTIFS('Form responses 1'!$F$2:$F1001, A106, 'Form responses 1'!$A$2:$A1001, "&gt;=2025-07-01", 'Form responses 1'!$A$2:$A1001, "&lt;=2025-09-30"),
    COUNTIFS('Form responses 1'!$G$2:$G1001, A106, 'Form responses 1'!$A$2:$A1001, "&gt;=2025-07-01", 'Form responses 1'!$A$2:$A1001, "&lt;=2025-09-30")
)
</f>
        <v>0</v>
      </c>
      <c r="P106" s="2">
        <f>SUM(
    COUNTIFS('Form responses 1'!$C$2:$C1001, A106, 'Form responses 1'!$A$2:$A1001, "&gt;=2025-10-01", 'Form responses 1'!$A$2:$A1001, "&lt;=2025-12-31"),
    COUNTIFS('Form responses 1'!$B$2:$B1001, A106, 'Form responses 1'!$A$2:$A1001, "&gt;=2025-10-01", 'Form responses 1'!$A$2:$A1001, "&lt;=2025-12-31"),
    COUNTIFS('Form responses 1'!$D$2:$D1001, A106, 'Form responses 1'!$A$2:$A1001, "&gt;=2025-10-01", 'Form responses 1'!$A$2:$A1001, "&lt;=2025-12-31"),
    COUNTIFS('Form responses 1'!$E$2:$E1001, A106, 'Form responses 1'!$A$2:$A1001, "&gt;=2025-10-01", 'Form responses 1'!$A$2:$A1001, "&lt;=2025-12-31"),
    COUNTIFS('Form responses 1'!$F$2:$F1001, A106, 'Form responses 1'!$A$2:$A1001, "&gt;=2025-10-01", 'Form responses 1'!$A$2:$A1001, "&lt;=2025-12-31"),
    COUNTIFS('Form responses 1'!$G$2:$G1001, A106, 'Form responses 1'!$A$2:$A1001, "&gt;=2025-10-01", 'Form responses 1'!$A$2:$A1001, "&lt;=2025-12-31")
)
</f>
        <v>6</v>
      </c>
    </row>
    <row r="107">
      <c r="A107" s="3" t="str">
        <f>IFERROR(__xludf.DUMMYFUNCTION("""COMPUTED_VALUE"""),"Grijs jas pak Vanda Tailors")</f>
        <v>Grijs jas pak Vanda Tailors</v>
      </c>
      <c r="B107" s="2">
        <f>SUM(
    COUNTIFS('Form responses 1'!$C$2:$C1001, A107, 'Form responses 1'!$A$2:$A1001, "&gt;=2022-04-01", 'Form responses 1'!$A$2:$A1001, "&lt;=2022-06-30"),
    COUNTIFS('Form responses 1'!$B$2:$B1001, A107, 'Form responses 1'!$A$2:$A1001, "&gt;=2022-04-01", 'Form responses 1'!$A$2:$A1001, "&lt;=2022-06-30"),
    COUNTIFS('Form responses 1'!$D$2:$D1001, A107, 'Form responses 1'!$A$2:$A1001, "&gt;=2022-04-01", 'Form responses 1'!$A$2:$A1001, "&lt;=2022-06-30"),
    COUNTIFS('Form responses 1'!$E$2:$E1001, A107, 'Form responses 1'!$A$2:$A1001, "&gt;=2022-04-01", 'Form responses 1'!$A$2:$A1001, "&lt;=2022-06-30"),
    COUNTIFS('Form responses 1'!$F$2:$F1001, A107, 'Form responses 1'!$A$2:$A1001, "&gt;=2022-04-01", 'Form responses 1'!$A$2:$A1001, "&lt;=2022-06-30"),
    COUNTIFS('Form responses 1'!$G$2:$G1001, A107, 'Form responses 1'!$A$2:$A1001, "&gt;=2022-04-01", 'Form responses 1'!$A$2:$A1001, "&lt;=2022-06-30")
)
</f>
        <v>0</v>
      </c>
      <c r="C107" s="2">
        <f>SUM(
    COUNTIFS('Form responses 1'!$C$2:$C1001, A107, 'Form responses 1'!$A$2:$A1001, "&gt;=2022-07-01", 'Form responses 1'!$A$2:$A1001, "&lt;=2022-09-30"),
    COUNTIFS('Form responses 1'!$B$2:$B1001, A107, 'Form responses 1'!$A$2:$A1001, "&gt;=2022-07-01", 'Form responses 1'!$A$2:$A1001, "&lt;=2022-09-30"),
    COUNTIFS('Form responses 1'!$D$2:$D1001, A107, 'Form responses 1'!$A$2:$A1001, "&gt;=2022-07-01", 'Form responses 1'!$A$2:$A1001, "&lt;=2022-09-30"),
    COUNTIFS('Form responses 1'!$E$2:$E1001, A107, 'Form responses 1'!$A$2:$A1001, "&gt;=2022-07-01", 'Form responses 1'!$A$2:$A1001, "&lt;=2022-09-30"),
    COUNTIFS('Form responses 1'!$F$2:$F1001, A107, 'Form responses 1'!$A$2:$A1001, "&gt;=2022-07-01", 'Form responses 1'!$A$2:$A1001, "&lt;=2022-09-30"),
    COUNTIFS('Form responses 1'!$G$2:$G1001, A107, 'Form responses 1'!$A$2:$A1001, "&gt;=2022-07-01", 'Form responses 1'!$A$2:$A1001, "&lt;=2022-09-30")
)
</f>
        <v>0</v>
      </c>
      <c r="D107" s="2">
        <f>SUM(
    COUNTIFS('Form responses 1'!$C$2:$C1001, A107, 'Form responses 1'!$A$2:$A1001, "&gt;=2022-10-01", 'Form responses 1'!$A$2:$A1001, "&lt;=2022-12-31"),
    COUNTIFS('Form responses 1'!$B$2:$B1001, A107, 'Form responses 1'!$A$2:$A1001, "&gt;=2022-10-01", 'Form responses 1'!$A$2:$A1001, "&lt;=2022-12-31"),
    COUNTIFS('Form responses 1'!$D$2:$D1001, A107, 'Form responses 1'!$A$2:$A1001, "&gt;=2022-10-01", 'Form responses 1'!$A$2:$A1001, "&lt;=2022-12-31"),
    COUNTIFS('Form responses 1'!$E$2:$E1001, A107, 'Form responses 1'!$A$2:$A1001, "&gt;=2022-10-01", 'Form responses 1'!$A$2:$A1001, "&lt;=2022-12-31"),
    COUNTIFS('Form responses 1'!$F$2:$F1001, A107, 'Form responses 1'!$A$2:$A1001, "&gt;=2022-10-01", 'Form responses 1'!$A$2:$A1001, "&lt;=2022-12-31"),
    COUNTIFS('Form responses 1'!$G$2:$G1001, A107, 'Form responses 1'!$A$2:$A1001, "&gt;=2022-10-01", 'Form responses 1'!$A$2:$A1001, "&lt;=2022-12-31")
)
</f>
        <v>0</v>
      </c>
      <c r="E107" s="2">
        <f>SUM(
    COUNTIFS('Form responses 1'!$C$2:$C1001, A107, 'Form responses 1'!$A$2:$A1001, "&gt;=2023-01-01", 'Form responses 1'!$A$2:$A1001, "&lt;=2023-03-31"),
    COUNTIFS('Form responses 1'!$B$2:$B1001, A107, 'Form responses 1'!$A$2:$A1001, "&gt;=2023-01-01", 'Form responses 1'!$A$2:$A1001, "&lt;=2023-03-31"),
    COUNTIFS('Form responses 1'!$D$2:$D1001, A107, 'Form responses 1'!$A$2:$A1001, "&gt;=2023-01-01", 'Form responses 1'!$A$2:$A1001, "&lt;=2023-03-31"),
    COUNTIFS('Form responses 1'!$E$2:$E1001, A107, 'Form responses 1'!$A$2:$A1001, "&gt;=2023-01-01", 'Form responses 1'!$A$2:$A1001, "&lt;=2023-03-31"),
    COUNTIFS('Form responses 1'!$F$2:$F1001, A107, 'Form responses 1'!$A$2:$A1001, "&gt;=2023-01-01", 'Form responses 1'!$A$2:$A1001, "&lt;=2023-03-31"),
    COUNTIFS('Form responses 1'!$G$2:$G1001, A107, 'Form responses 1'!$A$2:$A1001, "&gt;=2023-01-01", 'Form responses 1'!$A$2:$A1001, "&lt;=2023-03-31")
)
</f>
        <v>0</v>
      </c>
      <c r="F107" s="2">
        <f>SUM(
    COUNTIFS('Form responses 1'!$C$2:$C1001, A107, 'Form responses 1'!$A$2:$A1001, "&gt;=2023-04-01", 'Form responses 1'!$A$2:$A1001, "&lt;=2023-06-30"),
    COUNTIFS('Form responses 1'!$B$2:$B1001, A107, 'Form responses 1'!$A$2:$A1001, "&gt;=2023-04-01", 'Form responses 1'!$A$2:$A1001, "&lt;=2023-06-30"),
    COUNTIFS('Form responses 1'!$D$2:$D1001, A107, 'Form responses 1'!$A$2:$A1001, "&gt;=2023-04-01", 'Form responses 1'!$A$2:$A1001, "&lt;=2023-06-30"),
    COUNTIFS('Form responses 1'!$E$2:$E1001, A107, 'Form responses 1'!$A$2:$A1001, "&gt;=2023-04-01", 'Form responses 1'!$A$2:$A1001, "&lt;=2023-06-30"),
    COUNTIFS('Form responses 1'!$F$2:$F1001, A107, 'Form responses 1'!$A$2:$A1001, "&gt;=2023-04-01", 'Form responses 1'!$A$2:$A1001, "&lt;=2023-06-30"),
    COUNTIFS('Form responses 1'!$G$2:$G1001, A107, 'Form responses 1'!$A$2:$A1001, "&gt;=2023-04-01", 'Form responses 1'!$A$2:$A1001, "&lt;=2023-06-30")
)
</f>
        <v>0</v>
      </c>
      <c r="G107" s="2">
        <f>SUM(
    COUNTIFS('Form responses 1'!$C$2:$C1001, A107, 'Form responses 1'!$A$2:$A1001, "&gt;=2023-07-01", 'Form responses 1'!$A$2:$A1001, "&lt;=2023-09-30"),
    COUNTIFS('Form responses 1'!$B$2:$B1001, A107, 'Form responses 1'!$A$2:$A1001, "&gt;=2023-07-01", 'Form responses 1'!$A$2:$A1001, "&lt;=2023-09-30"),
    COUNTIFS('Form responses 1'!$D$2:$D1001, A107, 'Form responses 1'!$A$2:$A1001, "&gt;=2023-07-01", 'Form responses 1'!$A$2:$A1001, "&lt;=2023-09-30"),
    COUNTIFS('Form responses 1'!$E$2:$E1001, A107, 'Form responses 1'!$A$2:$A1001, "&gt;=2023-07-01", 'Form responses 1'!$A$2:$A1001, "&lt;=2023-09-30"),
    COUNTIFS('Form responses 1'!$F$2:$F1001, A107, 'Form responses 1'!$A$2:$A1001, "&gt;=2023-07-01", 'Form responses 1'!$A$2:$A1001, "&lt;=2023-09-30"),
    COUNTIFS('Form responses 1'!$G$2:$G1001, A107, 'Form responses 1'!$A$2:$A1001, "&gt;=2023-07-01", 'Form responses 1'!$A$2:$A1001, "&lt;=2023-09-30")
)
</f>
        <v>0</v>
      </c>
      <c r="H107" s="2">
        <f>SUM(
    COUNTIFS('Form responses 1'!$C$2:$C1001, A107, 'Form responses 1'!$A$2:$A1001, "&gt;=2023-10-01", 'Form responses 1'!$A$2:$A1001, "&lt;=2023-12-31"),
    COUNTIFS('Form responses 1'!$B$2:$B1001, A107, 'Form responses 1'!$A$2:$A1001, "&gt;=2023-10-01", 'Form responses 1'!$A$2:$A1001, "&lt;=2023-12-31"),
    COUNTIFS('Form responses 1'!$D$2:$D1001, A107, 'Form responses 1'!$A$2:$A1001, "&gt;=2023-10-01", 'Form responses 1'!$A$2:$A1001, "&lt;=2023-12-31"),
    COUNTIFS('Form responses 1'!$E$2:$E1001, A107, 'Form responses 1'!$A$2:$A1001, "&gt;=2023-10-01", 'Form responses 1'!$A$2:$A1001, "&lt;=2023-12-31"),
    COUNTIFS('Form responses 1'!$F$2:$F1001, A107, 'Form responses 1'!$A$2:$A1001, "&gt;=2023-10-01", 'Form responses 1'!$A$2:$A1001, "&lt;=2023-12-31"),
    COUNTIFS('Form responses 1'!$G$2:$G1001, A107, 'Form responses 1'!$A$2:$A1001, "&gt;=2023-10-01", 'Form responses 1'!$A$2:$A1001, "&lt;=2023-12-31")
)
</f>
        <v>0</v>
      </c>
      <c r="I107" s="2">
        <f>SUM(
    COUNTIFS('Form responses 1'!$C$2:$C1001, A107, 'Form responses 1'!$A$2:$A1001, "&gt;=2024-01-01", 'Form responses 1'!$A$2:$A1001, "&lt;=2024-03-31"),
    COUNTIFS('Form responses 1'!$B$2:$B1001, A107, 'Form responses 1'!$A$2:$A1001, "&gt;=2024-01-01", 'Form responses 1'!$A$2:$A1001, "&lt;=2024-03-31"),
    COUNTIFS('Form responses 1'!$D$2:$D1001, A107, 'Form responses 1'!$A$2:$A1001, "&gt;=2024-01-01", 'Form responses 1'!$A$2:$A1001, "&lt;=2024-03-31"),
    COUNTIFS('Form responses 1'!$E$2:$E1001, A107, 'Form responses 1'!$A$2:$A1001, "&gt;=2024-01-01", 'Form responses 1'!$A$2:$A1001, "&lt;=2024-03-31"),
    COUNTIFS('Form responses 1'!$F$2:$F1001, A107, 'Form responses 1'!$A$2:$A1001, "&gt;=2024-01-01", 'Form responses 1'!$A$2:$A1001, "&lt;=2024-03-31"),
    COUNTIFS('Form responses 1'!$G$2:$G1001, A107, 'Form responses 1'!$A$2:$A1001, "&gt;=2024-01-01", 'Form responses 1'!$A$2:$A1001, "&lt;=2024-03-31")
)
</f>
        <v>0</v>
      </c>
      <c r="J107" s="2">
        <f>SUM(
    COUNTIFS('Form responses 1'!$C$2:$C1001, A107, 'Form responses 1'!$A$2:$A1001, "&gt;=2024-04-01", 'Form responses 1'!$A$2:$A1001, "&lt;=2024-06-30"),
    COUNTIFS('Form responses 1'!$B$2:$B1001, A107, 'Form responses 1'!$A$2:$A1001, "&gt;=2024-04-01", 'Form responses 1'!$A$2:$A1001, "&lt;=2024-06-30"),
    COUNTIFS('Form responses 1'!$D$2:$D1001, A107, 'Form responses 1'!$A$2:$A1001, "&gt;=2024-04-01", 'Form responses 1'!$A$2:$A1001, "&lt;=2024-06-30"),
    COUNTIFS('Form responses 1'!$E$2:$E1001, A107, 'Form responses 1'!$A$2:$A1001, "&gt;=2024-04-01", 'Form responses 1'!$A$2:$A1001, "&lt;=2024-06-30"),
    COUNTIFS('Form responses 1'!$F$2:$F1001, A107, 'Form responses 1'!$A$2:$A1001, "&gt;=2024-04-01", 'Form responses 1'!$A$2:$A1001, "&lt;=2024-06-30"),
    COUNTIFS('Form responses 1'!$G$2:$G1001, A107, 'Form responses 1'!$A$2:$A1001, "&gt;=2024-04-01", 'Form responses 1'!$A$2:$A1001, "&lt;=2024-06-30")
)
</f>
        <v>0</v>
      </c>
      <c r="K107" s="2">
        <f>SUM(
    COUNTIFS('Form responses 1'!$C$2:$C1001, A107, 'Form responses 1'!$A$2:$A1001, "&gt;=2024-07-01", 'Form responses 1'!$A$2:$A1001, "&lt;=2024-09-30"),
    COUNTIFS('Form responses 1'!$B$2:$B1001, A107, 'Form responses 1'!$A$2:$A1001, "&gt;=2024-07-01", 'Form responses 1'!$A$2:$A1001, "&lt;=2024-09-30"),
    COUNTIFS('Form responses 1'!$D$2:$D1001, A107, 'Form responses 1'!$A$2:$A1001, "&gt;=2024-07-01", 'Form responses 1'!$A$2:$A1001, "&lt;=2024-09-30"),
    COUNTIFS('Form responses 1'!$E$2:$E1001, A107, 'Form responses 1'!$A$2:$A1001, "&gt;=2024-07-01", 'Form responses 1'!$A$2:$A1001, "&lt;=2024-09-30"),
    COUNTIFS('Form responses 1'!$F$2:$F1001, A107, 'Form responses 1'!$A$2:$A1001, "&gt;=2024-07-01", 'Form responses 1'!$A$2:$A1001, "&lt;=2024-09-30"),
    COUNTIFS('Form responses 1'!$G$2:$G1001, A107, 'Form responses 1'!$A$2:$A1001, "&gt;=2024-07-01", 'Form responses 1'!$A$2:$A1001, "&lt;=2024-09-30")
)
</f>
        <v>0</v>
      </c>
      <c r="L107" s="2">
        <f>SUM(
    COUNTIFS('Form responses 1'!$C$2:$C1001, A107, 'Form responses 1'!$A$2:$A1001, "&gt;=2024-10-01", 'Form responses 1'!$A$2:$A1001, "&lt;=2024-12-31"),
    COUNTIFS('Form responses 1'!$B$2:$B1001, A107, 'Form responses 1'!$A$2:$A1001, "&gt;=2024-10-01", 'Form responses 1'!$A$2:$A1001, "&lt;=2024-12-31"),
    COUNTIFS('Form responses 1'!$D$2:$D1001, A107, 'Form responses 1'!$A$2:$A1001, "&gt;=2024-10-01", 'Form responses 1'!$A$2:$A1001, "&lt;=2024-12-31"),
    COUNTIFS('Form responses 1'!$E$2:$E1001, A107, 'Form responses 1'!$A$2:$A1001, "&gt;=2024-10-01", 'Form responses 1'!$A$2:$A1001, "&lt;=2024-12-31"),
    COUNTIFS('Form responses 1'!$F$2:$F1001, A107, 'Form responses 1'!$A$2:$A1001, "&gt;=2024-10-01", 'Form responses 1'!$A$2:$A1001, "&lt;=2024-12-31"),
    COUNTIFS('Form responses 1'!$G$2:$G1001, A107, 'Form responses 1'!$A$2:$A1001, "&gt;=2024-10-01", 'Form responses 1'!$A$2:$A1001, "&lt;=2024-12-31")
)
</f>
        <v>0</v>
      </c>
      <c r="M107" s="2">
        <f>SUM(
    COUNTIFS('Form responses 1'!$C$2:$C1001, A107, 'Form responses 1'!$A$2:$A1001, "&gt;=2025-01-01", 'Form responses 1'!$A$2:$A1001, "&lt;=2025-03-31"),
    COUNTIFS('Form responses 1'!$B$2:$B1001, A107, 'Form responses 1'!$A$2:$A1001, "&gt;=2025-01-01", 'Form responses 1'!$A$2:$A1001, "&lt;=2025-03-31"),
    COUNTIFS('Form responses 1'!$D$2:$D1001, A107, 'Form responses 1'!$A$2:$A1001, "&gt;=2025-01-01", 'Form responses 1'!$A$2:$A1001, "&lt;=2025-03-31"),
    COUNTIFS('Form responses 1'!$E$2:$E1001, A107, 'Form responses 1'!$A$2:$A1001, "&gt;=2025-01-01", 'Form responses 1'!$A$2:$A1001, "&lt;=2025-03-31"),
    COUNTIFS('Form responses 1'!$F$2:$F1001, A107, 'Form responses 1'!$A$2:$A1001, "&gt;=2025-01-01", 'Form responses 1'!$A$2:$A1001, "&lt;=2025-03-31"),
    COUNTIFS('Form responses 1'!$G$2:$G1001, A107, 'Form responses 1'!$A$2:$A1001, "&gt;=2025-01-01", 'Form responses 1'!$A$2:$A1001, "&lt;=2025-03-31")
)
</f>
        <v>0</v>
      </c>
      <c r="N107" s="2">
        <f>SUM(
    COUNTIFS('Form responses 1'!$C$2:$C1001, A107, 'Form responses 1'!$A$2:$A1001, "&gt;=2025-04-01", 'Form responses 1'!$A$2:$A1001, "&lt;2025-07-01"),
    COUNTIFS('Form responses 1'!$B$2:$B1001, A107, 'Form responses 1'!$A$2:$A1001, "&gt;=2025-04-01", 'Form responses 1'!$A$2:$A1001, "&lt;2025-07-01"),
    COUNTIFS('Form responses 1'!$D$2:$D1001, A107, 'Form responses 1'!$A$2:$A1001, "&gt;=2025-04-01", 'Form responses 1'!$A$2:$A1001, "&lt;2025-07-01"),
    COUNTIFS('Form responses 1'!$E$2:$E1001, A107, 'Form responses 1'!$A$2:$A1001, "&gt;=2025-04-01", 'Form responses 1'!$A$2:$A1001, "&lt;2025-07-01"),
    COUNTIFS('Form responses 1'!$F$2:$F1001, A107, 'Form responses 1'!$A$2:$A1001, "&gt;=2025-04-01", 'Form responses 1'!$A$2:$A1001, "&lt;2025-07-01"),
    COUNTIFS('Form responses 1'!$G$2:$G1001, A107, 'Form responses 1'!$A$2:$A1001, "&gt;=2025-04-01", 'Form responses 1'!$A$2:$A1001, "&lt;2025-07-01")
)
</f>
        <v>0</v>
      </c>
      <c r="O107" s="2">
        <f>SUM(
    COUNTIFS('Form responses 1'!$C$2:$C1001, A107, 'Form responses 1'!$A$2:$A1001, "&gt;=2025-07-01", 'Form responses 1'!$A$2:$A1001, "&lt;=2025-09-30"),
    COUNTIFS('Form responses 1'!$B$2:$B1001, A107, 'Form responses 1'!$A$2:$A1001, "&gt;=2025-07-01", 'Form responses 1'!$A$2:$A1001, "&lt;=2025-09-30"),
    COUNTIFS('Form responses 1'!$D$2:$D1001, A107, 'Form responses 1'!$A$2:$A1001, "&gt;=2025-07-01", 'Form responses 1'!$A$2:$A1001, "&lt;=2025-09-30"),
    COUNTIFS('Form responses 1'!$E$2:$E1001, A107, 'Form responses 1'!$A$2:$A1001, "&gt;=2025-07-01", 'Form responses 1'!$A$2:$A1001, "&lt;=2025-09-30"),
    COUNTIFS('Form responses 1'!$F$2:$F1001, A107, 'Form responses 1'!$A$2:$A1001, "&gt;=2025-07-01", 'Form responses 1'!$A$2:$A1001, "&lt;=2025-09-30"),
    COUNTIFS('Form responses 1'!$G$2:$G1001, A107, 'Form responses 1'!$A$2:$A1001, "&gt;=2025-07-01", 'Form responses 1'!$A$2:$A1001, "&lt;=2025-09-30")
)
</f>
        <v>0</v>
      </c>
      <c r="P107" s="2">
        <f>SUM(
    COUNTIFS('Form responses 1'!$C$2:$C1001, A107, 'Form responses 1'!$A$2:$A1001, "&gt;=2025-10-01", 'Form responses 1'!$A$2:$A1001, "&lt;=2025-12-31"),
    COUNTIFS('Form responses 1'!$B$2:$B1001, A107, 'Form responses 1'!$A$2:$A1001, "&gt;=2025-10-01", 'Form responses 1'!$A$2:$A1001, "&lt;=2025-12-31"),
    COUNTIFS('Form responses 1'!$D$2:$D1001, A107, 'Form responses 1'!$A$2:$A1001, "&gt;=2025-10-01", 'Form responses 1'!$A$2:$A1001, "&lt;=2025-12-31"),
    COUNTIFS('Form responses 1'!$E$2:$E1001, A107, 'Form responses 1'!$A$2:$A1001, "&gt;=2025-10-01", 'Form responses 1'!$A$2:$A1001, "&lt;=2025-12-31"),
    COUNTIFS('Form responses 1'!$F$2:$F1001, A107, 'Form responses 1'!$A$2:$A1001, "&gt;=2025-10-01", 'Form responses 1'!$A$2:$A1001, "&lt;=2025-12-31"),
    COUNTIFS('Form responses 1'!$G$2:$G1001, A107, 'Form responses 1'!$A$2:$A1001, "&gt;=2025-10-01", 'Form responses 1'!$A$2:$A1001, "&lt;=2025-12-31")
)
</f>
        <v>5</v>
      </c>
    </row>
    <row r="108">
      <c r="A108" s="3" t="str">
        <f>IFERROR(__xludf.DUMMYFUNCTION("""COMPUTED_VALUE"""),"Zwarte smoking broek")</f>
        <v>Zwarte smoking broek</v>
      </c>
      <c r="B108" s="2">
        <f>SUM(
    COUNTIFS('Form responses 1'!$C$2:$C1001, A108, 'Form responses 1'!$A$2:$A1001, "&gt;=2022-04-01", 'Form responses 1'!$A$2:$A1001, "&lt;=2022-06-30"),
    COUNTIFS('Form responses 1'!$B$2:$B1001, A108, 'Form responses 1'!$A$2:$A1001, "&gt;=2022-04-01", 'Form responses 1'!$A$2:$A1001, "&lt;=2022-06-30"),
    COUNTIFS('Form responses 1'!$D$2:$D1001, A108, 'Form responses 1'!$A$2:$A1001, "&gt;=2022-04-01", 'Form responses 1'!$A$2:$A1001, "&lt;=2022-06-30"),
    COUNTIFS('Form responses 1'!$E$2:$E1001, A108, 'Form responses 1'!$A$2:$A1001, "&gt;=2022-04-01", 'Form responses 1'!$A$2:$A1001, "&lt;=2022-06-30"),
    COUNTIFS('Form responses 1'!$F$2:$F1001, A108, 'Form responses 1'!$A$2:$A1001, "&gt;=2022-04-01", 'Form responses 1'!$A$2:$A1001, "&lt;=2022-06-30"),
    COUNTIFS('Form responses 1'!$G$2:$G1001, A108, 'Form responses 1'!$A$2:$A1001, "&gt;=2022-04-01", 'Form responses 1'!$A$2:$A1001, "&lt;=2022-06-30")
)
</f>
        <v>0</v>
      </c>
      <c r="C108" s="2">
        <f>SUM(
    COUNTIFS('Form responses 1'!$C$2:$C1001, A108, 'Form responses 1'!$A$2:$A1001, "&gt;=2022-07-01", 'Form responses 1'!$A$2:$A1001, "&lt;=2022-09-30"),
    COUNTIFS('Form responses 1'!$B$2:$B1001, A108, 'Form responses 1'!$A$2:$A1001, "&gt;=2022-07-01", 'Form responses 1'!$A$2:$A1001, "&lt;=2022-09-30"),
    COUNTIFS('Form responses 1'!$D$2:$D1001, A108, 'Form responses 1'!$A$2:$A1001, "&gt;=2022-07-01", 'Form responses 1'!$A$2:$A1001, "&lt;=2022-09-30"),
    COUNTIFS('Form responses 1'!$E$2:$E1001, A108, 'Form responses 1'!$A$2:$A1001, "&gt;=2022-07-01", 'Form responses 1'!$A$2:$A1001, "&lt;=2022-09-30"),
    COUNTIFS('Form responses 1'!$F$2:$F1001, A108, 'Form responses 1'!$A$2:$A1001, "&gt;=2022-07-01", 'Form responses 1'!$A$2:$A1001, "&lt;=2022-09-30"),
    COUNTIFS('Form responses 1'!$G$2:$G1001, A108, 'Form responses 1'!$A$2:$A1001, "&gt;=2022-07-01", 'Form responses 1'!$A$2:$A1001, "&lt;=2022-09-30")
)
</f>
        <v>0</v>
      </c>
      <c r="D108" s="2">
        <f>SUM(
    COUNTIFS('Form responses 1'!$C$2:$C1001, A108, 'Form responses 1'!$A$2:$A1001, "&gt;=2022-10-01", 'Form responses 1'!$A$2:$A1001, "&lt;=2022-12-31"),
    COUNTIFS('Form responses 1'!$B$2:$B1001, A108, 'Form responses 1'!$A$2:$A1001, "&gt;=2022-10-01", 'Form responses 1'!$A$2:$A1001, "&lt;=2022-12-31"),
    COUNTIFS('Form responses 1'!$D$2:$D1001, A108, 'Form responses 1'!$A$2:$A1001, "&gt;=2022-10-01", 'Form responses 1'!$A$2:$A1001, "&lt;=2022-12-31"),
    COUNTIFS('Form responses 1'!$E$2:$E1001, A108, 'Form responses 1'!$A$2:$A1001, "&gt;=2022-10-01", 'Form responses 1'!$A$2:$A1001, "&lt;=2022-12-31"),
    COUNTIFS('Form responses 1'!$F$2:$F1001, A108, 'Form responses 1'!$A$2:$A1001, "&gt;=2022-10-01", 'Form responses 1'!$A$2:$A1001, "&lt;=2022-12-31"),
    COUNTIFS('Form responses 1'!$G$2:$G1001, A108, 'Form responses 1'!$A$2:$A1001, "&gt;=2022-10-01", 'Form responses 1'!$A$2:$A1001, "&lt;=2022-12-31")
)
</f>
        <v>0</v>
      </c>
      <c r="E108" s="2">
        <f>SUM(
    COUNTIFS('Form responses 1'!$C$2:$C1001, A108, 'Form responses 1'!$A$2:$A1001, "&gt;=2023-01-01", 'Form responses 1'!$A$2:$A1001, "&lt;=2023-03-31"),
    COUNTIFS('Form responses 1'!$B$2:$B1001, A108, 'Form responses 1'!$A$2:$A1001, "&gt;=2023-01-01", 'Form responses 1'!$A$2:$A1001, "&lt;=2023-03-31"),
    COUNTIFS('Form responses 1'!$D$2:$D1001, A108, 'Form responses 1'!$A$2:$A1001, "&gt;=2023-01-01", 'Form responses 1'!$A$2:$A1001, "&lt;=2023-03-31"),
    COUNTIFS('Form responses 1'!$E$2:$E1001, A108, 'Form responses 1'!$A$2:$A1001, "&gt;=2023-01-01", 'Form responses 1'!$A$2:$A1001, "&lt;=2023-03-31"),
    COUNTIFS('Form responses 1'!$F$2:$F1001, A108, 'Form responses 1'!$A$2:$A1001, "&gt;=2023-01-01", 'Form responses 1'!$A$2:$A1001, "&lt;=2023-03-31"),
    COUNTIFS('Form responses 1'!$G$2:$G1001, A108, 'Form responses 1'!$A$2:$A1001, "&gt;=2023-01-01", 'Form responses 1'!$A$2:$A1001, "&lt;=2023-03-31")
)
</f>
        <v>0</v>
      </c>
      <c r="F108" s="2">
        <f>SUM(
    COUNTIFS('Form responses 1'!$C$2:$C1001, A108, 'Form responses 1'!$A$2:$A1001, "&gt;=2023-04-01", 'Form responses 1'!$A$2:$A1001, "&lt;=2023-06-30"),
    COUNTIFS('Form responses 1'!$B$2:$B1001, A108, 'Form responses 1'!$A$2:$A1001, "&gt;=2023-04-01", 'Form responses 1'!$A$2:$A1001, "&lt;=2023-06-30"),
    COUNTIFS('Form responses 1'!$D$2:$D1001, A108, 'Form responses 1'!$A$2:$A1001, "&gt;=2023-04-01", 'Form responses 1'!$A$2:$A1001, "&lt;=2023-06-30"),
    COUNTIFS('Form responses 1'!$E$2:$E1001, A108, 'Form responses 1'!$A$2:$A1001, "&gt;=2023-04-01", 'Form responses 1'!$A$2:$A1001, "&lt;=2023-06-30"),
    COUNTIFS('Form responses 1'!$F$2:$F1001, A108, 'Form responses 1'!$A$2:$A1001, "&gt;=2023-04-01", 'Form responses 1'!$A$2:$A1001, "&lt;=2023-06-30"),
    COUNTIFS('Form responses 1'!$G$2:$G1001, A108, 'Form responses 1'!$A$2:$A1001, "&gt;=2023-04-01", 'Form responses 1'!$A$2:$A1001, "&lt;=2023-06-30")
)
</f>
        <v>0</v>
      </c>
      <c r="G108" s="2">
        <f>SUM(
    COUNTIFS('Form responses 1'!$C$2:$C1001, A108, 'Form responses 1'!$A$2:$A1001, "&gt;=2023-07-01", 'Form responses 1'!$A$2:$A1001, "&lt;=2023-09-30"),
    COUNTIFS('Form responses 1'!$B$2:$B1001, A108, 'Form responses 1'!$A$2:$A1001, "&gt;=2023-07-01", 'Form responses 1'!$A$2:$A1001, "&lt;=2023-09-30"),
    COUNTIFS('Form responses 1'!$D$2:$D1001, A108, 'Form responses 1'!$A$2:$A1001, "&gt;=2023-07-01", 'Form responses 1'!$A$2:$A1001, "&lt;=2023-09-30"),
    COUNTIFS('Form responses 1'!$E$2:$E1001, A108, 'Form responses 1'!$A$2:$A1001, "&gt;=2023-07-01", 'Form responses 1'!$A$2:$A1001, "&lt;=2023-09-30"),
    COUNTIFS('Form responses 1'!$F$2:$F1001, A108, 'Form responses 1'!$A$2:$A1001, "&gt;=2023-07-01", 'Form responses 1'!$A$2:$A1001, "&lt;=2023-09-30"),
    COUNTIFS('Form responses 1'!$G$2:$G1001, A108, 'Form responses 1'!$A$2:$A1001, "&gt;=2023-07-01", 'Form responses 1'!$A$2:$A1001, "&lt;=2023-09-30")
)
</f>
        <v>0</v>
      </c>
      <c r="H108" s="2">
        <f>SUM(
    COUNTIFS('Form responses 1'!$C$2:$C1001, A108, 'Form responses 1'!$A$2:$A1001, "&gt;=2023-10-01", 'Form responses 1'!$A$2:$A1001, "&lt;=2023-12-31"),
    COUNTIFS('Form responses 1'!$B$2:$B1001, A108, 'Form responses 1'!$A$2:$A1001, "&gt;=2023-10-01", 'Form responses 1'!$A$2:$A1001, "&lt;=2023-12-31"),
    COUNTIFS('Form responses 1'!$D$2:$D1001, A108, 'Form responses 1'!$A$2:$A1001, "&gt;=2023-10-01", 'Form responses 1'!$A$2:$A1001, "&lt;=2023-12-31"),
    COUNTIFS('Form responses 1'!$E$2:$E1001, A108, 'Form responses 1'!$A$2:$A1001, "&gt;=2023-10-01", 'Form responses 1'!$A$2:$A1001, "&lt;=2023-12-31"),
    COUNTIFS('Form responses 1'!$F$2:$F1001, A108, 'Form responses 1'!$A$2:$A1001, "&gt;=2023-10-01", 'Form responses 1'!$A$2:$A1001, "&lt;=2023-12-31"),
    COUNTIFS('Form responses 1'!$G$2:$G1001, A108, 'Form responses 1'!$A$2:$A1001, "&gt;=2023-10-01", 'Form responses 1'!$A$2:$A1001, "&lt;=2023-12-31")
)
</f>
        <v>0</v>
      </c>
      <c r="I108" s="2">
        <f>SUM(
    COUNTIFS('Form responses 1'!$C$2:$C1001, A108, 'Form responses 1'!$A$2:$A1001, "&gt;=2024-01-01", 'Form responses 1'!$A$2:$A1001, "&lt;=2024-03-31"),
    COUNTIFS('Form responses 1'!$B$2:$B1001, A108, 'Form responses 1'!$A$2:$A1001, "&gt;=2024-01-01", 'Form responses 1'!$A$2:$A1001, "&lt;=2024-03-31"),
    COUNTIFS('Form responses 1'!$D$2:$D1001, A108, 'Form responses 1'!$A$2:$A1001, "&gt;=2024-01-01", 'Form responses 1'!$A$2:$A1001, "&lt;=2024-03-31"),
    COUNTIFS('Form responses 1'!$E$2:$E1001, A108, 'Form responses 1'!$A$2:$A1001, "&gt;=2024-01-01", 'Form responses 1'!$A$2:$A1001, "&lt;=2024-03-31"),
    COUNTIFS('Form responses 1'!$F$2:$F1001, A108, 'Form responses 1'!$A$2:$A1001, "&gt;=2024-01-01", 'Form responses 1'!$A$2:$A1001, "&lt;=2024-03-31"),
    COUNTIFS('Form responses 1'!$G$2:$G1001, A108, 'Form responses 1'!$A$2:$A1001, "&gt;=2024-01-01", 'Form responses 1'!$A$2:$A1001, "&lt;=2024-03-31")
)
</f>
        <v>0</v>
      </c>
      <c r="J108" s="2">
        <f>SUM(
    COUNTIFS('Form responses 1'!$C$2:$C1001, A108, 'Form responses 1'!$A$2:$A1001, "&gt;=2024-04-01", 'Form responses 1'!$A$2:$A1001, "&lt;=2024-06-30"),
    COUNTIFS('Form responses 1'!$B$2:$B1001, A108, 'Form responses 1'!$A$2:$A1001, "&gt;=2024-04-01", 'Form responses 1'!$A$2:$A1001, "&lt;=2024-06-30"),
    COUNTIFS('Form responses 1'!$D$2:$D1001, A108, 'Form responses 1'!$A$2:$A1001, "&gt;=2024-04-01", 'Form responses 1'!$A$2:$A1001, "&lt;=2024-06-30"),
    COUNTIFS('Form responses 1'!$E$2:$E1001, A108, 'Form responses 1'!$A$2:$A1001, "&gt;=2024-04-01", 'Form responses 1'!$A$2:$A1001, "&lt;=2024-06-30"),
    COUNTIFS('Form responses 1'!$F$2:$F1001, A108, 'Form responses 1'!$A$2:$A1001, "&gt;=2024-04-01", 'Form responses 1'!$A$2:$A1001, "&lt;=2024-06-30"),
    COUNTIFS('Form responses 1'!$G$2:$G1001, A108, 'Form responses 1'!$A$2:$A1001, "&gt;=2024-04-01", 'Form responses 1'!$A$2:$A1001, "&lt;=2024-06-30")
)
</f>
        <v>0</v>
      </c>
      <c r="K108" s="2">
        <f>SUM(
    COUNTIFS('Form responses 1'!$C$2:$C1001, A108, 'Form responses 1'!$A$2:$A1001, "&gt;=2024-07-01", 'Form responses 1'!$A$2:$A1001, "&lt;=2024-09-30"),
    COUNTIFS('Form responses 1'!$B$2:$B1001, A108, 'Form responses 1'!$A$2:$A1001, "&gt;=2024-07-01", 'Form responses 1'!$A$2:$A1001, "&lt;=2024-09-30"),
    COUNTIFS('Form responses 1'!$D$2:$D1001, A108, 'Form responses 1'!$A$2:$A1001, "&gt;=2024-07-01", 'Form responses 1'!$A$2:$A1001, "&lt;=2024-09-30"),
    COUNTIFS('Form responses 1'!$E$2:$E1001, A108, 'Form responses 1'!$A$2:$A1001, "&gt;=2024-07-01", 'Form responses 1'!$A$2:$A1001, "&lt;=2024-09-30"),
    COUNTIFS('Form responses 1'!$F$2:$F1001, A108, 'Form responses 1'!$A$2:$A1001, "&gt;=2024-07-01", 'Form responses 1'!$A$2:$A1001, "&lt;=2024-09-30"),
    COUNTIFS('Form responses 1'!$G$2:$G1001, A108, 'Form responses 1'!$A$2:$A1001, "&gt;=2024-07-01", 'Form responses 1'!$A$2:$A1001, "&lt;=2024-09-30")
)
</f>
        <v>0</v>
      </c>
      <c r="L108" s="2">
        <f>SUM(
    COUNTIFS('Form responses 1'!$C$2:$C1001, A108, 'Form responses 1'!$A$2:$A1001, "&gt;=2024-10-01", 'Form responses 1'!$A$2:$A1001, "&lt;=2024-12-31"),
    COUNTIFS('Form responses 1'!$B$2:$B1001, A108, 'Form responses 1'!$A$2:$A1001, "&gt;=2024-10-01", 'Form responses 1'!$A$2:$A1001, "&lt;=2024-12-31"),
    COUNTIFS('Form responses 1'!$D$2:$D1001, A108, 'Form responses 1'!$A$2:$A1001, "&gt;=2024-10-01", 'Form responses 1'!$A$2:$A1001, "&lt;=2024-12-31"),
    COUNTIFS('Form responses 1'!$E$2:$E1001, A108, 'Form responses 1'!$A$2:$A1001, "&gt;=2024-10-01", 'Form responses 1'!$A$2:$A1001, "&lt;=2024-12-31"),
    COUNTIFS('Form responses 1'!$F$2:$F1001, A108, 'Form responses 1'!$A$2:$A1001, "&gt;=2024-10-01", 'Form responses 1'!$A$2:$A1001, "&lt;=2024-12-31"),
    COUNTIFS('Form responses 1'!$G$2:$G1001, A108, 'Form responses 1'!$A$2:$A1001, "&gt;=2024-10-01", 'Form responses 1'!$A$2:$A1001, "&lt;=2024-12-31")
)
</f>
        <v>0</v>
      </c>
      <c r="M108" s="2">
        <f>SUM(
    COUNTIFS('Form responses 1'!$C$2:$C1001, A108, 'Form responses 1'!$A$2:$A1001, "&gt;=2025-01-01", 'Form responses 1'!$A$2:$A1001, "&lt;=2025-03-31"),
    COUNTIFS('Form responses 1'!$B$2:$B1001, A108, 'Form responses 1'!$A$2:$A1001, "&gt;=2025-01-01", 'Form responses 1'!$A$2:$A1001, "&lt;=2025-03-31"),
    COUNTIFS('Form responses 1'!$D$2:$D1001, A108, 'Form responses 1'!$A$2:$A1001, "&gt;=2025-01-01", 'Form responses 1'!$A$2:$A1001, "&lt;=2025-03-31"),
    COUNTIFS('Form responses 1'!$E$2:$E1001, A108, 'Form responses 1'!$A$2:$A1001, "&gt;=2025-01-01", 'Form responses 1'!$A$2:$A1001, "&lt;=2025-03-31"),
    COUNTIFS('Form responses 1'!$F$2:$F1001, A108, 'Form responses 1'!$A$2:$A1001, "&gt;=2025-01-01", 'Form responses 1'!$A$2:$A1001, "&lt;=2025-03-31"),
    COUNTIFS('Form responses 1'!$G$2:$G1001, A108, 'Form responses 1'!$A$2:$A1001, "&gt;=2025-01-01", 'Form responses 1'!$A$2:$A1001, "&lt;=2025-03-31")
)
</f>
        <v>0</v>
      </c>
      <c r="N108" s="2">
        <f>SUM(
    COUNTIFS('Form responses 1'!$C$2:$C1001, A108, 'Form responses 1'!$A$2:$A1001, "&gt;=2025-04-01", 'Form responses 1'!$A$2:$A1001, "&lt;2025-07-01"),
    COUNTIFS('Form responses 1'!$B$2:$B1001, A108, 'Form responses 1'!$A$2:$A1001, "&gt;=2025-04-01", 'Form responses 1'!$A$2:$A1001, "&lt;2025-07-01"),
    COUNTIFS('Form responses 1'!$D$2:$D1001, A108, 'Form responses 1'!$A$2:$A1001, "&gt;=2025-04-01", 'Form responses 1'!$A$2:$A1001, "&lt;2025-07-01"),
    COUNTIFS('Form responses 1'!$E$2:$E1001, A108, 'Form responses 1'!$A$2:$A1001, "&gt;=2025-04-01", 'Form responses 1'!$A$2:$A1001, "&lt;2025-07-01"),
    COUNTIFS('Form responses 1'!$F$2:$F1001, A108, 'Form responses 1'!$A$2:$A1001, "&gt;=2025-04-01", 'Form responses 1'!$A$2:$A1001, "&lt;2025-07-01"),
    COUNTIFS('Form responses 1'!$G$2:$G1001, A108, 'Form responses 1'!$A$2:$A1001, "&gt;=2025-04-01", 'Form responses 1'!$A$2:$A1001, "&lt;2025-07-01")
)
</f>
        <v>0</v>
      </c>
      <c r="O108" s="2">
        <f>SUM(
    COUNTIFS('Form responses 1'!$C$2:$C1001, A108, 'Form responses 1'!$A$2:$A1001, "&gt;=2025-07-01", 'Form responses 1'!$A$2:$A1001, "&lt;=2025-09-30"),
    COUNTIFS('Form responses 1'!$B$2:$B1001, A108, 'Form responses 1'!$A$2:$A1001, "&gt;=2025-07-01", 'Form responses 1'!$A$2:$A1001, "&lt;=2025-09-30"),
    COUNTIFS('Form responses 1'!$D$2:$D1001, A108, 'Form responses 1'!$A$2:$A1001, "&gt;=2025-07-01", 'Form responses 1'!$A$2:$A1001, "&lt;=2025-09-30"),
    COUNTIFS('Form responses 1'!$E$2:$E1001, A108, 'Form responses 1'!$A$2:$A1001, "&gt;=2025-07-01", 'Form responses 1'!$A$2:$A1001, "&lt;=2025-09-30"),
    COUNTIFS('Form responses 1'!$F$2:$F1001, A108, 'Form responses 1'!$A$2:$A1001, "&gt;=2025-07-01", 'Form responses 1'!$A$2:$A1001, "&lt;=2025-09-30"),
    COUNTIFS('Form responses 1'!$G$2:$G1001, A108, 'Form responses 1'!$A$2:$A1001, "&gt;=2025-07-01", 'Form responses 1'!$A$2:$A1001, "&lt;=2025-09-30")
)
</f>
        <v>0</v>
      </c>
      <c r="P108" s="2">
        <f>SUM(
    COUNTIFS('Form responses 1'!$C$2:$C1001, A108, 'Form responses 1'!$A$2:$A1001, "&gt;=2025-10-01", 'Form responses 1'!$A$2:$A1001, "&lt;=2025-12-31"),
    COUNTIFS('Form responses 1'!$B$2:$B1001, A108, 'Form responses 1'!$A$2:$A1001, "&gt;=2025-10-01", 'Form responses 1'!$A$2:$A1001, "&lt;=2025-12-31"),
    COUNTIFS('Form responses 1'!$D$2:$D1001, A108, 'Form responses 1'!$A$2:$A1001, "&gt;=2025-10-01", 'Form responses 1'!$A$2:$A1001, "&lt;=2025-12-31"),
    COUNTIFS('Form responses 1'!$E$2:$E1001, A108, 'Form responses 1'!$A$2:$A1001, "&gt;=2025-10-01", 'Form responses 1'!$A$2:$A1001, "&lt;=2025-12-31"),
    COUNTIFS('Form responses 1'!$F$2:$F1001, A108, 'Form responses 1'!$A$2:$A1001, "&gt;=2025-10-01", 'Form responses 1'!$A$2:$A1001, "&lt;=2025-12-31"),
    COUNTIFS('Form responses 1'!$G$2:$G1001, A108, 'Form responses 1'!$A$2:$A1001, "&gt;=2025-10-01", 'Form responses 1'!$A$2:$A1001, "&lt;=2025-12-31")
)
</f>
        <v>1</v>
      </c>
    </row>
    <row r="109">
      <c r="A109" s="3" t="str">
        <f>IFERROR(__xludf.DUMMYFUNCTION("""COMPUTED_VALUE"""),"Zwarte smoking jas")</f>
        <v>Zwarte smoking jas</v>
      </c>
      <c r="B109" s="2">
        <f>SUM(
    COUNTIFS('Form responses 1'!$C$2:$C1001, A109, 'Form responses 1'!$A$2:$A1001, "&gt;=2022-04-01", 'Form responses 1'!$A$2:$A1001, "&lt;=2022-06-30"),
    COUNTIFS('Form responses 1'!$B$2:$B1001, A109, 'Form responses 1'!$A$2:$A1001, "&gt;=2022-04-01", 'Form responses 1'!$A$2:$A1001, "&lt;=2022-06-30"),
    COUNTIFS('Form responses 1'!$D$2:$D1001, A109, 'Form responses 1'!$A$2:$A1001, "&gt;=2022-04-01", 'Form responses 1'!$A$2:$A1001, "&lt;=2022-06-30"),
    COUNTIFS('Form responses 1'!$E$2:$E1001, A109, 'Form responses 1'!$A$2:$A1001, "&gt;=2022-04-01", 'Form responses 1'!$A$2:$A1001, "&lt;=2022-06-30"),
    COUNTIFS('Form responses 1'!$F$2:$F1001, A109, 'Form responses 1'!$A$2:$A1001, "&gt;=2022-04-01", 'Form responses 1'!$A$2:$A1001, "&lt;=2022-06-30"),
    COUNTIFS('Form responses 1'!$G$2:$G1001, A109, 'Form responses 1'!$A$2:$A1001, "&gt;=2022-04-01", 'Form responses 1'!$A$2:$A1001, "&lt;=2022-06-30")
)
</f>
        <v>0</v>
      </c>
      <c r="C109" s="2">
        <f>SUM(
    COUNTIFS('Form responses 1'!$C$2:$C1001, A109, 'Form responses 1'!$A$2:$A1001, "&gt;=2022-07-01", 'Form responses 1'!$A$2:$A1001, "&lt;=2022-09-30"),
    COUNTIFS('Form responses 1'!$B$2:$B1001, A109, 'Form responses 1'!$A$2:$A1001, "&gt;=2022-07-01", 'Form responses 1'!$A$2:$A1001, "&lt;=2022-09-30"),
    COUNTIFS('Form responses 1'!$D$2:$D1001, A109, 'Form responses 1'!$A$2:$A1001, "&gt;=2022-07-01", 'Form responses 1'!$A$2:$A1001, "&lt;=2022-09-30"),
    COUNTIFS('Form responses 1'!$E$2:$E1001, A109, 'Form responses 1'!$A$2:$A1001, "&gt;=2022-07-01", 'Form responses 1'!$A$2:$A1001, "&lt;=2022-09-30"),
    COUNTIFS('Form responses 1'!$F$2:$F1001, A109, 'Form responses 1'!$A$2:$A1001, "&gt;=2022-07-01", 'Form responses 1'!$A$2:$A1001, "&lt;=2022-09-30"),
    COUNTIFS('Form responses 1'!$G$2:$G1001, A109, 'Form responses 1'!$A$2:$A1001, "&gt;=2022-07-01", 'Form responses 1'!$A$2:$A1001, "&lt;=2022-09-30")
)
</f>
        <v>0</v>
      </c>
      <c r="D109" s="2">
        <f>SUM(
    COUNTIFS('Form responses 1'!$C$2:$C1001, A109, 'Form responses 1'!$A$2:$A1001, "&gt;=2022-10-01", 'Form responses 1'!$A$2:$A1001, "&lt;=2022-12-31"),
    COUNTIFS('Form responses 1'!$B$2:$B1001, A109, 'Form responses 1'!$A$2:$A1001, "&gt;=2022-10-01", 'Form responses 1'!$A$2:$A1001, "&lt;=2022-12-31"),
    COUNTIFS('Form responses 1'!$D$2:$D1001, A109, 'Form responses 1'!$A$2:$A1001, "&gt;=2022-10-01", 'Form responses 1'!$A$2:$A1001, "&lt;=2022-12-31"),
    COUNTIFS('Form responses 1'!$E$2:$E1001, A109, 'Form responses 1'!$A$2:$A1001, "&gt;=2022-10-01", 'Form responses 1'!$A$2:$A1001, "&lt;=2022-12-31"),
    COUNTIFS('Form responses 1'!$F$2:$F1001, A109, 'Form responses 1'!$A$2:$A1001, "&gt;=2022-10-01", 'Form responses 1'!$A$2:$A1001, "&lt;=2022-12-31"),
    COUNTIFS('Form responses 1'!$G$2:$G1001, A109, 'Form responses 1'!$A$2:$A1001, "&gt;=2022-10-01", 'Form responses 1'!$A$2:$A1001, "&lt;=2022-12-31")
)
</f>
        <v>0</v>
      </c>
      <c r="E109" s="2">
        <f>SUM(
    COUNTIFS('Form responses 1'!$C$2:$C1001, A109, 'Form responses 1'!$A$2:$A1001, "&gt;=2023-01-01", 'Form responses 1'!$A$2:$A1001, "&lt;=2023-03-31"),
    COUNTIFS('Form responses 1'!$B$2:$B1001, A109, 'Form responses 1'!$A$2:$A1001, "&gt;=2023-01-01", 'Form responses 1'!$A$2:$A1001, "&lt;=2023-03-31"),
    COUNTIFS('Form responses 1'!$D$2:$D1001, A109, 'Form responses 1'!$A$2:$A1001, "&gt;=2023-01-01", 'Form responses 1'!$A$2:$A1001, "&lt;=2023-03-31"),
    COUNTIFS('Form responses 1'!$E$2:$E1001, A109, 'Form responses 1'!$A$2:$A1001, "&gt;=2023-01-01", 'Form responses 1'!$A$2:$A1001, "&lt;=2023-03-31"),
    COUNTIFS('Form responses 1'!$F$2:$F1001, A109, 'Form responses 1'!$A$2:$A1001, "&gt;=2023-01-01", 'Form responses 1'!$A$2:$A1001, "&lt;=2023-03-31"),
    COUNTIFS('Form responses 1'!$G$2:$G1001, A109, 'Form responses 1'!$A$2:$A1001, "&gt;=2023-01-01", 'Form responses 1'!$A$2:$A1001, "&lt;=2023-03-31")
)
</f>
        <v>0</v>
      </c>
      <c r="F109" s="2">
        <f>SUM(
    COUNTIFS('Form responses 1'!$C$2:$C1001, A109, 'Form responses 1'!$A$2:$A1001, "&gt;=2023-04-01", 'Form responses 1'!$A$2:$A1001, "&lt;=2023-06-30"),
    COUNTIFS('Form responses 1'!$B$2:$B1001, A109, 'Form responses 1'!$A$2:$A1001, "&gt;=2023-04-01", 'Form responses 1'!$A$2:$A1001, "&lt;=2023-06-30"),
    COUNTIFS('Form responses 1'!$D$2:$D1001, A109, 'Form responses 1'!$A$2:$A1001, "&gt;=2023-04-01", 'Form responses 1'!$A$2:$A1001, "&lt;=2023-06-30"),
    COUNTIFS('Form responses 1'!$E$2:$E1001, A109, 'Form responses 1'!$A$2:$A1001, "&gt;=2023-04-01", 'Form responses 1'!$A$2:$A1001, "&lt;=2023-06-30"),
    COUNTIFS('Form responses 1'!$F$2:$F1001, A109, 'Form responses 1'!$A$2:$A1001, "&gt;=2023-04-01", 'Form responses 1'!$A$2:$A1001, "&lt;=2023-06-30"),
    COUNTIFS('Form responses 1'!$G$2:$G1001, A109, 'Form responses 1'!$A$2:$A1001, "&gt;=2023-04-01", 'Form responses 1'!$A$2:$A1001, "&lt;=2023-06-30")
)
</f>
        <v>0</v>
      </c>
      <c r="G109" s="2">
        <f>SUM(
    COUNTIFS('Form responses 1'!$C$2:$C1001, A109, 'Form responses 1'!$A$2:$A1001, "&gt;=2023-07-01", 'Form responses 1'!$A$2:$A1001, "&lt;=2023-09-30"),
    COUNTIFS('Form responses 1'!$B$2:$B1001, A109, 'Form responses 1'!$A$2:$A1001, "&gt;=2023-07-01", 'Form responses 1'!$A$2:$A1001, "&lt;=2023-09-30"),
    COUNTIFS('Form responses 1'!$D$2:$D1001, A109, 'Form responses 1'!$A$2:$A1001, "&gt;=2023-07-01", 'Form responses 1'!$A$2:$A1001, "&lt;=2023-09-30"),
    COUNTIFS('Form responses 1'!$E$2:$E1001, A109, 'Form responses 1'!$A$2:$A1001, "&gt;=2023-07-01", 'Form responses 1'!$A$2:$A1001, "&lt;=2023-09-30"),
    COUNTIFS('Form responses 1'!$F$2:$F1001, A109, 'Form responses 1'!$A$2:$A1001, "&gt;=2023-07-01", 'Form responses 1'!$A$2:$A1001, "&lt;=2023-09-30"),
    COUNTIFS('Form responses 1'!$G$2:$G1001, A109, 'Form responses 1'!$A$2:$A1001, "&gt;=2023-07-01", 'Form responses 1'!$A$2:$A1001, "&lt;=2023-09-30")
)
</f>
        <v>0</v>
      </c>
      <c r="H109" s="2">
        <f>SUM(
    COUNTIFS('Form responses 1'!$C$2:$C1001, A109, 'Form responses 1'!$A$2:$A1001, "&gt;=2023-10-01", 'Form responses 1'!$A$2:$A1001, "&lt;=2023-12-31"),
    COUNTIFS('Form responses 1'!$B$2:$B1001, A109, 'Form responses 1'!$A$2:$A1001, "&gt;=2023-10-01", 'Form responses 1'!$A$2:$A1001, "&lt;=2023-12-31"),
    COUNTIFS('Form responses 1'!$D$2:$D1001, A109, 'Form responses 1'!$A$2:$A1001, "&gt;=2023-10-01", 'Form responses 1'!$A$2:$A1001, "&lt;=2023-12-31"),
    COUNTIFS('Form responses 1'!$E$2:$E1001, A109, 'Form responses 1'!$A$2:$A1001, "&gt;=2023-10-01", 'Form responses 1'!$A$2:$A1001, "&lt;=2023-12-31"),
    COUNTIFS('Form responses 1'!$F$2:$F1001, A109, 'Form responses 1'!$A$2:$A1001, "&gt;=2023-10-01", 'Form responses 1'!$A$2:$A1001, "&lt;=2023-12-31"),
    COUNTIFS('Form responses 1'!$G$2:$G1001, A109, 'Form responses 1'!$A$2:$A1001, "&gt;=2023-10-01", 'Form responses 1'!$A$2:$A1001, "&lt;=2023-12-31")
)
</f>
        <v>0</v>
      </c>
      <c r="I109" s="2">
        <f>SUM(
    COUNTIFS('Form responses 1'!$C$2:$C1001, A109, 'Form responses 1'!$A$2:$A1001, "&gt;=2024-01-01", 'Form responses 1'!$A$2:$A1001, "&lt;=2024-03-31"),
    COUNTIFS('Form responses 1'!$B$2:$B1001, A109, 'Form responses 1'!$A$2:$A1001, "&gt;=2024-01-01", 'Form responses 1'!$A$2:$A1001, "&lt;=2024-03-31"),
    COUNTIFS('Form responses 1'!$D$2:$D1001, A109, 'Form responses 1'!$A$2:$A1001, "&gt;=2024-01-01", 'Form responses 1'!$A$2:$A1001, "&lt;=2024-03-31"),
    COUNTIFS('Form responses 1'!$E$2:$E1001, A109, 'Form responses 1'!$A$2:$A1001, "&gt;=2024-01-01", 'Form responses 1'!$A$2:$A1001, "&lt;=2024-03-31"),
    COUNTIFS('Form responses 1'!$F$2:$F1001, A109, 'Form responses 1'!$A$2:$A1001, "&gt;=2024-01-01", 'Form responses 1'!$A$2:$A1001, "&lt;=2024-03-31"),
    COUNTIFS('Form responses 1'!$G$2:$G1001, A109, 'Form responses 1'!$A$2:$A1001, "&gt;=2024-01-01", 'Form responses 1'!$A$2:$A1001, "&lt;=2024-03-31")
)
</f>
        <v>0</v>
      </c>
      <c r="J109" s="2">
        <f>SUM(
    COUNTIFS('Form responses 1'!$C$2:$C1001, A109, 'Form responses 1'!$A$2:$A1001, "&gt;=2024-04-01", 'Form responses 1'!$A$2:$A1001, "&lt;=2024-06-30"),
    COUNTIFS('Form responses 1'!$B$2:$B1001, A109, 'Form responses 1'!$A$2:$A1001, "&gt;=2024-04-01", 'Form responses 1'!$A$2:$A1001, "&lt;=2024-06-30"),
    COUNTIFS('Form responses 1'!$D$2:$D1001, A109, 'Form responses 1'!$A$2:$A1001, "&gt;=2024-04-01", 'Form responses 1'!$A$2:$A1001, "&lt;=2024-06-30"),
    COUNTIFS('Form responses 1'!$E$2:$E1001, A109, 'Form responses 1'!$A$2:$A1001, "&gt;=2024-04-01", 'Form responses 1'!$A$2:$A1001, "&lt;=2024-06-30"),
    COUNTIFS('Form responses 1'!$F$2:$F1001, A109, 'Form responses 1'!$A$2:$A1001, "&gt;=2024-04-01", 'Form responses 1'!$A$2:$A1001, "&lt;=2024-06-30"),
    COUNTIFS('Form responses 1'!$G$2:$G1001, A109, 'Form responses 1'!$A$2:$A1001, "&gt;=2024-04-01", 'Form responses 1'!$A$2:$A1001, "&lt;=2024-06-30")
)
</f>
        <v>0</v>
      </c>
      <c r="K109" s="2">
        <f>SUM(
    COUNTIFS('Form responses 1'!$C$2:$C1001, A109, 'Form responses 1'!$A$2:$A1001, "&gt;=2024-07-01", 'Form responses 1'!$A$2:$A1001, "&lt;=2024-09-30"),
    COUNTIFS('Form responses 1'!$B$2:$B1001, A109, 'Form responses 1'!$A$2:$A1001, "&gt;=2024-07-01", 'Form responses 1'!$A$2:$A1001, "&lt;=2024-09-30"),
    COUNTIFS('Form responses 1'!$D$2:$D1001, A109, 'Form responses 1'!$A$2:$A1001, "&gt;=2024-07-01", 'Form responses 1'!$A$2:$A1001, "&lt;=2024-09-30"),
    COUNTIFS('Form responses 1'!$E$2:$E1001, A109, 'Form responses 1'!$A$2:$A1001, "&gt;=2024-07-01", 'Form responses 1'!$A$2:$A1001, "&lt;=2024-09-30"),
    COUNTIFS('Form responses 1'!$F$2:$F1001, A109, 'Form responses 1'!$A$2:$A1001, "&gt;=2024-07-01", 'Form responses 1'!$A$2:$A1001, "&lt;=2024-09-30"),
    COUNTIFS('Form responses 1'!$G$2:$G1001, A109, 'Form responses 1'!$A$2:$A1001, "&gt;=2024-07-01", 'Form responses 1'!$A$2:$A1001, "&lt;=2024-09-30")
)
</f>
        <v>0</v>
      </c>
      <c r="L109" s="2">
        <f>SUM(
    COUNTIFS('Form responses 1'!$C$2:$C1001, A109, 'Form responses 1'!$A$2:$A1001, "&gt;=2024-10-01", 'Form responses 1'!$A$2:$A1001, "&lt;=2024-12-31"),
    COUNTIFS('Form responses 1'!$B$2:$B1001, A109, 'Form responses 1'!$A$2:$A1001, "&gt;=2024-10-01", 'Form responses 1'!$A$2:$A1001, "&lt;=2024-12-31"),
    COUNTIFS('Form responses 1'!$D$2:$D1001, A109, 'Form responses 1'!$A$2:$A1001, "&gt;=2024-10-01", 'Form responses 1'!$A$2:$A1001, "&lt;=2024-12-31"),
    COUNTIFS('Form responses 1'!$E$2:$E1001, A109, 'Form responses 1'!$A$2:$A1001, "&gt;=2024-10-01", 'Form responses 1'!$A$2:$A1001, "&lt;=2024-12-31"),
    COUNTIFS('Form responses 1'!$F$2:$F1001, A109, 'Form responses 1'!$A$2:$A1001, "&gt;=2024-10-01", 'Form responses 1'!$A$2:$A1001, "&lt;=2024-12-31"),
    COUNTIFS('Form responses 1'!$G$2:$G1001, A109, 'Form responses 1'!$A$2:$A1001, "&gt;=2024-10-01", 'Form responses 1'!$A$2:$A1001, "&lt;=2024-12-31")
)
</f>
        <v>0</v>
      </c>
      <c r="M109" s="2">
        <f>SUM(
    COUNTIFS('Form responses 1'!$C$2:$C1001, A109, 'Form responses 1'!$A$2:$A1001, "&gt;=2025-01-01", 'Form responses 1'!$A$2:$A1001, "&lt;=2025-03-31"),
    COUNTIFS('Form responses 1'!$B$2:$B1001, A109, 'Form responses 1'!$A$2:$A1001, "&gt;=2025-01-01", 'Form responses 1'!$A$2:$A1001, "&lt;=2025-03-31"),
    COUNTIFS('Form responses 1'!$D$2:$D1001, A109, 'Form responses 1'!$A$2:$A1001, "&gt;=2025-01-01", 'Form responses 1'!$A$2:$A1001, "&lt;=2025-03-31"),
    COUNTIFS('Form responses 1'!$E$2:$E1001, A109, 'Form responses 1'!$A$2:$A1001, "&gt;=2025-01-01", 'Form responses 1'!$A$2:$A1001, "&lt;=2025-03-31"),
    COUNTIFS('Form responses 1'!$F$2:$F1001, A109, 'Form responses 1'!$A$2:$A1001, "&gt;=2025-01-01", 'Form responses 1'!$A$2:$A1001, "&lt;=2025-03-31"),
    COUNTIFS('Form responses 1'!$G$2:$G1001, A109, 'Form responses 1'!$A$2:$A1001, "&gt;=2025-01-01", 'Form responses 1'!$A$2:$A1001, "&lt;=2025-03-31")
)
</f>
        <v>0</v>
      </c>
      <c r="N109" s="2">
        <f>SUM(
    COUNTIFS('Form responses 1'!$C$2:$C1001, A109, 'Form responses 1'!$A$2:$A1001, "&gt;=2025-04-01", 'Form responses 1'!$A$2:$A1001, "&lt;2025-07-01"),
    COUNTIFS('Form responses 1'!$B$2:$B1001, A109, 'Form responses 1'!$A$2:$A1001, "&gt;=2025-04-01", 'Form responses 1'!$A$2:$A1001, "&lt;2025-07-01"),
    COUNTIFS('Form responses 1'!$D$2:$D1001, A109, 'Form responses 1'!$A$2:$A1001, "&gt;=2025-04-01", 'Form responses 1'!$A$2:$A1001, "&lt;2025-07-01"),
    COUNTIFS('Form responses 1'!$E$2:$E1001, A109, 'Form responses 1'!$A$2:$A1001, "&gt;=2025-04-01", 'Form responses 1'!$A$2:$A1001, "&lt;2025-07-01"),
    COUNTIFS('Form responses 1'!$F$2:$F1001, A109, 'Form responses 1'!$A$2:$A1001, "&gt;=2025-04-01", 'Form responses 1'!$A$2:$A1001, "&lt;2025-07-01"),
    COUNTIFS('Form responses 1'!$G$2:$G1001, A109, 'Form responses 1'!$A$2:$A1001, "&gt;=2025-04-01", 'Form responses 1'!$A$2:$A1001, "&lt;2025-07-01")
)
</f>
        <v>0</v>
      </c>
      <c r="O109" s="2">
        <f>SUM(
    COUNTIFS('Form responses 1'!$C$2:$C1001, A109, 'Form responses 1'!$A$2:$A1001, "&gt;=2025-07-01", 'Form responses 1'!$A$2:$A1001, "&lt;=2025-09-30"),
    COUNTIFS('Form responses 1'!$B$2:$B1001, A109, 'Form responses 1'!$A$2:$A1001, "&gt;=2025-07-01", 'Form responses 1'!$A$2:$A1001, "&lt;=2025-09-30"),
    COUNTIFS('Form responses 1'!$D$2:$D1001, A109, 'Form responses 1'!$A$2:$A1001, "&gt;=2025-07-01", 'Form responses 1'!$A$2:$A1001, "&lt;=2025-09-30"),
    COUNTIFS('Form responses 1'!$E$2:$E1001, A109, 'Form responses 1'!$A$2:$A1001, "&gt;=2025-07-01", 'Form responses 1'!$A$2:$A1001, "&lt;=2025-09-30"),
    COUNTIFS('Form responses 1'!$F$2:$F1001, A109, 'Form responses 1'!$A$2:$A1001, "&gt;=2025-07-01", 'Form responses 1'!$A$2:$A1001, "&lt;=2025-09-30"),
    COUNTIFS('Form responses 1'!$G$2:$G1001, A109, 'Form responses 1'!$A$2:$A1001, "&gt;=2025-07-01", 'Form responses 1'!$A$2:$A1001, "&lt;=2025-09-30")
)
</f>
        <v>0</v>
      </c>
      <c r="P109" s="2">
        <f>SUM(
    COUNTIFS('Form responses 1'!$C$2:$C1001, A109, 'Form responses 1'!$A$2:$A1001, "&gt;=2025-10-01", 'Form responses 1'!$A$2:$A1001, "&lt;=2025-12-31"),
    COUNTIFS('Form responses 1'!$B$2:$B1001, A109, 'Form responses 1'!$A$2:$A1001, "&gt;=2025-10-01", 'Form responses 1'!$A$2:$A1001, "&lt;=2025-12-31"),
    COUNTIFS('Form responses 1'!$D$2:$D1001, A109, 'Form responses 1'!$A$2:$A1001, "&gt;=2025-10-01", 'Form responses 1'!$A$2:$A1001, "&lt;=2025-12-31"),
    COUNTIFS('Form responses 1'!$E$2:$E1001, A109, 'Form responses 1'!$A$2:$A1001, "&gt;=2025-10-01", 'Form responses 1'!$A$2:$A1001, "&lt;=2025-12-31"),
    COUNTIFS('Form responses 1'!$F$2:$F1001, A109, 'Form responses 1'!$A$2:$A1001, "&gt;=2025-10-01", 'Form responses 1'!$A$2:$A1001, "&lt;=2025-12-31"),
    COUNTIFS('Form responses 1'!$G$2:$G1001, A109, 'Form responses 1'!$A$2:$A1001, "&gt;=2025-10-01", 'Form responses 1'!$A$2:$A1001, "&lt;=2025-12-31")
)
</f>
        <v>1</v>
      </c>
    </row>
    <row r="110">
      <c r="A110" s="3" t="str">
        <f>IFERROR(__xludf.DUMMYFUNCTION("""COMPUTED_VALUE"""),"Wit smoking overhemd")</f>
        <v>Wit smoking overhemd</v>
      </c>
      <c r="B110" s="2">
        <f>SUM(
    COUNTIFS('Form responses 1'!$C$2:$C1001, A110, 'Form responses 1'!$A$2:$A1001, "&gt;=2022-04-01", 'Form responses 1'!$A$2:$A1001, "&lt;=2022-06-30"),
    COUNTIFS('Form responses 1'!$B$2:$B1001, A110, 'Form responses 1'!$A$2:$A1001, "&gt;=2022-04-01", 'Form responses 1'!$A$2:$A1001, "&lt;=2022-06-30"),
    COUNTIFS('Form responses 1'!$D$2:$D1001, A110, 'Form responses 1'!$A$2:$A1001, "&gt;=2022-04-01", 'Form responses 1'!$A$2:$A1001, "&lt;=2022-06-30"),
    COUNTIFS('Form responses 1'!$E$2:$E1001, A110, 'Form responses 1'!$A$2:$A1001, "&gt;=2022-04-01", 'Form responses 1'!$A$2:$A1001, "&lt;=2022-06-30"),
    COUNTIFS('Form responses 1'!$F$2:$F1001, A110, 'Form responses 1'!$A$2:$A1001, "&gt;=2022-04-01", 'Form responses 1'!$A$2:$A1001, "&lt;=2022-06-30"),
    COUNTIFS('Form responses 1'!$G$2:$G1001, A110, 'Form responses 1'!$A$2:$A1001, "&gt;=2022-04-01", 'Form responses 1'!$A$2:$A1001, "&lt;=2022-06-30")
)
</f>
        <v>0</v>
      </c>
      <c r="C110" s="2">
        <f>SUM(
    COUNTIFS('Form responses 1'!$C$2:$C1001, A110, 'Form responses 1'!$A$2:$A1001, "&gt;=2022-07-01", 'Form responses 1'!$A$2:$A1001, "&lt;=2022-09-30"),
    COUNTIFS('Form responses 1'!$B$2:$B1001, A110, 'Form responses 1'!$A$2:$A1001, "&gt;=2022-07-01", 'Form responses 1'!$A$2:$A1001, "&lt;=2022-09-30"),
    COUNTIFS('Form responses 1'!$D$2:$D1001, A110, 'Form responses 1'!$A$2:$A1001, "&gt;=2022-07-01", 'Form responses 1'!$A$2:$A1001, "&lt;=2022-09-30"),
    COUNTIFS('Form responses 1'!$E$2:$E1001, A110, 'Form responses 1'!$A$2:$A1001, "&gt;=2022-07-01", 'Form responses 1'!$A$2:$A1001, "&lt;=2022-09-30"),
    COUNTIFS('Form responses 1'!$F$2:$F1001, A110, 'Form responses 1'!$A$2:$A1001, "&gt;=2022-07-01", 'Form responses 1'!$A$2:$A1001, "&lt;=2022-09-30"),
    COUNTIFS('Form responses 1'!$G$2:$G1001, A110, 'Form responses 1'!$A$2:$A1001, "&gt;=2022-07-01", 'Form responses 1'!$A$2:$A1001, "&lt;=2022-09-30")
)
</f>
        <v>0</v>
      </c>
      <c r="D110" s="2">
        <f>SUM(
    COUNTIFS('Form responses 1'!$C$2:$C1001, A110, 'Form responses 1'!$A$2:$A1001, "&gt;=2022-10-01", 'Form responses 1'!$A$2:$A1001, "&lt;=2022-12-31"),
    COUNTIFS('Form responses 1'!$B$2:$B1001, A110, 'Form responses 1'!$A$2:$A1001, "&gt;=2022-10-01", 'Form responses 1'!$A$2:$A1001, "&lt;=2022-12-31"),
    COUNTIFS('Form responses 1'!$D$2:$D1001, A110, 'Form responses 1'!$A$2:$A1001, "&gt;=2022-10-01", 'Form responses 1'!$A$2:$A1001, "&lt;=2022-12-31"),
    COUNTIFS('Form responses 1'!$E$2:$E1001, A110, 'Form responses 1'!$A$2:$A1001, "&gt;=2022-10-01", 'Form responses 1'!$A$2:$A1001, "&lt;=2022-12-31"),
    COUNTIFS('Form responses 1'!$F$2:$F1001, A110, 'Form responses 1'!$A$2:$A1001, "&gt;=2022-10-01", 'Form responses 1'!$A$2:$A1001, "&lt;=2022-12-31"),
    COUNTIFS('Form responses 1'!$G$2:$G1001, A110, 'Form responses 1'!$A$2:$A1001, "&gt;=2022-10-01", 'Form responses 1'!$A$2:$A1001, "&lt;=2022-12-31")
)
</f>
        <v>0</v>
      </c>
      <c r="E110" s="2">
        <f>SUM(
    COUNTIFS('Form responses 1'!$C$2:$C1001, A110, 'Form responses 1'!$A$2:$A1001, "&gt;=2023-01-01", 'Form responses 1'!$A$2:$A1001, "&lt;=2023-03-31"),
    COUNTIFS('Form responses 1'!$B$2:$B1001, A110, 'Form responses 1'!$A$2:$A1001, "&gt;=2023-01-01", 'Form responses 1'!$A$2:$A1001, "&lt;=2023-03-31"),
    COUNTIFS('Form responses 1'!$D$2:$D1001, A110, 'Form responses 1'!$A$2:$A1001, "&gt;=2023-01-01", 'Form responses 1'!$A$2:$A1001, "&lt;=2023-03-31"),
    COUNTIFS('Form responses 1'!$E$2:$E1001, A110, 'Form responses 1'!$A$2:$A1001, "&gt;=2023-01-01", 'Form responses 1'!$A$2:$A1001, "&lt;=2023-03-31"),
    COUNTIFS('Form responses 1'!$F$2:$F1001, A110, 'Form responses 1'!$A$2:$A1001, "&gt;=2023-01-01", 'Form responses 1'!$A$2:$A1001, "&lt;=2023-03-31"),
    COUNTIFS('Form responses 1'!$G$2:$G1001, A110, 'Form responses 1'!$A$2:$A1001, "&gt;=2023-01-01", 'Form responses 1'!$A$2:$A1001, "&lt;=2023-03-31")
)
</f>
        <v>0</v>
      </c>
      <c r="F110" s="2">
        <f>SUM(
    COUNTIFS('Form responses 1'!$C$2:$C1001, A110, 'Form responses 1'!$A$2:$A1001, "&gt;=2023-04-01", 'Form responses 1'!$A$2:$A1001, "&lt;=2023-06-30"),
    COUNTIFS('Form responses 1'!$B$2:$B1001, A110, 'Form responses 1'!$A$2:$A1001, "&gt;=2023-04-01", 'Form responses 1'!$A$2:$A1001, "&lt;=2023-06-30"),
    COUNTIFS('Form responses 1'!$D$2:$D1001, A110, 'Form responses 1'!$A$2:$A1001, "&gt;=2023-04-01", 'Form responses 1'!$A$2:$A1001, "&lt;=2023-06-30"),
    COUNTIFS('Form responses 1'!$E$2:$E1001, A110, 'Form responses 1'!$A$2:$A1001, "&gt;=2023-04-01", 'Form responses 1'!$A$2:$A1001, "&lt;=2023-06-30"),
    COUNTIFS('Form responses 1'!$F$2:$F1001, A110, 'Form responses 1'!$A$2:$A1001, "&gt;=2023-04-01", 'Form responses 1'!$A$2:$A1001, "&lt;=2023-06-30"),
    COUNTIFS('Form responses 1'!$G$2:$G1001, A110, 'Form responses 1'!$A$2:$A1001, "&gt;=2023-04-01", 'Form responses 1'!$A$2:$A1001, "&lt;=2023-06-30")
)
</f>
        <v>0</v>
      </c>
      <c r="G110" s="2">
        <f>SUM(
    COUNTIFS('Form responses 1'!$C$2:$C1001, A110, 'Form responses 1'!$A$2:$A1001, "&gt;=2023-07-01", 'Form responses 1'!$A$2:$A1001, "&lt;=2023-09-30"),
    COUNTIFS('Form responses 1'!$B$2:$B1001, A110, 'Form responses 1'!$A$2:$A1001, "&gt;=2023-07-01", 'Form responses 1'!$A$2:$A1001, "&lt;=2023-09-30"),
    COUNTIFS('Form responses 1'!$D$2:$D1001, A110, 'Form responses 1'!$A$2:$A1001, "&gt;=2023-07-01", 'Form responses 1'!$A$2:$A1001, "&lt;=2023-09-30"),
    COUNTIFS('Form responses 1'!$E$2:$E1001, A110, 'Form responses 1'!$A$2:$A1001, "&gt;=2023-07-01", 'Form responses 1'!$A$2:$A1001, "&lt;=2023-09-30"),
    COUNTIFS('Form responses 1'!$F$2:$F1001, A110, 'Form responses 1'!$A$2:$A1001, "&gt;=2023-07-01", 'Form responses 1'!$A$2:$A1001, "&lt;=2023-09-30"),
    COUNTIFS('Form responses 1'!$G$2:$G1001, A110, 'Form responses 1'!$A$2:$A1001, "&gt;=2023-07-01", 'Form responses 1'!$A$2:$A1001, "&lt;=2023-09-30")
)
</f>
        <v>0</v>
      </c>
      <c r="H110" s="2">
        <f>SUM(
    COUNTIFS('Form responses 1'!$C$2:$C1001, A110, 'Form responses 1'!$A$2:$A1001, "&gt;=2023-10-01", 'Form responses 1'!$A$2:$A1001, "&lt;=2023-12-31"),
    COUNTIFS('Form responses 1'!$B$2:$B1001, A110, 'Form responses 1'!$A$2:$A1001, "&gt;=2023-10-01", 'Form responses 1'!$A$2:$A1001, "&lt;=2023-12-31"),
    COUNTIFS('Form responses 1'!$D$2:$D1001, A110, 'Form responses 1'!$A$2:$A1001, "&gt;=2023-10-01", 'Form responses 1'!$A$2:$A1001, "&lt;=2023-12-31"),
    COUNTIFS('Form responses 1'!$E$2:$E1001, A110, 'Form responses 1'!$A$2:$A1001, "&gt;=2023-10-01", 'Form responses 1'!$A$2:$A1001, "&lt;=2023-12-31"),
    COUNTIFS('Form responses 1'!$F$2:$F1001, A110, 'Form responses 1'!$A$2:$A1001, "&gt;=2023-10-01", 'Form responses 1'!$A$2:$A1001, "&lt;=2023-12-31"),
    COUNTIFS('Form responses 1'!$G$2:$G1001, A110, 'Form responses 1'!$A$2:$A1001, "&gt;=2023-10-01", 'Form responses 1'!$A$2:$A1001, "&lt;=2023-12-31")
)
</f>
        <v>0</v>
      </c>
      <c r="I110" s="2">
        <f>SUM(
    COUNTIFS('Form responses 1'!$C$2:$C1001, A110, 'Form responses 1'!$A$2:$A1001, "&gt;=2024-01-01", 'Form responses 1'!$A$2:$A1001, "&lt;=2024-03-31"),
    COUNTIFS('Form responses 1'!$B$2:$B1001, A110, 'Form responses 1'!$A$2:$A1001, "&gt;=2024-01-01", 'Form responses 1'!$A$2:$A1001, "&lt;=2024-03-31"),
    COUNTIFS('Form responses 1'!$D$2:$D1001, A110, 'Form responses 1'!$A$2:$A1001, "&gt;=2024-01-01", 'Form responses 1'!$A$2:$A1001, "&lt;=2024-03-31"),
    COUNTIFS('Form responses 1'!$E$2:$E1001, A110, 'Form responses 1'!$A$2:$A1001, "&gt;=2024-01-01", 'Form responses 1'!$A$2:$A1001, "&lt;=2024-03-31"),
    COUNTIFS('Form responses 1'!$F$2:$F1001, A110, 'Form responses 1'!$A$2:$A1001, "&gt;=2024-01-01", 'Form responses 1'!$A$2:$A1001, "&lt;=2024-03-31"),
    COUNTIFS('Form responses 1'!$G$2:$G1001, A110, 'Form responses 1'!$A$2:$A1001, "&gt;=2024-01-01", 'Form responses 1'!$A$2:$A1001, "&lt;=2024-03-31")
)
</f>
        <v>0</v>
      </c>
      <c r="J110" s="2">
        <f>SUM(
    COUNTIFS('Form responses 1'!$C$2:$C1001, A110, 'Form responses 1'!$A$2:$A1001, "&gt;=2024-04-01", 'Form responses 1'!$A$2:$A1001, "&lt;=2024-06-30"),
    COUNTIFS('Form responses 1'!$B$2:$B1001, A110, 'Form responses 1'!$A$2:$A1001, "&gt;=2024-04-01", 'Form responses 1'!$A$2:$A1001, "&lt;=2024-06-30"),
    COUNTIFS('Form responses 1'!$D$2:$D1001, A110, 'Form responses 1'!$A$2:$A1001, "&gt;=2024-04-01", 'Form responses 1'!$A$2:$A1001, "&lt;=2024-06-30"),
    COUNTIFS('Form responses 1'!$E$2:$E1001, A110, 'Form responses 1'!$A$2:$A1001, "&gt;=2024-04-01", 'Form responses 1'!$A$2:$A1001, "&lt;=2024-06-30"),
    COUNTIFS('Form responses 1'!$F$2:$F1001, A110, 'Form responses 1'!$A$2:$A1001, "&gt;=2024-04-01", 'Form responses 1'!$A$2:$A1001, "&lt;=2024-06-30"),
    COUNTIFS('Form responses 1'!$G$2:$G1001, A110, 'Form responses 1'!$A$2:$A1001, "&gt;=2024-04-01", 'Form responses 1'!$A$2:$A1001, "&lt;=2024-06-30")
)
</f>
        <v>0</v>
      </c>
      <c r="K110" s="2">
        <f>SUM(
    COUNTIFS('Form responses 1'!$C$2:$C1001, A110, 'Form responses 1'!$A$2:$A1001, "&gt;=2024-07-01", 'Form responses 1'!$A$2:$A1001, "&lt;=2024-09-30"),
    COUNTIFS('Form responses 1'!$B$2:$B1001, A110, 'Form responses 1'!$A$2:$A1001, "&gt;=2024-07-01", 'Form responses 1'!$A$2:$A1001, "&lt;=2024-09-30"),
    COUNTIFS('Form responses 1'!$D$2:$D1001, A110, 'Form responses 1'!$A$2:$A1001, "&gt;=2024-07-01", 'Form responses 1'!$A$2:$A1001, "&lt;=2024-09-30"),
    COUNTIFS('Form responses 1'!$E$2:$E1001, A110, 'Form responses 1'!$A$2:$A1001, "&gt;=2024-07-01", 'Form responses 1'!$A$2:$A1001, "&lt;=2024-09-30"),
    COUNTIFS('Form responses 1'!$F$2:$F1001, A110, 'Form responses 1'!$A$2:$A1001, "&gt;=2024-07-01", 'Form responses 1'!$A$2:$A1001, "&lt;=2024-09-30"),
    COUNTIFS('Form responses 1'!$G$2:$G1001, A110, 'Form responses 1'!$A$2:$A1001, "&gt;=2024-07-01", 'Form responses 1'!$A$2:$A1001, "&lt;=2024-09-30")
)
</f>
        <v>0</v>
      </c>
      <c r="L110" s="2">
        <f>SUM(
    COUNTIFS('Form responses 1'!$C$2:$C1001, A110, 'Form responses 1'!$A$2:$A1001, "&gt;=2024-10-01", 'Form responses 1'!$A$2:$A1001, "&lt;=2024-12-31"),
    COUNTIFS('Form responses 1'!$B$2:$B1001, A110, 'Form responses 1'!$A$2:$A1001, "&gt;=2024-10-01", 'Form responses 1'!$A$2:$A1001, "&lt;=2024-12-31"),
    COUNTIFS('Form responses 1'!$D$2:$D1001, A110, 'Form responses 1'!$A$2:$A1001, "&gt;=2024-10-01", 'Form responses 1'!$A$2:$A1001, "&lt;=2024-12-31"),
    COUNTIFS('Form responses 1'!$E$2:$E1001, A110, 'Form responses 1'!$A$2:$A1001, "&gt;=2024-10-01", 'Form responses 1'!$A$2:$A1001, "&lt;=2024-12-31"),
    COUNTIFS('Form responses 1'!$F$2:$F1001, A110, 'Form responses 1'!$A$2:$A1001, "&gt;=2024-10-01", 'Form responses 1'!$A$2:$A1001, "&lt;=2024-12-31"),
    COUNTIFS('Form responses 1'!$G$2:$G1001, A110, 'Form responses 1'!$A$2:$A1001, "&gt;=2024-10-01", 'Form responses 1'!$A$2:$A1001, "&lt;=2024-12-31")
)
</f>
        <v>0</v>
      </c>
      <c r="M110" s="2">
        <f>SUM(
    COUNTIFS('Form responses 1'!$C$2:$C1001, A110, 'Form responses 1'!$A$2:$A1001, "&gt;=2025-01-01", 'Form responses 1'!$A$2:$A1001, "&lt;=2025-03-31"),
    COUNTIFS('Form responses 1'!$B$2:$B1001, A110, 'Form responses 1'!$A$2:$A1001, "&gt;=2025-01-01", 'Form responses 1'!$A$2:$A1001, "&lt;=2025-03-31"),
    COUNTIFS('Form responses 1'!$D$2:$D1001, A110, 'Form responses 1'!$A$2:$A1001, "&gt;=2025-01-01", 'Form responses 1'!$A$2:$A1001, "&lt;=2025-03-31"),
    COUNTIFS('Form responses 1'!$E$2:$E1001, A110, 'Form responses 1'!$A$2:$A1001, "&gt;=2025-01-01", 'Form responses 1'!$A$2:$A1001, "&lt;=2025-03-31"),
    COUNTIFS('Form responses 1'!$F$2:$F1001, A110, 'Form responses 1'!$A$2:$A1001, "&gt;=2025-01-01", 'Form responses 1'!$A$2:$A1001, "&lt;=2025-03-31"),
    COUNTIFS('Form responses 1'!$G$2:$G1001, A110, 'Form responses 1'!$A$2:$A1001, "&gt;=2025-01-01", 'Form responses 1'!$A$2:$A1001, "&lt;=2025-03-31")
)
</f>
        <v>0</v>
      </c>
      <c r="N110" s="2">
        <f>SUM(
    COUNTIFS('Form responses 1'!$C$2:$C1001, A110, 'Form responses 1'!$A$2:$A1001, "&gt;=2025-04-01", 'Form responses 1'!$A$2:$A1001, "&lt;2025-07-01"),
    COUNTIFS('Form responses 1'!$B$2:$B1001, A110, 'Form responses 1'!$A$2:$A1001, "&gt;=2025-04-01", 'Form responses 1'!$A$2:$A1001, "&lt;2025-07-01"),
    COUNTIFS('Form responses 1'!$D$2:$D1001, A110, 'Form responses 1'!$A$2:$A1001, "&gt;=2025-04-01", 'Form responses 1'!$A$2:$A1001, "&lt;2025-07-01"),
    COUNTIFS('Form responses 1'!$E$2:$E1001, A110, 'Form responses 1'!$A$2:$A1001, "&gt;=2025-04-01", 'Form responses 1'!$A$2:$A1001, "&lt;2025-07-01"),
    COUNTIFS('Form responses 1'!$F$2:$F1001, A110, 'Form responses 1'!$A$2:$A1001, "&gt;=2025-04-01", 'Form responses 1'!$A$2:$A1001, "&lt;2025-07-01"),
    COUNTIFS('Form responses 1'!$G$2:$G1001, A110, 'Form responses 1'!$A$2:$A1001, "&gt;=2025-04-01", 'Form responses 1'!$A$2:$A1001, "&lt;2025-07-01")
)
</f>
        <v>0</v>
      </c>
      <c r="O110" s="2">
        <f>SUM(
    COUNTIFS('Form responses 1'!$C$2:$C1001, A110, 'Form responses 1'!$A$2:$A1001, "&gt;=2025-07-01", 'Form responses 1'!$A$2:$A1001, "&lt;=2025-09-30"),
    COUNTIFS('Form responses 1'!$B$2:$B1001, A110, 'Form responses 1'!$A$2:$A1001, "&gt;=2025-07-01", 'Form responses 1'!$A$2:$A1001, "&lt;=2025-09-30"),
    COUNTIFS('Form responses 1'!$D$2:$D1001, A110, 'Form responses 1'!$A$2:$A1001, "&gt;=2025-07-01", 'Form responses 1'!$A$2:$A1001, "&lt;=2025-09-30"),
    COUNTIFS('Form responses 1'!$E$2:$E1001, A110, 'Form responses 1'!$A$2:$A1001, "&gt;=2025-07-01", 'Form responses 1'!$A$2:$A1001, "&lt;=2025-09-30"),
    COUNTIFS('Form responses 1'!$F$2:$F1001, A110, 'Form responses 1'!$A$2:$A1001, "&gt;=2025-07-01", 'Form responses 1'!$A$2:$A1001, "&lt;=2025-09-30"),
    COUNTIFS('Form responses 1'!$G$2:$G1001, A110, 'Form responses 1'!$A$2:$A1001, "&gt;=2025-07-01", 'Form responses 1'!$A$2:$A1001, "&lt;=2025-09-30")
)
</f>
        <v>0</v>
      </c>
      <c r="P110" s="2">
        <f>SUM(
    COUNTIFS('Form responses 1'!$C$2:$C1001, A110, 'Form responses 1'!$A$2:$A1001, "&gt;=2025-10-01", 'Form responses 1'!$A$2:$A1001, "&lt;=2025-12-31"),
    COUNTIFS('Form responses 1'!$B$2:$B1001, A110, 'Form responses 1'!$A$2:$A1001, "&gt;=2025-10-01", 'Form responses 1'!$A$2:$A1001, "&lt;=2025-12-31"),
    COUNTIFS('Form responses 1'!$D$2:$D1001, A110, 'Form responses 1'!$A$2:$A1001, "&gt;=2025-10-01", 'Form responses 1'!$A$2:$A1001, "&lt;=2025-12-31"),
    COUNTIFS('Form responses 1'!$E$2:$E1001, A110, 'Form responses 1'!$A$2:$A1001, "&gt;=2025-10-01", 'Form responses 1'!$A$2:$A1001, "&lt;=2025-12-31"),
    COUNTIFS('Form responses 1'!$F$2:$F1001, A110, 'Form responses 1'!$A$2:$A1001, "&gt;=2025-10-01", 'Form responses 1'!$A$2:$A1001, "&lt;=2025-12-31"),
    COUNTIFS('Form responses 1'!$G$2:$G1001, A110, 'Form responses 1'!$A$2:$A1001, "&gt;=2025-10-01", 'Form responses 1'!$A$2:$A1001, "&lt;=2025-12-31")
)
</f>
        <v>1</v>
      </c>
    </row>
    <row r="111">
      <c r="A111" s="3" t="str">
        <f>IFERROR(__xludf.DUMMYFUNCTION("""COMPUTED_VALUE"""),"Zwarte nette schoenen")</f>
        <v>Zwarte nette schoenen</v>
      </c>
      <c r="B111" s="2">
        <f>SUM(
    COUNTIFS('Form responses 1'!$C$2:$C1001, A111, 'Form responses 1'!$A$2:$A1001, "&gt;=2022-04-01", 'Form responses 1'!$A$2:$A1001, "&lt;=2022-06-30"),
    COUNTIFS('Form responses 1'!$B$2:$B1001, A111, 'Form responses 1'!$A$2:$A1001, "&gt;=2022-04-01", 'Form responses 1'!$A$2:$A1001, "&lt;=2022-06-30"),
    COUNTIFS('Form responses 1'!$D$2:$D1001, A111, 'Form responses 1'!$A$2:$A1001, "&gt;=2022-04-01", 'Form responses 1'!$A$2:$A1001, "&lt;=2022-06-30"),
    COUNTIFS('Form responses 1'!$E$2:$E1001, A111, 'Form responses 1'!$A$2:$A1001, "&gt;=2022-04-01", 'Form responses 1'!$A$2:$A1001, "&lt;=2022-06-30"),
    COUNTIFS('Form responses 1'!$F$2:$F1001, A111, 'Form responses 1'!$A$2:$A1001, "&gt;=2022-04-01", 'Form responses 1'!$A$2:$A1001, "&lt;=2022-06-30"),
    COUNTIFS('Form responses 1'!$G$2:$G1001, A111, 'Form responses 1'!$A$2:$A1001, "&gt;=2022-04-01", 'Form responses 1'!$A$2:$A1001, "&lt;=2022-06-30")
)
</f>
        <v>0</v>
      </c>
      <c r="C111" s="2">
        <f>SUM(
    COUNTIFS('Form responses 1'!$C$2:$C1001, A111, 'Form responses 1'!$A$2:$A1001, "&gt;=2022-07-01", 'Form responses 1'!$A$2:$A1001, "&lt;=2022-09-30"),
    COUNTIFS('Form responses 1'!$B$2:$B1001, A111, 'Form responses 1'!$A$2:$A1001, "&gt;=2022-07-01", 'Form responses 1'!$A$2:$A1001, "&lt;=2022-09-30"),
    COUNTIFS('Form responses 1'!$D$2:$D1001, A111, 'Form responses 1'!$A$2:$A1001, "&gt;=2022-07-01", 'Form responses 1'!$A$2:$A1001, "&lt;=2022-09-30"),
    COUNTIFS('Form responses 1'!$E$2:$E1001, A111, 'Form responses 1'!$A$2:$A1001, "&gt;=2022-07-01", 'Form responses 1'!$A$2:$A1001, "&lt;=2022-09-30"),
    COUNTIFS('Form responses 1'!$F$2:$F1001, A111, 'Form responses 1'!$A$2:$A1001, "&gt;=2022-07-01", 'Form responses 1'!$A$2:$A1001, "&lt;=2022-09-30"),
    COUNTIFS('Form responses 1'!$G$2:$G1001, A111, 'Form responses 1'!$A$2:$A1001, "&gt;=2022-07-01", 'Form responses 1'!$A$2:$A1001, "&lt;=2022-09-30")
)
</f>
        <v>0</v>
      </c>
      <c r="D111" s="2">
        <f>SUM(
    COUNTIFS('Form responses 1'!$C$2:$C1001, A111, 'Form responses 1'!$A$2:$A1001, "&gt;=2022-10-01", 'Form responses 1'!$A$2:$A1001, "&lt;=2022-12-31"),
    COUNTIFS('Form responses 1'!$B$2:$B1001, A111, 'Form responses 1'!$A$2:$A1001, "&gt;=2022-10-01", 'Form responses 1'!$A$2:$A1001, "&lt;=2022-12-31"),
    COUNTIFS('Form responses 1'!$D$2:$D1001, A111, 'Form responses 1'!$A$2:$A1001, "&gt;=2022-10-01", 'Form responses 1'!$A$2:$A1001, "&lt;=2022-12-31"),
    COUNTIFS('Form responses 1'!$E$2:$E1001, A111, 'Form responses 1'!$A$2:$A1001, "&gt;=2022-10-01", 'Form responses 1'!$A$2:$A1001, "&lt;=2022-12-31"),
    COUNTIFS('Form responses 1'!$F$2:$F1001, A111, 'Form responses 1'!$A$2:$A1001, "&gt;=2022-10-01", 'Form responses 1'!$A$2:$A1001, "&lt;=2022-12-31"),
    COUNTIFS('Form responses 1'!$G$2:$G1001, A111, 'Form responses 1'!$A$2:$A1001, "&gt;=2022-10-01", 'Form responses 1'!$A$2:$A1001, "&lt;=2022-12-31")
)
</f>
        <v>0</v>
      </c>
      <c r="E111" s="2">
        <f>SUM(
    COUNTIFS('Form responses 1'!$C$2:$C1001, A111, 'Form responses 1'!$A$2:$A1001, "&gt;=2023-01-01", 'Form responses 1'!$A$2:$A1001, "&lt;=2023-03-31"),
    COUNTIFS('Form responses 1'!$B$2:$B1001, A111, 'Form responses 1'!$A$2:$A1001, "&gt;=2023-01-01", 'Form responses 1'!$A$2:$A1001, "&lt;=2023-03-31"),
    COUNTIFS('Form responses 1'!$D$2:$D1001, A111, 'Form responses 1'!$A$2:$A1001, "&gt;=2023-01-01", 'Form responses 1'!$A$2:$A1001, "&lt;=2023-03-31"),
    COUNTIFS('Form responses 1'!$E$2:$E1001, A111, 'Form responses 1'!$A$2:$A1001, "&gt;=2023-01-01", 'Form responses 1'!$A$2:$A1001, "&lt;=2023-03-31"),
    COUNTIFS('Form responses 1'!$F$2:$F1001, A111, 'Form responses 1'!$A$2:$A1001, "&gt;=2023-01-01", 'Form responses 1'!$A$2:$A1001, "&lt;=2023-03-31"),
    COUNTIFS('Form responses 1'!$G$2:$G1001, A111, 'Form responses 1'!$A$2:$A1001, "&gt;=2023-01-01", 'Form responses 1'!$A$2:$A1001, "&lt;=2023-03-31")
)
</f>
        <v>0</v>
      </c>
      <c r="F111" s="2">
        <f>SUM(
    COUNTIFS('Form responses 1'!$C$2:$C1001, A111, 'Form responses 1'!$A$2:$A1001, "&gt;=2023-04-01", 'Form responses 1'!$A$2:$A1001, "&lt;=2023-06-30"),
    COUNTIFS('Form responses 1'!$B$2:$B1001, A111, 'Form responses 1'!$A$2:$A1001, "&gt;=2023-04-01", 'Form responses 1'!$A$2:$A1001, "&lt;=2023-06-30"),
    COUNTIFS('Form responses 1'!$D$2:$D1001, A111, 'Form responses 1'!$A$2:$A1001, "&gt;=2023-04-01", 'Form responses 1'!$A$2:$A1001, "&lt;=2023-06-30"),
    COUNTIFS('Form responses 1'!$E$2:$E1001, A111, 'Form responses 1'!$A$2:$A1001, "&gt;=2023-04-01", 'Form responses 1'!$A$2:$A1001, "&lt;=2023-06-30"),
    COUNTIFS('Form responses 1'!$F$2:$F1001, A111, 'Form responses 1'!$A$2:$A1001, "&gt;=2023-04-01", 'Form responses 1'!$A$2:$A1001, "&lt;=2023-06-30"),
    COUNTIFS('Form responses 1'!$G$2:$G1001, A111, 'Form responses 1'!$A$2:$A1001, "&gt;=2023-04-01", 'Form responses 1'!$A$2:$A1001, "&lt;=2023-06-30")
)
</f>
        <v>0</v>
      </c>
      <c r="G111" s="2">
        <f>SUM(
    COUNTIFS('Form responses 1'!$C$2:$C1001, A111, 'Form responses 1'!$A$2:$A1001, "&gt;=2023-07-01", 'Form responses 1'!$A$2:$A1001, "&lt;=2023-09-30"),
    COUNTIFS('Form responses 1'!$B$2:$B1001, A111, 'Form responses 1'!$A$2:$A1001, "&gt;=2023-07-01", 'Form responses 1'!$A$2:$A1001, "&lt;=2023-09-30"),
    COUNTIFS('Form responses 1'!$D$2:$D1001, A111, 'Form responses 1'!$A$2:$A1001, "&gt;=2023-07-01", 'Form responses 1'!$A$2:$A1001, "&lt;=2023-09-30"),
    COUNTIFS('Form responses 1'!$E$2:$E1001, A111, 'Form responses 1'!$A$2:$A1001, "&gt;=2023-07-01", 'Form responses 1'!$A$2:$A1001, "&lt;=2023-09-30"),
    COUNTIFS('Form responses 1'!$F$2:$F1001, A111, 'Form responses 1'!$A$2:$A1001, "&gt;=2023-07-01", 'Form responses 1'!$A$2:$A1001, "&lt;=2023-09-30"),
    COUNTIFS('Form responses 1'!$G$2:$G1001, A111, 'Form responses 1'!$A$2:$A1001, "&gt;=2023-07-01", 'Form responses 1'!$A$2:$A1001, "&lt;=2023-09-30")
)
</f>
        <v>0</v>
      </c>
      <c r="H111" s="2">
        <f>SUM(
    COUNTIFS('Form responses 1'!$C$2:$C1001, A111, 'Form responses 1'!$A$2:$A1001, "&gt;=2023-10-01", 'Form responses 1'!$A$2:$A1001, "&lt;=2023-12-31"),
    COUNTIFS('Form responses 1'!$B$2:$B1001, A111, 'Form responses 1'!$A$2:$A1001, "&gt;=2023-10-01", 'Form responses 1'!$A$2:$A1001, "&lt;=2023-12-31"),
    COUNTIFS('Form responses 1'!$D$2:$D1001, A111, 'Form responses 1'!$A$2:$A1001, "&gt;=2023-10-01", 'Form responses 1'!$A$2:$A1001, "&lt;=2023-12-31"),
    COUNTIFS('Form responses 1'!$E$2:$E1001, A111, 'Form responses 1'!$A$2:$A1001, "&gt;=2023-10-01", 'Form responses 1'!$A$2:$A1001, "&lt;=2023-12-31"),
    COUNTIFS('Form responses 1'!$F$2:$F1001, A111, 'Form responses 1'!$A$2:$A1001, "&gt;=2023-10-01", 'Form responses 1'!$A$2:$A1001, "&lt;=2023-12-31"),
    COUNTIFS('Form responses 1'!$G$2:$G1001, A111, 'Form responses 1'!$A$2:$A1001, "&gt;=2023-10-01", 'Form responses 1'!$A$2:$A1001, "&lt;=2023-12-31")
)
</f>
        <v>0</v>
      </c>
      <c r="I111" s="2">
        <f>SUM(
    COUNTIFS('Form responses 1'!$C$2:$C1001, A111, 'Form responses 1'!$A$2:$A1001, "&gt;=2024-01-01", 'Form responses 1'!$A$2:$A1001, "&lt;=2024-03-31"),
    COUNTIFS('Form responses 1'!$B$2:$B1001, A111, 'Form responses 1'!$A$2:$A1001, "&gt;=2024-01-01", 'Form responses 1'!$A$2:$A1001, "&lt;=2024-03-31"),
    COUNTIFS('Form responses 1'!$D$2:$D1001, A111, 'Form responses 1'!$A$2:$A1001, "&gt;=2024-01-01", 'Form responses 1'!$A$2:$A1001, "&lt;=2024-03-31"),
    COUNTIFS('Form responses 1'!$E$2:$E1001, A111, 'Form responses 1'!$A$2:$A1001, "&gt;=2024-01-01", 'Form responses 1'!$A$2:$A1001, "&lt;=2024-03-31"),
    COUNTIFS('Form responses 1'!$F$2:$F1001, A111, 'Form responses 1'!$A$2:$A1001, "&gt;=2024-01-01", 'Form responses 1'!$A$2:$A1001, "&lt;=2024-03-31"),
    COUNTIFS('Form responses 1'!$G$2:$G1001, A111, 'Form responses 1'!$A$2:$A1001, "&gt;=2024-01-01", 'Form responses 1'!$A$2:$A1001, "&lt;=2024-03-31")
)
</f>
        <v>0</v>
      </c>
      <c r="J111" s="2">
        <f>SUM(
    COUNTIFS('Form responses 1'!$C$2:$C1001, A111, 'Form responses 1'!$A$2:$A1001, "&gt;=2024-04-01", 'Form responses 1'!$A$2:$A1001, "&lt;=2024-06-30"),
    COUNTIFS('Form responses 1'!$B$2:$B1001, A111, 'Form responses 1'!$A$2:$A1001, "&gt;=2024-04-01", 'Form responses 1'!$A$2:$A1001, "&lt;=2024-06-30"),
    COUNTIFS('Form responses 1'!$D$2:$D1001, A111, 'Form responses 1'!$A$2:$A1001, "&gt;=2024-04-01", 'Form responses 1'!$A$2:$A1001, "&lt;=2024-06-30"),
    COUNTIFS('Form responses 1'!$E$2:$E1001, A111, 'Form responses 1'!$A$2:$A1001, "&gt;=2024-04-01", 'Form responses 1'!$A$2:$A1001, "&lt;=2024-06-30"),
    COUNTIFS('Form responses 1'!$F$2:$F1001, A111, 'Form responses 1'!$A$2:$A1001, "&gt;=2024-04-01", 'Form responses 1'!$A$2:$A1001, "&lt;=2024-06-30"),
    COUNTIFS('Form responses 1'!$G$2:$G1001, A111, 'Form responses 1'!$A$2:$A1001, "&gt;=2024-04-01", 'Form responses 1'!$A$2:$A1001, "&lt;=2024-06-30")
)
</f>
        <v>0</v>
      </c>
      <c r="K111" s="2">
        <f>SUM(
    COUNTIFS('Form responses 1'!$C$2:$C1001, A111, 'Form responses 1'!$A$2:$A1001, "&gt;=2024-07-01", 'Form responses 1'!$A$2:$A1001, "&lt;=2024-09-30"),
    COUNTIFS('Form responses 1'!$B$2:$B1001, A111, 'Form responses 1'!$A$2:$A1001, "&gt;=2024-07-01", 'Form responses 1'!$A$2:$A1001, "&lt;=2024-09-30"),
    COUNTIFS('Form responses 1'!$D$2:$D1001, A111, 'Form responses 1'!$A$2:$A1001, "&gt;=2024-07-01", 'Form responses 1'!$A$2:$A1001, "&lt;=2024-09-30"),
    COUNTIFS('Form responses 1'!$E$2:$E1001, A111, 'Form responses 1'!$A$2:$A1001, "&gt;=2024-07-01", 'Form responses 1'!$A$2:$A1001, "&lt;=2024-09-30"),
    COUNTIFS('Form responses 1'!$F$2:$F1001, A111, 'Form responses 1'!$A$2:$A1001, "&gt;=2024-07-01", 'Form responses 1'!$A$2:$A1001, "&lt;=2024-09-30"),
    COUNTIFS('Form responses 1'!$G$2:$G1001, A111, 'Form responses 1'!$A$2:$A1001, "&gt;=2024-07-01", 'Form responses 1'!$A$2:$A1001, "&lt;=2024-09-30")
)
</f>
        <v>0</v>
      </c>
      <c r="L111" s="2">
        <f>SUM(
    COUNTIFS('Form responses 1'!$C$2:$C1001, A111, 'Form responses 1'!$A$2:$A1001, "&gt;=2024-10-01", 'Form responses 1'!$A$2:$A1001, "&lt;=2024-12-31"),
    COUNTIFS('Form responses 1'!$B$2:$B1001, A111, 'Form responses 1'!$A$2:$A1001, "&gt;=2024-10-01", 'Form responses 1'!$A$2:$A1001, "&lt;=2024-12-31"),
    COUNTIFS('Form responses 1'!$D$2:$D1001, A111, 'Form responses 1'!$A$2:$A1001, "&gt;=2024-10-01", 'Form responses 1'!$A$2:$A1001, "&lt;=2024-12-31"),
    COUNTIFS('Form responses 1'!$E$2:$E1001, A111, 'Form responses 1'!$A$2:$A1001, "&gt;=2024-10-01", 'Form responses 1'!$A$2:$A1001, "&lt;=2024-12-31"),
    COUNTIFS('Form responses 1'!$F$2:$F1001, A111, 'Form responses 1'!$A$2:$A1001, "&gt;=2024-10-01", 'Form responses 1'!$A$2:$A1001, "&lt;=2024-12-31"),
    COUNTIFS('Form responses 1'!$G$2:$G1001, A111, 'Form responses 1'!$A$2:$A1001, "&gt;=2024-10-01", 'Form responses 1'!$A$2:$A1001, "&lt;=2024-12-31")
)
</f>
        <v>0</v>
      </c>
      <c r="M111" s="2">
        <f>SUM(
    COUNTIFS('Form responses 1'!$C$2:$C1001, A111, 'Form responses 1'!$A$2:$A1001, "&gt;=2025-01-01", 'Form responses 1'!$A$2:$A1001, "&lt;=2025-03-31"),
    COUNTIFS('Form responses 1'!$B$2:$B1001, A111, 'Form responses 1'!$A$2:$A1001, "&gt;=2025-01-01", 'Form responses 1'!$A$2:$A1001, "&lt;=2025-03-31"),
    COUNTIFS('Form responses 1'!$D$2:$D1001, A111, 'Form responses 1'!$A$2:$A1001, "&gt;=2025-01-01", 'Form responses 1'!$A$2:$A1001, "&lt;=2025-03-31"),
    COUNTIFS('Form responses 1'!$E$2:$E1001, A111, 'Form responses 1'!$A$2:$A1001, "&gt;=2025-01-01", 'Form responses 1'!$A$2:$A1001, "&lt;=2025-03-31"),
    COUNTIFS('Form responses 1'!$F$2:$F1001, A111, 'Form responses 1'!$A$2:$A1001, "&gt;=2025-01-01", 'Form responses 1'!$A$2:$A1001, "&lt;=2025-03-31"),
    COUNTIFS('Form responses 1'!$G$2:$G1001, A111, 'Form responses 1'!$A$2:$A1001, "&gt;=2025-01-01", 'Form responses 1'!$A$2:$A1001, "&lt;=2025-03-31")
)
</f>
        <v>0</v>
      </c>
      <c r="N111" s="2">
        <f>SUM(
    COUNTIFS('Form responses 1'!$C$2:$C1001, A111, 'Form responses 1'!$A$2:$A1001, "&gt;=2025-04-01", 'Form responses 1'!$A$2:$A1001, "&lt;2025-07-01"),
    COUNTIFS('Form responses 1'!$B$2:$B1001, A111, 'Form responses 1'!$A$2:$A1001, "&gt;=2025-04-01", 'Form responses 1'!$A$2:$A1001, "&lt;2025-07-01"),
    COUNTIFS('Form responses 1'!$D$2:$D1001, A111, 'Form responses 1'!$A$2:$A1001, "&gt;=2025-04-01", 'Form responses 1'!$A$2:$A1001, "&lt;2025-07-01"),
    COUNTIFS('Form responses 1'!$E$2:$E1001, A111, 'Form responses 1'!$A$2:$A1001, "&gt;=2025-04-01", 'Form responses 1'!$A$2:$A1001, "&lt;2025-07-01"),
    COUNTIFS('Form responses 1'!$F$2:$F1001, A111, 'Form responses 1'!$A$2:$A1001, "&gt;=2025-04-01", 'Form responses 1'!$A$2:$A1001, "&lt;2025-07-01"),
    COUNTIFS('Form responses 1'!$G$2:$G1001, A111, 'Form responses 1'!$A$2:$A1001, "&gt;=2025-04-01", 'Form responses 1'!$A$2:$A1001, "&lt;2025-07-01")
)
</f>
        <v>0</v>
      </c>
      <c r="O111" s="2">
        <f>SUM(
    COUNTIFS('Form responses 1'!$C$2:$C1001, A111, 'Form responses 1'!$A$2:$A1001, "&gt;=2025-07-01", 'Form responses 1'!$A$2:$A1001, "&lt;=2025-09-30"),
    COUNTIFS('Form responses 1'!$B$2:$B1001, A111, 'Form responses 1'!$A$2:$A1001, "&gt;=2025-07-01", 'Form responses 1'!$A$2:$A1001, "&lt;=2025-09-30"),
    COUNTIFS('Form responses 1'!$D$2:$D1001, A111, 'Form responses 1'!$A$2:$A1001, "&gt;=2025-07-01", 'Form responses 1'!$A$2:$A1001, "&lt;=2025-09-30"),
    COUNTIFS('Form responses 1'!$E$2:$E1001, A111, 'Form responses 1'!$A$2:$A1001, "&gt;=2025-07-01", 'Form responses 1'!$A$2:$A1001, "&lt;=2025-09-30"),
    COUNTIFS('Form responses 1'!$F$2:$F1001, A111, 'Form responses 1'!$A$2:$A1001, "&gt;=2025-07-01", 'Form responses 1'!$A$2:$A1001, "&lt;=2025-09-30"),
    COUNTIFS('Form responses 1'!$G$2:$G1001, A111, 'Form responses 1'!$A$2:$A1001, "&gt;=2025-07-01", 'Form responses 1'!$A$2:$A1001, "&lt;=2025-09-30")
)
</f>
        <v>0</v>
      </c>
      <c r="P111" s="2">
        <f>SUM(
    COUNTIFS('Form responses 1'!$C$2:$C1001, A111, 'Form responses 1'!$A$2:$A1001, "&gt;=2025-10-01", 'Form responses 1'!$A$2:$A1001, "&lt;=2025-12-31"),
    COUNTIFS('Form responses 1'!$B$2:$B1001, A111, 'Form responses 1'!$A$2:$A1001, "&gt;=2025-10-01", 'Form responses 1'!$A$2:$A1001, "&lt;=2025-12-31"),
    COUNTIFS('Form responses 1'!$D$2:$D1001, A111, 'Form responses 1'!$A$2:$A1001, "&gt;=2025-10-01", 'Form responses 1'!$A$2:$A1001, "&lt;=2025-12-31"),
    COUNTIFS('Form responses 1'!$E$2:$E1001, A111, 'Form responses 1'!$A$2:$A1001, "&gt;=2025-10-01", 'Form responses 1'!$A$2:$A1001, "&lt;=2025-12-31"),
    COUNTIFS('Form responses 1'!$F$2:$F1001, A111, 'Form responses 1'!$A$2:$A1001, "&gt;=2025-10-01", 'Form responses 1'!$A$2:$A1001, "&lt;=2025-12-31"),
    COUNTIFS('Form responses 1'!$G$2:$G1001, A111, 'Form responses 1'!$A$2:$A1001, "&gt;=2025-10-01", 'Form responses 1'!$A$2:$A1001, "&lt;=2025-12-31")
)
</f>
        <v>3</v>
      </c>
    </row>
    <row r="112">
      <c r="B112" s="2">
        <f>SUM(
    COUNTIFS('Form responses 1'!$C$2:$C1001, A112, 'Form responses 1'!$A$2:$A1001, "&gt;=2022-04-01", 'Form responses 1'!$A$2:$A1001, "&lt;=2022-06-30"),
    COUNTIFS('Form responses 1'!$B$2:$B1001, A112, 'Form responses 1'!$A$2:$A1001, "&gt;=2022-04-01", 'Form responses 1'!$A$2:$A1001, "&lt;=2022-06-30"),
    COUNTIFS('Form responses 1'!$D$2:$D1001, A112, 'Form responses 1'!$A$2:$A1001, "&gt;=2022-04-01", 'Form responses 1'!$A$2:$A1001, "&lt;=2022-06-30"),
    COUNTIFS('Form responses 1'!$E$2:$E1001, A112, 'Form responses 1'!$A$2:$A1001, "&gt;=2022-04-01", 'Form responses 1'!$A$2:$A1001, "&lt;=2022-06-30"),
    COUNTIFS('Form responses 1'!$F$2:$F1001, A112, 'Form responses 1'!$A$2:$A1001, "&gt;=2022-04-01", 'Form responses 1'!$A$2:$A1001, "&lt;=2022-06-30"),
    COUNTIFS('Form responses 1'!$G$2:$G1001, A112, 'Form responses 1'!$A$2:$A1001, "&gt;=2022-04-01", 'Form responses 1'!$A$2:$A1001, "&lt;=2022-06-30")
)
</f>
        <v>0</v>
      </c>
      <c r="C112" s="2">
        <f>SUM(
    COUNTIFS('Form responses 1'!$C$2:$C1001, A112, 'Form responses 1'!$A$2:$A1001, "&gt;=2022-07-01", 'Form responses 1'!$A$2:$A1001, "&lt;=2022-09-30"),
    COUNTIFS('Form responses 1'!$B$2:$B1001, A112, 'Form responses 1'!$A$2:$A1001, "&gt;=2022-07-01", 'Form responses 1'!$A$2:$A1001, "&lt;=2022-09-30"),
    COUNTIFS('Form responses 1'!$D$2:$D1001, A112, 'Form responses 1'!$A$2:$A1001, "&gt;=2022-07-01", 'Form responses 1'!$A$2:$A1001, "&lt;=2022-09-30"),
    COUNTIFS('Form responses 1'!$E$2:$E1001, A112, 'Form responses 1'!$A$2:$A1001, "&gt;=2022-07-01", 'Form responses 1'!$A$2:$A1001, "&lt;=2022-09-30"),
    COUNTIFS('Form responses 1'!$F$2:$F1001, A112, 'Form responses 1'!$A$2:$A1001, "&gt;=2022-07-01", 'Form responses 1'!$A$2:$A1001, "&lt;=2022-09-30"),
    COUNTIFS('Form responses 1'!$G$2:$G1001, A112, 'Form responses 1'!$A$2:$A1001, "&gt;=2022-07-01", 'Form responses 1'!$A$2:$A1001, "&lt;=2022-09-30")
)
</f>
        <v>0</v>
      </c>
      <c r="D112" s="2">
        <f>SUM(
    COUNTIFS('Form responses 1'!$C$2:$C1001, A112, 'Form responses 1'!$A$2:$A1001, "&gt;=2022-10-01", 'Form responses 1'!$A$2:$A1001, "&lt;=2022-12-31"),
    COUNTIFS('Form responses 1'!$B$2:$B1001, A112, 'Form responses 1'!$A$2:$A1001, "&gt;=2022-10-01", 'Form responses 1'!$A$2:$A1001, "&lt;=2022-12-31"),
    COUNTIFS('Form responses 1'!$D$2:$D1001, A112, 'Form responses 1'!$A$2:$A1001, "&gt;=2022-10-01", 'Form responses 1'!$A$2:$A1001, "&lt;=2022-12-31"),
    COUNTIFS('Form responses 1'!$E$2:$E1001, A112, 'Form responses 1'!$A$2:$A1001, "&gt;=2022-10-01", 'Form responses 1'!$A$2:$A1001, "&lt;=2022-12-31"),
    COUNTIFS('Form responses 1'!$F$2:$F1001, A112, 'Form responses 1'!$A$2:$A1001, "&gt;=2022-10-01", 'Form responses 1'!$A$2:$A1001, "&lt;=2022-12-31"),
    COUNTIFS('Form responses 1'!$G$2:$G1001, A112, 'Form responses 1'!$A$2:$A1001, "&gt;=2022-10-01", 'Form responses 1'!$A$2:$A1001, "&lt;=2022-12-31")
)
</f>
        <v>0</v>
      </c>
      <c r="E112" s="2">
        <f>SUM(
    COUNTIFS('Form responses 1'!$C$2:$C1001, A112, 'Form responses 1'!$A$2:$A1001, "&gt;=2023-01-01", 'Form responses 1'!$A$2:$A1001, "&lt;=2023-03-31"),
    COUNTIFS('Form responses 1'!$B$2:$B1001, A112, 'Form responses 1'!$A$2:$A1001, "&gt;=2023-01-01", 'Form responses 1'!$A$2:$A1001, "&lt;=2023-03-31"),
    COUNTIFS('Form responses 1'!$D$2:$D1001, A112, 'Form responses 1'!$A$2:$A1001, "&gt;=2023-01-01", 'Form responses 1'!$A$2:$A1001, "&lt;=2023-03-31"),
    COUNTIFS('Form responses 1'!$E$2:$E1001, A112, 'Form responses 1'!$A$2:$A1001, "&gt;=2023-01-01", 'Form responses 1'!$A$2:$A1001, "&lt;=2023-03-31"),
    COUNTIFS('Form responses 1'!$F$2:$F1001, A112, 'Form responses 1'!$A$2:$A1001, "&gt;=2023-01-01", 'Form responses 1'!$A$2:$A1001, "&lt;=2023-03-31"),
    COUNTIFS('Form responses 1'!$G$2:$G1001, A112, 'Form responses 1'!$A$2:$A1001, "&gt;=2023-01-01", 'Form responses 1'!$A$2:$A1001, "&lt;=2023-03-31")
)
</f>
        <v>0</v>
      </c>
      <c r="F112" s="2">
        <f>SUM(
    COUNTIFS('Form responses 1'!$C$2:$C1001, A112, 'Form responses 1'!$A$2:$A1001, "&gt;=2023-04-01", 'Form responses 1'!$A$2:$A1001, "&lt;=2023-06-30"),
    COUNTIFS('Form responses 1'!$B$2:$B1001, A112, 'Form responses 1'!$A$2:$A1001, "&gt;=2023-04-01", 'Form responses 1'!$A$2:$A1001, "&lt;=2023-06-30"),
    COUNTIFS('Form responses 1'!$D$2:$D1001, A112, 'Form responses 1'!$A$2:$A1001, "&gt;=2023-04-01", 'Form responses 1'!$A$2:$A1001, "&lt;=2023-06-30"),
    COUNTIFS('Form responses 1'!$E$2:$E1001, A112, 'Form responses 1'!$A$2:$A1001, "&gt;=2023-04-01", 'Form responses 1'!$A$2:$A1001, "&lt;=2023-06-30"),
    COUNTIFS('Form responses 1'!$F$2:$F1001, A112, 'Form responses 1'!$A$2:$A1001, "&gt;=2023-04-01", 'Form responses 1'!$A$2:$A1001, "&lt;=2023-06-30"),
    COUNTIFS('Form responses 1'!$G$2:$G1001, A112, 'Form responses 1'!$A$2:$A1001, "&gt;=2023-04-01", 'Form responses 1'!$A$2:$A1001, "&lt;=2023-06-30")
)
</f>
        <v>0</v>
      </c>
      <c r="G112" s="2">
        <f>SUM(
    COUNTIFS('Form responses 1'!$C$2:$C1001, A112, 'Form responses 1'!$A$2:$A1001, "&gt;=2023-07-01", 'Form responses 1'!$A$2:$A1001, "&lt;=2023-09-30"),
    COUNTIFS('Form responses 1'!$B$2:$B1001, A112, 'Form responses 1'!$A$2:$A1001, "&gt;=2023-07-01", 'Form responses 1'!$A$2:$A1001, "&lt;=2023-09-30"),
    COUNTIFS('Form responses 1'!$D$2:$D1001, A112, 'Form responses 1'!$A$2:$A1001, "&gt;=2023-07-01", 'Form responses 1'!$A$2:$A1001, "&lt;=2023-09-30"),
    COUNTIFS('Form responses 1'!$E$2:$E1001, A112, 'Form responses 1'!$A$2:$A1001, "&gt;=2023-07-01", 'Form responses 1'!$A$2:$A1001, "&lt;=2023-09-30"),
    COUNTIFS('Form responses 1'!$F$2:$F1001, A112, 'Form responses 1'!$A$2:$A1001, "&gt;=2023-07-01", 'Form responses 1'!$A$2:$A1001, "&lt;=2023-09-30"),
    COUNTIFS('Form responses 1'!$G$2:$G1001, A112, 'Form responses 1'!$A$2:$A1001, "&gt;=2023-07-01", 'Form responses 1'!$A$2:$A1001, "&lt;=2023-09-30")
)
</f>
        <v>0</v>
      </c>
      <c r="H112" s="2">
        <f>SUM(
    COUNTIFS('Form responses 1'!$C$2:$C1001, A112, 'Form responses 1'!$A$2:$A1001, "&gt;=2023-10-01", 'Form responses 1'!$A$2:$A1001, "&lt;=2023-12-31"),
    COUNTIFS('Form responses 1'!$B$2:$B1001, A112, 'Form responses 1'!$A$2:$A1001, "&gt;=2023-10-01", 'Form responses 1'!$A$2:$A1001, "&lt;=2023-12-31"),
    COUNTIFS('Form responses 1'!$D$2:$D1001, A112, 'Form responses 1'!$A$2:$A1001, "&gt;=2023-10-01", 'Form responses 1'!$A$2:$A1001, "&lt;=2023-12-31"),
    COUNTIFS('Form responses 1'!$E$2:$E1001, A112, 'Form responses 1'!$A$2:$A1001, "&gt;=2023-10-01", 'Form responses 1'!$A$2:$A1001, "&lt;=2023-12-31"),
    COUNTIFS('Form responses 1'!$F$2:$F1001, A112, 'Form responses 1'!$A$2:$A1001, "&gt;=2023-10-01", 'Form responses 1'!$A$2:$A1001, "&lt;=2023-12-31"),
    COUNTIFS('Form responses 1'!$G$2:$G1001, A112, 'Form responses 1'!$A$2:$A1001, "&gt;=2023-10-01", 'Form responses 1'!$A$2:$A1001, "&lt;=2023-12-31")
)
</f>
        <v>0</v>
      </c>
      <c r="I112" s="2">
        <f>SUM(
    COUNTIFS('Form responses 1'!$C$2:$C1001, A112, 'Form responses 1'!$A$2:$A1001, "&gt;=2024-01-01", 'Form responses 1'!$A$2:$A1001, "&lt;=2024-03-31"),
    COUNTIFS('Form responses 1'!$B$2:$B1001, A112, 'Form responses 1'!$A$2:$A1001, "&gt;=2024-01-01", 'Form responses 1'!$A$2:$A1001, "&lt;=2024-03-31"),
    COUNTIFS('Form responses 1'!$D$2:$D1001, A112, 'Form responses 1'!$A$2:$A1001, "&gt;=2024-01-01", 'Form responses 1'!$A$2:$A1001, "&lt;=2024-03-31"),
    COUNTIFS('Form responses 1'!$E$2:$E1001, A112, 'Form responses 1'!$A$2:$A1001, "&gt;=2024-01-01", 'Form responses 1'!$A$2:$A1001, "&lt;=2024-03-31"),
    COUNTIFS('Form responses 1'!$F$2:$F1001, A112, 'Form responses 1'!$A$2:$A1001, "&gt;=2024-01-01", 'Form responses 1'!$A$2:$A1001, "&lt;=2024-03-31"),
    COUNTIFS('Form responses 1'!$G$2:$G1001, A112, 'Form responses 1'!$A$2:$A1001, "&gt;=2024-01-01", 'Form responses 1'!$A$2:$A1001, "&lt;=2024-03-31")
)
</f>
        <v>0</v>
      </c>
      <c r="J112" s="2">
        <f>SUM(
    COUNTIFS('Form responses 1'!$C$2:$C1001, A112, 'Form responses 1'!$A$2:$A1001, "&gt;=2024-04-01", 'Form responses 1'!$A$2:$A1001, "&lt;=2024-06-30"),
    COUNTIFS('Form responses 1'!$B$2:$B1001, A112, 'Form responses 1'!$A$2:$A1001, "&gt;=2024-04-01", 'Form responses 1'!$A$2:$A1001, "&lt;=2024-06-30"),
    COUNTIFS('Form responses 1'!$D$2:$D1001, A112, 'Form responses 1'!$A$2:$A1001, "&gt;=2024-04-01", 'Form responses 1'!$A$2:$A1001, "&lt;=2024-06-30"),
    COUNTIFS('Form responses 1'!$E$2:$E1001, A112, 'Form responses 1'!$A$2:$A1001, "&gt;=2024-04-01", 'Form responses 1'!$A$2:$A1001, "&lt;=2024-06-30"),
    COUNTIFS('Form responses 1'!$F$2:$F1001, A112, 'Form responses 1'!$A$2:$A1001, "&gt;=2024-04-01", 'Form responses 1'!$A$2:$A1001, "&lt;=2024-06-30"),
    COUNTIFS('Form responses 1'!$G$2:$G1001, A112, 'Form responses 1'!$A$2:$A1001, "&gt;=2024-04-01", 'Form responses 1'!$A$2:$A1001, "&lt;=2024-06-30")
)
</f>
        <v>0</v>
      </c>
      <c r="K112" s="2">
        <f>SUM(
    COUNTIFS('Form responses 1'!$C$2:$C1001, A112, 'Form responses 1'!$A$2:$A1001, "&gt;=2024-07-01", 'Form responses 1'!$A$2:$A1001, "&lt;=2024-09-30"),
    COUNTIFS('Form responses 1'!$B$2:$B1001, A112, 'Form responses 1'!$A$2:$A1001, "&gt;=2024-07-01", 'Form responses 1'!$A$2:$A1001, "&lt;=2024-09-30"),
    COUNTIFS('Form responses 1'!$D$2:$D1001, A112, 'Form responses 1'!$A$2:$A1001, "&gt;=2024-07-01", 'Form responses 1'!$A$2:$A1001, "&lt;=2024-09-30"),
    COUNTIFS('Form responses 1'!$E$2:$E1001, A112, 'Form responses 1'!$A$2:$A1001, "&gt;=2024-07-01", 'Form responses 1'!$A$2:$A1001, "&lt;=2024-09-30"),
    COUNTIFS('Form responses 1'!$F$2:$F1001, A112, 'Form responses 1'!$A$2:$A1001, "&gt;=2024-07-01", 'Form responses 1'!$A$2:$A1001, "&lt;=2024-09-30"),
    COUNTIFS('Form responses 1'!$G$2:$G1001, A112, 'Form responses 1'!$A$2:$A1001, "&gt;=2024-07-01", 'Form responses 1'!$A$2:$A1001, "&lt;=2024-09-30")
)
</f>
        <v>0</v>
      </c>
      <c r="L112" s="2">
        <f>SUM(
    COUNTIFS('Form responses 1'!$C$2:$C1001, A112, 'Form responses 1'!$A$2:$A1001, "&gt;=2024-10-01", 'Form responses 1'!$A$2:$A1001, "&lt;=2024-12-31"),
    COUNTIFS('Form responses 1'!$B$2:$B1001, A112, 'Form responses 1'!$A$2:$A1001, "&gt;=2024-10-01", 'Form responses 1'!$A$2:$A1001, "&lt;=2024-12-31"),
    COUNTIFS('Form responses 1'!$D$2:$D1001, A112, 'Form responses 1'!$A$2:$A1001, "&gt;=2024-10-01", 'Form responses 1'!$A$2:$A1001, "&lt;=2024-12-31"),
    COUNTIFS('Form responses 1'!$E$2:$E1001, A112, 'Form responses 1'!$A$2:$A1001, "&gt;=2024-10-01", 'Form responses 1'!$A$2:$A1001, "&lt;=2024-12-31"),
    COUNTIFS('Form responses 1'!$F$2:$F1001, A112, 'Form responses 1'!$A$2:$A1001, "&gt;=2024-10-01", 'Form responses 1'!$A$2:$A1001, "&lt;=2024-12-31"),
    COUNTIFS('Form responses 1'!$G$2:$G1001, A112, 'Form responses 1'!$A$2:$A1001, "&gt;=2024-10-01", 'Form responses 1'!$A$2:$A1001, "&lt;=2024-12-31")
)
</f>
        <v>0</v>
      </c>
      <c r="M112" s="2">
        <f>SUM(
    COUNTIFS('Form responses 1'!$C$2:$C1001, A112, 'Form responses 1'!$A$2:$A1001, "&gt;=2025-01-01", 'Form responses 1'!$A$2:$A1001, "&lt;=2025-03-31"),
    COUNTIFS('Form responses 1'!$B$2:$B1001, A112, 'Form responses 1'!$A$2:$A1001, "&gt;=2025-01-01", 'Form responses 1'!$A$2:$A1001, "&lt;=2025-03-31"),
    COUNTIFS('Form responses 1'!$D$2:$D1001, A112, 'Form responses 1'!$A$2:$A1001, "&gt;=2025-01-01", 'Form responses 1'!$A$2:$A1001, "&lt;=2025-03-31"),
    COUNTIFS('Form responses 1'!$E$2:$E1001, A112, 'Form responses 1'!$A$2:$A1001, "&gt;=2025-01-01", 'Form responses 1'!$A$2:$A1001, "&lt;=2025-03-31"),
    COUNTIFS('Form responses 1'!$F$2:$F1001, A112, 'Form responses 1'!$A$2:$A1001, "&gt;=2025-01-01", 'Form responses 1'!$A$2:$A1001, "&lt;=2025-03-31"),
    COUNTIFS('Form responses 1'!$G$2:$G1001, A112, 'Form responses 1'!$A$2:$A1001, "&gt;=2025-01-01", 'Form responses 1'!$A$2:$A1001, "&lt;=2025-03-31")
)
</f>
        <v>0</v>
      </c>
      <c r="N112" s="2">
        <f>SUM(
    COUNTIFS('Form responses 1'!$C$2:$C1001, A112, 'Form responses 1'!$A$2:$A1001, "&gt;=2025-04-01", 'Form responses 1'!$A$2:$A1001, "&lt;2025-07-01"),
    COUNTIFS('Form responses 1'!$B$2:$B1001, A112, 'Form responses 1'!$A$2:$A1001, "&gt;=2025-04-01", 'Form responses 1'!$A$2:$A1001, "&lt;2025-07-01"),
    COUNTIFS('Form responses 1'!$D$2:$D1001, A112, 'Form responses 1'!$A$2:$A1001, "&gt;=2025-04-01", 'Form responses 1'!$A$2:$A1001, "&lt;2025-07-01"),
    COUNTIFS('Form responses 1'!$E$2:$E1001, A112, 'Form responses 1'!$A$2:$A1001, "&gt;=2025-04-01", 'Form responses 1'!$A$2:$A1001, "&lt;2025-07-01"),
    COUNTIFS('Form responses 1'!$F$2:$F1001, A112, 'Form responses 1'!$A$2:$A1001, "&gt;=2025-04-01", 'Form responses 1'!$A$2:$A1001, "&lt;2025-07-01"),
    COUNTIFS('Form responses 1'!$G$2:$G1001, A112, 'Form responses 1'!$A$2:$A1001, "&gt;=2025-04-01", 'Form responses 1'!$A$2:$A1001, "&lt;2025-07-01")
)
</f>
        <v>0</v>
      </c>
      <c r="O112" s="2">
        <f>SUM(
    COUNTIFS('Form responses 1'!$C$2:$C1001, A112, 'Form responses 1'!$A$2:$A1001, "&gt;=2025-07-01", 'Form responses 1'!$A$2:$A1001, "&lt;=2025-09-30"),
    COUNTIFS('Form responses 1'!$B$2:$B1001, A112, 'Form responses 1'!$A$2:$A1001, "&gt;=2025-07-01", 'Form responses 1'!$A$2:$A1001, "&lt;=2025-09-30"),
    COUNTIFS('Form responses 1'!$D$2:$D1001, A112, 'Form responses 1'!$A$2:$A1001, "&gt;=2025-07-01", 'Form responses 1'!$A$2:$A1001, "&lt;=2025-09-30"),
    COUNTIFS('Form responses 1'!$E$2:$E1001, A112, 'Form responses 1'!$A$2:$A1001, "&gt;=2025-07-01", 'Form responses 1'!$A$2:$A1001, "&lt;=2025-09-30"),
    COUNTIFS('Form responses 1'!$F$2:$F1001, A112, 'Form responses 1'!$A$2:$A1001, "&gt;=2025-07-01", 'Form responses 1'!$A$2:$A1001, "&lt;=2025-09-30"),
    COUNTIFS('Form responses 1'!$G$2:$G1001, A112, 'Form responses 1'!$A$2:$A1001, "&gt;=2025-07-01", 'Form responses 1'!$A$2:$A1001, "&lt;=2025-09-30")
)
</f>
        <v>0</v>
      </c>
      <c r="P112" s="2">
        <f>SUM(
    COUNTIFS('Form responses 1'!$C$2:$C1001, A112, 'Form responses 1'!$A$2:$A1001, "&gt;=2025-10-01", 'Form responses 1'!$A$2:$A1001, "&lt;=2025-12-31"),
    COUNTIFS('Form responses 1'!$B$2:$B1001, A112, 'Form responses 1'!$A$2:$A1001, "&gt;=2025-10-01", 'Form responses 1'!$A$2:$A1001, "&lt;=2025-12-31"),
    COUNTIFS('Form responses 1'!$D$2:$D1001, A112, 'Form responses 1'!$A$2:$A1001, "&gt;=2025-10-01", 'Form responses 1'!$A$2:$A1001, "&lt;=2025-12-31"),
    COUNTIFS('Form responses 1'!$E$2:$E1001, A112, 'Form responses 1'!$A$2:$A1001, "&gt;=2025-10-01", 'Form responses 1'!$A$2:$A1001, "&lt;=2025-12-31"),
    COUNTIFS('Form responses 1'!$F$2:$F1001, A112, 'Form responses 1'!$A$2:$A1001, "&gt;=2025-10-01", 'Form responses 1'!$A$2:$A1001, "&lt;=2025-12-31"),
    COUNTIFS('Form responses 1'!$G$2:$G1001, A112, 'Form responses 1'!$A$2:$A1001, "&gt;=2025-10-01", 'Form responses 1'!$A$2:$A1001, "&lt;=2025-12-31")
)
</f>
        <v>0</v>
      </c>
    </row>
    <row r="113">
      <c r="B113" s="2">
        <f>SUM(
    COUNTIFS('Form responses 1'!$C$2:$C1001, A113, 'Form responses 1'!$A$2:$A1001, "&gt;=2022-04-01", 'Form responses 1'!$A$2:$A1001, "&lt;=2022-06-30"),
    COUNTIFS('Form responses 1'!$B$2:$B1001, A113, 'Form responses 1'!$A$2:$A1001, "&gt;=2022-04-01", 'Form responses 1'!$A$2:$A1001, "&lt;=2022-06-30"),
    COUNTIFS('Form responses 1'!$D$2:$D1001, A113, 'Form responses 1'!$A$2:$A1001, "&gt;=2022-04-01", 'Form responses 1'!$A$2:$A1001, "&lt;=2022-06-30"),
    COUNTIFS('Form responses 1'!$E$2:$E1001, A113, 'Form responses 1'!$A$2:$A1001, "&gt;=2022-04-01", 'Form responses 1'!$A$2:$A1001, "&lt;=2022-06-30"),
    COUNTIFS('Form responses 1'!$F$2:$F1001, A113, 'Form responses 1'!$A$2:$A1001, "&gt;=2022-04-01", 'Form responses 1'!$A$2:$A1001, "&lt;=2022-06-30"),
    COUNTIFS('Form responses 1'!$G$2:$G1001, A113, 'Form responses 1'!$A$2:$A1001, "&gt;=2022-04-01", 'Form responses 1'!$A$2:$A1001, "&lt;=2022-06-30")
)
</f>
        <v>0</v>
      </c>
      <c r="C113" s="2">
        <f>SUM(
    COUNTIFS('Form responses 1'!$C$2:$C1001, A113, 'Form responses 1'!$A$2:$A1001, "&gt;=2022-07-01", 'Form responses 1'!$A$2:$A1001, "&lt;=2022-09-30"),
    COUNTIFS('Form responses 1'!$B$2:$B1001, A113, 'Form responses 1'!$A$2:$A1001, "&gt;=2022-07-01", 'Form responses 1'!$A$2:$A1001, "&lt;=2022-09-30"),
    COUNTIFS('Form responses 1'!$D$2:$D1001, A113, 'Form responses 1'!$A$2:$A1001, "&gt;=2022-07-01", 'Form responses 1'!$A$2:$A1001, "&lt;=2022-09-30"),
    COUNTIFS('Form responses 1'!$E$2:$E1001, A113, 'Form responses 1'!$A$2:$A1001, "&gt;=2022-07-01", 'Form responses 1'!$A$2:$A1001, "&lt;=2022-09-30"),
    COUNTIFS('Form responses 1'!$F$2:$F1001, A113, 'Form responses 1'!$A$2:$A1001, "&gt;=2022-07-01", 'Form responses 1'!$A$2:$A1001, "&lt;=2022-09-30"),
    COUNTIFS('Form responses 1'!$G$2:$G1001, A113, 'Form responses 1'!$A$2:$A1001, "&gt;=2022-07-01", 'Form responses 1'!$A$2:$A1001, "&lt;=2022-09-30")
)
</f>
        <v>0</v>
      </c>
      <c r="D113" s="2">
        <f>SUM(
    COUNTIFS('Form responses 1'!$C$2:$C1001, A113, 'Form responses 1'!$A$2:$A1001, "&gt;=2022-10-01", 'Form responses 1'!$A$2:$A1001, "&lt;=2022-12-31"),
    COUNTIFS('Form responses 1'!$B$2:$B1001, A113, 'Form responses 1'!$A$2:$A1001, "&gt;=2022-10-01", 'Form responses 1'!$A$2:$A1001, "&lt;=2022-12-31"),
    COUNTIFS('Form responses 1'!$D$2:$D1001, A113, 'Form responses 1'!$A$2:$A1001, "&gt;=2022-10-01", 'Form responses 1'!$A$2:$A1001, "&lt;=2022-12-31"),
    COUNTIFS('Form responses 1'!$E$2:$E1001, A113, 'Form responses 1'!$A$2:$A1001, "&gt;=2022-10-01", 'Form responses 1'!$A$2:$A1001, "&lt;=2022-12-31"),
    COUNTIFS('Form responses 1'!$F$2:$F1001, A113, 'Form responses 1'!$A$2:$A1001, "&gt;=2022-10-01", 'Form responses 1'!$A$2:$A1001, "&lt;=2022-12-31"),
    COUNTIFS('Form responses 1'!$G$2:$G1001, A113, 'Form responses 1'!$A$2:$A1001, "&gt;=2022-10-01", 'Form responses 1'!$A$2:$A1001, "&lt;=2022-12-31")
)
</f>
        <v>0</v>
      </c>
      <c r="E113" s="2">
        <f>SUM(
    COUNTIFS('Form responses 1'!$C$2:$C1001, A113, 'Form responses 1'!$A$2:$A1001, "&gt;=2023-01-01", 'Form responses 1'!$A$2:$A1001, "&lt;=2023-03-31"),
    COUNTIFS('Form responses 1'!$B$2:$B1001, A113, 'Form responses 1'!$A$2:$A1001, "&gt;=2023-01-01", 'Form responses 1'!$A$2:$A1001, "&lt;=2023-03-31"),
    COUNTIFS('Form responses 1'!$D$2:$D1001, A113, 'Form responses 1'!$A$2:$A1001, "&gt;=2023-01-01", 'Form responses 1'!$A$2:$A1001, "&lt;=2023-03-31"),
    COUNTIFS('Form responses 1'!$E$2:$E1001, A113, 'Form responses 1'!$A$2:$A1001, "&gt;=2023-01-01", 'Form responses 1'!$A$2:$A1001, "&lt;=2023-03-31"),
    COUNTIFS('Form responses 1'!$F$2:$F1001, A113, 'Form responses 1'!$A$2:$A1001, "&gt;=2023-01-01", 'Form responses 1'!$A$2:$A1001, "&lt;=2023-03-31"),
    COUNTIFS('Form responses 1'!$G$2:$G1001, A113, 'Form responses 1'!$A$2:$A1001, "&gt;=2023-01-01", 'Form responses 1'!$A$2:$A1001, "&lt;=2023-03-31")
)
</f>
        <v>0</v>
      </c>
      <c r="F113" s="2">
        <f>SUM(
    COUNTIFS('Form responses 1'!$C$2:$C1001, A113, 'Form responses 1'!$A$2:$A1001, "&gt;=2023-04-01", 'Form responses 1'!$A$2:$A1001, "&lt;=2023-06-30"),
    COUNTIFS('Form responses 1'!$B$2:$B1001, A113, 'Form responses 1'!$A$2:$A1001, "&gt;=2023-04-01", 'Form responses 1'!$A$2:$A1001, "&lt;=2023-06-30"),
    COUNTIFS('Form responses 1'!$D$2:$D1001, A113, 'Form responses 1'!$A$2:$A1001, "&gt;=2023-04-01", 'Form responses 1'!$A$2:$A1001, "&lt;=2023-06-30"),
    COUNTIFS('Form responses 1'!$E$2:$E1001, A113, 'Form responses 1'!$A$2:$A1001, "&gt;=2023-04-01", 'Form responses 1'!$A$2:$A1001, "&lt;=2023-06-30"),
    COUNTIFS('Form responses 1'!$F$2:$F1001, A113, 'Form responses 1'!$A$2:$A1001, "&gt;=2023-04-01", 'Form responses 1'!$A$2:$A1001, "&lt;=2023-06-30"),
    COUNTIFS('Form responses 1'!$G$2:$G1001, A113, 'Form responses 1'!$A$2:$A1001, "&gt;=2023-04-01", 'Form responses 1'!$A$2:$A1001, "&lt;=2023-06-30")
)
</f>
        <v>0</v>
      </c>
      <c r="G113" s="2">
        <f>SUM(
    COUNTIFS('Form responses 1'!$C$2:$C1001, A113, 'Form responses 1'!$A$2:$A1001, "&gt;=2023-07-01", 'Form responses 1'!$A$2:$A1001, "&lt;=2023-09-30"),
    COUNTIFS('Form responses 1'!$B$2:$B1001, A113, 'Form responses 1'!$A$2:$A1001, "&gt;=2023-07-01", 'Form responses 1'!$A$2:$A1001, "&lt;=2023-09-30"),
    COUNTIFS('Form responses 1'!$D$2:$D1001, A113, 'Form responses 1'!$A$2:$A1001, "&gt;=2023-07-01", 'Form responses 1'!$A$2:$A1001, "&lt;=2023-09-30"),
    COUNTIFS('Form responses 1'!$E$2:$E1001, A113, 'Form responses 1'!$A$2:$A1001, "&gt;=2023-07-01", 'Form responses 1'!$A$2:$A1001, "&lt;=2023-09-30"),
    COUNTIFS('Form responses 1'!$F$2:$F1001, A113, 'Form responses 1'!$A$2:$A1001, "&gt;=2023-07-01", 'Form responses 1'!$A$2:$A1001, "&lt;=2023-09-30"),
    COUNTIFS('Form responses 1'!$G$2:$G1001, A113, 'Form responses 1'!$A$2:$A1001, "&gt;=2023-07-01", 'Form responses 1'!$A$2:$A1001, "&lt;=2023-09-30")
)
</f>
        <v>0</v>
      </c>
      <c r="H113" s="2">
        <f>SUM(
    COUNTIFS('Form responses 1'!$C$2:$C1001, A113, 'Form responses 1'!$A$2:$A1001, "&gt;=2023-10-01", 'Form responses 1'!$A$2:$A1001, "&lt;=2023-12-31"),
    COUNTIFS('Form responses 1'!$B$2:$B1001, A113, 'Form responses 1'!$A$2:$A1001, "&gt;=2023-10-01", 'Form responses 1'!$A$2:$A1001, "&lt;=2023-12-31"),
    COUNTIFS('Form responses 1'!$D$2:$D1001, A113, 'Form responses 1'!$A$2:$A1001, "&gt;=2023-10-01", 'Form responses 1'!$A$2:$A1001, "&lt;=2023-12-31"),
    COUNTIFS('Form responses 1'!$E$2:$E1001, A113, 'Form responses 1'!$A$2:$A1001, "&gt;=2023-10-01", 'Form responses 1'!$A$2:$A1001, "&lt;=2023-12-31"),
    COUNTIFS('Form responses 1'!$F$2:$F1001, A113, 'Form responses 1'!$A$2:$A1001, "&gt;=2023-10-01", 'Form responses 1'!$A$2:$A1001, "&lt;=2023-12-31"),
    COUNTIFS('Form responses 1'!$G$2:$G1001, A113, 'Form responses 1'!$A$2:$A1001, "&gt;=2023-10-01", 'Form responses 1'!$A$2:$A1001, "&lt;=2023-12-31")
)
</f>
        <v>0</v>
      </c>
      <c r="I113" s="2">
        <f>SUM(
    COUNTIFS('Form responses 1'!$C$2:$C1001, A113, 'Form responses 1'!$A$2:$A1001, "&gt;=2024-01-01", 'Form responses 1'!$A$2:$A1001, "&lt;=2024-03-31"),
    COUNTIFS('Form responses 1'!$B$2:$B1001, A113, 'Form responses 1'!$A$2:$A1001, "&gt;=2024-01-01", 'Form responses 1'!$A$2:$A1001, "&lt;=2024-03-31"),
    COUNTIFS('Form responses 1'!$D$2:$D1001, A113, 'Form responses 1'!$A$2:$A1001, "&gt;=2024-01-01", 'Form responses 1'!$A$2:$A1001, "&lt;=2024-03-31"),
    COUNTIFS('Form responses 1'!$E$2:$E1001, A113, 'Form responses 1'!$A$2:$A1001, "&gt;=2024-01-01", 'Form responses 1'!$A$2:$A1001, "&lt;=2024-03-31"),
    COUNTIFS('Form responses 1'!$F$2:$F1001, A113, 'Form responses 1'!$A$2:$A1001, "&gt;=2024-01-01", 'Form responses 1'!$A$2:$A1001, "&lt;=2024-03-31"),
    COUNTIFS('Form responses 1'!$G$2:$G1001, A113, 'Form responses 1'!$A$2:$A1001, "&gt;=2024-01-01", 'Form responses 1'!$A$2:$A1001, "&lt;=2024-03-31")
)
</f>
        <v>0</v>
      </c>
      <c r="J113" s="2">
        <f>SUM(
    COUNTIFS('Form responses 1'!$C$2:$C1001, A113, 'Form responses 1'!$A$2:$A1001, "&gt;=2024-04-01", 'Form responses 1'!$A$2:$A1001, "&lt;=2024-06-30"),
    COUNTIFS('Form responses 1'!$B$2:$B1001, A113, 'Form responses 1'!$A$2:$A1001, "&gt;=2024-04-01", 'Form responses 1'!$A$2:$A1001, "&lt;=2024-06-30"),
    COUNTIFS('Form responses 1'!$D$2:$D1001, A113, 'Form responses 1'!$A$2:$A1001, "&gt;=2024-04-01", 'Form responses 1'!$A$2:$A1001, "&lt;=2024-06-30"),
    COUNTIFS('Form responses 1'!$E$2:$E1001, A113, 'Form responses 1'!$A$2:$A1001, "&gt;=2024-04-01", 'Form responses 1'!$A$2:$A1001, "&lt;=2024-06-30"),
    COUNTIFS('Form responses 1'!$F$2:$F1001, A113, 'Form responses 1'!$A$2:$A1001, "&gt;=2024-04-01", 'Form responses 1'!$A$2:$A1001, "&lt;=2024-06-30"),
    COUNTIFS('Form responses 1'!$G$2:$G1001, A113, 'Form responses 1'!$A$2:$A1001, "&gt;=2024-04-01", 'Form responses 1'!$A$2:$A1001, "&lt;=2024-06-30")
)
</f>
        <v>0</v>
      </c>
      <c r="K113" s="2">
        <f>SUM(
    COUNTIFS('Form responses 1'!$C$2:$C1001, A113, 'Form responses 1'!$A$2:$A1001, "&gt;=2024-07-01", 'Form responses 1'!$A$2:$A1001, "&lt;=2024-09-30"),
    COUNTIFS('Form responses 1'!$B$2:$B1001, A113, 'Form responses 1'!$A$2:$A1001, "&gt;=2024-07-01", 'Form responses 1'!$A$2:$A1001, "&lt;=2024-09-30"),
    COUNTIFS('Form responses 1'!$D$2:$D1001, A113, 'Form responses 1'!$A$2:$A1001, "&gt;=2024-07-01", 'Form responses 1'!$A$2:$A1001, "&lt;=2024-09-30"),
    COUNTIFS('Form responses 1'!$E$2:$E1001, A113, 'Form responses 1'!$A$2:$A1001, "&gt;=2024-07-01", 'Form responses 1'!$A$2:$A1001, "&lt;=2024-09-30"),
    COUNTIFS('Form responses 1'!$F$2:$F1001, A113, 'Form responses 1'!$A$2:$A1001, "&gt;=2024-07-01", 'Form responses 1'!$A$2:$A1001, "&lt;=2024-09-30"),
    COUNTIFS('Form responses 1'!$G$2:$G1001, A113, 'Form responses 1'!$A$2:$A1001, "&gt;=2024-07-01", 'Form responses 1'!$A$2:$A1001, "&lt;=2024-09-30")
)
</f>
        <v>0</v>
      </c>
      <c r="L113" s="2">
        <f>SUM(
    COUNTIFS('Form responses 1'!$C$2:$C1001, A113, 'Form responses 1'!$A$2:$A1001, "&gt;=2024-10-01", 'Form responses 1'!$A$2:$A1001, "&lt;=2024-12-31"),
    COUNTIFS('Form responses 1'!$B$2:$B1001, A113, 'Form responses 1'!$A$2:$A1001, "&gt;=2024-10-01", 'Form responses 1'!$A$2:$A1001, "&lt;=2024-12-31"),
    COUNTIFS('Form responses 1'!$D$2:$D1001, A113, 'Form responses 1'!$A$2:$A1001, "&gt;=2024-10-01", 'Form responses 1'!$A$2:$A1001, "&lt;=2024-12-31"),
    COUNTIFS('Form responses 1'!$E$2:$E1001, A113, 'Form responses 1'!$A$2:$A1001, "&gt;=2024-10-01", 'Form responses 1'!$A$2:$A1001, "&lt;=2024-12-31"),
    COUNTIFS('Form responses 1'!$F$2:$F1001, A113, 'Form responses 1'!$A$2:$A1001, "&gt;=2024-10-01", 'Form responses 1'!$A$2:$A1001, "&lt;=2024-12-31"),
    COUNTIFS('Form responses 1'!$G$2:$G1001, A113, 'Form responses 1'!$A$2:$A1001, "&gt;=2024-10-01", 'Form responses 1'!$A$2:$A1001, "&lt;=2024-12-31")
)
</f>
        <v>0</v>
      </c>
      <c r="M113" s="2">
        <f>SUM(
    COUNTIFS('Form responses 1'!$C$2:$C1001, A113, 'Form responses 1'!$A$2:$A1001, "&gt;=2025-01-01", 'Form responses 1'!$A$2:$A1001, "&lt;=2025-03-31"),
    COUNTIFS('Form responses 1'!$B$2:$B1001, A113, 'Form responses 1'!$A$2:$A1001, "&gt;=2025-01-01", 'Form responses 1'!$A$2:$A1001, "&lt;=2025-03-31"),
    COUNTIFS('Form responses 1'!$D$2:$D1001, A113, 'Form responses 1'!$A$2:$A1001, "&gt;=2025-01-01", 'Form responses 1'!$A$2:$A1001, "&lt;=2025-03-31"),
    COUNTIFS('Form responses 1'!$E$2:$E1001, A113, 'Form responses 1'!$A$2:$A1001, "&gt;=2025-01-01", 'Form responses 1'!$A$2:$A1001, "&lt;=2025-03-31"),
    COUNTIFS('Form responses 1'!$F$2:$F1001, A113, 'Form responses 1'!$A$2:$A1001, "&gt;=2025-01-01", 'Form responses 1'!$A$2:$A1001, "&lt;=2025-03-31"),
    COUNTIFS('Form responses 1'!$G$2:$G1001, A113, 'Form responses 1'!$A$2:$A1001, "&gt;=2025-01-01", 'Form responses 1'!$A$2:$A1001, "&lt;=2025-03-31")
)
</f>
        <v>0</v>
      </c>
      <c r="N113" s="2">
        <f>SUM(
    COUNTIFS('Form responses 1'!$C$2:$C1001, A113, 'Form responses 1'!$A$2:$A1001, "&gt;=2025-04-01", 'Form responses 1'!$A$2:$A1001, "&lt;2025-07-01"),
    COUNTIFS('Form responses 1'!$B$2:$B1001, A113, 'Form responses 1'!$A$2:$A1001, "&gt;=2025-04-01", 'Form responses 1'!$A$2:$A1001, "&lt;2025-07-01"),
    COUNTIFS('Form responses 1'!$D$2:$D1001, A113, 'Form responses 1'!$A$2:$A1001, "&gt;=2025-04-01", 'Form responses 1'!$A$2:$A1001, "&lt;2025-07-01"),
    COUNTIFS('Form responses 1'!$E$2:$E1001, A113, 'Form responses 1'!$A$2:$A1001, "&gt;=2025-04-01", 'Form responses 1'!$A$2:$A1001, "&lt;2025-07-01"),
    COUNTIFS('Form responses 1'!$F$2:$F1001, A113, 'Form responses 1'!$A$2:$A1001, "&gt;=2025-04-01", 'Form responses 1'!$A$2:$A1001, "&lt;2025-07-01"),
    COUNTIFS('Form responses 1'!$G$2:$G1001, A113, 'Form responses 1'!$A$2:$A1001, "&gt;=2025-04-01", 'Form responses 1'!$A$2:$A1001, "&lt;2025-07-01")
)
</f>
        <v>0</v>
      </c>
      <c r="O113" s="2">
        <f>SUM(
    COUNTIFS('Form responses 1'!$C$2:$C1001, A113, 'Form responses 1'!$A$2:$A1001, "&gt;=2025-07-01", 'Form responses 1'!$A$2:$A1001, "&lt;=2025-09-30"),
    COUNTIFS('Form responses 1'!$B$2:$B1001, A113, 'Form responses 1'!$A$2:$A1001, "&gt;=2025-07-01", 'Form responses 1'!$A$2:$A1001, "&lt;=2025-09-30"),
    COUNTIFS('Form responses 1'!$D$2:$D1001, A113, 'Form responses 1'!$A$2:$A1001, "&gt;=2025-07-01", 'Form responses 1'!$A$2:$A1001, "&lt;=2025-09-30"),
    COUNTIFS('Form responses 1'!$E$2:$E1001, A113, 'Form responses 1'!$A$2:$A1001, "&gt;=2025-07-01", 'Form responses 1'!$A$2:$A1001, "&lt;=2025-09-30"),
    COUNTIFS('Form responses 1'!$F$2:$F1001, A113, 'Form responses 1'!$A$2:$A1001, "&gt;=2025-07-01", 'Form responses 1'!$A$2:$A1001, "&lt;=2025-09-30"),
    COUNTIFS('Form responses 1'!$G$2:$G1001, A113, 'Form responses 1'!$A$2:$A1001, "&gt;=2025-07-01", 'Form responses 1'!$A$2:$A1001, "&lt;=2025-09-30")
)
</f>
        <v>0</v>
      </c>
      <c r="P113" s="2">
        <f>SUM(
    COUNTIFS('Form responses 1'!$C$2:$C1001, A113, 'Form responses 1'!$A$2:$A1001, "&gt;=2025-10-01", 'Form responses 1'!$A$2:$A1001, "&lt;=2025-12-31"),
    COUNTIFS('Form responses 1'!$B$2:$B1001, A113, 'Form responses 1'!$A$2:$A1001, "&gt;=2025-10-01", 'Form responses 1'!$A$2:$A1001, "&lt;=2025-12-31"),
    COUNTIFS('Form responses 1'!$D$2:$D1001, A113, 'Form responses 1'!$A$2:$A1001, "&gt;=2025-10-01", 'Form responses 1'!$A$2:$A1001, "&lt;=2025-12-31"),
    COUNTIFS('Form responses 1'!$E$2:$E1001, A113, 'Form responses 1'!$A$2:$A1001, "&gt;=2025-10-01", 'Form responses 1'!$A$2:$A1001, "&lt;=2025-12-31"),
    COUNTIFS('Form responses 1'!$F$2:$F1001, A113, 'Form responses 1'!$A$2:$A1001, "&gt;=2025-10-01", 'Form responses 1'!$A$2:$A1001, "&lt;=2025-12-31"),
    COUNTIFS('Form responses 1'!$G$2:$G1001, A113, 'Form responses 1'!$A$2:$A1001, "&gt;=2025-10-01", 'Form responses 1'!$A$2:$A1001, "&lt;=2025-12-31")
)
</f>
        <v>0</v>
      </c>
    </row>
    <row r="114">
      <c r="B114" s="2">
        <f>SUM(
    COUNTIFS('Form responses 1'!$C$2:$C1001, A114, 'Form responses 1'!$A$2:$A1001, "&gt;=2022-04-01", 'Form responses 1'!$A$2:$A1001, "&lt;=2022-06-30"),
    COUNTIFS('Form responses 1'!$B$2:$B1001, A114, 'Form responses 1'!$A$2:$A1001, "&gt;=2022-04-01", 'Form responses 1'!$A$2:$A1001, "&lt;=2022-06-30"),
    COUNTIFS('Form responses 1'!$D$2:$D1001, A114, 'Form responses 1'!$A$2:$A1001, "&gt;=2022-04-01", 'Form responses 1'!$A$2:$A1001, "&lt;=2022-06-30"),
    COUNTIFS('Form responses 1'!$E$2:$E1001, A114, 'Form responses 1'!$A$2:$A1001, "&gt;=2022-04-01", 'Form responses 1'!$A$2:$A1001, "&lt;=2022-06-30"),
    COUNTIFS('Form responses 1'!$F$2:$F1001, A114, 'Form responses 1'!$A$2:$A1001, "&gt;=2022-04-01", 'Form responses 1'!$A$2:$A1001, "&lt;=2022-06-30"),
    COUNTIFS('Form responses 1'!$G$2:$G1001, A114, 'Form responses 1'!$A$2:$A1001, "&gt;=2022-04-01", 'Form responses 1'!$A$2:$A1001, "&lt;=2022-06-30")
)
</f>
        <v>0</v>
      </c>
      <c r="C114" s="2">
        <f>SUM(
    COUNTIFS('Form responses 1'!$C$2:$C1001, A114, 'Form responses 1'!$A$2:$A1001, "&gt;=2022-07-01", 'Form responses 1'!$A$2:$A1001, "&lt;=2022-09-30"),
    COUNTIFS('Form responses 1'!$B$2:$B1001, A114, 'Form responses 1'!$A$2:$A1001, "&gt;=2022-07-01", 'Form responses 1'!$A$2:$A1001, "&lt;=2022-09-30"),
    COUNTIFS('Form responses 1'!$D$2:$D1001, A114, 'Form responses 1'!$A$2:$A1001, "&gt;=2022-07-01", 'Form responses 1'!$A$2:$A1001, "&lt;=2022-09-30"),
    COUNTIFS('Form responses 1'!$E$2:$E1001, A114, 'Form responses 1'!$A$2:$A1001, "&gt;=2022-07-01", 'Form responses 1'!$A$2:$A1001, "&lt;=2022-09-30"),
    COUNTIFS('Form responses 1'!$F$2:$F1001, A114, 'Form responses 1'!$A$2:$A1001, "&gt;=2022-07-01", 'Form responses 1'!$A$2:$A1001, "&lt;=2022-09-30"),
    COUNTIFS('Form responses 1'!$G$2:$G1001, A114, 'Form responses 1'!$A$2:$A1001, "&gt;=2022-07-01", 'Form responses 1'!$A$2:$A1001, "&lt;=2022-09-30")
)
</f>
        <v>0</v>
      </c>
      <c r="D114" s="2">
        <f>SUM(
    COUNTIFS('Form responses 1'!$C$2:$C1001, A114, 'Form responses 1'!$A$2:$A1001, "&gt;=2022-10-01", 'Form responses 1'!$A$2:$A1001, "&lt;=2022-12-31"),
    COUNTIFS('Form responses 1'!$B$2:$B1001, A114, 'Form responses 1'!$A$2:$A1001, "&gt;=2022-10-01", 'Form responses 1'!$A$2:$A1001, "&lt;=2022-12-31"),
    COUNTIFS('Form responses 1'!$D$2:$D1001, A114, 'Form responses 1'!$A$2:$A1001, "&gt;=2022-10-01", 'Form responses 1'!$A$2:$A1001, "&lt;=2022-12-31"),
    COUNTIFS('Form responses 1'!$E$2:$E1001, A114, 'Form responses 1'!$A$2:$A1001, "&gt;=2022-10-01", 'Form responses 1'!$A$2:$A1001, "&lt;=2022-12-31"),
    COUNTIFS('Form responses 1'!$F$2:$F1001, A114, 'Form responses 1'!$A$2:$A1001, "&gt;=2022-10-01", 'Form responses 1'!$A$2:$A1001, "&lt;=2022-12-31"),
    COUNTIFS('Form responses 1'!$G$2:$G1001, A114, 'Form responses 1'!$A$2:$A1001, "&gt;=2022-10-01", 'Form responses 1'!$A$2:$A1001, "&lt;=2022-12-31")
)
</f>
        <v>0</v>
      </c>
      <c r="E114" s="2">
        <f>SUM(
    COUNTIFS('Form responses 1'!$C$2:$C1001, A114, 'Form responses 1'!$A$2:$A1001, "&gt;=2023-01-01", 'Form responses 1'!$A$2:$A1001, "&lt;=2023-03-31"),
    COUNTIFS('Form responses 1'!$B$2:$B1001, A114, 'Form responses 1'!$A$2:$A1001, "&gt;=2023-01-01", 'Form responses 1'!$A$2:$A1001, "&lt;=2023-03-31"),
    COUNTIFS('Form responses 1'!$D$2:$D1001, A114, 'Form responses 1'!$A$2:$A1001, "&gt;=2023-01-01", 'Form responses 1'!$A$2:$A1001, "&lt;=2023-03-31"),
    COUNTIFS('Form responses 1'!$E$2:$E1001, A114, 'Form responses 1'!$A$2:$A1001, "&gt;=2023-01-01", 'Form responses 1'!$A$2:$A1001, "&lt;=2023-03-31"),
    COUNTIFS('Form responses 1'!$F$2:$F1001, A114, 'Form responses 1'!$A$2:$A1001, "&gt;=2023-01-01", 'Form responses 1'!$A$2:$A1001, "&lt;=2023-03-31"),
    COUNTIFS('Form responses 1'!$G$2:$G1001, A114, 'Form responses 1'!$A$2:$A1001, "&gt;=2023-01-01", 'Form responses 1'!$A$2:$A1001, "&lt;=2023-03-31")
)
</f>
        <v>0</v>
      </c>
      <c r="F114" s="2">
        <f>SUM(
    COUNTIFS('Form responses 1'!$C$2:$C1001, A114, 'Form responses 1'!$A$2:$A1001, "&gt;=2023-04-01", 'Form responses 1'!$A$2:$A1001, "&lt;=2023-06-30"),
    COUNTIFS('Form responses 1'!$B$2:$B1001, A114, 'Form responses 1'!$A$2:$A1001, "&gt;=2023-04-01", 'Form responses 1'!$A$2:$A1001, "&lt;=2023-06-30"),
    COUNTIFS('Form responses 1'!$D$2:$D1001, A114, 'Form responses 1'!$A$2:$A1001, "&gt;=2023-04-01", 'Form responses 1'!$A$2:$A1001, "&lt;=2023-06-30"),
    COUNTIFS('Form responses 1'!$E$2:$E1001, A114, 'Form responses 1'!$A$2:$A1001, "&gt;=2023-04-01", 'Form responses 1'!$A$2:$A1001, "&lt;=2023-06-30"),
    COUNTIFS('Form responses 1'!$F$2:$F1001, A114, 'Form responses 1'!$A$2:$A1001, "&gt;=2023-04-01", 'Form responses 1'!$A$2:$A1001, "&lt;=2023-06-30"),
    COUNTIFS('Form responses 1'!$G$2:$G1001, A114, 'Form responses 1'!$A$2:$A1001, "&gt;=2023-04-01", 'Form responses 1'!$A$2:$A1001, "&lt;=2023-06-30")
)
</f>
        <v>0</v>
      </c>
      <c r="G114" s="2">
        <f>SUM(
    COUNTIFS('Form responses 1'!$C$2:$C1001, A114, 'Form responses 1'!$A$2:$A1001, "&gt;=2023-07-01", 'Form responses 1'!$A$2:$A1001, "&lt;=2023-09-30"),
    COUNTIFS('Form responses 1'!$B$2:$B1001, A114, 'Form responses 1'!$A$2:$A1001, "&gt;=2023-07-01", 'Form responses 1'!$A$2:$A1001, "&lt;=2023-09-30"),
    COUNTIFS('Form responses 1'!$D$2:$D1001, A114, 'Form responses 1'!$A$2:$A1001, "&gt;=2023-07-01", 'Form responses 1'!$A$2:$A1001, "&lt;=2023-09-30"),
    COUNTIFS('Form responses 1'!$E$2:$E1001, A114, 'Form responses 1'!$A$2:$A1001, "&gt;=2023-07-01", 'Form responses 1'!$A$2:$A1001, "&lt;=2023-09-30"),
    COUNTIFS('Form responses 1'!$F$2:$F1001, A114, 'Form responses 1'!$A$2:$A1001, "&gt;=2023-07-01", 'Form responses 1'!$A$2:$A1001, "&lt;=2023-09-30"),
    COUNTIFS('Form responses 1'!$G$2:$G1001, A114, 'Form responses 1'!$A$2:$A1001, "&gt;=2023-07-01", 'Form responses 1'!$A$2:$A1001, "&lt;=2023-09-30")
)
</f>
        <v>0</v>
      </c>
      <c r="H114" s="2">
        <f>SUM(
    COUNTIFS('Form responses 1'!$C$2:$C1001, A114, 'Form responses 1'!$A$2:$A1001, "&gt;=2023-10-01", 'Form responses 1'!$A$2:$A1001, "&lt;=2023-12-31"),
    COUNTIFS('Form responses 1'!$B$2:$B1001, A114, 'Form responses 1'!$A$2:$A1001, "&gt;=2023-10-01", 'Form responses 1'!$A$2:$A1001, "&lt;=2023-12-31"),
    COUNTIFS('Form responses 1'!$D$2:$D1001, A114, 'Form responses 1'!$A$2:$A1001, "&gt;=2023-10-01", 'Form responses 1'!$A$2:$A1001, "&lt;=2023-12-31"),
    COUNTIFS('Form responses 1'!$E$2:$E1001, A114, 'Form responses 1'!$A$2:$A1001, "&gt;=2023-10-01", 'Form responses 1'!$A$2:$A1001, "&lt;=2023-12-31"),
    COUNTIFS('Form responses 1'!$F$2:$F1001, A114, 'Form responses 1'!$A$2:$A1001, "&gt;=2023-10-01", 'Form responses 1'!$A$2:$A1001, "&lt;=2023-12-31"),
    COUNTIFS('Form responses 1'!$G$2:$G1001, A114, 'Form responses 1'!$A$2:$A1001, "&gt;=2023-10-01", 'Form responses 1'!$A$2:$A1001, "&lt;=2023-12-31")
)
</f>
        <v>0</v>
      </c>
      <c r="I114" s="2">
        <f>SUM(
    COUNTIFS('Form responses 1'!$C$2:$C1001, A114, 'Form responses 1'!$A$2:$A1001, "&gt;=2024-01-01", 'Form responses 1'!$A$2:$A1001, "&lt;=2024-03-31"),
    COUNTIFS('Form responses 1'!$B$2:$B1001, A114, 'Form responses 1'!$A$2:$A1001, "&gt;=2024-01-01", 'Form responses 1'!$A$2:$A1001, "&lt;=2024-03-31"),
    COUNTIFS('Form responses 1'!$D$2:$D1001, A114, 'Form responses 1'!$A$2:$A1001, "&gt;=2024-01-01", 'Form responses 1'!$A$2:$A1001, "&lt;=2024-03-31"),
    COUNTIFS('Form responses 1'!$E$2:$E1001, A114, 'Form responses 1'!$A$2:$A1001, "&gt;=2024-01-01", 'Form responses 1'!$A$2:$A1001, "&lt;=2024-03-31"),
    COUNTIFS('Form responses 1'!$F$2:$F1001, A114, 'Form responses 1'!$A$2:$A1001, "&gt;=2024-01-01", 'Form responses 1'!$A$2:$A1001, "&lt;=2024-03-31"),
    COUNTIFS('Form responses 1'!$G$2:$G1001, A114, 'Form responses 1'!$A$2:$A1001, "&gt;=2024-01-01", 'Form responses 1'!$A$2:$A1001, "&lt;=2024-03-31")
)
</f>
        <v>0</v>
      </c>
      <c r="J114" s="2">
        <f>SUM(
    COUNTIFS('Form responses 1'!$C$2:$C1001, A114, 'Form responses 1'!$A$2:$A1001, "&gt;=2024-04-01", 'Form responses 1'!$A$2:$A1001, "&lt;=2024-06-30"),
    COUNTIFS('Form responses 1'!$B$2:$B1001, A114, 'Form responses 1'!$A$2:$A1001, "&gt;=2024-04-01", 'Form responses 1'!$A$2:$A1001, "&lt;=2024-06-30"),
    COUNTIFS('Form responses 1'!$D$2:$D1001, A114, 'Form responses 1'!$A$2:$A1001, "&gt;=2024-04-01", 'Form responses 1'!$A$2:$A1001, "&lt;=2024-06-30"),
    COUNTIFS('Form responses 1'!$E$2:$E1001, A114, 'Form responses 1'!$A$2:$A1001, "&gt;=2024-04-01", 'Form responses 1'!$A$2:$A1001, "&lt;=2024-06-30"),
    COUNTIFS('Form responses 1'!$F$2:$F1001, A114, 'Form responses 1'!$A$2:$A1001, "&gt;=2024-04-01", 'Form responses 1'!$A$2:$A1001, "&lt;=2024-06-30"),
    COUNTIFS('Form responses 1'!$G$2:$G1001, A114, 'Form responses 1'!$A$2:$A1001, "&gt;=2024-04-01", 'Form responses 1'!$A$2:$A1001, "&lt;=2024-06-30")
)
</f>
        <v>0</v>
      </c>
      <c r="K114" s="2">
        <f>SUM(
    COUNTIFS('Form responses 1'!$C$2:$C1001, A114, 'Form responses 1'!$A$2:$A1001, "&gt;=2024-07-01", 'Form responses 1'!$A$2:$A1001, "&lt;=2024-09-30"),
    COUNTIFS('Form responses 1'!$B$2:$B1001, A114, 'Form responses 1'!$A$2:$A1001, "&gt;=2024-07-01", 'Form responses 1'!$A$2:$A1001, "&lt;=2024-09-30"),
    COUNTIFS('Form responses 1'!$D$2:$D1001, A114, 'Form responses 1'!$A$2:$A1001, "&gt;=2024-07-01", 'Form responses 1'!$A$2:$A1001, "&lt;=2024-09-30"),
    COUNTIFS('Form responses 1'!$E$2:$E1001, A114, 'Form responses 1'!$A$2:$A1001, "&gt;=2024-07-01", 'Form responses 1'!$A$2:$A1001, "&lt;=2024-09-30"),
    COUNTIFS('Form responses 1'!$F$2:$F1001, A114, 'Form responses 1'!$A$2:$A1001, "&gt;=2024-07-01", 'Form responses 1'!$A$2:$A1001, "&lt;=2024-09-30"),
    COUNTIFS('Form responses 1'!$G$2:$G1001, A114, 'Form responses 1'!$A$2:$A1001, "&gt;=2024-07-01", 'Form responses 1'!$A$2:$A1001, "&lt;=2024-09-30")
)
</f>
        <v>0</v>
      </c>
      <c r="L114" s="2">
        <f>SUM(
    COUNTIFS('Form responses 1'!$C$2:$C1001, A114, 'Form responses 1'!$A$2:$A1001, "&gt;=2024-10-01", 'Form responses 1'!$A$2:$A1001, "&lt;=2024-12-31"),
    COUNTIFS('Form responses 1'!$B$2:$B1001, A114, 'Form responses 1'!$A$2:$A1001, "&gt;=2024-10-01", 'Form responses 1'!$A$2:$A1001, "&lt;=2024-12-31"),
    COUNTIFS('Form responses 1'!$D$2:$D1001, A114, 'Form responses 1'!$A$2:$A1001, "&gt;=2024-10-01", 'Form responses 1'!$A$2:$A1001, "&lt;=2024-12-31"),
    COUNTIFS('Form responses 1'!$E$2:$E1001, A114, 'Form responses 1'!$A$2:$A1001, "&gt;=2024-10-01", 'Form responses 1'!$A$2:$A1001, "&lt;=2024-12-31"),
    COUNTIFS('Form responses 1'!$F$2:$F1001, A114, 'Form responses 1'!$A$2:$A1001, "&gt;=2024-10-01", 'Form responses 1'!$A$2:$A1001, "&lt;=2024-12-31"),
    COUNTIFS('Form responses 1'!$G$2:$G1001, A114, 'Form responses 1'!$A$2:$A1001, "&gt;=2024-10-01", 'Form responses 1'!$A$2:$A1001, "&lt;=2024-12-31")
)
</f>
        <v>0</v>
      </c>
      <c r="M114" s="2">
        <f>SUM(
    COUNTIFS('Form responses 1'!$C$2:$C1001, A114, 'Form responses 1'!$A$2:$A1001, "&gt;=2025-01-01", 'Form responses 1'!$A$2:$A1001, "&lt;=2025-03-31"),
    COUNTIFS('Form responses 1'!$B$2:$B1001, A114, 'Form responses 1'!$A$2:$A1001, "&gt;=2025-01-01", 'Form responses 1'!$A$2:$A1001, "&lt;=2025-03-31"),
    COUNTIFS('Form responses 1'!$D$2:$D1001, A114, 'Form responses 1'!$A$2:$A1001, "&gt;=2025-01-01", 'Form responses 1'!$A$2:$A1001, "&lt;=2025-03-31"),
    COUNTIFS('Form responses 1'!$E$2:$E1001, A114, 'Form responses 1'!$A$2:$A1001, "&gt;=2025-01-01", 'Form responses 1'!$A$2:$A1001, "&lt;=2025-03-31"),
    COUNTIFS('Form responses 1'!$F$2:$F1001, A114, 'Form responses 1'!$A$2:$A1001, "&gt;=2025-01-01", 'Form responses 1'!$A$2:$A1001, "&lt;=2025-03-31"),
    COUNTIFS('Form responses 1'!$G$2:$G1001, A114, 'Form responses 1'!$A$2:$A1001, "&gt;=2025-01-01", 'Form responses 1'!$A$2:$A1001, "&lt;=2025-03-31")
)
</f>
        <v>0</v>
      </c>
      <c r="N114" s="2">
        <f>SUM(
    COUNTIFS('Form responses 1'!$C$2:$C1001, A114, 'Form responses 1'!$A$2:$A1001, "&gt;=2025-04-01", 'Form responses 1'!$A$2:$A1001, "&lt;2025-07-01"),
    COUNTIFS('Form responses 1'!$B$2:$B1001, A114, 'Form responses 1'!$A$2:$A1001, "&gt;=2025-04-01", 'Form responses 1'!$A$2:$A1001, "&lt;2025-07-01"),
    COUNTIFS('Form responses 1'!$D$2:$D1001, A114, 'Form responses 1'!$A$2:$A1001, "&gt;=2025-04-01", 'Form responses 1'!$A$2:$A1001, "&lt;2025-07-01"),
    COUNTIFS('Form responses 1'!$E$2:$E1001, A114, 'Form responses 1'!$A$2:$A1001, "&gt;=2025-04-01", 'Form responses 1'!$A$2:$A1001, "&lt;2025-07-01"),
    COUNTIFS('Form responses 1'!$F$2:$F1001, A114, 'Form responses 1'!$A$2:$A1001, "&gt;=2025-04-01", 'Form responses 1'!$A$2:$A1001, "&lt;2025-07-01"),
    COUNTIFS('Form responses 1'!$G$2:$G1001, A114, 'Form responses 1'!$A$2:$A1001, "&gt;=2025-04-01", 'Form responses 1'!$A$2:$A1001, "&lt;2025-07-01")
)
</f>
        <v>0</v>
      </c>
      <c r="O114" s="2">
        <f>SUM(
    COUNTIFS('Form responses 1'!$C$2:$C1001, A114, 'Form responses 1'!$A$2:$A1001, "&gt;=2025-07-01", 'Form responses 1'!$A$2:$A1001, "&lt;=2025-09-30"),
    COUNTIFS('Form responses 1'!$B$2:$B1001, A114, 'Form responses 1'!$A$2:$A1001, "&gt;=2025-07-01", 'Form responses 1'!$A$2:$A1001, "&lt;=2025-09-30"),
    COUNTIFS('Form responses 1'!$D$2:$D1001, A114, 'Form responses 1'!$A$2:$A1001, "&gt;=2025-07-01", 'Form responses 1'!$A$2:$A1001, "&lt;=2025-09-30"),
    COUNTIFS('Form responses 1'!$E$2:$E1001, A114, 'Form responses 1'!$A$2:$A1001, "&gt;=2025-07-01", 'Form responses 1'!$A$2:$A1001, "&lt;=2025-09-30"),
    COUNTIFS('Form responses 1'!$F$2:$F1001, A114, 'Form responses 1'!$A$2:$A1001, "&gt;=2025-07-01", 'Form responses 1'!$A$2:$A1001, "&lt;=2025-09-30"),
    COUNTIFS('Form responses 1'!$G$2:$G1001, A114, 'Form responses 1'!$A$2:$A1001, "&gt;=2025-07-01", 'Form responses 1'!$A$2:$A1001, "&lt;=2025-09-30")
)
</f>
        <v>0</v>
      </c>
      <c r="P114" s="2">
        <f>SUM(
    COUNTIFS('Form responses 1'!$C$2:$C1001, A114, 'Form responses 1'!$A$2:$A1001, "&gt;=2025-10-01", 'Form responses 1'!$A$2:$A1001, "&lt;=2025-12-31"),
    COUNTIFS('Form responses 1'!$B$2:$B1001, A114, 'Form responses 1'!$A$2:$A1001, "&gt;=2025-10-01", 'Form responses 1'!$A$2:$A1001, "&lt;=2025-12-31"),
    COUNTIFS('Form responses 1'!$D$2:$D1001, A114, 'Form responses 1'!$A$2:$A1001, "&gt;=2025-10-01", 'Form responses 1'!$A$2:$A1001, "&lt;=2025-12-31"),
    COUNTIFS('Form responses 1'!$E$2:$E1001, A114, 'Form responses 1'!$A$2:$A1001, "&gt;=2025-10-01", 'Form responses 1'!$A$2:$A1001, "&lt;=2025-12-31"),
    COUNTIFS('Form responses 1'!$F$2:$F1001, A114, 'Form responses 1'!$A$2:$A1001, "&gt;=2025-10-01", 'Form responses 1'!$A$2:$A1001, "&lt;=2025-12-31"),
    COUNTIFS('Form responses 1'!$G$2:$G1001, A114, 'Form responses 1'!$A$2:$A1001, "&gt;=2025-10-01", 'Form responses 1'!$A$2:$A1001, "&lt;=2025-12-31")
)
</f>
        <v>0</v>
      </c>
    </row>
  </sheetData>
  <conditionalFormatting sqref="B3:P114">
    <cfRule type="cellIs" dxfId="3" priority="1" operator="lessThanOrEqual">
      <formula>0</formula>
    </cfRule>
  </conditionalFormatting>
  <conditionalFormatting sqref="B3:P114">
    <cfRule type="cellIs" dxfId="4" priority="2" operator="between">
      <formula>0</formula>
      <formula>5</formula>
    </cfRule>
  </conditionalFormatting>
  <conditionalFormatting sqref="B3:P114">
    <cfRule type="cellIs" dxfId="5" priority="3" operator="between">
      <formula>5</formula>
      <formula>10</formula>
    </cfRule>
  </conditionalFormatting>
  <conditionalFormatting sqref="B3:P114">
    <cfRule type="cellIs" dxfId="6" priority="4" operator="greaterThan">
      <formula>10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13"/>
  </cols>
  <sheetData>
    <row r="1" ht="22.5" customHeight="1">
      <c r="A1" s="20" t="s">
        <v>14</v>
      </c>
      <c r="B1" s="21" t="s">
        <v>43</v>
      </c>
      <c r="C1" s="22" t="s">
        <v>44</v>
      </c>
      <c r="D1" s="21" t="s">
        <v>72</v>
      </c>
      <c r="E1" s="23" t="s">
        <v>45</v>
      </c>
      <c r="F1" s="23" t="s">
        <v>46</v>
      </c>
      <c r="G1" s="23" t="s">
        <v>73</v>
      </c>
      <c r="H1" s="23" t="s">
        <v>74</v>
      </c>
    </row>
    <row r="2" ht="22.5" customHeight="1">
      <c r="A2" s="24" t="s">
        <v>0</v>
      </c>
      <c r="B2" s="25">
        <v>22.5</v>
      </c>
      <c r="C2" s="26">
        <v>44632.0</v>
      </c>
      <c r="D2" s="25" t="s">
        <v>75</v>
      </c>
      <c r="E2" s="27">
        <f>COUNTIF('Form responses 1'!$B$2:$G991, A2)
</f>
        <v>225</v>
      </c>
      <c r="F2" s="28">
        <v>0.1</v>
      </c>
      <c r="G2" s="29">
        <v>0.0</v>
      </c>
      <c r="H2" s="29">
        <v>0.0</v>
      </c>
    </row>
    <row r="3" ht="22.5" customHeight="1">
      <c r="A3" s="30" t="s">
        <v>76</v>
      </c>
      <c r="B3" s="31">
        <v>0.0</v>
      </c>
      <c r="C3" s="32">
        <v>44197.0</v>
      </c>
      <c r="D3" s="25" t="s">
        <v>75</v>
      </c>
      <c r="E3" s="27">
        <f>COUNTIF('Form responses 1'!$B$2:$G991, A3)
</f>
        <v>62</v>
      </c>
      <c r="F3" s="27">
        <f>IFERROR(ROUND((B3-H3)/E3,2),B3)</f>
        <v>0</v>
      </c>
      <c r="G3" s="29">
        <v>1.0</v>
      </c>
      <c r="H3" s="29">
        <v>0.0</v>
      </c>
    </row>
    <row r="4" ht="22.5" customHeight="1">
      <c r="A4" s="24" t="s">
        <v>77</v>
      </c>
      <c r="B4" s="25">
        <v>69.0</v>
      </c>
      <c r="C4" s="26">
        <v>45087.0</v>
      </c>
      <c r="D4" s="25" t="s">
        <v>75</v>
      </c>
      <c r="E4" s="28">
        <v>242.0</v>
      </c>
      <c r="F4" s="28">
        <v>0.29</v>
      </c>
      <c r="G4" s="29">
        <v>0.0</v>
      </c>
      <c r="H4" s="29">
        <v>0.0</v>
      </c>
    </row>
    <row r="5" ht="22.5" customHeight="1">
      <c r="A5" s="24" t="s">
        <v>78</v>
      </c>
      <c r="B5" s="25">
        <v>16.0</v>
      </c>
      <c r="C5" s="26">
        <v>44580.0</v>
      </c>
      <c r="D5" s="25" t="s">
        <v>75</v>
      </c>
      <c r="E5" s="27">
        <f>COUNTIF('Form responses 1'!$B$2:$G991, A5)
</f>
        <v>37</v>
      </c>
      <c r="F5" s="27">
        <f t="shared" ref="F5:F6" si="1">IFERROR(ROUND((B5-H5)/E5,2),B5)</f>
        <v>0.43</v>
      </c>
      <c r="G5" s="29">
        <v>1.0</v>
      </c>
      <c r="H5" s="29">
        <v>0.0</v>
      </c>
    </row>
    <row r="6" ht="22.5" customHeight="1">
      <c r="A6" s="24" t="s">
        <v>79</v>
      </c>
      <c r="B6" s="25">
        <v>50.0</v>
      </c>
      <c r="C6" s="26">
        <v>45087.0</v>
      </c>
      <c r="D6" s="25" t="s">
        <v>75</v>
      </c>
      <c r="E6" s="27">
        <f>COUNTIF('Form responses 1'!$B$2:$G991, A6)
</f>
        <v>5</v>
      </c>
      <c r="F6" s="27">
        <f t="shared" si="1"/>
        <v>10</v>
      </c>
      <c r="G6" s="29">
        <v>1.0</v>
      </c>
      <c r="H6" s="29">
        <v>0.0</v>
      </c>
    </row>
    <row r="7" ht="22.5" customHeight="1">
      <c r="A7" s="24" t="s">
        <v>80</v>
      </c>
      <c r="B7" s="25">
        <v>49.9</v>
      </c>
      <c r="C7" s="26">
        <v>45147.0</v>
      </c>
      <c r="D7" s="25" t="s">
        <v>75</v>
      </c>
      <c r="E7" s="28">
        <v>66.0</v>
      </c>
      <c r="F7" s="28">
        <v>0.76</v>
      </c>
      <c r="G7" s="29">
        <v>0.0</v>
      </c>
      <c r="H7" s="29">
        <v>0.0</v>
      </c>
    </row>
    <row r="8" ht="22.5" customHeight="1">
      <c r="A8" s="30" t="s">
        <v>81</v>
      </c>
      <c r="B8" s="31">
        <v>20.0</v>
      </c>
      <c r="C8" s="32">
        <v>44506.0</v>
      </c>
      <c r="D8" s="25" t="s">
        <v>75</v>
      </c>
      <c r="E8" s="28">
        <v>115.0</v>
      </c>
      <c r="F8" s="28">
        <v>0.17</v>
      </c>
      <c r="G8" s="29">
        <v>1.0</v>
      </c>
      <c r="H8" s="29">
        <v>0.0</v>
      </c>
    </row>
    <row r="9" ht="22.5" customHeight="1">
      <c r="A9" s="24" t="s">
        <v>82</v>
      </c>
      <c r="B9" s="25">
        <v>0.0</v>
      </c>
      <c r="C9" s="26">
        <v>44197.0</v>
      </c>
      <c r="D9" s="25" t="s">
        <v>75</v>
      </c>
      <c r="E9" s="27">
        <f>COUNTIF('Form responses 1'!$B$2:$G991, A9)
</f>
        <v>9</v>
      </c>
      <c r="F9" s="27">
        <f>IFERROR(ROUND((B9-H9)/E9,2),B9)</f>
        <v>0</v>
      </c>
      <c r="G9" s="29">
        <v>0.0</v>
      </c>
      <c r="H9" s="29">
        <v>0.0</v>
      </c>
    </row>
    <row r="10" ht="22.5" customHeight="1">
      <c r="A10" s="24" t="s">
        <v>1</v>
      </c>
      <c r="B10" s="25">
        <f>29.94+7.5</f>
        <v>37.44</v>
      </c>
      <c r="C10" s="26">
        <v>44978.0</v>
      </c>
      <c r="D10" s="25" t="s">
        <v>75</v>
      </c>
      <c r="E10" s="28">
        <v>219.0</v>
      </c>
      <c r="F10" s="28">
        <v>0.17</v>
      </c>
      <c r="G10" s="29">
        <v>0.0</v>
      </c>
      <c r="H10" s="29">
        <v>0.0</v>
      </c>
    </row>
    <row r="11" ht="22.5" customHeight="1">
      <c r="A11" s="24" t="s">
        <v>83</v>
      </c>
      <c r="B11" s="25">
        <v>34.04</v>
      </c>
      <c r="C11" s="26">
        <v>45290.0</v>
      </c>
      <c r="D11" s="25" t="s">
        <v>75</v>
      </c>
      <c r="E11" s="27">
        <f>COUNTIF('Form responses 1'!$B$2:$G991, A11)
</f>
        <v>42</v>
      </c>
      <c r="F11" s="27">
        <f>IFERROR(ROUND((B11-H11)/E11,2),B11)</f>
        <v>0.81</v>
      </c>
      <c r="G11" s="29">
        <v>0.0</v>
      </c>
      <c r="H11" s="29">
        <v>0.0</v>
      </c>
    </row>
    <row r="12" ht="22.5" customHeight="1">
      <c r="A12" s="24" t="s">
        <v>84</v>
      </c>
      <c r="B12" s="25">
        <v>28.12</v>
      </c>
      <c r="C12" s="26">
        <v>45284.0</v>
      </c>
      <c r="D12" s="25" t="s">
        <v>75</v>
      </c>
      <c r="E12" s="28">
        <v>131.0</v>
      </c>
      <c r="F12" s="28">
        <v>0.21</v>
      </c>
      <c r="G12" s="29">
        <v>0.0</v>
      </c>
      <c r="H12" s="29">
        <v>0.0</v>
      </c>
    </row>
    <row r="13" ht="22.5" customHeight="1">
      <c r="A13" s="24" t="s">
        <v>85</v>
      </c>
      <c r="B13" s="25">
        <v>60.0</v>
      </c>
      <c r="C13" s="26">
        <v>45739.0</v>
      </c>
      <c r="D13" s="25" t="s">
        <v>75</v>
      </c>
      <c r="E13" s="27">
        <f>COUNTIF('Form responses 1'!$B$2:$G991, A13)
</f>
        <v>8</v>
      </c>
      <c r="F13" s="27">
        <f t="shared" ref="F13:F14" si="2">IFERROR(ROUND((B13-H13)/E13,2),B13)</f>
        <v>7.5</v>
      </c>
      <c r="G13" s="29">
        <v>0.0</v>
      </c>
      <c r="H13" s="29">
        <v>0.0</v>
      </c>
    </row>
    <row r="14" ht="22.5" customHeight="1">
      <c r="A14" s="24" t="s">
        <v>86</v>
      </c>
      <c r="B14" s="25">
        <v>50.0</v>
      </c>
      <c r="C14" s="26">
        <v>43466.0</v>
      </c>
      <c r="D14" s="25" t="s">
        <v>75</v>
      </c>
      <c r="E14" s="27">
        <f>COUNTIF('Form responses 1'!$B$2:$G991, A14)
</f>
        <v>42</v>
      </c>
      <c r="F14" s="27">
        <f t="shared" si="2"/>
        <v>1.19</v>
      </c>
      <c r="G14" s="29">
        <v>0.0</v>
      </c>
      <c r="H14" s="29">
        <v>0.0</v>
      </c>
    </row>
    <row r="15" ht="22.5" customHeight="1">
      <c r="A15" s="33" t="s">
        <v>87</v>
      </c>
      <c r="B15" s="25">
        <v>30.0</v>
      </c>
      <c r="C15" s="26">
        <v>44060.0</v>
      </c>
      <c r="D15" s="25" t="s">
        <v>75</v>
      </c>
      <c r="E15" s="28">
        <v>122.0</v>
      </c>
      <c r="F15" s="28">
        <v>0.25</v>
      </c>
      <c r="G15" s="29">
        <v>0.0</v>
      </c>
      <c r="H15" s="29">
        <v>0.0</v>
      </c>
    </row>
    <row r="16" ht="22.5" customHeight="1">
      <c r="A16" s="24" t="s">
        <v>88</v>
      </c>
      <c r="B16" s="25">
        <v>20.0</v>
      </c>
      <c r="C16" s="26">
        <v>44197.0</v>
      </c>
      <c r="D16" s="25" t="s">
        <v>75</v>
      </c>
      <c r="E16" s="28">
        <v>71.0</v>
      </c>
      <c r="F16" s="28">
        <v>0.28</v>
      </c>
      <c r="G16" s="29">
        <v>0.0</v>
      </c>
      <c r="H16" s="29">
        <v>0.0</v>
      </c>
    </row>
    <row r="17" ht="22.5" customHeight="1">
      <c r="A17" s="24" t="s">
        <v>89</v>
      </c>
      <c r="B17" s="25">
        <v>20.0</v>
      </c>
      <c r="C17" s="26">
        <v>44197.0</v>
      </c>
      <c r="D17" s="25" t="s">
        <v>75</v>
      </c>
      <c r="E17" s="28">
        <v>79.0</v>
      </c>
      <c r="F17" s="28">
        <v>0.25</v>
      </c>
      <c r="G17" s="29">
        <v>0.0</v>
      </c>
      <c r="H17" s="29">
        <v>0.0</v>
      </c>
    </row>
    <row r="18" ht="22.5" customHeight="1">
      <c r="A18" s="24" t="s">
        <v>90</v>
      </c>
      <c r="B18" s="25">
        <f>150+11.25</f>
        <v>161.25</v>
      </c>
      <c r="C18" s="26">
        <v>45479.0</v>
      </c>
      <c r="D18" s="25" t="s">
        <v>75</v>
      </c>
      <c r="E18" s="28">
        <v>60.0</v>
      </c>
      <c r="F18" s="28">
        <v>2.69</v>
      </c>
      <c r="G18" s="29">
        <v>0.0</v>
      </c>
      <c r="H18" s="29">
        <v>0.0</v>
      </c>
    </row>
    <row r="19" ht="22.5" customHeight="1">
      <c r="A19" s="24" t="s">
        <v>91</v>
      </c>
      <c r="B19" s="27">
        <f>5*6</f>
        <v>30</v>
      </c>
      <c r="C19" s="26">
        <v>44197.0</v>
      </c>
      <c r="D19" s="25" t="s">
        <v>12</v>
      </c>
      <c r="E19" s="28">
        <v>741.0</v>
      </c>
      <c r="F19" s="28">
        <v>0.04</v>
      </c>
      <c r="G19" s="29">
        <v>0.0</v>
      </c>
      <c r="H19" s="29">
        <v>0.0</v>
      </c>
    </row>
    <row r="20" ht="22.5" customHeight="1">
      <c r="A20" s="24" t="s">
        <v>92</v>
      </c>
      <c r="B20" s="25">
        <f>39.8+59.7+40</f>
        <v>139.5</v>
      </c>
      <c r="C20" s="26">
        <v>45115.0</v>
      </c>
      <c r="D20" s="25" t="s">
        <v>12</v>
      </c>
      <c r="E20" s="28">
        <v>268.0</v>
      </c>
      <c r="F20" s="28">
        <v>0.52</v>
      </c>
      <c r="G20" s="29">
        <v>0.0</v>
      </c>
      <c r="H20" s="29">
        <v>0.0</v>
      </c>
    </row>
    <row r="21" ht="22.5" customHeight="1">
      <c r="A21" s="24" t="s">
        <v>93</v>
      </c>
      <c r="B21" s="25">
        <v>20.0</v>
      </c>
      <c r="C21" s="26">
        <v>44197.0</v>
      </c>
      <c r="D21" s="25" t="s">
        <v>12</v>
      </c>
      <c r="E21" s="28">
        <v>86.0</v>
      </c>
      <c r="F21" s="28">
        <v>0.23</v>
      </c>
      <c r="G21" s="29">
        <v>0.0</v>
      </c>
      <c r="H21" s="29">
        <v>0.0</v>
      </c>
    </row>
    <row r="22" ht="22.5" customHeight="1">
      <c r="A22" s="24" t="s">
        <v>2</v>
      </c>
      <c r="B22" s="25">
        <v>30.0</v>
      </c>
      <c r="C22" s="26">
        <v>44611.0</v>
      </c>
      <c r="D22" s="25" t="s">
        <v>12</v>
      </c>
      <c r="E22" s="28">
        <v>211.0</v>
      </c>
      <c r="F22" s="28">
        <v>0.14</v>
      </c>
      <c r="G22" s="29">
        <v>0.0</v>
      </c>
      <c r="H22" s="29">
        <v>0.0</v>
      </c>
    </row>
    <row r="23" ht="22.5" customHeight="1">
      <c r="A23" s="24" t="s">
        <v>3</v>
      </c>
      <c r="B23" s="25">
        <v>20.0</v>
      </c>
      <c r="C23" s="26">
        <v>44632.0</v>
      </c>
      <c r="D23" s="25" t="s">
        <v>12</v>
      </c>
      <c r="E23" s="28">
        <v>82.0</v>
      </c>
      <c r="F23" s="28">
        <v>0.24</v>
      </c>
      <c r="G23" s="29">
        <v>0.0</v>
      </c>
      <c r="H23" s="29">
        <v>0.0</v>
      </c>
    </row>
    <row r="24" ht="22.5" customHeight="1">
      <c r="A24" s="24" t="s">
        <v>4</v>
      </c>
      <c r="B24" s="25">
        <v>29.95</v>
      </c>
      <c r="C24" s="26">
        <v>44740.0</v>
      </c>
      <c r="D24" s="25" t="s">
        <v>12</v>
      </c>
      <c r="E24" s="28">
        <v>39.0</v>
      </c>
      <c r="F24" s="28">
        <v>0.77</v>
      </c>
      <c r="G24" s="29">
        <v>0.0</v>
      </c>
      <c r="H24" s="29">
        <v>0.0</v>
      </c>
    </row>
    <row r="25" ht="22.5" customHeight="1">
      <c r="A25" s="24" t="s">
        <v>94</v>
      </c>
      <c r="B25" s="25">
        <v>19.95</v>
      </c>
      <c r="C25" s="26">
        <v>44740.0</v>
      </c>
      <c r="D25" s="25" t="s">
        <v>12</v>
      </c>
      <c r="E25" s="28">
        <v>43.0</v>
      </c>
      <c r="F25" s="28">
        <v>0.46</v>
      </c>
      <c r="G25" s="29">
        <v>0.0</v>
      </c>
      <c r="H25" s="29">
        <v>0.0</v>
      </c>
    </row>
    <row r="26" ht="22.5" customHeight="1">
      <c r="A26" s="24" t="s">
        <v>95</v>
      </c>
      <c r="B26" s="25">
        <v>22.44</v>
      </c>
      <c r="C26" s="26">
        <v>45360.0</v>
      </c>
      <c r="D26" s="25" t="s">
        <v>12</v>
      </c>
      <c r="E26" s="28">
        <v>37.0</v>
      </c>
      <c r="F26" s="28">
        <v>0.61</v>
      </c>
      <c r="G26" s="29">
        <v>0.0</v>
      </c>
      <c r="H26" s="29">
        <v>0.0</v>
      </c>
    </row>
    <row r="27" ht="22.5" customHeight="1">
      <c r="A27" s="24" t="s">
        <v>96</v>
      </c>
      <c r="B27" s="25">
        <v>11.76</v>
      </c>
      <c r="C27" s="26">
        <v>45360.0</v>
      </c>
      <c r="D27" s="25" t="s">
        <v>12</v>
      </c>
      <c r="E27" s="28">
        <v>28.0</v>
      </c>
      <c r="F27" s="28">
        <v>0.42</v>
      </c>
      <c r="G27" s="29">
        <v>0.0</v>
      </c>
      <c r="H27" s="29">
        <v>0.0</v>
      </c>
    </row>
    <row r="28" ht="22.5" customHeight="1">
      <c r="A28" s="24" t="s">
        <v>97</v>
      </c>
      <c r="B28" s="25">
        <v>15.0</v>
      </c>
      <c r="C28" s="26">
        <v>44506.0</v>
      </c>
      <c r="D28" s="25" t="s">
        <v>12</v>
      </c>
      <c r="E28" s="27">
        <f>COUNTIF('Form responses 1'!$B$2:$G991, A28)
</f>
        <v>44</v>
      </c>
      <c r="F28" s="27">
        <f t="shared" ref="F28:F33" si="3">IFERROR(ROUND((B28-H28)/E28,2),B28)</f>
        <v>0.34</v>
      </c>
      <c r="G28" s="29">
        <v>0.0</v>
      </c>
      <c r="H28" s="29">
        <v>0.0</v>
      </c>
    </row>
    <row r="29" ht="22.5" customHeight="1">
      <c r="A29" s="24" t="s">
        <v>98</v>
      </c>
      <c r="B29" s="25">
        <v>24.0</v>
      </c>
      <c r="C29" s="26">
        <v>45150.0</v>
      </c>
      <c r="D29" s="25" t="s">
        <v>12</v>
      </c>
      <c r="E29" s="27">
        <f>COUNTIF('Form responses 1'!$B$2:$G991, A29)
</f>
        <v>4</v>
      </c>
      <c r="F29" s="27">
        <f t="shared" si="3"/>
        <v>2.5</v>
      </c>
      <c r="G29" s="29">
        <v>1.0</v>
      </c>
      <c r="H29" s="29">
        <v>14.0</v>
      </c>
    </row>
    <row r="30" ht="22.5" customHeight="1">
      <c r="A30" s="24" t="s">
        <v>99</v>
      </c>
      <c r="B30" s="25">
        <v>20.0</v>
      </c>
      <c r="C30" s="26">
        <v>43466.0</v>
      </c>
      <c r="D30" s="25" t="s">
        <v>12</v>
      </c>
      <c r="E30" s="27">
        <f>COUNTIF('Form responses 1'!$B$2:$G991, A30)
</f>
        <v>28</v>
      </c>
      <c r="F30" s="27">
        <f t="shared" si="3"/>
        <v>0.71</v>
      </c>
      <c r="G30" s="29">
        <v>0.0</v>
      </c>
      <c r="H30" s="29">
        <v>0.0</v>
      </c>
    </row>
    <row r="31" ht="22.5" customHeight="1">
      <c r="A31" s="24" t="s">
        <v>100</v>
      </c>
      <c r="B31" s="25">
        <v>20.0</v>
      </c>
      <c r="C31" s="26">
        <v>43466.0</v>
      </c>
      <c r="D31" s="25" t="s">
        <v>12</v>
      </c>
      <c r="E31" s="27">
        <f>COUNTIF('Form responses 1'!$B$2:$G991, A31)
</f>
        <v>6</v>
      </c>
      <c r="F31" s="27">
        <f t="shared" si="3"/>
        <v>3.33</v>
      </c>
      <c r="G31" s="29">
        <v>0.0</v>
      </c>
      <c r="H31" s="29">
        <v>0.0</v>
      </c>
    </row>
    <row r="32" ht="22.5" customHeight="1">
      <c r="A32" s="24" t="s">
        <v>101</v>
      </c>
      <c r="B32" s="25">
        <v>20.0</v>
      </c>
      <c r="C32" s="26">
        <v>42736.0</v>
      </c>
      <c r="D32" s="25" t="s">
        <v>12</v>
      </c>
      <c r="E32" s="27">
        <f>COUNTIF('Form responses 1'!$B$2:$G991, A32)
</f>
        <v>23</v>
      </c>
      <c r="F32" s="27">
        <f t="shared" si="3"/>
        <v>0.87</v>
      </c>
      <c r="G32" s="29">
        <v>1.0</v>
      </c>
      <c r="H32" s="29">
        <v>0.0</v>
      </c>
    </row>
    <row r="33" ht="22.5" customHeight="1">
      <c r="A33" s="24" t="s">
        <v>102</v>
      </c>
      <c r="B33" s="25">
        <v>38.5</v>
      </c>
      <c r="C33" s="26">
        <v>44507.0</v>
      </c>
      <c r="D33" s="25" t="s">
        <v>13</v>
      </c>
      <c r="E33" s="27">
        <f>COUNTIF('Form responses 1'!$B$2:$G991, A33)
</f>
        <v>71</v>
      </c>
      <c r="F33" s="27">
        <f t="shared" si="3"/>
        <v>0.54</v>
      </c>
      <c r="G33" s="29">
        <v>0.0</v>
      </c>
      <c r="H33" s="29">
        <v>0.0</v>
      </c>
    </row>
    <row r="34" ht="22.5" customHeight="1">
      <c r="A34" s="24" t="s">
        <v>103</v>
      </c>
      <c r="B34" s="25">
        <v>40.0</v>
      </c>
      <c r="C34" s="26">
        <v>44197.0</v>
      </c>
      <c r="D34" s="25" t="s">
        <v>13</v>
      </c>
      <c r="E34" s="28">
        <v>82.0</v>
      </c>
      <c r="F34" s="28">
        <v>0.49</v>
      </c>
      <c r="G34" s="29">
        <v>0.0</v>
      </c>
      <c r="H34" s="29">
        <v>0.0</v>
      </c>
    </row>
    <row r="35" ht="22.5" customHeight="1">
      <c r="A35" s="24" t="s">
        <v>104</v>
      </c>
      <c r="B35" s="25">
        <v>35.0</v>
      </c>
      <c r="C35" s="26">
        <v>44197.0</v>
      </c>
      <c r="D35" s="25" t="s">
        <v>13</v>
      </c>
      <c r="E35" s="27">
        <f>COUNTIF('Form responses 1'!$B$2:$G991, A35)
</f>
        <v>10</v>
      </c>
      <c r="F35" s="27">
        <f t="shared" ref="F35:F37" si="4">IFERROR(ROUND((B35-H35)/E35,2),B35)</f>
        <v>3.5</v>
      </c>
      <c r="G35" s="29">
        <v>0.0</v>
      </c>
      <c r="H35" s="29">
        <v>0.0</v>
      </c>
    </row>
    <row r="36" ht="22.5" customHeight="1">
      <c r="A36" s="24" t="s">
        <v>105</v>
      </c>
      <c r="B36" s="25">
        <v>40.0</v>
      </c>
      <c r="C36" s="26">
        <v>43831.0</v>
      </c>
      <c r="D36" s="25" t="s">
        <v>13</v>
      </c>
      <c r="E36" s="27">
        <f>COUNTIF('Form responses 1'!$B$2:$G991, A36)
</f>
        <v>30</v>
      </c>
      <c r="F36" s="27">
        <f t="shared" si="4"/>
        <v>1.33</v>
      </c>
      <c r="G36" s="29">
        <v>1.0</v>
      </c>
      <c r="H36" s="29">
        <v>0.0</v>
      </c>
    </row>
    <row r="37" ht="22.5" customHeight="1">
      <c r="A37" s="24" t="s">
        <v>106</v>
      </c>
      <c r="B37" s="25">
        <v>40.0</v>
      </c>
      <c r="C37" s="26">
        <v>43466.0</v>
      </c>
      <c r="D37" s="25" t="s">
        <v>13</v>
      </c>
      <c r="E37" s="27">
        <f>COUNTIF('Form responses 1'!$B$2:$G991, A37)
</f>
        <v>63</v>
      </c>
      <c r="F37" s="27">
        <f t="shared" si="4"/>
        <v>0.63</v>
      </c>
      <c r="G37" s="29">
        <v>0.0</v>
      </c>
      <c r="H37" s="29">
        <v>0.0</v>
      </c>
    </row>
    <row r="38" ht="22.5" customHeight="1">
      <c r="A38" s="24" t="s">
        <v>107</v>
      </c>
      <c r="B38" s="25">
        <v>22.0</v>
      </c>
      <c r="C38" s="26">
        <v>45150.0</v>
      </c>
      <c r="D38" s="25" t="s">
        <v>13</v>
      </c>
      <c r="E38" s="28">
        <v>28.0</v>
      </c>
      <c r="F38" s="28">
        <v>0.79</v>
      </c>
      <c r="G38" s="29">
        <v>0.0</v>
      </c>
      <c r="H38" s="29">
        <v>0.0</v>
      </c>
    </row>
    <row r="39" ht="22.5" customHeight="1">
      <c r="A39" s="24" t="s">
        <v>108</v>
      </c>
      <c r="B39" s="25">
        <v>35.0</v>
      </c>
      <c r="C39" s="26">
        <v>43831.0</v>
      </c>
      <c r="D39" s="25" t="s">
        <v>13</v>
      </c>
      <c r="E39" s="27">
        <f>COUNTIF('Form responses 1'!$B$2:$G991, A39)
</f>
        <v>5</v>
      </c>
      <c r="F39" s="27">
        <f t="shared" ref="F39:F40" si="5">IFERROR(ROUND((B39-H39)/E39,2),B39)</f>
        <v>7</v>
      </c>
      <c r="G39" s="29">
        <v>0.0</v>
      </c>
      <c r="H39" s="29">
        <v>0.0</v>
      </c>
    </row>
    <row r="40" ht="22.5" customHeight="1">
      <c r="A40" s="24" t="s">
        <v>109</v>
      </c>
      <c r="B40" s="25">
        <v>40.0</v>
      </c>
      <c r="C40" s="26">
        <v>43466.0</v>
      </c>
      <c r="D40" s="25" t="s">
        <v>13</v>
      </c>
      <c r="E40" s="27">
        <f>COUNTIF('Form responses 1'!$B$2:$G991, A40)
</f>
        <v>55</v>
      </c>
      <c r="F40" s="27">
        <f t="shared" si="5"/>
        <v>0.73</v>
      </c>
      <c r="G40" s="29">
        <v>0.0</v>
      </c>
      <c r="H40" s="29">
        <v>0.0</v>
      </c>
    </row>
    <row r="41" ht="22.5" customHeight="1">
      <c r="A41" s="24" t="s">
        <v>110</v>
      </c>
      <c r="B41" s="25">
        <v>19.95</v>
      </c>
      <c r="C41" s="26">
        <v>44683.0</v>
      </c>
      <c r="D41" s="25" t="s">
        <v>13</v>
      </c>
      <c r="E41" s="28">
        <v>58.0</v>
      </c>
      <c r="F41" s="28">
        <v>0.34</v>
      </c>
      <c r="G41" s="29">
        <v>0.0</v>
      </c>
      <c r="H41" s="29">
        <v>0.0</v>
      </c>
    </row>
    <row r="42" ht="22.5" customHeight="1">
      <c r="A42" s="24" t="s">
        <v>111</v>
      </c>
      <c r="B42" s="25">
        <v>9.9</v>
      </c>
      <c r="C42" s="26">
        <v>45470.0</v>
      </c>
      <c r="D42" s="25" t="s">
        <v>13</v>
      </c>
      <c r="E42" s="28">
        <v>32.0</v>
      </c>
      <c r="F42" s="28">
        <v>0.31</v>
      </c>
      <c r="G42" s="29">
        <v>0.0</v>
      </c>
      <c r="H42" s="29">
        <v>0.0</v>
      </c>
    </row>
    <row r="43" ht="22.5" customHeight="1">
      <c r="A43" s="24" t="s">
        <v>112</v>
      </c>
      <c r="B43" s="25">
        <v>19.95</v>
      </c>
      <c r="C43" s="26">
        <v>44683.0</v>
      </c>
      <c r="D43" s="25" t="s">
        <v>13</v>
      </c>
      <c r="E43" s="27">
        <f>COUNTIF('Form responses 1'!$B$2:$G991, A43)
</f>
        <v>78</v>
      </c>
      <c r="F43" s="27">
        <f>IFERROR(ROUND((B43-H43)/E43,2),B43)</f>
        <v>0.26</v>
      </c>
      <c r="G43" s="29">
        <v>0.0</v>
      </c>
      <c r="H43" s="29">
        <v>0.0</v>
      </c>
    </row>
    <row r="44" ht="22.5" customHeight="1">
      <c r="A44" s="24" t="s">
        <v>113</v>
      </c>
      <c r="B44" s="25">
        <v>35.1</v>
      </c>
      <c r="C44" s="26">
        <v>44925.0</v>
      </c>
      <c r="D44" s="25" t="s">
        <v>13</v>
      </c>
      <c r="E44" s="28">
        <v>66.0</v>
      </c>
      <c r="F44" s="28">
        <v>0.53</v>
      </c>
      <c r="G44" s="29">
        <v>0.0</v>
      </c>
      <c r="H44" s="29">
        <v>0.0</v>
      </c>
    </row>
    <row r="45" ht="22.5" customHeight="1">
      <c r="A45" s="24" t="s">
        <v>114</v>
      </c>
      <c r="B45" s="25">
        <v>19.3</v>
      </c>
      <c r="C45" s="26">
        <v>45295.0</v>
      </c>
      <c r="D45" s="25" t="s">
        <v>13</v>
      </c>
      <c r="E45" s="28">
        <v>29.0</v>
      </c>
      <c r="F45" s="28">
        <v>0.67</v>
      </c>
      <c r="G45" s="29">
        <v>0.0</v>
      </c>
      <c r="H45" s="29">
        <v>0.0</v>
      </c>
    </row>
    <row r="46" ht="22.5" customHeight="1">
      <c r="A46" s="24" t="s">
        <v>115</v>
      </c>
      <c r="B46" s="25">
        <v>35.39</v>
      </c>
      <c r="C46" s="26">
        <v>45289.0</v>
      </c>
      <c r="D46" s="25" t="s">
        <v>13</v>
      </c>
      <c r="E46" s="28">
        <v>53.0</v>
      </c>
      <c r="F46" s="28">
        <v>0.67</v>
      </c>
      <c r="G46" s="29">
        <v>0.0</v>
      </c>
      <c r="H46" s="29">
        <v>0.0</v>
      </c>
    </row>
    <row r="47" ht="22.5" customHeight="1">
      <c r="A47" s="24" t="s">
        <v>116</v>
      </c>
      <c r="B47" s="25">
        <v>15.0</v>
      </c>
      <c r="C47" s="26">
        <v>45242.0</v>
      </c>
      <c r="D47" s="25" t="s">
        <v>13</v>
      </c>
      <c r="E47" s="28">
        <v>97.0</v>
      </c>
      <c r="F47" s="28">
        <v>0.15</v>
      </c>
      <c r="G47" s="29">
        <v>0.0</v>
      </c>
      <c r="H47" s="29">
        <v>0.0</v>
      </c>
    </row>
    <row r="48" ht="22.5" customHeight="1">
      <c r="A48" s="24" t="s">
        <v>117</v>
      </c>
      <c r="B48" s="25">
        <v>39.9</v>
      </c>
      <c r="C48" s="26">
        <v>45697.0</v>
      </c>
      <c r="D48" s="25" t="s">
        <v>13</v>
      </c>
      <c r="E48" s="28">
        <v>45.0</v>
      </c>
      <c r="F48" s="28">
        <v>0.89</v>
      </c>
      <c r="G48" s="29">
        <v>0.0</v>
      </c>
      <c r="H48" s="29">
        <v>0.0</v>
      </c>
    </row>
    <row r="49" ht="22.5" customHeight="1">
      <c r="A49" s="24" t="s">
        <v>118</v>
      </c>
      <c r="B49" s="25">
        <v>41.14</v>
      </c>
      <c r="C49" s="26">
        <v>44928.0</v>
      </c>
      <c r="D49" s="25" t="s">
        <v>13</v>
      </c>
      <c r="E49" s="28">
        <v>96.0</v>
      </c>
      <c r="F49" s="28">
        <v>0.43</v>
      </c>
      <c r="G49" s="29">
        <v>0.0</v>
      </c>
      <c r="H49" s="29">
        <v>0.0</v>
      </c>
    </row>
    <row r="50" ht="22.5" customHeight="1">
      <c r="A50" s="24" t="s">
        <v>119</v>
      </c>
      <c r="B50" s="25">
        <v>37.97</v>
      </c>
      <c r="C50" s="26">
        <v>45375.0</v>
      </c>
      <c r="D50" s="25" t="s">
        <v>13</v>
      </c>
      <c r="E50" s="28">
        <v>54.0</v>
      </c>
      <c r="F50" s="28">
        <v>0.7</v>
      </c>
      <c r="G50" s="29">
        <v>0.0</v>
      </c>
      <c r="H50" s="29">
        <v>0.0</v>
      </c>
    </row>
    <row r="51" ht="22.5" customHeight="1">
      <c r="A51" s="24" t="s">
        <v>120</v>
      </c>
      <c r="B51" s="25">
        <v>19.25</v>
      </c>
      <c r="C51" s="26">
        <v>45288.0</v>
      </c>
      <c r="D51" s="25" t="s">
        <v>13</v>
      </c>
      <c r="E51" s="28">
        <v>24.0</v>
      </c>
      <c r="F51" s="28">
        <v>0.8</v>
      </c>
      <c r="G51" s="29">
        <v>0.0</v>
      </c>
      <c r="H51" s="29">
        <v>0.0</v>
      </c>
    </row>
    <row r="52" ht="22.5" customHeight="1">
      <c r="A52" s="24" t="s">
        <v>121</v>
      </c>
      <c r="B52" s="25">
        <v>20.69</v>
      </c>
      <c r="C52" s="26">
        <v>45282.0</v>
      </c>
      <c r="D52" s="25" t="s">
        <v>13</v>
      </c>
      <c r="E52" s="28">
        <v>59.0</v>
      </c>
      <c r="F52" s="28">
        <v>0.35</v>
      </c>
      <c r="G52" s="29">
        <v>0.0</v>
      </c>
      <c r="H52" s="29">
        <v>0.0</v>
      </c>
    </row>
    <row r="53" ht="22.5" customHeight="1">
      <c r="A53" s="24" t="s">
        <v>122</v>
      </c>
      <c r="B53" s="25">
        <v>35.0</v>
      </c>
      <c r="C53" s="26">
        <v>43101.0</v>
      </c>
      <c r="D53" s="25" t="s">
        <v>13</v>
      </c>
      <c r="E53" s="27">
        <f>COUNTIF('Form responses 1'!$B$2:$G991, A53)
</f>
        <v>58</v>
      </c>
      <c r="F53" s="27">
        <f>IFERROR(ROUND((B53-H53)/E53,2),B53)</f>
        <v>0.6</v>
      </c>
      <c r="G53" s="29">
        <v>1.0</v>
      </c>
      <c r="H53" s="29">
        <v>0.0</v>
      </c>
    </row>
    <row r="54" ht="22.5" customHeight="1">
      <c r="A54" s="24" t="s">
        <v>123</v>
      </c>
      <c r="B54" s="25">
        <v>35.0</v>
      </c>
      <c r="C54" s="26">
        <v>43101.0</v>
      </c>
      <c r="D54" s="25" t="s">
        <v>13</v>
      </c>
      <c r="E54" s="28">
        <v>24.0</v>
      </c>
      <c r="F54" s="28">
        <v>1.46</v>
      </c>
      <c r="G54" s="29">
        <v>0.0</v>
      </c>
      <c r="H54" s="29">
        <v>0.0</v>
      </c>
    </row>
    <row r="55" ht="22.5" customHeight="1">
      <c r="A55" s="24" t="s">
        <v>124</v>
      </c>
      <c r="B55" s="25">
        <v>40.0</v>
      </c>
      <c r="C55" s="26">
        <v>44197.0</v>
      </c>
      <c r="D55" s="25" t="s">
        <v>13</v>
      </c>
      <c r="E55" s="27">
        <f>COUNTIF('Form responses 1'!$B$2:$G991, A55)
</f>
        <v>16</v>
      </c>
      <c r="F55" s="27">
        <f>IFERROR(ROUND((B55-H55)/E55,2),B55)</f>
        <v>2.5</v>
      </c>
      <c r="G55" s="29">
        <v>0.0</v>
      </c>
      <c r="H55" s="29">
        <v>0.0</v>
      </c>
    </row>
    <row r="56" ht="22.5" customHeight="1">
      <c r="A56" s="24" t="s">
        <v>125</v>
      </c>
      <c r="B56" s="25">
        <v>25.0</v>
      </c>
      <c r="C56" s="26">
        <v>44461.0</v>
      </c>
      <c r="D56" s="25" t="s">
        <v>13</v>
      </c>
      <c r="E56" s="28">
        <v>105.0</v>
      </c>
      <c r="F56" s="28">
        <v>0.24</v>
      </c>
      <c r="G56" s="29">
        <v>0.0</v>
      </c>
      <c r="H56" s="29">
        <v>0.0</v>
      </c>
    </row>
    <row r="57" ht="22.5" customHeight="1">
      <c r="A57" s="24" t="s">
        <v>126</v>
      </c>
      <c r="B57" s="25">
        <f>403+11.25</f>
        <v>414.25</v>
      </c>
      <c r="C57" s="26">
        <v>45479.0</v>
      </c>
      <c r="D57" s="25" t="s">
        <v>13</v>
      </c>
      <c r="E57" s="28">
        <v>58.0</v>
      </c>
      <c r="F57" s="28">
        <v>7.14</v>
      </c>
      <c r="G57" s="29">
        <v>0.0</v>
      </c>
      <c r="H57" s="29">
        <v>0.0</v>
      </c>
    </row>
    <row r="58" ht="22.5" customHeight="1">
      <c r="A58" s="24" t="s">
        <v>127</v>
      </c>
      <c r="B58" s="25">
        <v>0.0</v>
      </c>
      <c r="C58" s="26">
        <v>44197.0</v>
      </c>
      <c r="D58" s="25" t="s">
        <v>49</v>
      </c>
      <c r="E58" s="27">
        <f>COUNTIF('Form responses 1'!$B$2:$G991, A58)
</f>
        <v>33</v>
      </c>
      <c r="F58" s="27">
        <f>IFERROR(ROUND((B58-H58)/E58,2),B58)</f>
        <v>0</v>
      </c>
      <c r="G58" s="29">
        <v>0.0</v>
      </c>
      <c r="H58" s="29">
        <v>0.0</v>
      </c>
    </row>
    <row r="59" ht="22.5" customHeight="1">
      <c r="A59" s="24" t="s">
        <v>128</v>
      </c>
      <c r="B59" s="25">
        <v>15.5</v>
      </c>
      <c r="C59" s="26">
        <v>44683.0</v>
      </c>
      <c r="D59" s="25" t="s">
        <v>49</v>
      </c>
      <c r="E59" s="28">
        <v>49.0</v>
      </c>
      <c r="F59" s="28">
        <v>0.32</v>
      </c>
      <c r="G59" s="29">
        <v>0.0</v>
      </c>
      <c r="H59" s="29">
        <v>0.0</v>
      </c>
    </row>
    <row r="60" ht="22.5" customHeight="1">
      <c r="A60" s="24" t="s">
        <v>129</v>
      </c>
      <c r="B60" s="25">
        <v>30.0</v>
      </c>
      <c r="C60" s="26">
        <v>45087.0</v>
      </c>
      <c r="D60" s="25" t="s">
        <v>49</v>
      </c>
      <c r="E60" s="27">
        <f>COUNTIF('Form responses 1'!$B$2:$G991, A60)
</f>
        <v>5</v>
      </c>
      <c r="F60" s="27">
        <f>IFERROR(ROUND((B60-H60)/E60,2),B60)</f>
        <v>6</v>
      </c>
      <c r="G60" s="29">
        <v>1.0</v>
      </c>
      <c r="H60" s="29">
        <v>0.0</v>
      </c>
    </row>
    <row r="61" ht="22.5" customHeight="1">
      <c r="A61" s="24" t="s">
        <v>130</v>
      </c>
      <c r="B61" s="25">
        <v>85.0</v>
      </c>
      <c r="C61" s="26">
        <v>45493.0</v>
      </c>
      <c r="D61" s="25" t="s">
        <v>49</v>
      </c>
      <c r="E61" s="28">
        <v>17.0</v>
      </c>
      <c r="F61" s="28">
        <v>5.0</v>
      </c>
      <c r="G61" s="29">
        <v>0.0</v>
      </c>
      <c r="H61" s="29">
        <v>0.0</v>
      </c>
    </row>
    <row r="62" ht="22.5" customHeight="1">
      <c r="A62" s="24" t="s">
        <v>131</v>
      </c>
      <c r="B62" s="25">
        <v>36.0</v>
      </c>
      <c r="C62" s="26">
        <v>45087.0</v>
      </c>
      <c r="D62" s="25" t="s">
        <v>49</v>
      </c>
      <c r="E62" s="27">
        <f>COUNTIF('Form responses 1'!$B$2:$G991, A62)
</f>
        <v>11</v>
      </c>
      <c r="F62" s="27">
        <f t="shared" ref="F62:F63" si="6">IFERROR(ROUND((B62-H62)/E62,2),B62)</f>
        <v>3.27</v>
      </c>
      <c r="G62" s="29">
        <v>1.0</v>
      </c>
      <c r="H62" s="29">
        <v>0.0</v>
      </c>
    </row>
    <row r="63" ht="22.5" customHeight="1">
      <c r="A63" s="24" t="s">
        <v>132</v>
      </c>
      <c r="B63" s="25">
        <v>39.95</v>
      </c>
      <c r="C63" s="26">
        <v>45242.0</v>
      </c>
      <c r="D63" s="25" t="s">
        <v>49</v>
      </c>
      <c r="E63" s="27">
        <f>COUNTIF('Form responses 1'!$B$2:$G991, A63)
</f>
        <v>4</v>
      </c>
      <c r="F63" s="27">
        <f t="shared" si="6"/>
        <v>9.99</v>
      </c>
      <c r="G63" s="29">
        <v>0.0</v>
      </c>
      <c r="H63" s="29">
        <v>0.0</v>
      </c>
    </row>
    <row r="64" ht="22.5" customHeight="1">
      <c r="A64" s="24" t="s">
        <v>133</v>
      </c>
      <c r="B64" s="25">
        <v>40.0</v>
      </c>
      <c r="C64" s="26">
        <v>44197.0</v>
      </c>
      <c r="D64" s="25" t="s">
        <v>49</v>
      </c>
      <c r="E64" s="28">
        <v>25.0</v>
      </c>
      <c r="F64" s="28">
        <v>1.6</v>
      </c>
      <c r="G64" s="29">
        <v>0.0</v>
      </c>
      <c r="H64" s="29">
        <v>0.0</v>
      </c>
    </row>
    <row r="65" ht="22.5" customHeight="1">
      <c r="A65" s="24" t="s">
        <v>134</v>
      </c>
      <c r="B65" s="25">
        <v>30.0</v>
      </c>
      <c r="C65" s="26">
        <v>43466.0</v>
      </c>
      <c r="D65" s="25" t="s">
        <v>49</v>
      </c>
      <c r="E65" s="28">
        <v>29.0</v>
      </c>
      <c r="F65" s="28">
        <v>1.03</v>
      </c>
      <c r="G65" s="29">
        <v>0.0</v>
      </c>
      <c r="H65" s="29">
        <v>0.0</v>
      </c>
    </row>
    <row r="66" ht="22.5" customHeight="1">
      <c r="A66" s="24" t="s">
        <v>135</v>
      </c>
      <c r="B66" s="25">
        <v>40.0</v>
      </c>
      <c r="C66" s="26">
        <v>44197.0</v>
      </c>
      <c r="D66" s="25" t="s">
        <v>49</v>
      </c>
      <c r="E66" s="27">
        <f>COUNTIF('Form responses 1'!$B$2:$G991, A66)
</f>
        <v>5</v>
      </c>
      <c r="F66" s="27">
        <f t="shared" ref="F66:F67" si="7">IFERROR(ROUND((B66-H66)/E66,2),B66)</f>
        <v>8</v>
      </c>
      <c r="G66" s="29">
        <v>0.0</v>
      </c>
      <c r="H66" s="29">
        <v>0.0</v>
      </c>
    </row>
    <row r="67" ht="22.5" customHeight="1">
      <c r="A67" s="24" t="s">
        <v>136</v>
      </c>
      <c r="B67" s="25">
        <v>0.0</v>
      </c>
      <c r="C67" s="34"/>
      <c r="D67" s="25" t="s">
        <v>49</v>
      </c>
      <c r="E67" s="27">
        <f>COUNTIF('Form responses 1'!$B$2:$G991, A67)
</f>
        <v>3</v>
      </c>
      <c r="F67" s="27">
        <f t="shared" si="7"/>
        <v>0</v>
      </c>
      <c r="G67" s="29">
        <v>0.0</v>
      </c>
      <c r="H67" s="29">
        <v>0.0</v>
      </c>
    </row>
    <row r="68" ht="22.5" customHeight="1">
      <c r="A68" s="24" t="s">
        <v>137</v>
      </c>
      <c r="B68" s="25">
        <f>64.95+8.5</f>
        <v>73.45</v>
      </c>
      <c r="C68" s="26">
        <v>45493.0</v>
      </c>
      <c r="D68" s="25" t="s">
        <v>49</v>
      </c>
      <c r="E68" s="28">
        <v>36.0</v>
      </c>
      <c r="F68" s="28">
        <v>2.04</v>
      </c>
      <c r="G68" s="29">
        <v>0.0</v>
      </c>
      <c r="H68" s="29">
        <v>0.0</v>
      </c>
    </row>
    <row r="69" ht="22.5" customHeight="1">
      <c r="A69" s="24" t="s">
        <v>138</v>
      </c>
      <c r="B69" s="25">
        <v>18.0</v>
      </c>
      <c r="C69" s="26">
        <v>44740.0</v>
      </c>
      <c r="D69" s="25" t="s">
        <v>49</v>
      </c>
      <c r="E69" s="27">
        <f>COUNTIF('Form responses 1'!$B$2:$G991, A69)
</f>
        <v>5</v>
      </c>
      <c r="F69" s="27">
        <f>IFERROR(ROUND((B69-H69)/E69,2),B69)</f>
        <v>3.6</v>
      </c>
      <c r="G69" s="29">
        <v>1.0</v>
      </c>
      <c r="H69" s="29">
        <v>0.0</v>
      </c>
    </row>
    <row r="70" ht="22.5" customHeight="1">
      <c r="A70" s="24" t="s">
        <v>139</v>
      </c>
      <c r="B70" s="25">
        <f>190+7.5</f>
        <v>197.5</v>
      </c>
      <c r="C70" s="26">
        <v>43831.0</v>
      </c>
      <c r="D70" s="25" t="s">
        <v>50</v>
      </c>
      <c r="E70" s="28">
        <v>247.0</v>
      </c>
      <c r="F70" s="28">
        <v>0.8</v>
      </c>
      <c r="G70" s="29">
        <v>0.0</v>
      </c>
      <c r="H70" s="29">
        <v>0.0</v>
      </c>
    </row>
    <row r="71" ht="22.5" customHeight="1">
      <c r="A71" s="24" t="s">
        <v>140</v>
      </c>
      <c r="B71" s="25">
        <v>180.0</v>
      </c>
      <c r="C71" s="26">
        <v>44562.0</v>
      </c>
      <c r="D71" s="25" t="s">
        <v>50</v>
      </c>
      <c r="E71" s="28">
        <v>395.0</v>
      </c>
      <c r="F71" s="28">
        <v>0.46</v>
      </c>
      <c r="G71" s="29">
        <v>0.0</v>
      </c>
      <c r="H71" s="29">
        <v>0.0</v>
      </c>
    </row>
    <row r="72" ht="22.5" customHeight="1">
      <c r="A72" s="24" t="s">
        <v>141</v>
      </c>
      <c r="B72" s="25">
        <v>50.0</v>
      </c>
      <c r="C72" s="26">
        <v>43101.0</v>
      </c>
      <c r="D72" s="25" t="s">
        <v>50</v>
      </c>
      <c r="E72" s="27">
        <f>COUNTIF('Form responses 1'!$B$2:$G991, A72)
</f>
        <v>51</v>
      </c>
      <c r="F72" s="27">
        <f>IFERROR(ROUND((B72-H72)/E72,2),B72)</f>
        <v>0.98</v>
      </c>
      <c r="G72" s="29">
        <v>0.0</v>
      </c>
      <c r="H72" s="29">
        <v>0.0</v>
      </c>
    </row>
    <row r="73" ht="22.5" customHeight="1">
      <c r="A73" s="24" t="s">
        <v>142</v>
      </c>
      <c r="B73" s="25">
        <v>74.9</v>
      </c>
      <c r="C73" s="26">
        <v>45360.0</v>
      </c>
      <c r="D73" s="25" t="s">
        <v>50</v>
      </c>
      <c r="E73" s="28">
        <v>144.0</v>
      </c>
      <c r="F73" s="28">
        <v>0.52</v>
      </c>
      <c r="G73" s="29">
        <v>0.0</v>
      </c>
      <c r="H73" s="29">
        <v>0.0</v>
      </c>
    </row>
    <row r="74" ht="22.5" customHeight="1">
      <c r="A74" s="30" t="s">
        <v>143</v>
      </c>
      <c r="B74" s="31">
        <v>45.0</v>
      </c>
      <c r="C74" s="32">
        <v>43732.0</v>
      </c>
      <c r="D74" s="25" t="s">
        <v>50</v>
      </c>
      <c r="E74" s="27">
        <f>COUNTIF('Form responses 1'!$B$2:$G991, A74)
</f>
        <v>52</v>
      </c>
      <c r="F74" s="27">
        <f>IFERROR(ROUND((B74-H74)/E74,2),B74)</f>
        <v>0.87</v>
      </c>
      <c r="G74" s="29">
        <v>1.0</v>
      </c>
      <c r="H74" s="29">
        <v>0.0</v>
      </c>
    </row>
    <row r="75" ht="22.5" customHeight="1">
      <c r="A75" s="24" t="s">
        <v>144</v>
      </c>
      <c r="B75" s="25">
        <f>50+15</f>
        <v>65</v>
      </c>
      <c r="C75" s="26">
        <v>45739.0</v>
      </c>
      <c r="D75" s="25" t="s">
        <v>50</v>
      </c>
      <c r="E75" s="28">
        <v>77.0</v>
      </c>
      <c r="F75" s="28">
        <v>0.84</v>
      </c>
      <c r="G75" s="29">
        <v>0.0</v>
      </c>
      <c r="H75" s="29">
        <v>0.0</v>
      </c>
    </row>
    <row r="76" ht="22.5" customHeight="1">
      <c r="A76" s="30" t="s">
        <v>145</v>
      </c>
      <c r="B76" s="31">
        <v>61.25</v>
      </c>
      <c r="C76" s="32">
        <v>43655.0</v>
      </c>
      <c r="D76" s="25" t="s">
        <v>51</v>
      </c>
      <c r="E76" s="27">
        <f>COUNTIF('Form responses 1'!$B$2:$G991, A76)
</f>
        <v>192</v>
      </c>
      <c r="F76" s="27">
        <f t="shared" ref="F76:F77" si="8">IFERROR(ROUND((B76-H76)/E76,2),B76)</f>
        <v>0.32</v>
      </c>
      <c r="G76" s="29">
        <v>1.0</v>
      </c>
      <c r="H76" s="29">
        <v>0.0</v>
      </c>
    </row>
    <row r="77" ht="22.5" customHeight="1">
      <c r="A77" s="24" t="s">
        <v>146</v>
      </c>
      <c r="B77" s="25">
        <v>114.0</v>
      </c>
      <c r="C77" s="26">
        <v>44461.0</v>
      </c>
      <c r="D77" s="25" t="s">
        <v>51</v>
      </c>
      <c r="E77" s="27">
        <f>COUNTIF('Form responses 1'!$B$2:$G991, A77)
</f>
        <v>149</v>
      </c>
      <c r="F77" s="27">
        <f t="shared" si="8"/>
        <v>0.77</v>
      </c>
      <c r="G77" s="29">
        <v>0.0</v>
      </c>
      <c r="H77" s="29">
        <v>0.0</v>
      </c>
    </row>
    <row r="78" ht="22.5" customHeight="1">
      <c r="A78" s="24" t="s">
        <v>147</v>
      </c>
      <c r="B78" s="25">
        <v>102.0</v>
      </c>
      <c r="C78" s="26">
        <v>45181.0</v>
      </c>
      <c r="D78" s="25" t="s">
        <v>51</v>
      </c>
      <c r="E78" s="28">
        <v>165.0</v>
      </c>
      <c r="F78" s="28">
        <v>0.62</v>
      </c>
      <c r="G78" s="29">
        <v>0.0</v>
      </c>
      <c r="H78" s="29">
        <v>0.0</v>
      </c>
    </row>
    <row r="79" ht="22.5" customHeight="1">
      <c r="A79" s="30" t="s">
        <v>148</v>
      </c>
      <c r="B79" s="31">
        <v>15.35</v>
      </c>
      <c r="C79" s="32">
        <v>44581.0</v>
      </c>
      <c r="D79" s="25" t="s">
        <v>51</v>
      </c>
      <c r="E79" s="27">
        <f>COUNTIF('Form responses 1'!$B$2:$G991, A79)
</f>
        <v>146</v>
      </c>
      <c r="F79" s="27">
        <f t="shared" ref="F79:F80" si="9">IFERROR(ROUND((B79-H79)/E79,2),B79)</f>
        <v>0.11</v>
      </c>
      <c r="G79" s="29">
        <v>1.0</v>
      </c>
      <c r="H79" s="29">
        <v>0.0</v>
      </c>
    </row>
    <row r="80" ht="22.5" customHeight="1">
      <c r="A80" s="24" t="s">
        <v>149</v>
      </c>
      <c r="B80" s="25">
        <v>40.0</v>
      </c>
      <c r="C80" s="26">
        <v>45118.0</v>
      </c>
      <c r="D80" s="25" t="s">
        <v>51</v>
      </c>
      <c r="E80" s="27">
        <f>COUNTIF('Form responses 1'!$B$2:$G991, A80)
</f>
        <v>11</v>
      </c>
      <c r="F80" s="27">
        <f t="shared" si="9"/>
        <v>3.64</v>
      </c>
      <c r="G80" s="29">
        <v>1.0</v>
      </c>
      <c r="H80" s="29">
        <v>0.0</v>
      </c>
    </row>
    <row r="81" ht="22.5" customHeight="1">
      <c r="A81" s="24" t="s">
        <v>150</v>
      </c>
      <c r="B81" s="25">
        <v>30.0</v>
      </c>
      <c r="C81" s="26">
        <v>45118.0</v>
      </c>
      <c r="D81" s="25" t="s">
        <v>51</v>
      </c>
      <c r="E81" s="28">
        <v>216.0</v>
      </c>
      <c r="F81" s="28">
        <v>0.14</v>
      </c>
      <c r="G81" s="29">
        <v>0.0</v>
      </c>
      <c r="H81" s="29">
        <v>0.0</v>
      </c>
    </row>
    <row r="82" ht="22.5" customHeight="1">
      <c r="A82" s="24" t="s">
        <v>151</v>
      </c>
      <c r="B82" s="25">
        <v>83.3</v>
      </c>
      <c r="C82" s="26">
        <v>45493.0</v>
      </c>
      <c r="D82" s="25" t="s">
        <v>51</v>
      </c>
      <c r="E82" s="28">
        <v>276.0</v>
      </c>
      <c r="F82" s="28">
        <v>0.3</v>
      </c>
      <c r="G82" s="29">
        <v>0.0</v>
      </c>
      <c r="H82" s="29">
        <v>0.0</v>
      </c>
    </row>
    <row r="83" ht="22.5" customHeight="1">
      <c r="A83" s="24" t="s">
        <v>152</v>
      </c>
      <c r="B83" s="25">
        <v>50.0</v>
      </c>
      <c r="C83" s="26">
        <v>44392.0</v>
      </c>
      <c r="D83" s="25" t="s">
        <v>51</v>
      </c>
      <c r="E83" s="28">
        <v>35.0</v>
      </c>
      <c r="F83" s="28">
        <v>1.43</v>
      </c>
      <c r="G83" s="29">
        <v>0.0</v>
      </c>
      <c r="H83" s="29">
        <v>0.0</v>
      </c>
    </row>
    <row r="84" ht="22.5" customHeight="1">
      <c r="A84" s="24" t="s">
        <v>153</v>
      </c>
      <c r="B84" s="25">
        <v>140.0</v>
      </c>
      <c r="C84" s="26">
        <v>43883.0</v>
      </c>
      <c r="D84" s="25" t="s">
        <v>51</v>
      </c>
      <c r="E84" s="28">
        <v>118.0</v>
      </c>
      <c r="F84" s="28">
        <v>1.19</v>
      </c>
      <c r="G84" s="29">
        <v>0.0</v>
      </c>
      <c r="H84" s="29">
        <v>0.0</v>
      </c>
    </row>
    <row r="85" ht="22.5" customHeight="1">
      <c r="A85" s="35" t="s">
        <v>154</v>
      </c>
      <c r="B85" s="29">
        <v>29.9</v>
      </c>
      <c r="C85" s="36">
        <v>45748.0</v>
      </c>
      <c r="D85" s="29" t="s">
        <v>13</v>
      </c>
      <c r="E85" s="28">
        <v>42.0</v>
      </c>
      <c r="F85" s="28">
        <v>0.71</v>
      </c>
      <c r="G85" s="29">
        <v>0.0</v>
      </c>
      <c r="H85" s="29">
        <v>0.0</v>
      </c>
    </row>
    <row r="86" ht="22.5" customHeight="1">
      <c r="A86" s="35" t="s">
        <v>155</v>
      </c>
      <c r="B86" s="29">
        <v>177.98</v>
      </c>
      <c r="C86" s="36">
        <v>45749.0</v>
      </c>
      <c r="D86" s="29" t="s">
        <v>51</v>
      </c>
      <c r="E86" s="28">
        <v>106.0</v>
      </c>
      <c r="F86" s="28">
        <v>1.68</v>
      </c>
      <c r="G86" s="29">
        <v>0.0</v>
      </c>
      <c r="H86" s="29">
        <v>0.0</v>
      </c>
    </row>
    <row r="87" ht="22.5" customHeight="1">
      <c r="A87" s="35" t="s">
        <v>156</v>
      </c>
      <c r="B87" s="29">
        <v>349.9</v>
      </c>
      <c r="C87" s="36">
        <v>45524.0</v>
      </c>
      <c r="D87" s="29" t="s">
        <v>51</v>
      </c>
      <c r="E87" s="27">
        <f>COUNTIF('Form responses 1'!$B$2:$G991, A87)
</f>
        <v>27</v>
      </c>
      <c r="F87" s="27">
        <f>IFERROR(ROUND((B87-H87)/E87,2),B87)</f>
        <v>12.96</v>
      </c>
      <c r="G87" s="29">
        <v>0.0</v>
      </c>
      <c r="H87" s="29">
        <v>0.0</v>
      </c>
    </row>
    <row r="88" ht="22.5" customHeight="1">
      <c r="A88" s="35" t="s">
        <v>157</v>
      </c>
      <c r="B88" s="29">
        <v>7.99</v>
      </c>
      <c r="C88" s="36">
        <v>45838.0</v>
      </c>
      <c r="D88" s="29" t="s">
        <v>12</v>
      </c>
      <c r="E88" s="28">
        <v>15.0</v>
      </c>
      <c r="F88" s="28">
        <v>0.53</v>
      </c>
      <c r="G88" s="29">
        <v>0.0</v>
      </c>
      <c r="H88" s="29">
        <v>0.0</v>
      </c>
    </row>
    <row r="89" ht="22.5" customHeight="1">
      <c r="A89" s="35" t="s">
        <v>158</v>
      </c>
      <c r="B89" s="29">
        <v>6.59</v>
      </c>
      <c r="C89" s="36">
        <v>45840.0</v>
      </c>
      <c r="D89" s="29" t="s">
        <v>13</v>
      </c>
      <c r="E89" s="28">
        <v>2.0</v>
      </c>
      <c r="F89" s="28">
        <v>3.29</v>
      </c>
      <c r="G89" s="29">
        <v>0.0</v>
      </c>
      <c r="H89" s="29">
        <v>0.0</v>
      </c>
    </row>
    <row r="90" ht="22.5" customHeight="1">
      <c r="A90" s="35" t="s">
        <v>159</v>
      </c>
      <c r="B90" s="29">
        <v>5.95</v>
      </c>
      <c r="C90" s="36">
        <v>45840.0</v>
      </c>
      <c r="D90" s="29" t="s">
        <v>75</v>
      </c>
      <c r="E90" s="28">
        <v>23.0</v>
      </c>
      <c r="F90" s="28">
        <v>0.26</v>
      </c>
      <c r="G90" s="29">
        <v>0.0</v>
      </c>
      <c r="H90" s="29">
        <v>0.0</v>
      </c>
    </row>
    <row r="91" ht="22.5" customHeight="1">
      <c r="A91" s="35" t="s">
        <v>160</v>
      </c>
      <c r="B91" s="29">
        <v>11.79</v>
      </c>
      <c r="C91" s="36">
        <v>45840.0</v>
      </c>
      <c r="D91" s="29" t="s">
        <v>12</v>
      </c>
      <c r="E91" s="28">
        <v>9.0</v>
      </c>
      <c r="F91" s="28">
        <v>1.31</v>
      </c>
      <c r="G91" s="29">
        <v>0.0</v>
      </c>
      <c r="H91" s="29">
        <v>0.0</v>
      </c>
    </row>
    <row r="92" ht="22.5" customHeight="1">
      <c r="A92" s="35" t="s">
        <v>161</v>
      </c>
      <c r="B92" s="29">
        <v>7.64</v>
      </c>
      <c r="C92" s="36">
        <v>45840.0</v>
      </c>
      <c r="D92" s="29" t="s">
        <v>12</v>
      </c>
      <c r="E92" s="28">
        <v>17.0</v>
      </c>
      <c r="F92" s="28">
        <v>0.45</v>
      </c>
      <c r="G92" s="29">
        <v>0.0</v>
      </c>
      <c r="H92" s="29">
        <v>0.0</v>
      </c>
    </row>
    <row r="93" ht="22.5" customHeight="1">
      <c r="A93" s="35" t="s">
        <v>162</v>
      </c>
      <c r="B93" s="29">
        <v>154.95</v>
      </c>
      <c r="C93" s="36">
        <v>45880.0</v>
      </c>
      <c r="D93" s="29" t="s">
        <v>51</v>
      </c>
      <c r="E93" s="28">
        <v>123.0</v>
      </c>
      <c r="F93" s="28">
        <v>1.26</v>
      </c>
      <c r="G93" s="29">
        <v>0.0</v>
      </c>
      <c r="H93" s="29">
        <v>0.0</v>
      </c>
    </row>
    <row r="94" ht="22.5" customHeight="1">
      <c r="A94" s="35" t="s">
        <v>163</v>
      </c>
      <c r="B94" s="29">
        <v>20.97</v>
      </c>
      <c r="C94" s="36">
        <v>45880.0</v>
      </c>
      <c r="D94" s="29" t="s">
        <v>12</v>
      </c>
      <c r="E94" s="28">
        <v>29.0</v>
      </c>
      <c r="F94" s="28">
        <v>0.72</v>
      </c>
      <c r="G94" s="29">
        <v>0.0</v>
      </c>
      <c r="H94" s="29">
        <v>0.0</v>
      </c>
    </row>
    <row r="95" ht="22.5" customHeight="1">
      <c r="A95" s="35" t="s">
        <v>164</v>
      </c>
      <c r="B95" s="29">
        <v>6.99</v>
      </c>
      <c r="C95" s="36">
        <v>45880.0</v>
      </c>
      <c r="D95" s="29" t="s">
        <v>12</v>
      </c>
      <c r="E95" s="28">
        <v>5.0</v>
      </c>
      <c r="F95" s="28">
        <v>1.4</v>
      </c>
      <c r="G95" s="29">
        <v>0.0</v>
      </c>
      <c r="H95" s="29">
        <v>0.0</v>
      </c>
    </row>
    <row r="96" ht="22.5" customHeight="1">
      <c r="A96" s="35" t="s">
        <v>165</v>
      </c>
      <c r="B96" s="29">
        <v>24.99</v>
      </c>
      <c r="C96" s="36">
        <v>45878.0</v>
      </c>
      <c r="D96" s="29" t="s">
        <v>12</v>
      </c>
      <c r="E96" s="27">
        <f>COUNTIF('Form responses 1'!$B$2:$G991, A96)
</f>
        <v>8</v>
      </c>
      <c r="F96" s="27">
        <f t="shared" ref="F96:F97" si="10">IFERROR(ROUND((B96-H96)/E96,2),B96)</f>
        <v>3.12</v>
      </c>
      <c r="G96" s="29">
        <v>0.0</v>
      </c>
      <c r="H96" s="29">
        <v>0.0</v>
      </c>
    </row>
    <row r="97" ht="22.5" customHeight="1">
      <c r="A97" s="35" t="s">
        <v>166</v>
      </c>
      <c r="B97" s="29">
        <v>17.99</v>
      </c>
      <c r="C97" s="36">
        <v>45878.0</v>
      </c>
      <c r="D97" s="29" t="s">
        <v>12</v>
      </c>
      <c r="E97" s="27">
        <f>COUNTIF('Form responses 1'!$B$2:$G991, A97)
</f>
        <v>2</v>
      </c>
      <c r="F97" s="27">
        <f t="shared" si="10"/>
        <v>9</v>
      </c>
      <c r="G97" s="29">
        <v>0.0</v>
      </c>
      <c r="H97" s="29">
        <v>0.0</v>
      </c>
    </row>
    <row r="98" ht="22.5" customHeight="1">
      <c r="A98" s="35" t="s">
        <v>167</v>
      </c>
      <c r="B98" s="29">
        <v>22.98</v>
      </c>
      <c r="C98" s="36">
        <v>45878.0</v>
      </c>
      <c r="D98" s="29" t="s">
        <v>75</v>
      </c>
      <c r="E98" s="28">
        <v>63.0</v>
      </c>
      <c r="F98" s="28">
        <v>0.36</v>
      </c>
      <c r="G98" s="29">
        <v>0.0</v>
      </c>
      <c r="H98" s="29">
        <v>0.0</v>
      </c>
    </row>
    <row r="99" ht="22.5" customHeight="1">
      <c r="A99" s="35" t="s">
        <v>168</v>
      </c>
      <c r="B99" s="29">
        <v>34.99</v>
      </c>
      <c r="C99" s="36">
        <v>45878.0</v>
      </c>
      <c r="D99" s="29" t="s">
        <v>75</v>
      </c>
      <c r="E99" s="27">
        <f>COUNTIF('Form responses 1'!$B$2:$G991, A99)
</f>
        <v>9</v>
      </c>
      <c r="F99" s="27">
        <f t="shared" ref="F99:F101" si="11">IFERROR(ROUND((B99-H99)/E99,2),B99)</f>
        <v>3.89</v>
      </c>
      <c r="G99" s="29">
        <v>0.0</v>
      </c>
      <c r="H99" s="29">
        <v>0.0</v>
      </c>
    </row>
    <row r="100" ht="22.5" customHeight="1">
      <c r="A100" s="35" t="s">
        <v>169</v>
      </c>
      <c r="B100" s="29">
        <v>49.99</v>
      </c>
      <c r="C100" s="36">
        <v>45577.0</v>
      </c>
      <c r="D100" s="29" t="s">
        <v>75</v>
      </c>
      <c r="E100" s="27">
        <f>COUNTIF('Form responses 1'!$B$2:$G991, A100)
</f>
        <v>6</v>
      </c>
      <c r="F100" s="27">
        <f t="shared" si="11"/>
        <v>8.33</v>
      </c>
      <c r="G100" s="29">
        <v>0.0</v>
      </c>
      <c r="H100" s="29">
        <v>0.0</v>
      </c>
    </row>
    <row r="101" ht="22.5" customHeight="1">
      <c r="A101" s="35" t="s">
        <v>170</v>
      </c>
      <c r="B101" s="29">
        <v>32.33</v>
      </c>
      <c r="C101" s="36">
        <v>45904.0</v>
      </c>
      <c r="D101" s="29" t="s">
        <v>49</v>
      </c>
      <c r="E101" s="27">
        <f>COUNTIF('Form responses 1'!$B$2:$G991, A101)
</f>
        <v>1</v>
      </c>
      <c r="F101" s="27">
        <f t="shared" si="11"/>
        <v>32.33</v>
      </c>
      <c r="G101" s="29">
        <v>0.0</v>
      </c>
      <c r="H101" s="29">
        <v>0.0</v>
      </c>
    </row>
    <row r="102" ht="22.5" customHeight="1">
      <c r="A102" s="35" t="s">
        <v>171</v>
      </c>
      <c r="B102" s="29">
        <v>64.66</v>
      </c>
      <c r="C102" s="36">
        <v>45904.0</v>
      </c>
      <c r="D102" s="29" t="s">
        <v>49</v>
      </c>
      <c r="E102" s="28">
        <v>54.0</v>
      </c>
      <c r="F102" s="28">
        <v>1.2</v>
      </c>
      <c r="G102" s="29">
        <v>0.0</v>
      </c>
      <c r="H102" s="29">
        <v>0.0</v>
      </c>
    </row>
    <row r="103" ht="22.5" customHeight="1">
      <c r="A103" s="35" t="s">
        <v>172</v>
      </c>
      <c r="B103" s="29">
        <v>32.33</v>
      </c>
      <c r="C103" s="36">
        <v>45904.0</v>
      </c>
      <c r="D103" s="29" t="s">
        <v>49</v>
      </c>
      <c r="E103" s="28">
        <v>18.0</v>
      </c>
      <c r="F103" s="28">
        <v>1.8</v>
      </c>
      <c r="G103" s="29">
        <v>0.0</v>
      </c>
      <c r="H103" s="29">
        <v>0.0</v>
      </c>
    </row>
    <row r="104" ht="22.5" customHeight="1">
      <c r="A104" s="35" t="s">
        <v>173</v>
      </c>
      <c r="B104" s="29">
        <v>29.19</v>
      </c>
      <c r="C104" s="36">
        <v>45901.0</v>
      </c>
      <c r="D104" s="29" t="s">
        <v>75</v>
      </c>
      <c r="E104" s="28">
        <v>13.0</v>
      </c>
      <c r="F104" s="28">
        <v>2.25</v>
      </c>
      <c r="G104" s="29">
        <v>0.0</v>
      </c>
      <c r="H104" s="29">
        <v>0.0</v>
      </c>
    </row>
    <row r="105" ht="22.5" customHeight="1">
      <c r="A105" s="35" t="s">
        <v>174</v>
      </c>
      <c r="B105" s="29">
        <v>97.0</v>
      </c>
      <c r="C105" s="36">
        <v>45904.0</v>
      </c>
      <c r="D105" s="29" t="s">
        <v>75</v>
      </c>
      <c r="E105" s="28">
        <v>44.0</v>
      </c>
      <c r="F105" s="28">
        <v>2.2</v>
      </c>
      <c r="G105" s="29">
        <v>0.0</v>
      </c>
      <c r="H105" s="29">
        <v>0.0</v>
      </c>
    </row>
    <row r="106" ht="22.5" customHeight="1">
      <c r="A106" s="35" t="s">
        <v>175</v>
      </c>
      <c r="B106" s="29">
        <v>97.0</v>
      </c>
      <c r="C106" s="36">
        <v>45904.0</v>
      </c>
      <c r="D106" s="29" t="s">
        <v>13</v>
      </c>
      <c r="E106" s="28">
        <v>42.0</v>
      </c>
      <c r="F106" s="28">
        <v>2.31</v>
      </c>
      <c r="G106" s="29">
        <v>0.0</v>
      </c>
      <c r="H106" s="29">
        <v>0.0</v>
      </c>
    </row>
    <row r="107" ht="22.5" customHeight="1">
      <c r="A107" s="35" t="s">
        <v>176</v>
      </c>
      <c r="B107" s="29">
        <v>44.95</v>
      </c>
      <c r="C107" s="36">
        <v>45962.0</v>
      </c>
      <c r="D107" s="29" t="s">
        <v>75</v>
      </c>
      <c r="E107" s="37">
        <v>2.0</v>
      </c>
      <c r="F107" s="37">
        <v>22.48</v>
      </c>
      <c r="G107" s="29">
        <v>0.0</v>
      </c>
      <c r="H107" s="29">
        <v>0.0</v>
      </c>
    </row>
    <row r="108" ht="22.5" customHeight="1">
      <c r="A108" s="35" t="s">
        <v>177</v>
      </c>
      <c r="B108" s="29">
        <v>79.95</v>
      </c>
      <c r="C108" s="36">
        <v>45962.0</v>
      </c>
      <c r="D108" s="29" t="s">
        <v>13</v>
      </c>
      <c r="E108" s="37">
        <v>2.0</v>
      </c>
      <c r="F108" s="37">
        <v>39.98</v>
      </c>
      <c r="G108" s="29">
        <v>0.0</v>
      </c>
      <c r="H108" s="29">
        <v>0.0</v>
      </c>
    </row>
    <row r="109" ht="22.5" customHeight="1">
      <c r="A109" s="35" t="s">
        <v>178</v>
      </c>
      <c r="B109" s="29">
        <v>29.95</v>
      </c>
      <c r="C109" s="36">
        <v>45962.0</v>
      </c>
      <c r="D109" s="29" t="s">
        <v>49</v>
      </c>
      <c r="E109" s="37">
        <v>2.0</v>
      </c>
      <c r="F109" s="37">
        <v>14.97</v>
      </c>
      <c r="G109" s="29">
        <v>0.0</v>
      </c>
      <c r="H109" s="29">
        <v>0.0</v>
      </c>
    </row>
    <row r="110" ht="22.5" customHeight="1">
      <c r="A110" s="35" t="s">
        <v>179</v>
      </c>
      <c r="B110" s="29">
        <v>99.95</v>
      </c>
      <c r="C110" s="36">
        <v>45962.0</v>
      </c>
      <c r="D110" s="29" t="s">
        <v>51</v>
      </c>
      <c r="E110" s="37">
        <v>5.0</v>
      </c>
      <c r="F110" s="37">
        <v>19.99</v>
      </c>
      <c r="G110" s="29">
        <v>0.0</v>
      </c>
      <c r="H110" s="29">
        <v>0.0</v>
      </c>
    </row>
    <row r="111">
      <c r="A111" s="3"/>
      <c r="C111" s="38"/>
    </row>
    <row r="112">
      <c r="A112" s="3"/>
      <c r="C112" s="38"/>
    </row>
    <row r="113">
      <c r="A113" s="3"/>
      <c r="C113" s="38"/>
    </row>
    <row r="114">
      <c r="A114" s="3"/>
      <c r="C114" s="38"/>
    </row>
    <row r="115">
      <c r="A115" s="3"/>
      <c r="C115" s="38"/>
    </row>
    <row r="116">
      <c r="A116" s="3"/>
      <c r="C116" s="38"/>
    </row>
    <row r="117">
      <c r="A117" s="3"/>
      <c r="C117" s="38"/>
    </row>
    <row r="118">
      <c r="A118" s="3"/>
      <c r="C118" s="38"/>
    </row>
    <row r="119">
      <c r="A119" s="3"/>
      <c r="C119" s="38"/>
    </row>
    <row r="120">
      <c r="A120" s="3"/>
      <c r="C120" s="38"/>
    </row>
    <row r="121">
      <c r="A121" s="3"/>
      <c r="C121" s="38"/>
    </row>
    <row r="122">
      <c r="A122" s="3"/>
      <c r="C122" s="38"/>
    </row>
    <row r="123">
      <c r="A123" s="3"/>
      <c r="C123" s="38"/>
    </row>
    <row r="124">
      <c r="A124" s="3"/>
      <c r="C124" s="38"/>
    </row>
    <row r="125">
      <c r="A125" s="3"/>
      <c r="C125" s="38"/>
    </row>
    <row r="126">
      <c r="A126" s="3"/>
      <c r="C126" s="38"/>
    </row>
    <row r="127">
      <c r="A127" s="3"/>
      <c r="C127" s="38"/>
    </row>
    <row r="128">
      <c r="A128" s="3"/>
      <c r="C128" s="38"/>
    </row>
    <row r="129">
      <c r="A129" s="3"/>
      <c r="C129" s="38"/>
    </row>
    <row r="130">
      <c r="A130" s="3"/>
      <c r="C130" s="38"/>
    </row>
    <row r="131">
      <c r="A131" s="3"/>
      <c r="C131" s="38"/>
    </row>
    <row r="132">
      <c r="A132" s="3"/>
      <c r="C132" s="38"/>
    </row>
    <row r="133">
      <c r="A133" s="3"/>
      <c r="C133" s="38"/>
    </row>
    <row r="134">
      <c r="A134" s="3"/>
      <c r="C134" s="38"/>
    </row>
    <row r="135">
      <c r="A135" s="3"/>
      <c r="C135" s="38"/>
    </row>
    <row r="136">
      <c r="A136" s="3"/>
      <c r="C136" s="38"/>
    </row>
    <row r="137">
      <c r="A137" s="3"/>
      <c r="C137" s="38"/>
    </row>
    <row r="138">
      <c r="A138" s="3"/>
      <c r="C138" s="38"/>
    </row>
    <row r="139">
      <c r="A139" s="3"/>
      <c r="C139" s="38"/>
    </row>
    <row r="140">
      <c r="A140" s="3"/>
      <c r="C140" s="38"/>
    </row>
    <row r="141">
      <c r="A141" s="3"/>
      <c r="C141" s="38"/>
    </row>
    <row r="142">
      <c r="A142" s="3"/>
      <c r="C142" s="38"/>
    </row>
    <row r="143">
      <c r="A143" s="3"/>
      <c r="C143" s="38"/>
    </row>
    <row r="144">
      <c r="A144" s="3"/>
      <c r="C144" s="38"/>
    </row>
    <row r="145">
      <c r="A145" s="3"/>
      <c r="C145" s="38"/>
    </row>
    <row r="146">
      <c r="A146" s="3"/>
      <c r="C146" s="38"/>
    </row>
    <row r="147">
      <c r="A147" s="3"/>
      <c r="C147" s="38"/>
    </row>
    <row r="148">
      <c r="A148" s="3"/>
      <c r="C148" s="38"/>
    </row>
    <row r="149">
      <c r="A149" s="3"/>
      <c r="C149" s="38"/>
    </row>
    <row r="150">
      <c r="A150" s="3"/>
      <c r="C150" s="38"/>
    </row>
    <row r="151">
      <c r="A151" s="3"/>
      <c r="C151" s="38"/>
    </row>
    <row r="152">
      <c r="A152" s="3"/>
      <c r="C152" s="38"/>
    </row>
    <row r="153">
      <c r="A153" s="3"/>
      <c r="C153" s="38"/>
    </row>
    <row r="154">
      <c r="A154" s="3"/>
      <c r="C154" s="38"/>
    </row>
    <row r="155">
      <c r="A155" s="3"/>
      <c r="C155" s="38"/>
    </row>
    <row r="156">
      <c r="A156" s="3"/>
      <c r="C156" s="38"/>
    </row>
    <row r="157">
      <c r="A157" s="3"/>
      <c r="C157" s="38"/>
    </row>
    <row r="158">
      <c r="A158" s="3"/>
      <c r="C158" s="38"/>
    </row>
    <row r="159">
      <c r="A159" s="3"/>
      <c r="C159" s="38"/>
    </row>
    <row r="160">
      <c r="A160" s="3"/>
      <c r="C160" s="38"/>
    </row>
    <row r="161">
      <c r="A161" s="3"/>
      <c r="C161" s="38"/>
    </row>
    <row r="162">
      <c r="A162" s="3"/>
      <c r="C162" s="38"/>
    </row>
    <row r="163">
      <c r="A163" s="3"/>
      <c r="C163" s="38"/>
    </row>
    <row r="164">
      <c r="A164" s="3"/>
      <c r="C164" s="38"/>
    </row>
    <row r="165">
      <c r="A165" s="3"/>
      <c r="C165" s="38"/>
    </row>
    <row r="166">
      <c r="A166" s="3"/>
      <c r="C166" s="38"/>
    </row>
    <row r="167">
      <c r="A167" s="3"/>
      <c r="C167" s="38"/>
    </row>
    <row r="168">
      <c r="A168" s="3"/>
      <c r="C168" s="38"/>
    </row>
    <row r="169">
      <c r="A169" s="3"/>
      <c r="C169" s="38"/>
    </row>
    <row r="170">
      <c r="A170" s="3"/>
      <c r="C170" s="38"/>
    </row>
    <row r="171">
      <c r="A171" s="3"/>
      <c r="C171" s="38"/>
    </row>
    <row r="172">
      <c r="A172" s="3"/>
      <c r="C172" s="38"/>
    </row>
    <row r="173">
      <c r="A173" s="3"/>
      <c r="C173" s="38"/>
    </row>
    <row r="174">
      <c r="A174" s="3"/>
      <c r="C174" s="38"/>
    </row>
    <row r="175">
      <c r="A175" s="3"/>
      <c r="C175" s="38"/>
    </row>
    <row r="176">
      <c r="A176" s="3"/>
      <c r="C176" s="38"/>
    </row>
    <row r="177">
      <c r="A177" s="3"/>
      <c r="C177" s="38"/>
    </row>
    <row r="178">
      <c r="A178" s="3"/>
      <c r="C178" s="38"/>
    </row>
    <row r="179">
      <c r="A179" s="3"/>
      <c r="C179" s="38"/>
    </row>
    <row r="180">
      <c r="A180" s="3"/>
      <c r="C180" s="38"/>
    </row>
    <row r="181">
      <c r="A181" s="3"/>
      <c r="C181" s="38"/>
    </row>
    <row r="182">
      <c r="A182" s="3"/>
      <c r="C182" s="38"/>
    </row>
    <row r="183">
      <c r="A183" s="3"/>
      <c r="C183" s="38"/>
    </row>
    <row r="184">
      <c r="A184" s="3"/>
      <c r="C184" s="38"/>
    </row>
    <row r="185">
      <c r="A185" s="3"/>
      <c r="C185" s="38"/>
    </row>
    <row r="186">
      <c r="A186" s="3"/>
      <c r="C186" s="38"/>
    </row>
    <row r="187">
      <c r="A187" s="3"/>
      <c r="C187" s="38"/>
    </row>
    <row r="188">
      <c r="A188" s="3"/>
      <c r="C188" s="38"/>
    </row>
    <row r="189">
      <c r="A189" s="3"/>
      <c r="C189" s="38"/>
    </row>
    <row r="190">
      <c r="A190" s="3"/>
      <c r="C190" s="38"/>
    </row>
    <row r="191">
      <c r="A191" s="3"/>
      <c r="C191" s="38"/>
    </row>
    <row r="192">
      <c r="A192" s="3"/>
      <c r="C192" s="38"/>
    </row>
    <row r="193">
      <c r="A193" s="3"/>
      <c r="C193" s="38"/>
    </row>
    <row r="194">
      <c r="A194" s="3"/>
      <c r="C194" s="38"/>
    </row>
    <row r="195">
      <c r="A195" s="3"/>
      <c r="C195" s="38"/>
    </row>
    <row r="196">
      <c r="A196" s="3"/>
      <c r="C196" s="38"/>
    </row>
    <row r="197">
      <c r="A197" s="3"/>
      <c r="C197" s="38"/>
    </row>
    <row r="198">
      <c r="A198" s="3"/>
      <c r="C198" s="38"/>
    </row>
    <row r="199">
      <c r="A199" s="3"/>
      <c r="C199" s="38"/>
    </row>
    <row r="200">
      <c r="A200" s="3"/>
      <c r="C200" s="38"/>
    </row>
    <row r="201">
      <c r="A201" s="3"/>
      <c r="C201" s="38"/>
    </row>
    <row r="202">
      <c r="A202" s="3"/>
      <c r="C202" s="38"/>
    </row>
    <row r="203">
      <c r="A203" s="3"/>
      <c r="C203" s="38"/>
    </row>
    <row r="204">
      <c r="A204" s="3"/>
      <c r="C204" s="38"/>
    </row>
    <row r="205">
      <c r="A205" s="3"/>
      <c r="C205" s="38"/>
    </row>
    <row r="206">
      <c r="A206" s="3"/>
      <c r="C206" s="38"/>
    </row>
    <row r="207">
      <c r="A207" s="3"/>
      <c r="C207" s="38"/>
    </row>
    <row r="208">
      <c r="A208" s="3"/>
      <c r="C208" s="38"/>
    </row>
    <row r="209">
      <c r="A209" s="3"/>
      <c r="C209" s="38"/>
    </row>
    <row r="210">
      <c r="A210" s="3"/>
      <c r="C210" s="38"/>
    </row>
    <row r="211">
      <c r="A211" s="3"/>
      <c r="C211" s="38"/>
    </row>
    <row r="212">
      <c r="A212" s="3"/>
      <c r="C212" s="38"/>
    </row>
    <row r="213">
      <c r="A213" s="3"/>
      <c r="C213" s="38"/>
    </row>
    <row r="214">
      <c r="A214" s="3"/>
      <c r="C214" s="38"/>
    </row>
    <row r="215">
      <c r="A215" s="3"/>
      <c r="C215" s="38"/>
    </row>
    <row r="216">
      <c r="A216" s="3"/>
      <c r="C216" s="38"/>
    </row>
    <row r="217">
      <c r="A217" s="3"/>
      <c r="C217" s="38"/>
    </row>
    <row r="218">
      <c r="A218" s="3"/>
      <c r="C218" s="38"/>
    </row>
    <row r="219">
      <c r="A219" s="3"/>
      <c r="C219" s="38"/>
    </row>
    <row r="220">
      <c r="A220" s="3"/>
      <c r="C220" s="38"/>
    </row>
    <row r="221">
      <c r="A221" s="3"/>
      <c r="C221" s="38"/>
    </row>
    <row r="222">
      <c r="A222" s="3"/>
      <c r="C222" s="38"/>
    </row>
    <row r="223">
      <c r="A223" s="3"/>
      <c r="C223" s="38"/>
    </row>
    <row r="224">
      <c r="A224" s="3"/>
      <c r="C224" s="38"/>
    </row>
    <row r="225">
      <c r="A225" s="3"/>
      <c r="C225" s="38"/>
    </row>
    <row r="226">
      <c r="A226" s="3"/>
      <c r="C226" s="38"/>
    </row>
    <row r="227">
      <c r="A227" s="3"/>
      <c r="C227" s="38"/>
    </row>
    <row r="228">
      <c r="A228" s="3"/>
      <c r="C228" s="38"/>
    </row>
    <row r="229">
      <c r="A229" s="3"/>
      <c r="C229" s="38"/>
    </row>
    <row r="230">
      <c r="A230" s="3"/>
      <c r="C230" s="38"/>
    </row>
    <row r="231">
      <c r="A231" s="3"/>
      <c r="C231" s="38"/>
    </row>
    <row r="232">
      <c r="A232" s="3"/>
      <c r="C232" s="38"/>
    </row>
    <row r="233">
      <c r="A233" s="3"/>
      <c r="C233" s="38"/>
    </row>
    <row r="234">
      <c r="A234" s="3"/>
      <c r="C234" s="38"/>
    </row>
    <row r="235">
      <c r="A235" s="3"/>
      <c r="C235" s="38"/>
    </row>
    <row r="236">
      <c r="A236" s="3"/>
      <c r="C236" s="38"/>
    </row>
    <row r="237">
      <c r="A237" s="3"/>
      <c r="C237" s="38"/>
    </row>
    <row r="238">
      <c r="A238" s="3"/>
      <c r="C238" s="38"/>
    </row>
    <row r="239">
      <c r="A239" s="3"/>
      <c r="C239" s="38"/>
    </row>
    <row r="240">
      <c r="A240" s="3"/>
      <c r="C240" s="38"/>
    </row>
    <row r="241">
      <c r="A241" s="3"/>
      <c r="C241" s="38"/>
    </row>
    <row r="242">
      <c r="A242" s="3"/>
      <c r="C242" s="38"/>
    </row>
    <row r="243">
      <c r="A243" s="3"/>
      <c r="C243" s="38"/>
    </row>
    <row r="244">
      <c r="A244" s="3"/>
      <c r="C244" s="38"/>
    </row>
    <row r="245">
      <c r="A245" s="3"/>
      <c r="C245" s="38"/>
    </row>
    <row r="246">
      <c r="A246" s="3"/>
      <c r="C246" s="38"/>
    </row>
    <row r="247">
      <c r="A247" s="3"/>
      <c r="C247" s="38"/>
    </row>
    <row r="248">
      <c r="A248" s="3"/>
      <c r="C248" s="38"/>
    </row>
    <row r="249">
      <c r="A249" s="3"/>
      <c r="C249" s="38"/>
    </row>
    <row r="250">
      <c r="A250" s="3"/>
      <c r="C250" s="38"/>
    </row>
    <row r="251">
      <c r="A251" s="3"/>
      <c r="C251" s="38"/>
    </row>
    <row r="252">
      <c r="A252" s="3"/>
      <c r="C252" s="38"/>
    </row>
    <row r="253">
      <c r="A253" s="3"/>
      <c r="C253" s="38"/>
    </row>
    <row r="254">
      <c r="A254" s="3"/>
      <c r="C254" s="38"/>
    </row>
    <row r="255">
      <c r="A255" s="3"/>
      <c r="C255" s="38"/>
    </row>
    <row r="256">
      <c r="A256" s="3"/>
      <c r="C256" s="38"/>
    </row>
    <row r="257">
      <c r="A257" s="3"/>
      <c r="C257" s="38"/>
    </row>
    <row r="258">
      <c r="A258" s="3"/>
      <c r="C258" s="38"/>
    </row>
    <row r="259">
      <c r="A259" s="3"/>
      <c r="C259" s="38"/>
    </row>
    <row r="260">
      <c r="A260" s="3"/>
      <c r="C260" s="38"/>
    </row>
    <row r="261">
      <c r="A261" s="3"/>
      <c r="C261" s="38"/>
    </row>
    <row r="262">
      <c r="A262" s="3"/>
      <c r="C262" s="38"/>
    </row>
    <row r="263">
      <c r="A263" s="3"/>
      <c r="C263" s="38"/>
    </row>
    <row r="264">
      <c r="A264" s="3"/>
      <c r="C264" s="38"/>
    </row>
    <row r="265">
      <c r="A265" s="3"/>
      <c r="C265" s="38"/>
    </row>
    <row r="266">
      <c r="A266" s="3"/>
      <c r="C266" s="38"/>
    </row>
    <row r="267">
      <c r="A267" s="3"/>
      <c r="C267" s="38"/>
    </row>
    <row r="268">
      <c r="A268" s="3"/>
      <c r="C268" s="38"/>
    </row>
    <row r="269">
      <c r="A269" s="3"/>
      <c r="C269" s="38"/>
    </row>
    <row r="270">
      <c r="A270" s="3"/>
      <c r="C270" s="38"/>
    </row>
    <row r="271">
      <c r="A271" s="3"/>
      <c r="C271" s="38"/>
    </row>
    <row r="272">
      <c r="A272" s="3"/>
      <c r="C272" s="38"/>
    </row>
    <row r="273">
      <c r="A273" s="3"/>
      <c r="C273" s="38"/>
    </row>
    <row r="274">
      <c r="A274" s="3"/>
      <c r="C274" s="38"/>
    </row>
    <row r="275">
      <c r="A275" s="3"/>
      <c r="C275" s="38"/>
    </row>
    <row r="276">
      <c r="A276" s="3"/>
      <c r="C276" s="38"/>
    </row>
    <row r="277">
      <c r="A277" s="3"/>
      <c r="C277" s="38"/>
    </row>
    <row r="278">
      <c r="A278" s="3"/>
      <c r="C278" s="38"/>
    </row>
    <row r="279">
      <c r="A279" s="3"/>
      <c r="C279" s="38"/>
    </row>
    <row r="280">
      <c r="A280" s="3"/>
      <c r="C280" s="38"/>
    </row>
    <row r="281">
      <c r="A281" s="3"/>
      <c r="C281" s="38"/>
    </row>
    <row r="282">
      <c r="A282" s="3"/>
      <c r="C282" s="38"/>
    </row>
    <row r="283">
      <c r="A283" s="3"/>
      <c r="C283" s="38"/>
    </row>
    <row r="284">
      <c r="A284" s="3"/>
      <c r="C284" s="38"/>
    </row>
    <row r="285">
      <c r="A285" s="3"/>
      <c r="C285" s="38"/>
    </row>
    <row r="286">
      <c r="A286" s="3"/>
      <c r="C286" s="38"/>
    </row>
    <row r="287">
      <c r="A287" s="3"/>
      <c r="C287" s="38"/>
    </row>
    <row r="288">
      <c r="A288" s="3"/>
      <c r="C288" s="38"/>
    </row>
    <row r="289">
      <c r="A289" s="3"/>
      <c r="C289" s="38"/>
    </row>
    <row r="290">
      <c r="A290" s="3"/>
      <c r="C290" s="38"/>
    </row>
    <row r="291">
      <c r="A291" s="3"/>
      <c r="C291" s="38"/>
    </row>
    <row r="292">
      <c r="A292" s="3"/>
      <c r="C292" s="38"/>
    </row>
    <row r="293">
      <c r="A293" s="3"/>
      <c r="C293" s="38"/>
    </row>
    <row r="294">
      <c r="A294" s="3"/>
      <c r="C294" s="38"/>
    </row>
    <row r="295">
      <c r="A295" s="3"/>
      <c r="C295" s="38"/>
    </row>
    <row r="296">
      <c r="A296" s="3"/>
      <c r="C296" s="38"/>
    </row>
    <row r="297">
      <c r="A297" s="3"/>
      <c r="C297" s="38"/>
    </row>
    <row r="298">
      <c r="A298" s="3"/>
      <c r="C298" s="38"/>
    </row>
    <row r="299">
      <c r="A299" s="3"/>
      <c r="C299" s="38"/>
    </row>
    <row r="300">
      <c r="A300" s="3"/>
      <c r="C300" s="38"/>
    </row>
    <row r="301">
      <c r="A301" s="3"/>
      <c r="C301" s="38"/>
    </row>
    <row r="302">
      <c r="A302" s="3"/>
      <c r="C302" s="38"/>
    </row>
    <row r="303">
      <c r="A303" s="3"/>
      <c r="C303" s="38"/>
    </row>
    <row r="304">
      <c r="A304" s="3"/>
      <c r="C304" s="38"/>
    </row>
    <row r="305">
      <c r="A305" s="3"/>
      <c r="C305" s="38"/>
    </row>
    <row r="306">
      <c r="A306" s="3"/>
      <c r="C306" s="38"/>
    </row>
    <row r="307">
      <c r="A307" s="3"/>
      <c r="C307" s="38"/>
    </row>
    <row r="308">
      <c r="A308" s="3"/>
      <c r="C308" s="38"/>
    </row>
    <row r="309">
      <c r="A309" s="3"/>
      <c r="C309" s="38"/>
    </row>
    <row r="310">
      <c r="A310" s="3"/>
      <c r="C310" s="38"/>
    </row>
    <row r="311">
      <c r="A311" s="3"/>
      <c r="C311" s="38"/>
    </row>
    <row r="312">
      <c r="A312" s="3"/>
      <c r="C312" s="38"/>
    </row>
    <row r="313">
      <c r="A313" s="3"/>
      <c r="C313" s="38"/>
    </row>
    <row r="314">
      <c r="A314" s="3"/>
      <c r="C314" s="38"/>
    </row>
    <row r="315">
      <c r="A315" s="3"/>
      <c r="C315" s="38"/>
    </row>
    <row r="316">
      <c r="A316" s="3"/>
      <c r="C316" s="38"/>
    </row>
    <row r="317">
      <c r="A317" s="3"/>
      <c r="C317" s="38"/>
    </row>
    <row r="318">
      <c r="A318" s="3"/>
      <c r="C318" s="38"/>
    </row>
    <row r="319">
      <c r="A319" s="3"/>
      <c r="C319" s="38"/>
    </row>
    <row r="320">
      <c r="A320" s="3"/>
      <c r="C320" s="38"/>
    </row>
    <row r="321">
      <c r="A321" s="3"/>
      <c r="C321" s="38"/>
    </row>
    <row r="322">
      <c r="A322" s="3"/>
      <c r="C322" s="38"/>
    </row>
    <row r="323">
      <c r="A323" s="3"/>
      <c r="C323" s="38"/>
    </row>
    <row r="324">
      <c r="A324" s="3"/>
      <c r="C324" s="38"/>
    </row>
    <row r="325">
      <c r="A325" s="3"/>
      <c r="C325" s="38"/>
    </row>
    <row r="326">
      <c r="A326" s="3"/>
      <c r="C326" s="38"/>
    </row>
    <row r="327">
      <c r="A327" s="3"/>
      <c r="C327" s="38"/>
    </row>
    <row r="328">
      <c r="A328" s="3"/>
      <c r="C328" s="38"/>
    </row>
    <row r="329">
      <c r="A329" s="3"/>
      <c r="C329" s="38"/>
    </row>
    <row r="330">
      <c r="A330" s="3"/>
      <c r="C330" s="38"/>
    </row>
    <row r="331">
      <c r="A331" s="3"/>
      <c r="C331" s="38"/>
    </row>
    <row r="332">
      <c r="A332" s="3"/>
      <c r="C332" s="38"/>
    </row>
    <row r="333">
      <c r="A333" s="3"/>
      <c r="C333" s="38"/>
    </row>
    <row r="334">
      <c r="A334" s="3"/>
      <c r="C334" s="38"/>
    </row>
    <row r="335">
      <c r="A335" s="3"/>
      <c r="C335" s="38"/>
    </row>
    <row r="336">
      <c r="A336" s="3"/>
      <c r="C336" s="38"/>
    </row>
    <row r="337">
      <c r="A337" s="3"/>
      <c r="C337" s="38"/>
    </row>
    <row r="338">
      <c r="A338" s="3"/>
      <c r="C338" s="38"/>
    </row>
    <row r="339">
      <c r="A339" s="3"/>
      <c r="C339" s="38"/>
    </row>
    <row r="340">
      <c r="A340" s="3"/>
      <c r="C340" s="38"/>
    </row>
    <row r="341">
      <c r="A341" s="3"/>
      <c r="C341" s="38"/>
    </row>
    <row r="342">
      <c r="A342" s="3"/>
      <c r="C342" s="38"/>
    </row>
    <row r="343">
      <c r="A343" s="3"/>
      <c r="C343" s="38"/>
    </row>
    <row r="344">
      <c r="A344" s="3"/>
      <c r="C344" s="38"/>
    </row>
    <row r="345">
      <c r="A345" s="3"/>
      <c r="C345" s="38"/>
    </row>
    <row r="346">
      <c r="A346" s="3"/>
      <c r="C346" s="38"/>
    </row>
    <row r="347">
      <c r="A347" s="3"/>
      <c r="C347" s="38"/>
    </row>
    <row r="348">
      <c r="A348" s="3"/>
      <c r="C348" s="38"/>
    </row>
    <row r="349">
      <c r="A349" s="3"/>
      <c r="C349" s="38"/>
    </row>
    <row r="350">
      <c r="A350" s="3"/>
      <c r="C350" s="38"/>
    </row>
    <row r="351">
      <c r="A351" s="3"/>
      <c r="C351" s="38"/>
    </row>
    <row r="352">
      <c r="A352" s="3"/>
      <c r="C352" s="38"/>
    </row>
    <row r="353">
      <c r="A353" s="3"/>
      <c r="C353" s="38"/>
    </row>
    <row r="354">
      <c r="A354" s="3"/>
      <c r="C354" s="38"/>
    </row>
    <row r="355">
      <c r="A355" s="3"/>
      <c r="C355" s="38"/>
    </row>
    <row r="356">
      <c r="A356" s="3"/>
      <c r="C356" s="38"/>
    </row>
    <row r="357">
      <c r="A357" s="3"/>
      <c r="C357" s="38"/>
    </row>
    <row r="358">
      <c r="A358" s="3"/>
      <c r="C358" s="38"/>
    </row>
    <row r="359">
      <c r="A359" s="3"/>
      <c r="C359" s="38"/>
    </row>
    <row r="360">
      <c r="A360" s="3"/>
      <c r="C360" s="38"/>
    </row>
    <row r="361">
      <c r="A361" s="3"/>
      <c r="C361" s="38"/>
    </row>
    <row r="362">
      <c r="A362" s="3"/>
      <c r="C362" s="38"/>
    </row>
    <row r="363">
      <c r="A363" s="3"/>
      <c r="C363" s="38"/>
    </row>
    <row r="364">
      <c r="A364" s="3"/>
      <c r="C364" s="38"/>
    </row>
    <row r="365">
      <c r="A365" s="3"/>
      <c r="C365" s="38"/>
    </row>
    <row r="366">
      <c r="A366" s="3"/>
      <c r="C366" s="38"/>
    </row>
    <row r="367">
      <c r="A367" s="3"/>
      <c r="C367" s="38"/>
    </row>
    <row r="368">
      <c r="A368" s="3"/>
      <c r="C368" s="38"/>
    </row>
    <row r="369">
      <c r="A369" s="3"/>
      <c r="C369" s="38"/>
    </row>
    <row r="370">
      <c r="A370" s="3"/>
      <c r="C370" s="38"/>
    </row>
    <row r="371">
      <c r="A371" s="3"/>
      <c r="C371" s="38"/>
    </row>
    <row r="372">
      <c r="A372" s="3"/>
      <c r="C372" s="38"/>
    </row>
    <row r="373">
      <c r="A373" s="3"/>
      <c r="C373" s="38"/>
    </row>
    <row r="374">
      <c r="A374" s="3"/>
      <c r="C374" s="38"/>
    </row>
    <row r="375">
      <c r="A375" s="3"/>
      <c r="C375" s="38"/>
    </row>
    <row r="376">
      <c r="A376" s="3"/>
      <c r="C376" s="38"/>
    </row>
    <row r="377">
      <c r="A377" s="3"/>
      <c r="C377" s="38"/>
    </row>
    <row r="378">
      <c r="A378" s="3"/>
      <c r="C378" s="38"/>
    </row>
    <row r="379">
      <c r="A379" s="3"/>
      <c r="C379" s="38"/>
    </row>
    <row r="380">
      <c r="A380" s="3"/>
      <c r="C380" s="38"/>
    </row>
    <row r="381">
      <c r="A381" s="3"/>
      <c r="C381" s="38"/>
    </row>
    <row r="382">
      <c r="A382" s="3"/>
      <c r="C382" s="38"/>
    </row>
    <row r="383">
      <c r="A383" s="3"/>
      <c r="C383" s="38"/>
    </row>
    <row r="384">
      <c r="A384" s="3"/>
      <c r="C384" s="38"/>
    </row>
    <row r="385">
      <c r="A385" s="3"/>
      <c r="C385" s="38"/>
    </row>
    <row r="386">
      <c r="A386" s="3"/>
      <c r="C386" s="38"/>
    </row>
    <row r="387">
      <c r="A387" s="3"/>
      <c r="C387" s="38"/>
    </row>
    <row r="388">
      <c r="A388" s="3"/>
      <c r="C388" s="38"/>
    </row>
    <row r="389">
      <c r="A389" s="3"/>
      <c r="C389" s="38"/>
    </row>
    <row r="390">
      <c r="A390" s="3"/>
      <c r="C390" s="38"/>
    </row>
    <row r="391">
      <c r="A391" s="3"/>
      <c r="C391" s="38"/>
    </row>
    <row r="392">
      <c r="A392" s="3"/>
      <c r="C392" s="38"/>
    </row>
    <row r="393">
      <c r="A393" s="3"/>
      <c r="C393" s="38"/>
    </row>
    <row r="394">
      <c r="A394" s="3"/>
      <c r="C394" s="38"/>
    </row>
    <row r="395">
      <c r="A395" s="3"/>
      <c r="C395" s="38"/>
    </row>
    <row r="396">
      <c r="A396" s="3"/>
      <c r="C396" s="38"/>
    </row>
    <row r="397">
      <c r="A397" s="3"/>
      <c r="C397" s="38"/>
    </row>
    <row r="398">
      <c r="A398" s="3"/>
      <c r="C398" s="38"/>
    </row>
    <row r="399">
      <c r="A399" s="3"/>
      <c r="C399" s="38"/>
    </row>
    <row r="400">
      <c r="A400" s="3"/>
      <c r="C400" s="38"/>
    </row>
    <row r="401">
      <c r="A401" s="3"/>
      <c r="C401" s="38"/>
    </row>
    <row r="402">
      <c r="A402" s="3"/>
      <c r="C402" s="38"/>
    </row>
    <row r="403">
      <c r="A403" s="3"/>
      <c r="C403" s="38"/>
    </row>
    <row r="404">
      <c r="A404" s="3"/>
      <c r="C404" s="38"/>
    </row>
    <row r="405">
      <c r="A405" s="3"/>
      <c r="C405" s="38"/>
    </row>
    <row r="406">
      <c r="A406" s="3"/>
      <c r="C406" s="38"/>
    </row>
    <row r="407">
      <c r="A407" s="3"/>
      <c r="C407" s="38"/>
    </row>
    <row r="408">
      <c r="A408" s="3"/>
      <c r="C408" s="38"/>
    </row>
    <row r="409">
      <c r="A409" s="3"/>
      <c r="C409" s="38"/>
    </row>
    <row r="410">
      <c r="A410" s="3"/>
      <c r="C410" s="38"/>
    </row>
    <row r="411">
      <c r="A411" s="3"/>
      <c r="C411" s="38"/>
    </row>
    <row r="412">
      <c r="A412" s="3"/>
      <c r="C412" s="38"/>
    </row>
    <row r="413">
      <c r="A413" s="3"/>
      <c r="C413" s="38"/>
    </row>
    <row r="414">
      <c r="A414" s="3"/>
      <c r="C414" s="38"/>
    </row>
    <row r="415">
      <c r="A415" s="3"/>
      <c r="C415" s="38"/>
    </row>
    <row r="416">
      <c r="A416" s="3"/>
      <c r="C416" s="38"/>
    </row>
    <row r="417">
      <c r="A417" s="3"/>
      <c r="C417" s="38"/>
    </row>
    <row r="418">
      <c r="A418" s="3"/>
      <c r="C418" s="38"/>
    </row>
    <row r="419">
      <c r="A419" s="3"/>
      <c r="C419" s="38"/>
    </row>
    <row r="420">
      <c r="A420" s="3"/>
      <c r="C420" s="38"/>
    </row>
    <row r="421">
      <c r="A421" s="3"/>
      <c r="C421" s="38"/>
    </row>
    <row r="422">
      <c r="A422" s="3"/>
      <c r="C422" s="38"/>
    </row>
    <row r="423">
      <c r="A423" s="3"/>
      <c r="C423" s="38"/>
    </row>
    <row r="424">
      <c r="A424" s="3"/>
      <c r="C424" s="38"/>
    </row>
    <row r="425">
      <c r="A425" s="3"/>
      <c r="C425" s="38"/>
    </row>
    <row r="426">
      <c r="A426" s="3"/>
      <c r="C426" s="38"/>
    </row>
    <row r="427">
      <c r="A427" s="3"/>
      <c r="C427" s="38"/>
    </row>
    <row r="428">
      <c r="A428" s="3"/>
      <c r="C428" s="38"/>
    </row>
    <row r="429">
      <c r="A429" s="3"/>
      <c r="C429" s="38"/>
    </row>
    <row r="430">
      <c r="A430" s="3"/>
      <c r="C430" s="38"/>
    </row>
    <row r="431">
      <c r="A431" s="3"/>
      <c r="C431" s="38"/>
    </row>
    <row r="432">
      <c r="A432" s="3"/>
      <c r="C432" s="38"/>
    </row>
    <row r="433">
      <c r="A433" s="3"/>
      <c r="C433" s="38"/>
    </row>
    <row r="434">
      <c r="A434" s="3"/>
      <c r="C434" s="38"/>
    </row>
    <row r="435">
      <c r="A435" s="3"/>
      <c r="C435" s="38"/>
    </row>
    <row r="436">
      <c r="A436" s="3"/>
      <c r="C436" s="38"/>
    </row>
    <row r="437">
      <c r="A437" s="3"/>
      <c r="C437" s="38"/>
    </row>
    <row r="438">
      <c r="A438" s="3"/>
      <c r="C438" s="38"/>
    </row>
    <row r="439">
      <c r="A439" s="3"/>
      <c r="C439" s="38"/>
    </row>
    <row r="440">
      <c r="A440" s="3"/>
      <c r="C440" s="38"/>
    </row>
    <row r="441">
      <c r="A441" s="3"/>
      <c r="C441" s="38"/>
    </row>
    <row r="442">
      <c r="A442" s="3"/>
      <c r="C442" s="38"/>
    </row>
    <row r="443">
      <c r="A443" s="3"/>
      <c r="C443" s="38"/>
    </row>
    <row r="444">
      <c r="A444" s="3"/>
      <c r="C444" s="38"/>
    </row>
    <row r="445">
      <c r="A445" s="3"/>
      <c r="C445" s="38"/>
    </row>
    <row r="446">
      <c r="A446" s="3"/>
      <c r="C446" s="38"/>
    </row>
    <row r="447">
      <c r="A447" s="3"/>
      <c r="C447" s="38"/>
    </row>
    <row r="448">
      <c r="A448" s="3"/>
      <c r="C448" s="38"/>
    </row>
    <row r="449">
      <c r="A449" s="3"/>
      <c r="C449" s="38"/>
    </row>
    <row r="450">
      <c r="A450" s="3"/>
      <c r="C450" s="38"/>
    </row>
    <row r="451">
      <c r="A451" s="3"/>
      <c r="C451" s="38"/>
    </row>
    <row r="452">
      <c r="A452" s="3"/>
      <c r="C452" s="38"/>
    </row>
    <row r="453">
      <c r="A453" s="3"/>
      <c r="C453" s="38"/>
    </row>
    <row r="454">
      <c r="A454" s="3"/>
      <c r="C454" s="38"/>
    </row>
    <row r="455">
      <c r="A455" s="3"/>
      <c r="C455" s="38"/>
    </row>
    <row r="456">
      <c r="A456" s="3"/>
      <c r="C456" s="38"/>
    </row>
    <row r="457">
      <c r="A457" s="3"/>
      <c r="C457" s="38"/>
    </row>
    <row r="458">
      <c r="A458" s="3"/>
      <c r="C458" s="38"/>
    </row>
    <row r="459">
      <c r="A459" s="3"/>
      <c r="C459" s="38"/>
    </row>
    <row r="460">
      <c r="A460" s="3"/>
      <c r="C460" s="38"/>
    </row>
    <row r="461">
      <c r="A461" s="3"/>
      <c r="C461" s="38"/>
    </row>
    <row r="462">
      <c r="A462" s="3"/>
      <c r="C462" s="38"/>
    </row>
    <row r="463">
      <c r="A463" s="3"/>
      <c r="C463" s="38"/>
    </row>
    <row r="464">
      <c r="A464" s="3"/>
      <c r="C464" s="38"/>
    </row>
    <row r="465">
      <c r="A465" s="3"/>
      <c r="C465" s="38"/>
    </row>
    <row r="466">
      <c r="A466" s="3"/>
      <c r="C466" s="38"/>
    </row>
    <row r="467">
      <c r="A467" s="3"/>
      <c r="C467" s="38"/>
    </row>
    <row r="468">
      <c r="A468" s="3"/>
      <c r="C468" s="38"/>
    </row>
    <row r="469">
      <c r="A469" s="3"/>
      <c r="C469" s="38"/>
    </row>
    <row r="470">
      <c r="A470" s="3"/>
      <c r="C470" s="38"/>
    </row>
    <row r="471">
      <c r="A471" s="3"/>
      <c r="C471" s="38"/>
    </row>
    <row r="472">
      <c r="A472" s="3"/>
      <c r="C472" s="38"/>
    </row>
    <row r="473">
      <c r="A473" s="3"/>
      <c r="C473" s="38"/>
    </row>
    <row r="474">
      <c r="A474" s="3"/>
      <c r="C474" s="38"/>
    </row>
    <row r="475">
      <c r="A475" s="3"/>
      <c r="C475" s="38"/>
    </row>
    <row r="476">
      <c r="A476" s="3"/>
      <c r="C476" s="38"/>
    </row>
    <row r="477">
      <c r="A477" s="3"/>
      <c r="C477" s="38"/>
    </row>
    <row r="478">
      <c r="A478" s="3"/>
      <c r="C478" s="38"/>
    </row>
    <row r="479">
      <c r="A479" s="3"/>
      <c r="C479" s="38"/>
    </row>
    <row r="480">
      <c r="A480" s="3"/>
      <c r="C480" s="38"/>
    </row>
    <row r="481">
      <c r="A481" s="3"/>
      <c r="C481" s="38"/>
    </row>
    <row r="482">
      <c r="A482" s="3"/>
      <c r="C482" s="38"/>
    </row>
    <row r="483">
      <c r="A483" s="3"/>
      <c r="C483" s="38"/>
    </row>
    <row r="484">
      <c r="A484" s="3"/>
      <c r="C484" s="38"/>
    </row>
    <row r="485">
      <c r="A485" s="3"/>
      <c r="C485" s="38"/>
    </row>
    <row r="486">
      <c r="A486" s="3"/>
      <c r="C486" s="38"/>
    </row>
    <row r="487">
      <c r="A487" s="3"/>
      <c r="C487" s="38"/>
    </row>
    <row r="488">
      <c r="A488" s="3"/>
      <c r="C488" s="38"/>
    </row>
    <row r="489">
      <c r="A489" s="3"/>
      <c r="C489" s="38"/>
    </row>
    <row r="490">
      <c r="A490" s="3"/>
      <c r="C490" s="38"/>
    </row>
    <row r="491">
      <c r="A491" s="3"/>
      <c r="C491" s="38"/>
    </row>
    <row r="492">
      <c r="A492" s="3"/>
      <c r="C492" s="38"/>
    </row>
    <row r="493">
      <c r="A493" s="3"/>
      <c r="C493" s="38"/>
    </row>
    <row r="494">
      <c r="A494" s="3"/>
      <c r="C494" s="38"/>
    </row>
    <row r="495">
      <c r="A495" s="3"/>
      <c r="C495" s="38"/>
    </row>
    <row r="496">
      <c r="A496" s="3"/>
      <c r="C496" s="38"/>
    </row>
    <row r="497">
      <c r="A497" s="3"/>
      <c r="C497" s="38"/>
    </row>
    <row r="498">
      <c r="A498" s="3"/>
      <c r="C498" s="38"/>
    </row>
    <row r="499">
      <c r="A499" s="3"/>
      <c r="C499" s="38"/>
    </row>
    <row r="500">
      <c r="A500" s="3"/>
      <c r="C500" s="38"/>
    </row>
    <row r="501">
      <c r="A501" s="3"/>
      <c r="C501" s="38"/>
    </row>
    <row r="502">
      <c r="A502" s="3"/>
      <c r="C502" s="38"/>
    </row>
    <row r="503">
      <c r="A503" s="3"/>
      <c r="C503" s="38"/>
    </row>
    <row r="504">
      <c r="A504" s="3"/>
      <c r="C504" s="38"/>
    </row>
    <row r="505">
      <c r="A505" s="3"/>
      <c r="C505" s="38"/>
    </row>
    <row r="506">
      <c r="A506" s="3"/>
      <c r="C506" s="38"/>
    </row>
    <row r="507">
      <c r="A507" s="3"/>
      <c r="C507" s="38"/>
    </row>
    <row r="508">
      <c r="A508" s="3"/>
      <c r="C508" s="38"/>
    </row>
    <row r="509">
      <c r="A509" s="3"/>
      <c r="C509" s="38"/>
    </row>
    <row r="510">
      <c r="A510" s="3"/>
      <c r="C510" s="38"/>
    </row>
    <row r="511">
      <c r="A511" s="3"/>
      <c r="C511" s="38"/>
    </row>
    <row r="512">
      <c r="A512" s="3"/>
      <c r="C512" s="38"/>
    </row>
    <row r="513">
      <c r="A513" s="3"/>
      <c r="C513" s="38"/>
    </row>
    <row r="514">
      <c r="A514" s="3"/>
      <c r="C514" s="38"/>
    </row>
    <row r="515">
      <c r="A515" s="3"/>
      <c r="C515" s="38"/>
    </row>
    <row r="516">
      <c r="A516" s="3"/>
      <c r="C516" s="38"/>
    </row>
    <row r="517">
      <c r="A517" s="3"/>
      <c r="C517" s="38"/>
    </row>
    <row r="518">
      <c r="A518" s="3"/>
      <c r="C518" s="38"/>
    </row>
    <row r="519">
      <c r="A519" s="3"/>
      <c r="C519" s="38"/>
    </row>
    <row r="520">
      <c r="A520" s="3"/>
      <c r="C520" s="38"/>
    </row>
    <row r="521">
      <c r="A521" s="3"/>
      <c r="C521" s="38"/>
    </row>
    <row r="522">
      <c r="A522" s="3"/>
      <c r="C522" s="38"/>
    </row>
    <row r="523">
      <c r="A523" s="3"/>
      <c r="C523" s="38"/>
    </row>
    <row r="524">
      <c r="A524" s="3"/>
      <c r="C524" s="38"/>
    </row>
    <row r="525">
      <c r="A525" s="3"/>
      <c r="C525" s="38"/>
    </row>
    <row r="526">
      <c r="A526" s="3"/>
      <c r="C526" s="38"/>
    </row>
    <row r="527">
      <c r="A527" s="3"/>
      <c r="C527" s="38"/>
    </row>
    <row r="528">
      <c r="A528" s="3"/>
      <c r="C528" s="38"/>
    </row>
    <row r="529">
      <c r="A529" s="3"/>
      <c r="C529" s="38"/>
    </row>
    <row r="530">
      <c r="A530" s="3"/>
      <c r="C530" s="38"/>
    </row>
    <row r="531">
      <c r="A531" s="3"/>
      <c r="C531" s="38"/>
    </row>
    <row r="532">
      <c r="A532" s="3"/>
      <c r="C532" s="38"/>
    </row>
    <row r="533">
      <c r="A533" s="3"/>
      <c r="C533" s="38"/>
    </row>
    <row r="534">
      <c r="A534" s="3"/>
      <c r="C534" s="38"/>
    </row>
    <row r="535">
      <c r="A535" s="3"/>
      <c r="C535" s="38"/>
    </row>
    <row r="536">
      <c r="A536" s="3"/>
      <c r="C536" s="38"/>
    </row>
    <row r="537">
      <c r="A537" s="3"/>
      <c r="C537" s="38"/>
    </row>
    <row r="538">
      <c r="A538" s="3"/>
      <c r="C538" s="38"/>
    </row>
    <row r="539">
      <c r="A539" s="3"/>
      <c r="C539" s="38"/>
    </row>
    <row r="540">
      <c r="A540" s="3"/>
      <c r="C540" s="38"/>
    </row>
    <row r="541">
      <c r="A541" s="3"/>
      <c r="C541" s="38"/>
    </row>
    <row r="542">
      <c r="A542" s="3"/>
      <c r="C542" s="38"/>
    </row>
    <row r="543">
      <c r="A543" s="3"/>
      <c r="C543" s="38"/>
    </row>
    <row r="544">
      <c r="A544" s="3"/>
      <c r="C544" s="38"/>
    </row>
    <row r="545">
      <c r="A545" s="3"/>
      <c r="C545" s="38"/>
    </row>
    <row r="546">
      <c r="A546" s="3"/>
      <c r="C546" s="38"/>
    </row>
    <row r="547">
      <c r="A547" s="3"/>
      <c r="C547" s="38"/>
    </row>
    <row r="548">
      <c r="A548" s="3"/>
      <c r="C548" s="38"/>
    </row>
    <row r="549">
      <c r="A549" s="3"/>
      <c r="C549" s="38"/>
    </row>
    <row r="550">
      <c r="A550" s="3"/>
      <c r="C550" s="38"/>
    </row>
    <row r="551">
      <c r="A551" s="3"/>
      <c r="C551" s="38"/>
    </row>
    <row r="552">
      <c r="A552" s="3"/>
      <c r="C552" s="38"/>
    </row>
    <row r="553">
      <c r="A553" s="3"/>
      <c r="C553" s="38"/>
    </row>
    <row r="554">
      <c r="A554" s="3"/>
      <c r="C554" s="38"/>
    </row>
    <row r="555">
      <c r="A555" s="3"/>
      <c r="C555" s="38"/>
    </row>
    <row r="556">
      <c r="A556" s="3"/>
      <c r="C556" s="38"/>
    </row>
    <row r="557">
      <c r="A557" s="3"/>
      <c r="C557" s="38"/>
    </row>
    <row r="558">
      <c r="A558" s="3"/>
      <c r="C558" s="38"/>
    </row>
    <row r="559">
      <c r="A559" s="3"/>
      <c r="C559" s="38"/>
    </row>
    <row r="560">
      <c r="A560" s="3"/>
      <c r="C560" s="38"/>
    </row>
    <row r="561">
      <c r="A561" s="3"/>
      <c r="C561" s="38"/>
    </row>
    <row r="562">
      <c r="A562" s="3"/>
      <c r="C562" s="38"/>
    </row>
    <row r="563">
      <c r="A563" s="3"/>
      <c r="C563" s="38"/>
    </row>
    <row r="564">
      <c r="A564" s="3"/>
      <c r="C564" s="38"/>
    </row>
    <row r="565">
      <c r="A565" s="3"/>
      <c r="C565" s="38"/>
    </row>
    <row r="566">
      <c r="A566" s="3"/>
      <c r="C566" s="38"/>
    </row>
    <row r="567">
      <c r="A567" s="3"/>
      <c r="C567" s="38"/>
    </row>
    <row r="568">
      <c r="A568" s="3"/>
      <c r="C568" s="38"/>
    </row>
    <row r="569">
      <c r="A569" s="3"/>
      <c r="C569" s="38"/>
    </row>
    <row r="570">
      <c r="A570" s="3"/>
      <c r="C570" s="38"/>
    </row>
    <row r="571">
      <c r="A571" s="3"/>
      <c r="C571" s="38"/>
    </row>
    <row r="572">
      <c r="A572" s="3"/>
      <c r="C572" s="38"/>
    </row>
    <row r="573">
      <c r="A573" s="3"/>
      <c r="C573" s="38"/>
    </row>
    <row r="574">
      <c r="A574" s="3"/>
      <c r="C574" s="38"/>
    </row>
    <row r="575">
      <c r="A575" s="3"/>
      <c r="C575" s="38"/>
    </row>
    <row r="576">
      <c r="A576" s="3"/>
      <c r="C576" s="38"/>
    </row>
    <row r="577">
      <c r="A577" s="3"/>
      <c r="C577" s="38"/>
    </row>
    <row r="578">
      <c r="A578" s="3"/>
      <c r="C578" s="38"/>
    </row>
    <row r="579">
      <c r="A579" s="3"/>
      <c r="C579" s="38"/>
    </row>
    <row r="580">
      <c r="A580" s="3"/>
      <c r="C580" s="38"/>
    </row>
    <row r="581">
      <c r="A581" s="3"/>
      <c r="C581" s="38"/>
    </row>
    <row r="582">
      <c r="A582" s="3"/>
      <c r="C582" s="38"/>
    </row>
    <row r="583">
      <c r="A583" s="3"/>
      <c r="C583" s="38"/>
    </row>
    <row r="584">
      <c r="A584" s="3"/>
      <c r="C584" s="38"/>
    </row>
    <row r="585">
      <c r="A585" s="3"/>
      <c r="C585" s="38"/>
    </row>
    <row r="586">
      <c r="A586" s="3"/>
      <c r="C586" s="38"/>
    </row>
    <row r="587">
      <c r="A587" s="3"/>
      <c r="C587" s="38"/>
    </row>
    <row r="588">
      <c r="A588" s="3"/>
      <c r="C588" s="38"/>
    </row>
    <row r="589">
      <c r="A589" s="3"/>
      <c r="C589" s="38"/>
    </row>
    <row r="590">
      <c r="A590" s="3"/>
      <c r="C590" s="38"/>
    </row>
    <row r="591">
      <c r="A591" s="3"/>
      <c r="C591" s="38"/>
    </row>
    <row r="592">
      <c r="A592" s="3"/>
      <c r="C592" s="38"/>
    </row>
    <row r="593">
      <c r="A593" s="3"/>
      <c r="C593" s="38"/>
    </row>
    <row r="594">
      <c r="A594" s="3"/>
      <c r="C594" s="38"/>
    </row>
    <row r="595">
      <c r="A595" s="3"/>
      <c r="C595" s="38"/>
    </row>
    <row r="596">
      <c r="A596" s="3"/>
      <c r="C596" s="38"/>
    </row>
    <row r="597">
      <c r="A597" s="3"/>
      <c r="C597" s="38"/>
    </row>
    <row r="598">
      <c r="A598" s="3"/>
      <c r="C598" s="38"/>
    </row>
    <row r="599">
      <c r="A599" s="3"/>
      <c r="C599" s="38"/>
    </row>
    <row r="600">
      <c r="A600" s="3"/>
      <c r="C600" s="38"/>
    </row>
    <row r="601">
      <c r="A601" s="3"/>
      <c r="C601" s="38"/>
    </row>
    <row r="602">
      <c r="A602" s="3"/>
      <c r="C602" s="38"/>
    </row>
    <row r="603">
      <c r="A603" s="3"/>
      <c r="C603" s="38"/>
    </row>
    <row r="604">
      <c r="A604" s="3"/>
      <c r="C604" s="38"/>
    </row>
    <row r="605">
      <c r="A605" s="3"/>
      <c r="C605" s="38"/>
    </row>
    <row r="606">
      <c r="A606" s="3"/>
      <c r="C606" s="38"/>
    </row>
    <row r="607">
      <c r="A607" s="3"/>
      <c r="C607" s="38"/>
    </row>
    <row r="608">
      <c r="A608" s="3"/>
      <c r="C608" s="38"/>
    </row>
    <row r="609">
      <c r="A609" s="3"/>
      <c r="C609" s="38"/>
    </row>
    <row r="610">
      <c r="A610" s="3"/>
      <c r="C610" s="38"/>
    </row>
    <row r="611">
      <c r="A611" s="3"/>
      <c r="C611" s="38"/>
    </row>
    <row r="612">
      <c r="A612" s="3"/>
      <c r="C612" s="38"/>
    </row>
    <row r="613">
      <c r="A613" s="3"/>
      <c r="C613" s="38"/>
    </row>
    <row r="614">
      <c r="A614" s="3"/>
      <c r="C614" s="38"/>
    </row>
    <row r="615">
      <c r="A615" s="3"/>
      <c r="C615" s="38"/>
    </row>
    <row r="616">
      <c r="A616" s="3"/>
      <c r="C616" s="38"/>
    </row>
    <row r="617">
      <c r="A617" s="3"/>
      <c r="C617" s="38"/>
    </row>
    <row r="618">
      <c r="A618" s="3"/>
      <c r="C618" s="38"/>
    </row>
    <row r="619">
      <c r="A619" s="3"/>
      <c r="C619" s="38"/>
    </row>
    <row r="620">
      <c r="A620" s="3"/>
      <c r="C620" s="38"/>
    </row>
    <row r="621">
      <c r="A621" s="3"/>
      <c r="C621" s="38"/>
    </row>
    <row r="622">
      <c r="A622" s="3"/>
      <c r="C622" s="38"/>
    </row>
    <row r="623">
      <c r="A623" s="3"/>
      <c r="C623" s="38"/>
    </row>
    <row r="624">
      <c r="A624" s="3"/>
      <c r="C624" s="38"/>
    </row>
    <row r="625">
      <c r="A625" s="3"/>
      <c r="C625" s="38"/>
    </row>
    <row r="626">
      <c r="A626" s="3"/>
      <c r="C626" s="38"/>
    </row>
    <row r="627">
      <c r="A627" s="3"/>
      <c r="C627" s="38"/>
    </row>
    <row r="628">
      <c r="A628" s="3"/>
      <c r="C628" s="38"/>
    </row>
    <row r="629">
      <c r="A629" s="3"/>
      <c r="C629" s="38"/>
    </row>
    <row r="630">
      <c r="A630" s="3"/>
      <c r="C630" s="38"/>
    </row>
    <row r="631">
      <c r="A631" s="3"/>
      <c r="C631" s="38"/>
    </row>
    <row r="632">
      <c r="A632" s="3"/>
      <c r="C632" s="38"/>
    </row>
    <row r="633">
      <c r="A633" s="3"/>
      <c r="C633" s="38"/>
    </row>
    <row r="634">
      <c r="A634" s="3"/>
      <c r="C634" s="38"/>
    </row>
    <row r="635">
      <c r="A635" s="3"/>
      <c r="C635" s="38"/>
    </row>
    <row r="636">
      <c r="A636" s="3"/>
      <c r="C636" s="38"/>
    </row>
    <row r="637">
      <c r="A637" s="3"/>
      <c r="C637" s="38"/>
    </row>
    <row r="638">
      <c r="A638" s="3"/>
      <c r="C638" s="38"/>
    </row>
    <row r="639">
      <c r="A639" s="3"/>
      <c r="C639" s="38"/>
    </row>
    <row r="640">
      <c r="A640" s="3"/>
      <c r="C640" s="38"/>
    </row>
    <row r="641">
      <c r="A641" s="3"/>
      <c r="C641" s="38"/>
    </row>
    <row r="642">
      <c r="A642" s="3"/>
      <c r="C642" s="38"/>
    </row>
    <row r="643">
      <c r="A643" s="3"/>
      <c r="C643" s="38"/>
    </row>
    <row r="644">
      <c r="A644" s="3"/>
      <c r="C644" s="38"/>
    </row>
    <row r="645">
      <c r="A645" s="3"/>
      <c r="C645" s="38"/>
    </row>
    <row r="646">
      <c r="A646" s="3"/>
      <c r="C646" s="38"/>
    </row>
    <row r="647">
      <c r="A647" s="3"/>
      <c r="C647" s="38"/>
    </row>
    <row r="648">
      <c r="A648" s="3"/>
      <c r="C648" s="38"/>
    </row>
    <row r="649">
      <c r="A649" s="3"/>
      <c r="C649" s="38"/>
    </row>
    <row r="650">
      <c r="A650" s="3"/>
      <c r="C650" s="38"/>
    </row>
    <row r="651">
      <c r="A651" s="3"/>
      <c r="C651" s="38"/>
    </row>
    <row r="652">
      <c r="A652" s="3"/>
      <c r="C652" s="38"/>
    </row>
    <row r="653">
      <c r="A653" s="3"/>
      <c r="C653" s="38"/>
    </row>
    <row r="654">
      <c r="A654" s="3"/>
      <c r="C654" s="38"/>
    </row>
    <row r="655">
      <c r="A655" s="3"/>
      <c r="C655" s="38"/>
    </row>
    <row r="656">
      <c r="A656" s="3"/>
      <c r="C656" s="38"/>
    </row>
    <row r="657">
      <c r="A657" s="3"/>
      <c r="C657" s="38"/>
    </row>
    <row r="658">
      <c r="A658" s="3"/>
      <c r="C658" s="38"/>
    </row>
    <row r="659">
      <c r="A659" s="3"/>
      <c r="C659" s="38"/>
    </row>
    <row r="660">
      <c r="A660" s="3"/>
      <c r="C660" s="38"/>
    </row>
    <row r="661">
      <c r="A661" s="3"/>
      <c r="C661" s="38"/>
    </row>
    <row r="662">
      <c r="A662" s="3"/>
      <c r="C662" s="38"/>
    </row>
    <row r="663">
      <c r="A663" s="3"/>
      <c r="C663" s="38"/>
    </row>
    <row r="664">
      <c r="A664" s="3"/>
      <c r="C664" s="38"/>
    </row>
    <row r="665">
      <c r="A665" s="3"/>
      <c r="C665" s="38"/>
    </row>
    <row r="666">
      <c r="A666" s="3"/>
      <c r="C666" s="38"/>
    </row>
    <row r="667">
      <c r="A667" s="3"/>
      <c r="C667" s="38"/>
    </row>
    <row r="668">
      <c r="A668" s="3"/>
      <c r="C668" s="38"/>
    </row>
    <row r="669">
      <c r="A669" s="3"/>
      <c r="C669" s="38"/>
    </row>
    <row r="670">
      <c r="A670" s="3"/>
      <c r="C670" s="38"/>
    </row>
    <row r="671">
      <c r="A671" s="3"/>
      <c r="C671" s="38"/>
    </row>
    <row r="672">
      <c r="A672" s="3"/>
      <c r="C672" s="38"/>
    </row>
    <row r="673">
      <c r="A673" s="3"/>
      <c r="C673" s="38"/>
    </row>
    <row r="674">
      <c r="A674" s="3"/>
      <c r="C674" s="38"/>
    </row>
    <row r="675">
      <c r="A675" s="3"/>
      <c r="C675" s="38"/>
    </row>
    <row r="676">
      <c r="A676" s="3"/>
      <c r="C676" s="38"/>
    </row>
    <row r="677">
      <c r="A677" s="3"/>
      <c r="C677" s="38"/>
    </row>
    <row r="678">
      <c r="A678" s="3"/>
      <c r="C678" s="38"/>
    </row>
    <row r="679">
      <c r="A679" s="3"/>
      <c r="C679" s="38"/>
    </row>
    <row r="680">
      <c r="A680" s="3"/>
      <c r="C680" s="38"/>
    </row>
    <row r="681">
      <c r="A681" s="3"/>
      <c r="C681" s="38"/>
    </row>
    <row r="682">
      <c r="A682" s="3"/>
      <c r="C682" s="38"/>
    </row>
    <row r="683">
      <c r="A683" s="3"/>
      <c r="C683" s="38"/>
    </row>
    <row r="684">
      <c r="A684" s="3"/>
      <c r="C684" s="38"/>
    </row>
    <row r="685">
      <c r="A685" s="3"/>
      <c r="C685" s="38"/>
    </row>
    <row r="686">
      <c r="A686" s="3"/>
      <c r="C686" s="38"/>
    </row>
    <row r="687">
      <c r="A687" s="3"/>
      <c r="C687" s="38"/>
    </row>
    <row r="688">
      <c r="A688" s="3"/>
      <c r="C688" s="38"/>
    </row>
    <row r="689">
      <c r="A689" s="3"/>
      <c r="C689" s="38"/>
    </row>
    <row r="690">
      <c r="A690" s="3"/>
      <c r="C690" s="38"/>
    </row>
    <row r="691">
      <c r="A691" s="3"/>
      <c r="C691" s="38"/>
    </row>
    <row r="692">
      <c r="A692" s="3"/>
      <c r="C692" s="38"/>
    </row>
    <row r="693">
      <c r="A693" s="3"/>
      <c r="C693" s="38"/>
    </row>
    <row r="694">
      <c r="A694" s="3"/>
      <c r="C694" s="38"/>
    </row>
    <row r="695">
      <c r="A695" s="3"/>
      <c r="C695" s="38"/>
    </row>
    <row r="696">
      <c r="A696" s="3"/>
      <c r="C696" s="38"/>
    </row>
    <row r="697">
      <c r="A697" s="3"/>
      <c r="C697" s="38"/>
    </row>
    <row r="698">
      <c r="A698" s="3"/>
      <c r="C698" s="38"/>
    </row>
    <row r="699">
      <c r="A699" s="3"/>
      <c r="C699" s="38"/>
    </row>
    <row r="700">
      <c r="A700" s="3"/>
      <c r="C700" s="38"/>
    </row>
    <row r="701">
      <c r="A701" s="3"/>
      <c r="C701" s="38"/>
    </row>
    <row r="702">
      <c r="A702" s="3"/>
      <c r="C702" s="38"/>
    </row>
    <row r="703">
      <c r="A703" s="3"/>
      <c r="C703" s="38"/>
    </row>
    <row r="704">
      <c r="A704" s="3"/>
      <c r="C704" s="38"/>
    </row>
    <row r="705">
      <c r="A705" s="3"/>
      <c r="C705" s="38"/>
    </row>
    <row r="706">
      <c r="A706" s="3"/>
      <c r="C706" s="38"/>
    </row>
    <row r="707">
      <c r="A707" s="3"/>
      <c r="C707" s="38"/>
    </row>
    <row r="708">
      <c r="A708" s="3"/>
      <c r="C708" s="38"/>
    </row>
    <row r="709">
      <c r="A709" s="3"/>
      <c r="C709" s="38"/>
    </row>
    <row r="710">
      <c r="A710" s="3"/>
      <c r="C710" s="38"/>
    </row>
    <row r="711">
      <c r="A711" s="3"/>
      <c r="C711" s="38"/>
    </row>
    <row r="712">
      <c r="A712" s="3"/>
      <c r="C712" s="38"/>
    </row>
    <row r="713">
      <c r="A713" s="3"/>
      <c r="C713" s="38"/>
    </row>
    <row r="714">
      <c r="A714" s="3"/>
      <c r="C714" s="38"/>
    </row>
    <row r="715">
      <c r="A715" s="3"/>
      <c r="C715" s="38"/>
    </row>
    <row r="716">
      <c r="A716" s="3"/>
      <c r="C716" s="38"/>
    </row>
    <row r="717">
      <c r="A717" s="3"/>
      <c r="C717" s="38"/>
    </row>
    <row r="718">
      <c r="A718" s="3"/>
      <c r="C718" s="38"/>
    </row>
    <row r="719">
      <c r="A719" s="3"/>
      <c r="C719" s="38"/>
    </row>
    <row r="720">
      <c r="A720" s="3"/>
      <c r="C720" s="38"/>
    </row>
    <row r="721">
      <c r="A721" s="3"/>
      <c r="C721" s="38"/>
    </row>
    <row r="722">
      <c r="A722" s="3"/>
      <c r="C722" s="38"/>
    </row>
    <row r="723">
      <c r="A723" s="3"/>
      <c r="C723" s="38"/>
    </row>
    <row r="724">
      <c r="A724" s="3"/>
      <c r="C724" s="38"/>
    </row>
    <row r="725">
      <c r="A725" s="3"/>
      <c r="C725" s="38"/>
    </row>
    <row r="726">
      <c r="A726" s="3"/>
      <c r="C726" s="38"/>
    </row>
    <row r="727">
      <c r="A727" s="3"/>
      <c r="C727" s="38"/>
    </row>
    <row r="728">
      <c r="A728" s="3"/>
      <c r="C728" s="38"/>
    </row>
    <row r="729">
      <c r="A729" s="3"/>
      <c r="C729" s="38"/>
    </row>
    <row r="730">
      <c r="A730" s="3"/>
      <c r="C730" s="38"/>
    </row>
    <row r="731">
      <c r="A731" s="3"/>
      <c r="C731" s="38"/>
    </row>
    <row r="732">
      <c r="A732" s="3"/>
      <c r="C732" s="38"/>
    </row>
    <row r="733">
      <c r="A733" s="3"/>
      <c r="C733" s="38"/>
    </row>
    <row r="734">
      <c r="A734" s="3"/>
      <c r="C734" s="38"/>
    </row>
    <row r="735">
      <c r="A735" s="3"/>
      <c r="C735" s="38"/>
    </row>
    <row r="736">
      <c r="A736" s="3"/>
      <c r="C736" s="38"/>
    </row>
    <row r="737">
      <c r="A737" s="3"/>
      <c r="C737" s="38"/>
    </row>
    <row r="738">
      <c r="A738" s="3"/>
      <c r="C738" s="38"/>
    </row>
    <row r="739">
      <c r="A739" s="3"/>
      <c r="C739" s="38"/>
    </row>
    <row r="740">
      <c r="A740" s="3"/>
      <c r="C740" s="38"/>
    </row>
    <row r="741">
      <c r="A741" s="3"/>
      <c r="C741" s="38"/>
    </row>
    <row r="742">
      <c r="A742" s="3"/>
      <c r="C742" s="38"/>
    </row>
    <row r="743">
      <c r="A743" s="3"/>
      <c r="C743" s="38"/>
    </row>
    <row r="744">
      <c r="A744" s="3"/>
      <c r="C744" s="38"/>
    </row>
    <row r="745">
      <c r="A745" s="3"/>
      <c r="C745" s="38"/>
    </row>
    <row r="746">
      <c r="A746" s="3"/>
      <c r="C746" s="38"/>
    </row>
    <row r="747">
      <c r="A747" s="3"/>
      <c r="C747" s="38"/>
    </row>
    <row r="748">
      <c r="A748" s="3"/>
      <c r="C748" s="38"/>
    </row>
    <row r="749">
      <c r="A749" s="3"/>
      <c r="C749" s="38"/>
    </row>
    <row r="750">
      <c r="A750" s="3"/>
      <c r="C750" s="38"/>
    </row>
    <row r="751">
      <c r="A751" s="3"/>
      <c r="C751" s="38"/>
    </row>
    <row r="752">
      <c r="A752" s="3"/>
      <c r="C752" s="38"/>
    </row>
    <row r="753">
      <c r="A753" s="3"/>
      <c r="C753" s="38"/>
    </row>
    <row r="754">
      <c r="A754" s="3"/>
      <c r="C754" s="38"/>
    </row>
    <row r="755">
      <c r="A755" s="3"/>
      <c r="C755" s="38"/>
    </row>
    <row r="756">
      <c r="A756" s="3"/>
      <c r="C756" s="38"/>
    </row>
    <row r="757">
      <c r="A757" s="3"/>
      <c r="C757" s="38"/>
    </row>
    <row r="758">
      <c r="A758" s="3"/>
      <c r="C758" s="38"/>
    </row>
    <row r="759">
      <c r="A759" s="3"/>
      <c r="C759" s="38"/>
    </row>
    <row r="760">
      <c r="A760" s="3"/>
      <c r="C760" s="38"/>
    </row>
    <row r="761">
      <c r="A761" s="3"/>
      <c r="C761" s="38"/>
    </row>
    <row r="762">
      <c r="A762" s="3"/>
      <c r="C762" s="38"/>
    </row>
    <row r="763">
      <c r="A763" s="3"/>
      <c r="C763" s="38"/>
    </row>
    <row r="764">
      <c r="A764" s="3"/>
      <c r="C764" s="38"/>
    </row>
    <row r="765">
      <c r="A765" s="3"/>
      <c r="C765" s="38"/>
    </row>
    <row r="766">
      <c r="A766" s="3"/>
      <c r="C766" s="38"/>
    </row>
    <row r="767">
      <c r="A767" s="3"/>
      <c r="C767" s="38"/>
    </row>
    <row r="768">
      <c r="A768" s="3"/>
      <c r="C768" s="38"/>
    </row>
    <row r="769">
      <c r="A769" s="3"/>
      <c r="C769" s="38"/>
    </row>
    <row r="770">
      <c r="A770" s="3"/>
      <c r="C770" s="38"/>
    </row>
    <row r="771">
      <c r="A771" s="3"/>
      <c r="C771" s="38"/>
    </row>
    <row r="772">
      <c r="A772" s="3"/>
      <c r="C772" s="38"/>
    </row>
    <row r="773">
      <c r="A773" s="3"/>
      <c r="C773" s="38"/>
    </row>
    <row r="774">
      <c r="A774" s="3"/>
      <c r="C774" s="38"/>
    </row>
    <row r="775">
      <c r="A775" s="3"/>
      <c r="C775" s="38"/>
    </row>
    <row r="776">
      <c r="A776" s="3"/>
      <c r="C776" s="38"/>
    </row>
    <row r="777">
      <c r="A777" s="3"/>
      <c r="C777" s="38"/>
    </row>
    <row r="778">
      <c r="A778" s="3"/>
      <c r="C778" s="38"/>
    </row>
    <row r="779">
      <c r="A779" s="3"/>
      <c r="C779" s="38"/>
    </row>
    <row r="780">
      <c r="A780" s="3"/>
      <c r="C780" s="38"/>
    </row>
    <row r="781">
      <c r="A781" s="3"/>
      <c r="C781" s="38"/>
    </row>
    <row r="782">
      <c r="A782" s="3"/>
      <c r="C782" s="38"/>
    </row>
    <row r="783">
      <c r="A783" s="3"/>
      <c r="C783" s="38"/>
    </row>
    <row r="784">
      <c r="A784" s="3"/>
      <c r="C784" s="38"/>
    </row>
    <row r="785">
      <c r="A785" s="3"/>
      <c r="C785" s="38"/>
    </row>
    <row r="786">
      <c r="A786" s="3"/>
      <c r="C786" s="38"/>
    </row>
    <row r="787">
      <c r="A787" s="3"/>
      <c r="C787" s="38"/>
    </row>
    <row r="788">
      <c r="A788" s="3"/>
      <c r="C788" s="38"/>
    </row>
    <row r="789">
      <c r="A789" s="3"/>
      <c r="C789" s="38"/>
    </row>
    <row r="790">
      <c r="A790" s="3"/>
      <c r="C790" s="38"/>
    </row>
    <row r="791">
      <c r="A791" s="3"/>
      <c r="C791" s="38"/>
    </row>
    <row r="792">
      <c r="A792" s="3"/>
      <c r="C792" s="38"/>
    </row>
    <row r="793">
      <c r="A793" s="3"/>
      <c r="C793" s="38"/>
    </row>
    <row r="794">
      <c r="A794" s="3"/>
      <c r="C794" s="38"/>
    </row>
    <row r="795">
      <c r="A795" s="3"/>
      <c r="C795" s="38"/>
    </row>
    <row r="796">
      <c r="A796" s="3"/>
      <c r="C796" s="38"/>
    </row>
    <row r="797">
      <c r="A797" s="3"/>
      <c r="C797" s="38"/>
    </row>
    <row r="798">
      <c r="A798" s="3"/>
      <c r="C798" s="38"/>
    </row>
    <row r="799">
      <c r="A799" s="3"/>
      <c r="C799" s="38"/>
    </row>
    <row r="800">
      <c r="A800" s="3"/>
      <c r="C800" s="38"/>
    </row>
    <row r="801">
      <c r="A801" s="3"/>
      <c r="C801" s="38"/>
    </row>
    <row r="802">
      <c r="A802" s="3"/>
      <c r="C802" s="38"/>
    </row>
    <row r="803">
      <c r="A803" s="3"/>
      <c r="C803" s="38"/>
    </row>
    <row r="804">
      <c r="A804" s="3"/>
      <c r="C804" s="38"/>
    </row>
    <row r="805">
      <c r="A805" s="3"/>
      <c r="C805" s="38"/>
    </row>
    <row r="806">
      <c r="A806" s="3"/>
      <c r="C806" s="38"/>
    </row>
    <row r="807">
      <c r="A807" s="3"/>
      <c r="C807" s="38"/>
    </row>
    <row r="808">
      <c r="A808" s="3"/>
      <c r="C808" s="38"/>
    </row>
    <row r="809">
      <c r="A809" s="3"/>
      <c r="C809" s="38"/>
    </row>
    <row r="810">
      <c r="A810" s="3"/>
      <c r="C810" s="38"/>
    </row>
    <row r="811">
      <c r="A811" s="3"/>
      <c r="C811" s="38"/>
    </row>
    <row r="812">
      <c r="A812" s="3"/>
      <c r="C812" s="38"/>
    </row>
    <row r="813">
      <c r="A813" s="3"/>
      <c r="C813" s="38"/>
    </row>
    <row r="814">
      <c r="A814" s="3"/>
      <c r="C814" s="38"/>
    </row>
    <row r="815">
      <c r="A815" s="3"/>
      <c r="C815" s="38"/>
    </row>
    <row r="816">
      <c r="A816" s="3"/>
      <c r="C816" s="38"/>
    </row>
    <row r="817">
      <c r="A817" s="3"/>
      <c r="C817" s="38"/>
    </row>
    <row r="818">
      <c r="A818" s="3"/>
      <c r="C818" s="38"/>
    </row>
    <row r="819">
      <c r="A819" s="3"/>
      <c r="C819" s="38"/>
    </row>
    <row r="820">
      <c r="A820" s="3"/>
      <c r="C820" s="38"/>
    </row>
    <row r="821">
      <c r="A821" s="3"/>
      <c r="C821" s="38"/>
    </row>
    <row r="822">
      <c r="A822" s="3"/>
      <c r="C822" s="38"/>
    </row>
    <row r="823">
      <c r="A823" s="3"/>
      <c r="C823" s="38"/>
    </row>
    <row r="824">
      <c r="A824" s="3"/>
      <c r="C824" s="38"/>
    </row>
    <row r="825">
      <c r="A825" s="3"/>
      <c r="C825" s="38"/>
    </row>
    <row r="826">
      <c r="A826" s="3"/>
      <c r="C826" s="38"/>
    </row>
    <row r="827">
      <c r="A827" s="3"/>
      <c r="C827" s="38"/>
    </row>
    <row r="828">
      <c r="A828" s="3"/>
      <c r="C828" s="38"/>
    </row>
    <row r="829">
      <c r="A829" s="3"/>
      <c r="C829" s="38"/>
    </row>
    <row r="830">
      <c r="A830" s="3"/>
      <c r="C830" s="38"/>
    </row>
    <row r="831">
      <c r="A831" s="3"/>
      <c r="C831" s="38"/>
    </row>
    <row r="832">
      <c r="A832" s="3"/>
      <c r="C832" s="38"/>
    </row>
    <row r="833">
      <c r="A833" s="3"/>
      <c r="C833" s="38"/>
    </row>
    <row r="834">
      <c r="A834" s="3"/>
      <c r="C834" s="38"/>
    </row>
    <row r="835">
      <c r="A835" s="3"/>
      <c r="C835" s="38"/>
    </row>
    <row r="836">
      <c r="A836" s="3"/>
      <c r="C836" s="38"/>
    </row>
    <row r="837">
      <c r="A837" s="3"/>
      <c r="C837" s="38"/>
    </row>
    <row r="838">
      <c r="A838" s="3"/>
      <c r="C838" s="38"/>
    </row>
    <row r="839">
      <c r="A839" s="3"/>
      <c r="C839" s="38"/>
    </row>
    <row r="840">
      <c r="A840" s="3"/>
      <c r="C840" s="38"/>
    </row>
    <row r="841">
      <c r="A841" s="3"/>
      <c r="C841" s="38"/>
    </row>
    <row r="842">
      <c r="A842" s="3"/>
      <c r="C842" s="38"/>
    </row>
    <row r="843">
      <c r="A843" s="3"/>
      <c r="C843" s="38"/>
    </row>
    <row r="844">
      <c r="A844" s="3"/>
      <c r="C844" s="38"/>
    </row>
    <row r="845">
      <c r="A845" s="3"/>
      <c r="C845" s="38"/>
    </row>
    <row r="846">
      <c r="A846" s="3"/>
      <c r="C846" s="38"/>
    </row>
    <row r="847">
      <c r="A847" s="3"/>
      <c r="C847" s="38"/>
    </row>
    <row r="848">
      <c r="A848" s="3"/>
      <c r="C848" s="38"/>
    </row>
    <row r="849">
      <c r="A849" s="3"/>
      <c r="C849" s="38"/>
    </row>
    <row r="850">
      <c r="A850" s="3"/>
      <c r="C850" s="38"/>
    </row>
    <row r="851">
      <c r="A851" s="3"/>
      <c r="C851" s="38"/>
    </row>
    <row r="852">
      <c r="A852" s="3"/>
      <c r="C852" s="38"/>
    </row>
    <row r="853">
      <c r="A853" s="3"/>
      <c r="C853" s="38"/>
    </row>
    <row r="854">
      <c r="A854" s="3"/>
      <c r="C854" s="38"/>
    </row>
    <row r="855">
      <c r="A855" s="3"/>
      <c r="C855" s="38"/>
    </row>
    <row r="856">
      <c r="A856" s="3"/>
      <c r="C856" s="38"/>
    </row>
    <row r="857">
      <c r="A857" s="3"/>
      <c r="C857" s="38"/>
    </row>
    <row r="858">
      <c r="A858" s="3"/>
      <c r="C858" s="38"/>
    </row>
    <row r="859">
      <c r="A859" s="3"/>
      <c r="C859" s="38"/>
    </row>
    <row r="860">
      <c r="A860" s="3"/>
      <c r="C860" s="38"/>
    </row>
    <row r="861">
      <c r="A861" s="3"/>
      <c r="C861" s="38"/>
    </row>
    <row r="862">
      <c r="A862" s="3"/>
      <c r="C862" s="38"/>
    </row>
    <row r="863">
      <c r="A863" s="3"/>
      <c r="C863" s="38"/>
    </row>
    <row r="864">
      <c r="A864" s="3"/>
      <c r="C864" s="38"/>
    </row>
    <row r="865">
      <c r="A865" s="3"/>
      <c r="C865" s="38"/>
    </row>
    <row r="866">
      <c r="A866" s="3"/>
      <c r="C866" s="38"/>
    </row>
    <row r="867">
      <c r="A867" s="3"/>
      <c r="C867" s="38"/>
    </row>
    <row r="868">
      <c r="A868" s="3"/>
      <c r="C868" s="38"/>
    </row>
    <row r="869">
      <c r="A869" s="3"/>
      <c r="C869" s="38"/>
    </row>
    <row r="870">
      <c r="A870" s="3"/>
      <c r="C870" s="38"/>
    </row>
    <row r="871">
      <c r="A871" s="3"/>
      <c r="C871" s="38"/>
    </row>
    <row r="872">
      <c r="A872" s="3"/>
      <c r="C872" s="38"/>
    </row>
    <row r="873">
      <c r="A873" s="3"/>
      <c r="C873" s="38"/>
    </row>
    <row r="874">
      <c r="A874" s="3"/>
      <c r="C874" s="38"/>
    </row>
    <row r="875">
      <c r="A875" s="3"/>
      <c r="C875" s="38"/>
    </row>
    <row r="876">
      <c r="A876" s="3"/>
      <c r="C876" s="38"/>
    </row>
    <row r="877">
      <c r="A877" s="3"/>
      <c r="C877" s="38"/>
    </row>
    <row r="878">
      <c r="A878" s="3"/>
      <c r="C878" s="38"/>
    </row>
    <row r="879">
      <c r="A879" s="3"/>
      <c r="C879" s="38"/>
    </row>
    <row r="880">
      <c r="A880" s="3"/>
      <c r="C880" s="38"/>
    </row>
    <row r="881">
      <c r="A881" s="3"/>
      <c r="C881" s="38"/>
    </row>
    <row r="882">
      <c r="A882" s="3"/>
      <c r="C882" s="38"/>
    </row>
    <row r="883">
      <c r="A883" s="3"/>
      <c r="C883" s="38"/>
    </row>
    <row r="884">
      <c r="A884" s="3"/>
      <c r="C884" s="38"/>
    </row>
    <row r="885">
      <c r="A885" s="3"/>
      <c r="C885" s="38"/>
    </row>
    <row r="886">
      <c r="A886" s="3"/>
      <c r="C886" s="38"/>
    </row>
    <row r="887">
      <c r="A887" s="3"/>
      <c r="C887" s="38"/>
    </row>
    <row r="888">
      <c r="A888" s="3"/>
      <c r="C888" s="38"/>
    </row>
    <row r="889">
      <c r="A889" s="3"/>
      <c r="C889" s="38"/>
    </row>
    <row r="890">
      <c r="A890" s="3"/>
      <c r="C890" s="38"/>
    </row>
    <row r="891">
      <c r="A891" s="3"/>
      <c r="C891" s="38"/>
    </row>
    <row r="892">
      <c r="A892" s="3"/>
      <c r="C892" s="38"/>
    </row>
    <row r="893">
      <c r="A893" s="3"/>
      <c r="C893" s="38"/>
    </row>
    <row r="894">
      <c r="A894" s="3"/>
      <c r="C894" s="38"/>
    </row>
    <row r="895">
      <c r="A895" s="3"/>
      <c r="C895" s="38"/>
    </row>
    <row r="896">
      <c r="A896" s="3"/>
      <c r="C896" s="38"/>
    </row>
    <row r="897">
      <c r="A897" s="3"/>
      <c r="C897" s="38"/>
    </row>
    <row r="898">
      <c r="A898" s="3"/>
      <c r="C898" s="38"/>
    </row>
    <row r="899">
      <c r="A899" s="3"/>
      <c r="C899" s="38"/>
    </row>
    <row r="900">
      <c r="A900" s="3"/>
      <c r="C900" s="38"/>
    </row>
    <row r="901">
      <c r="A901" s="3"/>
      <c r="C901" s="38"/>
    </row>
    <row r="902">
      <c r="A902" s="3"/>
      <c r="C902" s="38"/>
    </row>
    <row r="903">
      <c r="A903" s="3"/>
      <c r="C903" s="38"/>
    </row>
    <row r="904">
      <c r="A904" s="3"/>
      <c r="C904" s="38"/>
    </row>
    <row r="905">
      <c r="A905" s="3"/>
      <c r="C905" s="38"/>
    </row>
    <row r="906">
      <c r="A906" s="3"/>
      <c r="C906" s="38"/>
    </row>
    <row r="907">
      <c r="A907" s="3"/>
      <c r="C907" s="38"/>
    </row>
    <row r="908">
      <c r="A908" s="3"/>
      <c r="C908" s="38"/>
    </row>
    <row r="909">
      <c r="A909" s="3"/>
      <c r="C909" s="38"/>
    </row>
    <row r="910">
      <c r="A910" s="3"/>
      <c r="C910" s="38"/>
    </row>
    <row r="911">
      <c r="A911" s="3"/>
      <c r="C911" s="38"/>
    </row>
    <row r="912">
      <c r="A912" s="3"/>
      <c r="C912" s="38"/>
    </row>
    <row r="913">
      <c r="A913" s="3"/>
      <c r="C913" s="38"/>
    </row>
    <row r="914">
      <c r="A914" s="3"/>
      <c r="C914" s="38"/>
    </row>
    <row r="915">
      <c r="A915" s="3"/>
      <c r="C915" s="38"/>
    </row>
    <row r="916">
      <c r="A916" s="3"/>
      <c r="C916" s="38"/>
    </row>
    <row r="917">
      <c r="A917" s="3"/>
      <c r="C917" s="38"/>
    </row>
    <row r="918">
      <c r="A918" s="3"/>
      <c r="C918" s="38"/>
    </row>
    <row r="919">
      <c r="A919" s="3"/>
      <c r="C919" s="38"/>
    </row>
    <row r="920">
      <c r="A920" s="3"/>
      <c r="C920" s="38"/>
    </row>
    <row r="921">
      <c r="A921" s="3"/>
      <c r="C921" s="38"/>
    </row>
    <row r="922">
      <c r="A922" s="3"/>
      <c r="C922" s="38"/>
    </row>
    <row r="923">
      <c r="A923" s="3"/>
      <c r="C923" s="38"/>
    </row>
    <row r="924">
      <c r="A924" s="3"/>
      <c r="C924" s="38"/>
    </row>
    <row r="925">
      <c r="A925" s="3"/>
      <c r="C925" s="38"/>
    </row>
    <row r="926">
      <c r="A926" s="3"/>
      <c r="C926" s="38"/>
    </row>
    <row r="927">
      <c r="A927" s="3"/>
      <c r="C927" s="38"/>
    </row>
    <row r="928">
      <c r="A928" s="3"/>
      <c r="C928" s="38"/>
    </row>
    <row r="929">
      <c r="A929" s="3"/>
      <c r="C929" s="38"/>
    </row>
    <row r="930">
      <c r="A930" s="3"/>
      <c r="C930" s="38"/>
    </row>
    <row r="931">
      <c r="A931" s="3"/>
      <c r="C931" s="38"/>
    </row>
    <row r="932">
      <c r="A932" s="3"/>
      <c r="C932" s="38"/>
    </row>
    <row r="933">
      <c r="A933" s="3"/>
      <c r="C933" s="38"/>
    </row>
    <row r="934">
      <c r="A934" s="3"/>
      <c r="C934" s="38"/>
    </row>
    <row r="935">
      <c r="A935" s="3"/>
      <c r="C935" s="38"/>
    </row>
    <row r="936">
      <c r="A936" s="3"/>
      <c r="C936" s="38"/>
    </row>
    <row r="937">
      <c r="A937" s="3"/>
      <c r="C937" s="38"/>
    </row>
    <row r="938">
      <c r="A938" s="3"/>
      <c r="C938" s="38"/>
    </row>
    <row r="939">
      <c r="A939" s="3"/>
      <c r="C939" s="38"/>
    </row>
    <row r="940">
      <c r="A940" s="3"/>
      <c r="C940" s="38"/>
    </row>
    <row r="941">
      <c r="A941" s="3"/>
      <c r="C941" s="38"/>
    </row>
    <row r="942">
      <c r="A942" s="3"/>
      <c r="C942" s="38"/>
    </row>
    <row r="943">
      <c r="A943" s="3"/>
      <c r="C943" s="38"/>
    </row>
    <row r="944">
      <c r="A944" s="3"/>
      <c r="C944" s="38"/>
    </row>
    <row r="945">
      <c r="A945" s="3"/>
      <c r="C945" s="38"/>
    </row>
    <row r="946">
      <c r="A946" s="3"/>
      <c r="C946" s="38"/>
    </row>
    <row r="947">
      <c r="A947" s="3"/>
      <c r="C947" s="38"/>
    </row>
    <row r="948">
      <c r="A948" s="3"/>
      <c r="C948" s="38"/>
    </row>
    <row r="949">
      <c r="A949" s="3"/>
      <c r="C949" s="38"/>
    </row>
    <row r="950">
      <c r="A950" s="3"/>
      <c r="C950" s="38"/>
    </row>
    <row r="951">
      <c r="A951" s="3"/>
      <c r="C951" s="38"/>
    </row>
    <row r="952">
      <c r="A952" s="3"/>
      <c r="C952" s="38"/>
    </row>
    <row r="953">
      <c r="A953" s="3"/>
      <c r="C953" s="38"/>
    </row>
    <row r="954">
      <c r="A954" s="3"/>
      <c r="C954" s="38"/>
    </row>
    <row r="955">
      <c r="A955" s="3"/>
      <c r="C955" s="38"/>
    </row>
    <row r="956">
      <c r="A956" s="3"/>
      <c r="C956" s="38"/>
    </row>
    <row r="957">
      <c r="A957" s="3"/>
      <c r="C957" s="38"/>
    </row>
    <row r="958">
      <c r="A958" s="3"/>
      <c r="C958" s="38"/>
    </row>
    <row r="959">
      <c r="A959" s="3"/>
      <c r="C959" s="38"/>
    </row>
    <row r="960">
      <c r="A960" s="3"/>
      <c r="C960" s="38"/>
    </row>
    <row r="961">
      <c r="A961" s="3"/>
      <c r="C961" s="38"/>
    </row>
    <row r="962">
      <c r="A962" s="3"/>
      <c r="C962" s="38"/>
    </row>
    <row r="963">
      <c r="A963" s="3"/>
      <c r="C963" s="38"/>
    </row>
    <row r="964">
      <c r="A964" s="3"/>
      <c r="C964" s="38"/>
    </row>
    <row r="965">
      <c r="A965" s="3"/>
      <c r="C965" s="38"/>
    </row>
    <row r="966">
      <c r="A966" s="3"/>
      <c r="C966" s="38"/>
    </row>
    <row r="967">
      <c r="A967" s="3"/>
      <c r="C967" s="38"/>
    </row>
    <row r="968">
      <c r="A968" s="3"/>
      <c r="C968" s="38"/>
    </row>
    <row r="969">
      <c r="A969" s="3"/>
      <c r="C969" s="38"/>
    </row>
    <row r="970">
      <c r="A970" s="3"/>
      <c r="C970" s="38"/>
    </row>
    <row r="971">
      <c r="A971" s="3"/>
      <c r="C971" s="38"/>
    </row>
    <row r="972">
      <c r="A972" s="3"/>
      <c r="C972" s="38"/>
    </row>
    <row r="973">
      <c r="A973" s="3"/>
      <c r="C973" s="38"/>
    </row>
    <row r="974">
      <c r="A974" s="3"/>
      <c r="C974" s="38"/>
    </row>
    <row r="975">
      <c r="A975" s="3"/>
      <c r="C975" s="38"/>
    </row>
    <row r="976">
      <c r="A976" s="3"/>
      <c r="C976" s="38"/>
    </row>
    <row r="977">
      <c r="A977" s="3"/>
      <c r="C977" s="38"/>
    </row>
    <row r="978">
      <c r="A978" s="3"/>
      <c r="C978" s="38"/>
    </row>
    <row r="979">
      <c r="A979" s="3"/>
      <c r="C979" s="38"/>
    </row>
    <row r="980">
      <c r="A980" s="3"/>
      <c r="C980" s="38"/>
    </row>
    <row r="981">
      <c r="A981" s="3"/>
      <c r="C981" s="38"/>
    </row>
    <row r="982">
      <c r="A982" s="3"/>
      <c r="C982" s="38"/>
    </row>
    <row r="983">
      <c r="A983" s="3"/>
      <c r="C983" s="38"/>
    </row>
    <row r="984">
      <c r="A984" s="3"/>
      <c r="C984" s="38"/>
    </row>
    <row r="985">
      <c r="A985" s="3"/>
      <c r="C985" s="38"/>
    </row>
    <row r="986">
      <c r="A986" s="3"/>
      <c r="C986" s="38"/>
    </row>
    <row r="987">
      <c r="A987" s="3"/>
      <c r="C987" s="38"/>
    </row>
    <row r="988">
      <c r="A988" s="3"/>
      <c r="C988" s="38"/>
    </row>
    <row r="989">
      <c r="A989" s="3"/>
      <c r="C989" s="38"/>
    </row>
    <row r="990">
      <c r="A990" s="3"/>
      <c r="C990" s="38"/>
    </row>
    <row r="991">
      <c r="A991" s="3"/>
      <c r="C991" s="38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4" width="18.88"/>
  </cols>
  <sheetData>
    <row r="1">
      <c r="A1" s="39" t="s">
        <v>180</v>
      </c>
      <c r="B1" s="1" t="s">
        <v>75</v>
      </c>
      <c r="C1" s="1" t="s">
        <v>12</v>
      </c>
      <c r="D1" s="1" t="s">
        <v>48</v>
      </c>
      <c r="E1" s="1" t="s">
        <v>49</v>
      </c>
      <c r="F1" s="1" t="s">
        <v>51</v>
      </c>
      <c r="G1" s="1" t="s">
        <v>50</v>
      </c>
      <c r="H1" s="1" t="s">
        <v>181</v>
      </c>
    </row>
    <row r="2">
      <c r="A2" s="40">
        <v>44596.721890671295</v>
      </c>
      <c r="B2" s="1" t="s">
        <v>81</v>
      </c>
      <c r="C2" s="1" t="s">
        <v>91</v>
      </c>
      <c r="D2" s="1" t="s">
        <v>125</v>
      </c>
      <c r="E2" s="1" t="s">
        <v>182</v>
      </c>
      <c r="F2" s="1" t="s">
        <v>145</v>
      </c>
      <c r="G2" s="1" t="s">
        <v>139</v>
      </c>
      <c r="H2" s="41"/>
    </row>
    <row r="3">
      <c r="A3" s="40">
        <v>44596.72271209491</v>
      </c>
      <c r="B3" s="1" t="s">
        <v>82</v>
      </c>
      <c r="C3" s="1" t="s">
        <v>91</v>
      </c>
      <c r="D3" s="1" t="s">
        <v>125</v>
      </c>
      <c r="E3" s="1" t="s">
        <v>182</v>
      </c>
      <c r="F3" s="1" t="s">
        <v>183</v>
      </c>
      <c r="G3" s="1" t="s">
        <v>140</v>
      </c>
      <c r="H3" s="42">
        <f t="array" ref="H3">INDEX(A:A,MATCH("Spijkerbroek 20 euro",B:B))</f>
        <v>46258.6655</v>
      </c>
    </row>
    <row r="4">
      <c r="A4" s="40">
        <v>44596.72338418981</v>
      </c>
      <c r="B4" s="1" t="s">
        <v>81</v>
      </c>
      <c r="C4" s="1" t="s">
        <v>182</v>
      </c>
      <c r="D4" s="1" t="s">
        <v>125</v>
      </c>
      <c r="E4" s="1" t="s">
        <v>134</v>
      </c>
      <c r="F4" s="1" t="s">
        <v>148</v>
      </c>
      <c r="G4" s="1" t="s">
        <v>139</v>
      </c>
    </row>
    <row r="5">
      <c r="A5" s="40">
        <v>44596.72375365741</v>
      </c>
      <c r="B5" s="1" t="s">
        <v>81</v>
      </c>
      <c r="C5" s="1" t="s">
        <v>182</v>
      </c>
      <c r="D5" s="1" t="s">
        <v>125</v>
      </c>
      <c r="E5" s="1" t="s">
        <v>134</v>
      </c>
      <c r="F5" s="1" t="s">
        <v>182</v>
      </c>
      <c r="G5" s="1" t="s">
        <v>140</v>
      </c>
      <c r="H5" s="43">
        <f>LOOKUP(B2,B:B,A:A)</f>
        <v>46258.6655</v>
      </c>
    </row>
    <row r="6">
      <c r="A6" s="40">
        <v>44596.72418657407</v>
      </c>
      <c r="C6" s="1" t="s">
        <v>182</v>
      </c>
      <c r="D6" s="1" t="s">
        <v>108</v>
      </c>
      <c r="E6" s="1" t="s">
        <v>184</v>
      </c>
      <c r="F6" s="1" t="s">
        <v>182</v>
      </c>
    </row>
    <row r="7">
      <c r="A7" s="40">
        <v>44596.72443244213</v>
      </c>
      <c r="C7" s="1" t="s">
        <v>91</v>
      </c>
      <c r="D7" s="1" t="s">
        <v>102</v>
      </c>
    </row>
    <row r="8">
      <c r="A8" s="40">
        <v>44596.72461122685</v>
      </c>
      <c r="C8" s="1" t="s">
        <v>97</v>
      </c>
      <c r="D8" s="1" t="s">
        <v>102</v>
      </c>
    </row>
    <row r="9">
      <c r="A9" s="40">
        <v>44596.724946250004</v>
      </c>
      <c r="C9" s="1" t="s">
        <v>91</v>
      </c>
      <c r="D9" s="1" t="s">
        <v>106</v>
      </c>
      <c r="F9" s="1" t="s">
        <v>146</v>
      </c>
    </row>
    <row r="10">
      <c r="A10" s="40">
        <v>44596.72520876158</v>
      </c>
      <c r="C10" s="1" t="s">
        <v>91</v>
      </c>
      <c r="D10" s="1" t="s">
        <v>106</v>
      </c>
      <c r="G10" s="1" t="s">
        <v>140</v>
      </c>
      <c r="H10" s="41"/>
    </row>
    <row r="11">
      <c r="A11" s="40">
        <v>44596.725339641205</v>
      </c>
      <c r="C11" s="1" t="s">
        <v>91</v>
      </c>
      <c r="D11" s="1" t="s">
        <v>106</v>
      </c>
    </row>
    <row r="12">
      <c r="A12" s="40">
        <v>44596.72566733796</v>
      </c>
      <c r="C12" s="1" t="s">
        <v>91</v>
      </c>
      <c r="D12" s="1" t="s">
        <v>122</v>
      </c>
      <c r="G12" s="1" t="s">
        <v>140</v>
      </c>
      <c r="H12" s="41"/>
    </row>
    <row r="13">
      <c r="A13" s="40">
        <v>44596.72586900463</v>
      </c>
      <c r="C13" s="1" t="s">
        <v>91</v>
      </c>
      <c r="D13" s="1" t="s">
        <v>103</v>
      </c>
      <c r="G13" s="1" t="s">
        <v>139</v>
      </c>
      <c r="H13" s="41"/>
    </row>
    <row r="14">
      <c r="A14" s="40">
        <v>44596.72626246528</v>
      </c>
      <c r="B14" s="1" t="s">
        <v>78</v>
      </c>
      <c r="C14" s="1" t="s">
        <v>91</v>
      </c>
      <c r="D14" s="1" t="s">
        <v>103</v>
      </c>
      <c r="E14" s="1" t="s">
        <v>182</v>
      </c>
      <c r="F14" s="1" t="s">
        <v>148</v>
      </c>
      <c r="G14" s="1" t="s">
        <v>139</v>
      </c>
      <c r="H14" s="41"/>
    </row>
    <row r="15">
      <c r="A15" s="40">
        <v>44596.726367083334</v>
      </c>
      <c r="G15" s="1" t="s">
        <v>139</v>
      </c>
      <c r="H15" s="41"/>
    </row>
    <row r="16">
      <c r="A16" s="40">
        <v>44596.72647342592</v>
      </c>
      <c r="C16" s="1" t="s">
        <v>91</v>
      </c>
      <c r="D16" s="1" t="s">
        <v>103</v>
      </c>
    </row>
    <row r="17">
      <c r="A17" s="40">
        <v>44596.726589513884</v>
      </c>
      <c r="C17" s="1" t="s">
        <v>91</v>
      </c>
      <c r="D17" s="1" t="s">
        <v>103</v>
      </c>
    </row>
    <row r="18">
      <c r="A18" s="40">
        <v>44596.726794988426</v>
      </c>
      <c r="C18" s="1" t="s">
        <v>91</v>
      </c>
      <c r="D18" s="1" t="s">
        <v>103</v>
      </c>
      <c r="F18" s="1" t="s">
        <v>152</v>
      </c>
      <c r="G18" s="1" t="s">
        <v>139</v>
      </c>
      <c r="H18" s="41"/>
    </row>
    <row r="19">
      <c r="A19" s="40">
        <v>44596.72692060185</v>
      </c>
      <c r="C19" s="1" t="s">
        <v>91</v>
      </c>
      <c r="D19" s="1" t="s">
        <v>106</v>
      </c>
    </row>
    <row r="20">
      <c r="A20" s="40">
        <v>44596.72709855324</v>
      </c>
      <c r="C20" s="1" t="s">
        <v>91</v>
      </c>
      <c r="D20" s="1" t="s">
        <v>122</v>
      </c>
      <c r="F20" s="1" t="s">
        <v>153</v>
      </c>
    </row>
    <row r="21">
      <c r="A21" s="40">
        <v>44596.72731591435</v>
      </c>
      <c r="C21" s="1" t="s">
        <v>91</v>
      </c>
      <c r="D21" s="1" t="s">
        <v>106</v>
      </c>
      <c r="G21" s="1" t="s">
        <v>139</v>
      </c>
      <c r="H21" s="41"/>
    </row>
    <row r="22">
      <c r="A22" s="40">
        <v>44596.72744820602</v>
      </c>
      <c r="C22" s="1" t="s">
        <v>91</v>
      </c>
      <c r="D22" s="1" t="s">
        <v>122</v>
      </c>
      <c r="F22" s="1" t="s">
        <v>153</v>
      </c>
    </row>
    <row r="23">
      <c r="A23" s="40">
        <v>44596.72760162037</v>
      </c>
      <c r="C23" s="1" t="s">
        <v>91</v>
      </c>
      <c r="D23" s="1" t="s">
        <v>102</v>
      </c>
    </row>
    <row r="24">
      <c r="A24" s="40">
        <v>44596.72796233796</v>
      </c>
      <c r="B24" s="1" t="s">
        <v>81</v>
      </c>
      <c r="C24" s="1" t="s">
        <v>91</v>
      </c>
      <c r="D24" s="1" t="s">
        <v>102</v>
      </c>
      <c r="F24" s="1" t="s">
        <v>185</v>
      </c>
    </row>
    <row r="25">
      <c r="A25" s="40">
        <v>44596.72821015047</v>
      </c>
      <c r="B25" s="1" t="s">
        <v>81</v>
      </c>
      <c r="C25" s="1" t="s">
        <v>91</v>
      </c>
      <c r="D25" s="1" t="s">
        <v>102</v>
      </c>
      <c r="F25" s="1" t="s">
        <v>145</v>
      </c>
    </row>
    <row r="26">
      <c r="A26" s="40">
        <v>44596.72832239584</v>
      </c>
      <c r="C26" s="1" t="s">
        <v>91</v>
      </c>
    </row>
    <row r="27">
      <c r="A27" s="40">
        <v>44596.72846489583</v>
      </c>
      <c r="B27" s="1" t="s">
        <v>81</v>
      </c>
      <c r="C27" s="1" t="s">
        <v>91</v>
      </c>
      <c r="D27" s="1" t="s">
        <v>102</v>
      </c>
    </row>
    <row r="28">
      <c r="A28" s="40">
        <v>44596.728577291666</v>
      </c>
      <c r="B28" s="1" t="s">
        <v>81</v>
      </c>
      <c r="C28" s="1" t="s">
        <v>91</v>
      </c>
      <c r="D28" s="1" t="s">
        <v>102</v>
      </c>
    </row>
    <row r="29">
      <c r="A29" s="40">
        <v>44596.728711331016</v>
      </c>
      <c r="B29" s="1" t="s">
        <v>81</v>
      </c>
      <c r="C29" s="1" t="s">
        <v>91</v>
      </c>
      <c r="D29" s="1" t="s">
        <v>102</v>
      </c>
      <c r="F29" s="1" t="s">
        <v>185</v>
      </c>
    </row>
    <row r="30">
      <c r="A30" s="40">
        <v>44596.72882626158</v>
      </c>
      <c r="B30" s="1" t="s">
        <v>81</v>
      </c>
      <c r="C30" s="1" t="s">
        <v>91</v>
      </c>
      <c r="D30" s="1" t="s">
        <v>102</v>
      </c>
    </row>
    <row r="31">
      <c r="A31" s="40">
        <v>44596.729296122685</v>
      </c>
      <c r="B31" s="1" t="s">
        <v>76</v>
      </c>
      <c r="C31" s="1" t="s">
        <v>182</v>
      </c>
      <c r="D31" s="1" t="s">
        <v>182</v>
      </c>
      <c r="E31" s="1" t="s">
        <v>135</v>
      </c>
      <c r="F31" s="1" t="s">
        <v>146</v>
      </c>
      <c r="G31" s="1" t="s">
        <v>140</v>
      </c>
      <c r="H31" s="41"/>
    </row>
    <row r="32">
      <c r="A32" s="40">
        <v>44596.729470659724</v>
      </c>
      <c r="C32" s="1" t="s">
        <v>91</v>
      </c>
      <c r="D32" s="1" t="s">
        <v>125</v>
      </c>
      <c r="G32" s="1" t="s">
        <v>140</v>
      </c>
      <c r="H32" s="41"/>
    </row>
    <row r="33">
      <c r="A33" s="40">
        <v>44596.7296021875</v>
      </c>
      <c r="C33" s="1" t="s">
        <v>91</v>
      </c>
      <c r="D33" s="1" t="s">
        <v>125</v>
      </c>
    </row>
    <row r="34">
      <c r="A34" s="40">
        <v>44596.72972645833</v>
      </c>
      <c r="C34" s="1" t="s">
        <v>91</v>
      </c>
      <c r="D34" s="1" t="s">
        <v>125</v>
      </c>
      <c r="F34" s="1" t="s">
        <v>146</v>
      </c>
    </row>
    <row r="35">
      <c r="A35" s="40">
        <v>44596.72988989583</v>
      </c>
      <c r="C35" s="1" t="s">
        <v>101</v>
      </c>
      <c r="D35" s="1" t="s">
        <v>124</v>
      </c>
    </row>
    <row r="36">
      <c r="A36" s="40">
        <v>44596.729997256945</v>
      </c>
      <c r="C36" s="1" t="s">
        <v>101</v>
      </c>
      <c r="D36" s="1" t="s">
        <v>124</v>
      </c>
    </row>
    <row r="37">
      <c r="A37" s="40">
        <v>44596.73018962963</v>
      </c>
      <c r="C37" s="1" t="s">
        <v>91</v>
      </c>
      <c r="D37" s="1" t="s">
        <v>103</v>
      </c>
      <c r="G37" s="1" t="s">
        <v>139</v>
      </c>
      <c r="H37" s="41"/>
    </row>
    <row r="38">
      <c r="A38" s="40">
        <v>44596.73030130787</v>
      </c>
      <c r="C38" s="1" t="s">
        <v>91</v>
      </c>
      <c r="D38" s="1" t="s">
        <v>103</v>
      </c>
      <c r="G38" s="1" t="s">
        <v>139</v>
      </c>
      <c r="H38" s="41"/>
    </row>
    <row r="39">
      <c r="A39" s="40">
        <v>44596.73037138889</v>
      </c>
      <c r="C39" s="1" t="s">
        <v>91</v>
      </c>
    </row>
    <row r="40">
      <c r="A40" s="40">
        <v>44596.73055277778</v>
      </c>
      <c r="C40" s="1" t="s">
        <v>91</v>
      </c>
      <c r="D40" s="1" t="s">
        <v>103</v>
      </c>
      <c r="G40" s="1" t="s">
        <v>139</v>
      </c>
      <c r="H40" s="41"/>
    </row>
    <row r="41">
      <c r="A41" s="40">
        <v>44596.730682685185</v>
      </c>
      <c r="C41" s="1" t="s">
        <v>91</v>
      </c>
      <c r="D41" s="1" t="s">
        <v>186</v>
      </c>
    </row>
    <row r="42">
      <c r="A42" s="40">
        <v>44596.73085207176</v>
      </c>
      <c r="C42" s="1" t="s">
        <v>91</v>
      </c>
      <c r="D42" s="1" t="s">
        <v>186</v>
      </c>
    </row>
    <row r="43">
      <c r="A43" s="40">
        <v>44596.73093803241</v>
      </c>
      <c r="C43" s="1" t="s">
        <v>97</v>
      </c>
      <c r="D43" s="1" t="s">
        <v>102</v>
      </c>
    </row>
    <row r="44">
      <c r="A44" s="40">
        <v>44596.731055358796</v>
      </c>
      <c r="C44" s="1" t="s">
        <v>91</v>
      </c>
      <c r="D44" s="1" t="s">
        <v>125</v>
      </c>
    </row>
    <row r="45">
      <c r="A45" s="40">
        <v>44596.73115015046</v>
      </c>
      <c r="C45" s="1" t="s">
        <v>91</v>
      </c>
      <c r="D45" s="1" t="s">
        <v>125</v>
      </c>
    </row>
    <row r="46">
      <c r="A46" s="40">
        <v>44596.73121758102</v>
      </c>
      <c r="G46" s="1" t="s">
        <v>139</v>
      </c>
      <c r="H46" s="41"/>
    </row>
    <row r="47">
      <c r="A47" s="40">
        <v>44596.73140326389</v>
      </c>
      <c r="D47" s="1" t="s">
        <v>105</v>
      </c>
      <c r="E47" s="1" t="s">
        <v>134</v>
      </c>
    </row>
    <row r="48">
      <c r="A48" s="40">
        <v>44596.73151349537</v>
      </c>
      <c r="D48" s="1" t="s">
        <v>105</v>
      </c>
      <c r="E48" s="1" t="s">
        <v>134</v>
      </c>
    </row>
    <row r="49">
      <c r="A49" s="40">
        <v>44596.731595219906</v>
      </c>
      <c r="G49" s="1" t="s">
        <v>139</v>
      </c>
      <c r="H49" s="41"/>
    </row>
    <row r="50">
      <c r="A50" s="40">
        <v>44596.731694050926</v>
      </c>
      <c r="C50" s="1" t="s">
        <v>91</v>
      </c>
      <c r="D50" s="1" t="s">
        <v>122</v>
      </c>
    </row>
    <row r="51">
      <c r="A51" s="40">
        <v>44596.731809317134</v>
      </c>
      <c r="C51" s="1" t="s">
        <v>91</v>
      </c>
      <c r="D51" s="1" t="s">
        <v>122</v>
      </c>
      <c r="G51" s="1" t="s">
        <v>139</v>
      </c>
      <c r="H51" s="41"/>
    </row>
    <row r="52">
      <c r="A52" s="40">
        <v>44596.73189112269</v>
      </c>
      <c r="C52" s="1" t="s">
        <v>97</v>
      </c>
      <c r="D52" s="1" t="s">
        <v>102</v>
      </c>
    </row>
    <row r="53">
      <c r="A53" s="40">
        <v>44596.73198648148</v>
      </c>
      <c r="C53" s="1" t="s">
        <v>91</v>
      </c>
      <c r="D53" s="1" t="s">
        <v>102</v>
      </c>
    </row>
    <row r="54">
      <c r="A54" s="40">
        <v>44596.73215358796</v>
      </c>
      <c r="C54" s="1" t="s">
        <v>91</v>
      </c>
      <c r="D54" s="1" t="s">
        <v>125</v>
      </c>
      <c r="G54" s="1" t="s">
        <v>139</v>
      </c>
      <c r="H54" s="41"/>
    </row>
    <row r="55">
      <c r="A55" s="40">
        <v>44596.73226532407</v>
      </c>
      <c r="C55" s="1" t="s">
        <v>91</v>
      </c>
      <c r="D55" s="1" t="s">
        <v>125</v>
      </c>
    </row>
    <row r="56">
      <c r="A56" s="40">
        <v>44596.73236012732</v>
      </c>
      <c r="C56" s="1" t="s">
        <v>91</v>
      </c>
      <c r="D56" s="1" t="s">
        <v>105</v>
      </c>
    </row>
    <row r="57">
      <c r="A57" s="40">
        <v>44596.73258185185</v>
      </c>
      <c r="G57" s="1" t="s">
        <v>139</v>
      </c>
      <c r="H57" s="41"/>
    </row>
    <row r="58">
      <c r="A58" s="40">
        <v>44596.732729814816</v>
      </c>
      <c r="C58" s="1" t="s">
        <v>91</v>
      </c>
      <c r="G58" s="1" t="s">
        <v>141</v>
      </c>
      <c r="H58" s="41"/>
    </row>
    <row r="59">
      <c r="A59" s="40">
        <v>44596.732894560184</v>
      </c>
      <c r="E59" s="1" t="s">
        <v>184</v>
      </c>
      <c r="F59" s="1" t="s">
        <v>146</v>
      </c>
      <c r="G59" s="1" t="s">
        <v>139</v>
      </c>
      <c r="H59" s="41"/>
    </row>
    <row r="60">
      <c r="A60" s="40">
        <v>44596.73300451389</v>
      </c>
      <c r="C60" s="1" t="s">
        <v>91</v>
      </c>
      <c r="D60" s="1" t="s">
        <v>106</v>
      </c>
    </row>
    <row r="61">
      <c r="A61" s="40">
        <v>44596.733089560184</v>
      </c>
      <c r="C61" s="1" t="s">
        <v>91</v>
      </c>
      <c r="D61" s="1" t="s">
        <v>106</v>
      </c>
    </row>
    <row r="62">
      <c r="A62" s="40">
        <v>44596.73330839121</v>
      </c>
      <c r="D62" s="1" t="s">
        <v>187</v>
      </c>
      <c r="F62" s="1" t="s">
        <v>146</v>
      </c>
      <c r="G62" s="1" t="s">
        <v>139</v>
      </c>
      <c r="H62" s="41"/>
    </row>
    <row r="63">
      <c r="A63" s="40">
        <v>44596.73347398148</v>
      </c>
      <c r="D63" s="1" t="s">
        <v>125</v>
      </c>
      <c r="E63" s="1" t="s">
        <v>134</v>
      </c>
    </row>
    <row r="64">
      <c r="A64" s="40">
        <v>44596.73353885417</v>
      </c>
      <c r="C64" s="1" t="s">
        <v>91</v>
      </c>
    </row>
    <row r="65">
      <c r="A65" s="40">
        <v>44596.7336884838</v>
      </c>
      <c r="C65" s="1" t="s">
        <v>91</v>
      </c>
      <c r="D65" s="1" t="s">
        <v>106</v>
      </c>
      <c r="G65" s="1" t="s">
        <v>141</v>
      </c>
      <c r="H65" s="41"/>
    </row>
    <row r="66">
      <c r="A66" s="40">
        <v>44596.733815659725</v>
      </c>
      <c r="D66" s="1" t="s">
        <v>105</v>
      </c>
      <c r="E66" s="1" t="s">
        <v>134</v>
      </c>
    </row>
    <row r="67">
      <c r="A67" s="40">
        <v>44596.73390542824</v>
      </c>
      <c r="C67" s="1" t="s">
        <v>91</v>
      </c>
      <c r="D67" s="1" t="s">
        <v>103</v>
      </c>
    </row>
    <row r="68">
      <c r="A68" s="40">
        <v>44596.73400306713</v>
      </c>
      <c r="C68" s="1" t="s">
        <v>91</v>
      </c>
      <c r="G68" s="1" t="s">
        <v>141</v>
      </c>
      <c r="H68" s="41"/>
    </row>
    <row r="69">
      <c r="A69" s="40">
        <v>44596.734077534726</v>
      </c>
      <c r="C69" s="1" t="s">
        <v>91</v>
      </c>
      <c r="G69" s="1" t="s">
        <v>143</v>
      </c>
      <c r="H69" s="41"/>
    </row>
    <row r="70">
      <c r="A70" s="40">
        <v>44596.73417462963</v>
      </c>
      <c r="C70" s="1" t="s">
        <v>91</v>
      </c>
    </row>
    <row r="71">
      <c r="A71" s="40">
        <v>44596.73425920139</v>
      </c>
      <c r="C71" s="1" t="s">
        <v>91</v>
      </c>
      <c r="D71" s="1" t="s">
        <v>125</v>
      </c>
    </row>
    <row r="72">
      <c r="A72" s="40">
        <v>44596.734338055554</v>
      </c>
      <c r="C72" s="1" t="s">
        <v>91</v>
      </c>
      <c r="D72" s="1" t="s">
        <v>125</v>
      </c>
    </row>
    <row r="73">
      <c r="A73" s="40">
        <v>44596.734404560186</v>
      </c>
      <c r="C73" s="1" t="s">
        <v>91</v>
      </c>
    </row>
    <row r="74">
      <c r="A74" s="40">
        <v>44596.73447592593</v>
      </c>
      <c r="C74" s="1" t="s">
        <v>91</v>
      </c>
    </row>
    <row r="75">
      <c r="A75" s="40">
        <v>44596.734744050926</v>
      </c>
      <c r="C75" s="1" t="s">
        <v>188</v>
      </c>
      <c r="G75" s="1" t="s">
        <v>141</v>
      </c>
      <c r="H75" s="41"/>
    </row>
    <row r="76">
      <c r="A76" s="40">
        <v>44596.73486935185</v>
      </c>
      <c r="E76" s="1" t="s">
        <v>189</v>
      </c>
    </row>
    <row r="77">
      <c r="A77" s="40">
        <v>44596.73504642361</v>
      </c>
      <c r="E77" s="1" t="s">
        <v>189</v>
      </c>
      <c r="G77" s="1" t="s">
        <v>141</v>
      </c>
      <c r="H77" s="41"/>
    </row>
    <row r="78">
      <c r="A78" s="40">
        <v>44596.73518373843</v>
      </c>
      <c r="C78" s="1" t="s">
        <v>101</v>
      </c>
    </row>
    <row r="79">
      <c r="A79" s="40">
        <v>44596.735279988425</v>
      </c>
      <c r="C79" s="1" t="s">
        <v>99</v>
      </c>
      <c r="G79" s="1" t="s">
        <v>141</v>
      </c>
      <c r="H79" s="41"/>
    </row>
    <row r="80">
      <c r="A80" s="40">
        <v>44596.73534322917</v>
      </c>
      <c r="C80" s="1" t="s">
        <v>91</v>
      </c>
    </row>
    <row r="81">
      <c r="A81" s="40">
        <v>44596.7354090625</v>
      </c>
      <c r="C81" s="1" t="s">
        <v>91</v>
      </c>
    </row>
    <row r="82">
      <c r="A82" s="40">
        <v>44596.73546858796</v>
      </c>
      <c r="C82" s="1" t="s">
        <v>91</v>
      </c>
    </row>
    <row r="83">
      <c r="A83" s="40">
        <v>44596.73561420139</v>
      </c>
      <c r="E83" s="1" t="s">
        <v>133</v>
      </c>
    </row>
    <row r="84">
      <c r="A84" s="40">
        <v>44596.73573655092</v>
      </c>
      <c r="E84" s="1" t="s">
        <v>133</v>
      </c>
    </row>
    <row r="85">
      <c r="A85" s="40">
        <v>44596.7401362963</v>
      </c>
      <c r="C85" s="1" t="s">
        <v>100</v>
      </c>
    </row>
    <row r="86">
      <c r="A86" s="40">
        <v>44596.740243368055</v>
      </c>
      <c r="E86" s="1" t="s">
        <v>190</v>
      </c>
    </row>
    <row r="87">
      <c r="A87" s="40">
        <v>44596.74032542824</v>
      </c>
      <c r="C87" s="1" t="s">
        <v>101</v>
      </c>
    </row>
    <row r="88">
      <c r="A88" s="40">
        <v>44596.7403978588</v>
      </c>
      <c r="C88" s="1" t="s">
        <v>91</v>
      </c>
    </row>
    <row r="89">
      <c r="A89" s="40">
        <v>44596.740500416665</v>
      </c>
      <c r="C89" s="1" t="s">
        <v>91</v>
      </c>
      <c r="G89" s="1" t="s">
        <v>143</v>
      </c>
      <c r="H89" s="41"/>
    </row>
    <row r="90">
      <c r="A90" s="40">
        <v>44596.740570891205</v>
      </c>
      <c r="C90" s="1" t="s">
        <v>91</v>
      </c>
    </row>
    <row r="91">
      <c r="A91" s="40">
        <v>44596.74064300926</v>
      </c>
      <c r="C91" s="1" t="s">
        <v>91</v>
      </c>
    </row>
    <row r="92">
      <c r="A92" s="40">
        <v>44596.74072833333</v>
      </c>
      <c r="C92" s="1" t="s">
        <v>99</v>
      </c>
      <c r="G92" s="1" t="s">
        <v>141</v>
      </c>
      <c r="H92" s="41"/>
    </row>
    <row r="93">
      <c r="A93" s="40">
        <v>44596.74080637732</v>
      </c>
      <c r="C93" s="1" t="s">
        <v>99</v>
      </c>
    </row>
    <row r="94">
      <c r="A94" s="40">
        <v>44596.74088167824</v>
      </c>
      <c r="C94" s="1" t="s">
        <v>91</v>
      </c>
      <c r="G94" s="1" t="s">
        <v>141</v>
      </c>
      <c r="H94" s="41"/>
    </row>
    <row r="95">
      <c r="A95" s="40">
        <v>44596.74096224537</v>
      </c>
      <c r="E95" s="1" t="s">
        <v>133</v>
      </c>
    </row>
    <row r="96">
      <c r="A96" s="40">
        <v>44596.74109282407</v>
      </c>
      <c r="E96" s="1" t="s">
        <v>190</v>
      </c>
    </row>
    <row r="97">
      <c r="A97" s="40">
        <v>44596.74116957176</v>
      </c>
      <c r="C97" s="1" t="s">
        <v>91</v>
      </c>
    </row>
    <row r="98">
      <c r="A98" s="40">
        <v>44596.741236030095</v>
      </c>
      <c r="C98" s="1" t="s">
        <v>91</v>
      </c>
    </row>
    <row r="99">
      <c r="A99" s="40">
        <v>44596.74143767361</v>
      </c>
      <c r="B99" s="1" t="s">
        <v>76</v>
      </c>
      <c r="E99" s="1" t="s">
        <v>135</v>
      </c>
    </row>
    <row r="100">
      <c r="A100" s="40">
        <v>44596.741639872685</v>
      </c>
      <c r="C100" s="1" t="s">
        <v>91</v>
      </c>
      <c r="D100" s="1" t="s">
        <v>103</v>
      </c>
      <c r="G100" s="1" t="s">
        <v>141</v>
      </c>
      <c r="H100" s="41"/>
    </row>
    <row r="101">
      <c r="A101" s="40">
        <v>44596.74174564815</v>
      </c>
      <c r="C101" s="1" t="s">
        <v>101</v>
      </c>
    </row>
    <row r="102">
      <c r="A102" s="40">
        <v>44596.74186550926</v>
      </c>
      <c r="C102" s="1" t="s">
        <v>101</v>
      </c>
    </row>
    <row r="103">
      <c r="A103" s="40">
        <v>44596.741941678236</v>
      </c>
      <c r="C103" s="1" t="s">
        <v>91</v>
      </c>
      <c r="G103" s="1" t="s">
        <v>141</v>
      </c>
      <c r="H103" s="41"/>
    </row>
    <row r="104">
      <c r="A104" s="40">
        <v>44596.74205934028</v>
      </c>
      <c r="E104" s="1" t="s">
        <v>190</v>
      </c>
    </row>
    <row r="105">
      <c r="A105" s="40">
        <v>44596.74213832176</v>
      </c>
      <c r="C105" s="1" t="s">
        <v>91</v>
      </c>
    </row>
    <row r="106">
      <c r="A106" s="40">
        <v>44596.74220453703</v>
      </c>
      <c r="C106" s="1" t="s">
        <v>100</v>
      </c>
    </row>
    <row r="107">
      <c r="A107" s="40">
        <v>44596.74239934028</v>
      </c>
      <c r="B107" s="1" t="s">
        <v>76</v>
      </c>
      <c r="E107" s="1" t="s">
        <v>135</v>
      </c>
    </row>
    <row r="108">
      <c r="A108" s="40">
        <v>44596.742548194445</v>
      </c>
      <c r="C108" s="1" t="s">
        <v>191</v>
      </c>
    </row>
    <row r="109">
      <c r="A109" s="40">
        <v>44596.74261726852</v>
      </c>
      <c r="C109" s="1" t="s">
        <v>101</v>
      </c>
    </row>
    <row r="110">
      <c r="A110" s="40">
        <v>44596.74273543981</v>
      </c>
      <c r="C110" s="1" t="s">
        <v>91</v>
      </c>
    </row>
    <row r="111">
      <c r="A111" s="40">
        <v>44596.742853495365</v>
      </c>
      <c r="E111" s="1" t="s">
        <v>184</v>
      </c>
    </row>
    <row r="112">
      <c r="A112" s="40">
        <v>44596.74295472223</v>
      </c>
      <c r="E112" s="1" t="s">
        <v>184</v>
      </c>
    </row>
    <row r="113">
      <c r="A113" s="40">
        <v>44596.743033148145</v>
      </c>
      <c r="C113" s="1" t="s">
        <v>91</v>
      </c>
    </row>
    <row r="114">
      <c r="A114" s="40">
        <v>44596.74310032408</v>
      </c>
      <c r="C114" s="1" t="s">
        <v>91</v>
      </c>
    </row>
    <row r="115">
      <c r="A115" s="40">
        <v>44596.743154861106</v>
      </c>
      <c r="C115" s="1" t="s">
        <v>91</v>
      </c>
    </row>
    <row r="116">
      <c r="A116" s="40">
        <v>44596.74321331018</v>
      </c>
      <c r="C116" s="1" t="s">
        <v>91</v>
      </c>
    </row>
    <row r="117">
      <c r="A117" s="40">
        <v>44596.74337842593</v>
      </c>
      <c r="E117" s="1" t="s">
        <v>190</v>
      </c>
    </row>
    <row r="118">
      <c r="A118" s="40">
        <v>44596.74349060185</v>
      </c>
      <c r="E118" s="1" t="s">
        <v>133</v>
      </c>
    </row>
    <row r="119">
      <c r="A119" s="40">
        <v>44596.74444758102</v>
      </c>
      <c r="B119" s="1" t="s">
        <v>88</v>
      </c>
      <c r="C119" s="1" t="s">
        <v>99</v>
      </c>
    </row>
    <row r="120">
      <c r="A120" s="40">
        <v>44596.74457175926</v>
      </c>
      <c r="E120" s="1" t="s">
        <v>189</v>
      </c>
    </row>
    <row r="121">
      <c r="A121" s="40">
        <v>44596.74467447917</v>
      </c>
      <c r="B121" s="1" t="s">
        <v>88</v>
      </c>
      <c r="C121" s="1" t="s">
        <v>91</v>
      </c>
    </row>
    <row r="122">
      <c r="A122" s="40">
        <v>44596.74478165509</v>
      </c>
      <c r="E122" s="1" t="s">
        <v>190</v>
      </c>
    </row>
    <row r="123">
      <c r="A123" s="40">
        <v>44596.74484251157</v>
      </c>
      <c r="C123" s="1" t="s">
        <v>91</v>
      </c>
    </row>
    <row r="124">
      <c r="A124" s="40">
        <v>44596.74495733796</v>
      </c>
      <c r="E124" s="1" t="s">
        <v>135</v>
      </c>
    </row>
    <row r="125">
      <c r="A125" s="40">
        <v>44596.74513053241</v>
      </c>
      <c r="G125" s="1" t="s">
        <v>141</v>
      </c>
    </row>
    <row r="126">
      <c r="A126" s="40">
        <v>44596.74519803241</v>
      </c>
      <c r="C126" s="1" t="s">
        <v>91</v>
      </c>
    </row>
    <row r="127">
      <c r="A127" s="40">
        <v>44596.74525590277</v>
      </c>
      <c r="C127" s="1" t="s">
        <v>91</v>
      </c>
    </row>
    <row r="128">
      <c r="A128" s="40">
        <v>44596.74532030092</v>
      </c>
      <c r="C128" s="1" t="s">
        <v>91</v>
      </c>
    </row>
    <row r="129">
      <c r="A129" s="40">
        <v>44596.74539449074</v>
      </c>
      <c r="C129" s="1" t="s">
        <v>91</v>
      </c>
    </row>
    <row r="130">
      <c r="A130" s="40">
        <v>44596.745484328705</v>
      </c>
      <c r="C130" s="1" t="s">
        <v>91</v>
      </c>
    </row>
    <row r="131">
      <c r="A131" s="40">
        <v>44596.745565289355</v>
      </c>
      <c r="C131" s="1" t="s">
        <v>99</v>
      </c>
    </row>
    <row r="132">
      <c r="A132" s="40">
        <v>44596.745650613426</v>
      </c>
      <c r="E132" s="1" t="s">
        <v>133</v>
      </c>
    </row>
    <row r="133">
      <c r="A133" s="40">
        <v>44596.7457871875</v>
      </c>
      <c r="B133" s="1" t="s">
        <v>88</v>
      </c>
      <c r="E133" s="1" t="s">
        <v>133</v>
      </c>
    </row>
    <row r="134">
      <c r="A134" s="40">
        <v>44596.7458633912</v>
      </c>
      <c r="E134" s="1" t="s">
        <v>133</v>
      </c>
    </row>
    <row r="135">
      <c r="A135" s="40">
        <v>44596.74594541667</v>
      </c>
      <c r="C135" s="1" t="s">
        <v>101</v>
      </c>
    </row>
    <row r="136">
      <c r="A136" s="40">
        <v>44596.74601145834</v>
      </c>
      <c r="C136" s="1" t="s">
        <v>91</v>
      </c>
    </row>
    <row r="137">
      <c r="A137" s="40">
        <v>44596.74607732639</v>
      </c>
      <c r="C137" s="1" t="s">
        <v>91</v>
      </c>
    </row>
    <row r="138">
      <c r="A138" s="40">
        <v>44596.746149224535</v>
      </c>
      <c r="C138" s="1" t="s">
        <v>91</v>
      </c>
    </row>
    <row r="139">
      <c r="A139" s="40">
        <v>44596.74621045139</v>
      </c>
      <c r="C139" s="1" t="s">
        <v>91</v>
      </c>
    </row>
    <row r="140">
      <c r="A140" s="40">
        <v>44596.74659837963</v>
      </c>
      <c r="B140" s="1" t="s">
        <v>76</v>
      </c>
      <c r="E140" s="1" t="s">
        <v>135</v>
      </c>
    </row>
    <row r="141">
      <c r="A141" s="40">
        <v>44596.746702199074</v>
      </c>
      <c r="E141" s="1" t="s">
        <v>192</v>
      </c>
    </row>
    <row r="142">
      <c r="A142" s="40">
        <v>44596.746800810186</v>
      </c>
      <c r="E142" s="1" t="s">
        <v>192</v>
      </c>
    </row>
    <row r="143">
      <c r="A143" s="40">
        <v>44596.746879432874</v>
      </c>
      <c r="C143" s="1" t="s">
        <v>99</v>
      </c>
    </row>
    <row r="144">
      <c r="A144" s="40">
        <v>44596.746935821764</v>
      </c>
      <c r="C144" s="1" t="s">
        <v>91</v>
      </c>
    </row>
    <row r="145">
      <c r="A145" s="40">
        <v>44596.746999525465</v>
      </c>
      <c r="C145" s="1" t="s">
        <v>91</v>
      </c>
    </row>
    <row r="146">
      <c r="A146" s="40">
        <v>44596.74705777778</v>
      </c>
      <c r="C146" s="1" t="s">
        <v>91</v>
      </c>
    </row>
    <row r="147">
      <c r="A147" s="40">
        <v>44596.74711653935</v>
      </c>
      <c r="C147" s="1" t="s">
        <v>91</v>
      </c>
    </row>
    <row r="148">
      <c r="A148" s="40">
        <v>44596.747177060184</v>
      </c>
      <c r="C148" s="1" t="s">
        <v>91</v>
      </c>
    </row>
    <row r="149">
      <c r="A149" s="40">
        <v>44596.7472429051</v>
      </c>
      <c r="C149" s="1" t="s">
        <v>188</v>
      </c>
    </row>
    <row r="150">
      <c r="A150" s="40">
        <v>44596.74733554398</v>
      </c>
      <c r="E150" s="1" t="s">
        <v>190</v>
      </c>
    </row>
    <row r="151">
      <c r="A151" s="40">
        <v>44596.747406724535</v>
      </c>
      <c r="C151" s="1" t="s">
        <v>191</v>
      </c>
    </row>
    <row r="152">
      <c r="A152" s="40">
        <v>44596.74747375</v>
      </c>
      <c r="C152" s="1" t="s">
        <v>91</v>
      </c>
    </row>
    <row r="153">
      <c r="A153" s="40">
        <v>44596.74753943287</v>
      </c>
      <c r="C153" s="1" t="s">
        <v>91</v>
      </c>
    </row>
    <row r="154">
      <c r="A154" s="40">
        <v>44596.74759932871</v>
      </c>
      <c r="C154" s="1" t="s">
        <v>91</v>
      </c>
    </row>
    <row r="155">
      <c r="A155" s="40">
        <v>44596.74767820602</v>
      </c>
      <c r="C155" s="1" t="s">
        <v>191</v>
      </c>
    </row>
    <row r="156">
      <c r="A156" s="40">
        <v>44596.74775177083</v>
      </c>
      <c r="C156" s="1" t="s">
        <v>191</v>
      </c>
    </row>
    <row r="157">
      <c r="A157" s="40">
        <v>44596.74784278935</v>
      </c>
      <c r="E157" s="1" t="s">
        <v>133</v>
      </c>
    </row>
    <row r="158">
      <c r="A158" s="40">
        <v>44596.74792094907</v>
      </c>
      <c r="E158" s="1" t="s">
        <v>133</v>
      </c>
    </row>
    <row r="159">
      <c r="A159" s="40">
        <v>44596.7479980787</v>
      </c>
      <c r="C159" s="1" t="s">
        <v>91</v>
      </c>
      <c r="F159" s="1" t="s">
        <v>152</v>
      </c>
    </row>
    <row r="160">
      <c r="A160" s="40">
        <v>44596.74811748843</v>
      </c>
      <c r="B160" s="1" t="s">
        <v>86</v>
      </c>
      <c r="C160" s="1" t="s">
        <v>91</v>
      </c>
    </row>
    <row r="161">
      <c r="A161" s="40">
        <v>44596.74818059028</v>
      </c>
      <c r="C161" s="1" t="s">
        <v>99</v>
      </c>
    </row>
    <row r="162">
      <c r="A162" s="40">
        <v>44596.74825813658</v>
      </c>
      <c r="C162" s="1" t="s">
        <v>99</v>
      </c>
    </row>
    <row r="163">
      <c r="A163" s="40">
        <v>44596.74840726852</v>
      </c>
      <c r="B163" s="1" t="s">
        <v>193</v>
      </c>
      <c r="C163" s="1" t="s">
        <v>194</v>
      </c>
    </row>
    <row r="164">
      <c r="A164" s="40">
        <v>44596.74846293981</v>
      </c>
      <c r="C164" s="1" t="s">
        <v>91</v>
      </c>
    </row>
    <row r="165">
      <c r="A165" s="40">
        <v>44596.748534479164</v>
      </c>
      <c r="C165" s="1" t="s">
        <v>91</v>
      </c>
    </row>
    <row r="166">
      <c r="A166" s="40">
        <v>44596.74861085648</v>
      </c>
      <c r="C166" s="1" t="s">
        <v>100</v>
      </c>
    </row>
    <row r="167">
      <c r="A167" s="40">
        <v>44596.7486765162</v>
      </c>
      <c r="C167" s="1" t="s">
        <v>91</v>
      </c>
    </row>
    <row r="168">
      <c r="A168" s="40">
        <v>44596.74874326389</v>
      </c>
      <c r="C168" s="1" t="s">
        <v>99</v>
      </c>
    </row>
    <row r="169">
      <c r="A169" s="40">
        <v>44596.748843611116</v>
      </c>
      <c r="E169" s="1" t="s">
        <v>189</v>
      </c>
    </row>
    <row r="170">
      <c r="A170" s="40">
        <v>44596.74889994213</v>
      </c>
      <c r="C170" s="1" t="s">
        <v>91</v>
      </c>
    </row>
    <row r="171">
      <c r="A171" s="40">
        <v>44596.74899670139</v>
      </c>
      <c r="E171" s="1" t="s">
        <v>189</v>
      </c>
    </row>
    <row r="172">
      <c r="A172" s="40">
        <v>44596.74918835648</v>
      </c>
      <c r="B172" s="1" t="s">
        <v>195</v>
      </c>
      <c r="C172" s="1" t="s">
        <v>91</v>
      </c>
      <c r="D172" s="1" t="s">
        <v>103</v>
      </c>
    </row>
    <row r="173">
      <c r="A173" s="40">
        <v>44596.749265833336</v>
      </c>
      <c r="E173" s="1" t="s">
        <v>184</v>
      </c>
    </row>
    <row r="174">
      <c r="A174" s="40">
        <v>44596.74933803241</v>
      </c>
      <c r="E174" s="1" t="s">
        <v>184</v>
      </c>
    </row>
    <row r="175">
      <c r="A175" s="40">
        <v>44596.74941950232</v>
      </c>
      <c r="C175" s="1" t="s">
        <v>91</v>
      </c>
      <c r="D175" s="1" t="s">
        <v>103</v>
      </c>
    </row>
    <row r="176">
      <c r="A176" s="40">
        <v>44596.74950795139</v>
      </c>
      <c r="C176" s="1" t="s">
        <v>91</v>
      </c>
      <c r="D176" s="1" t="s">
        <v>103</v>
      </c>
    </row>
    <row r="177">
      <c r="A177" s="40">
        <v>44596.74965758102</v>
      </c>
      <c r="D177" s="1" t="s">
        <v>187</v>
      </c>
    </row>
    <row r="178">
      <c r="A178" s="40">
        <v>44596.74982813657</v>
      </c>
      <c r="D178" s="1" t="s">
        <v>105</v>
      </c>
      <c r="E178" s="1" t="s">
        <v>134</v>
      </c>
      <c r="G178" s="1" t="s">
        <v>139</v>
      </c>
    </row>
    <row r="179">
      <c r="A179" s="40">
        <v>44596.74988870371</v>
      </c>
      <c r="C179" s="1" t="s">
        <v>91</v>
      </c>
    </row>
    <row r="180">
      <c r="A180" s="40">
        <v>44596.74998015046</v>
      </c>
      <c r="D180" s="1" t="s">
        <v>187</v>
      </c>
    </row>
    <row r="181">
      <c r="A181" s="40">
        <v>44596.75008789352</v>
      </c>
      <c r="D181" s="1" t="s">
        <v>105</v>
      </c>
      <c r="E181" s="1" t="s">
        <v>134</v>
      </c>
    </row>
    <row r="182">
      <c r="A182" s="40">
        <v>44596.750155312504</v>
      </c>
      <c r="C182" s="1" t="s">
        <v>91</v>
      </c>
    </row>
    <row r="183">
      <c r="A183" s="40">
        <v>44596.75025309028</v>
      </c>
      <c r="C183" s="1" t="s">
        <v>91</v>
      </c>
      <c r="D183" s="1" t="s">
        <v>109</v>
      </c>
    </row>
    <row r="184">
      <c r="A184" s="40">
        <v>44596.75033052084</v>
      </c>
      <c r="C184" s="1" t="s">
        <v>91</v>
      </c>
      <c r="D184" s="1" t="s">
        <v>109</v>
      </c>
    </row>
    <row r="185">
      <c r="A185" s="40">
        <v>44596.750454837966</v>
      </c>
      <c r="E185" s="1" t="s">
        <v>189</v>
      </c>
    </row>
    <row r="186">
      <c r="A186" s="40">
        <v>44596.75053159722</v>
      </c>
      <c r="E186" s="1" t="s">
        <v>189</v>
      </c>
    </row>
    <row r="187">
      <c r="A187" s="40">
        <v>44596.75063966435</v>
      </c>
      <c r="C187" s="1" t="s">
        <v>91</v>
      </c>
      <c r="D187" s="1" t="s">
        <v>105</v>
      </c>
    </row>
    <row r="188">
      <c r="A188" s="40">
        <v>44596.750704398146</v>
      </c>
      <c r="C188" s="1" t="s">
        <v>100</v>
      </c>
    </row>
    <row r="189">
      <c r="A189" s="40">
        <v>44596.75076090278</v>
      </c>
      <c r="C189" s="1" t="s">
        <v>91</v>
      </c>
    </row>
    <row r="190">
      <c r="A190" s="40">
        <v>44596.750841574074</v>
      </c>
      <c r="C190" s="1" t="s">
        <v>91</v>
      </c>
      <c r="D190" s="1" t="s">
        <v>109</v>
      </c>
    </row>
    <row r="191">
      <c r="A191" s="40">
        <v>44596.751057581016</v>
      </c>
      <c r="E191" s="1" t="s">
        <v>196</v>
      </c>
      <c r="F191" s="1" t="s">
        <v>185</v>
      </c>
      <c r="G191" s="1" t="s">
        <v>143</v>
      </c>
    </row>
    <row r="192">
      <c r="A192" s="40">
        <v>44596.75112422454</v>
      </c>
      <c r="C192" s="1" t="s">
        <v>99</v>
      </c>
    </row>
    <row r="193">
      <c r="A193" s="40">
        <v>44596.751201747684</v>
      </c>
      <c r="E193" s="1" t="s">
        <v>184</v>
      </c>
    </row>
    <row r="194">
      <c r="A194" s="40">
        <v>44596.751291203705</v>
      </c>
      <c r="E194" s="1" t="s">
        <v>184</v>
      </c>
    </row>
    <row r="195">
      <c r="A195" s="40">
        <v>44596.751369351856</v>
      </c>
      <c r="E195" s="1" t="s">
        <v>184</v>
      </c>
    </row>
    <row r="196">
      <c r="A196" s="40">
        <v>44596.751456620375</v>
      </c>
      <c r="C196" s="1" t="s">
        <v>91</v>
      </c>
      <c r="D196" s="1" t="s">
        <v>103</v>
      </c>
    </row>
    <row r="197">
      <c r="A197" s="40">
        <v>44596.75154236111</v>
      </c>
      <c r="C197" s="1" t="s">
        <v>91</v>
      </c>
      <c r="D197" s="1" t="s">
        <v>103</v>
      </c>
    </row>
    <row r="198">
      <c r="A198" s="40">
        <v>44596.75161914351</v>
      </c>
      <c r="C198" s="1" t="s">
        <v>91</v>
      </c>
      <c r="D198" s="1" t="s">
        <v>103</v>
      </c>
    </row>
    <row r="199">
      <c r="A199" s="40">
        <v>44596.75171989584</v>
      </c>
      <c r="C199" s="1" t="s">
        <v>91</v>
      </c>
      <c r="D199" s="1" t="s">
        <v>122</v>
      </c>
    </row>
    <row r="200">
      <c r="A200" s="40">
        <v>44596.751978541666</v>
      </c>
      <c r="D200" s="1" t="s">
        <v>187</v>
      </c>
    </row>
    <row r="201">
      <c r="A201" s="40">
        <v>44596.75210621528</v>
      </c>
      <c r="D201" s="1" t="s">
        <v>197</v>
      </c>
    </row>
    <row r="202">
      <c r="A202" s="40">
        <v>44596.75219135417</v>
      </c>
      <c r="D202" s="1" t="s">
        <v>197</v>
      </c>
    </row>
    <row r="203">
      <c r="A203" s="40">
        <v>44596.752255740736</v>
      </c>
      <c r="C203" s="1" t="s">
        <v>91</v>
      </c>
    </row>
    <row r="204">
      <c r="A204" s="40">
        <v>44596.75236537037</v>
      </c>
      <c r="C204" s="1" t="s">
        <v>91</v>
      </c>
      <c r="D204" s="1" t="s">
        <v>103</v>
      </c>
      <c r="G204" s="1" t="s">
        <v>139</v>
      </c>
    </row>
    <row r="205">
      <c r="A205" s="40">
        <v>44596.75247320602</v>
      </c>
      <c r="C205" s="1" t="s">
        <v>91</v>
      </c>
      <c r="D205" s="1" t="s">
        <v>109</v>
      </c>
      <c r="G205" s="1" t="s">
        <v>139</v>
      </c>
    </row>
    <row r="206">
      <c r="A206" s="40">
        <v>44596.75257460648</v>
      </c>
      <c r="C206" s="1" t="s">
        <v>91</v>
      </c>
      <c r="D206" s="1" t="s">
        <v>186</v>
      </c>
    </row>
    <row r="207">
      <c r="A207" s="40">
        <v>44596.75266079861</v>
      </c>
      <c r="C207" s="1" t="s">
        <v>91</v>
      </c>
      <c r="D207" s="1" t="s">
        <v>186</v>
      </c>
    </row>
    <row r="208">
      <c r="A208" s="40">
        <v>44596.752768125</v>
      </c>
      <c r="D208" s="1" t="s">
        <v>187</v>
      </c>
    </row>
    <row r="209">
      <c r="A209" s="40">
        <v>44596.752859224536</v>
      </c>
      <c r="C209" s="1" t="s">
        <v>91</v>
      </c>
      <c r="D209" s="1" t="s">
        <v>122</v>
      </c>
    </row>
    <row r="210">
      <c r="A210" s="40">
        <v>44596.75295630787</v>
      </c>
      <c r="C210" s="1" t="s">
        <v>91</v>
      </c>
      <c r="D210" s="1" t="s">
        <v>124</v>
      </c>
    </row>
    <row r="211">
      <c r="A211" s="40">
        <v>44596.75302753472</v>
      </c>
      <c r="D211" s="1" t="s">
        <v>187</v>
      </c>
    </row>
    <row r="212">
      <c r="A212" s="40">
        <v>44596.7531209838</v>
      </c>
      <c r="D212" s="1" t="s">
        <v>187</v>
      </c>
    </row>
    <row r="213">
      <c r="A213" s="40">
        <v>44596.75321306713</v>
      </c>
      <c r="C213" s="1" t="s">
        <v>91</v>
      </c>
      <c r="D213" s="1" t="s">
        <v>122</v>
      </c>
    </row>
    <row r="214">
      <c r="A214" s="40">
        <v>44596.753307604165</v>
      </c>
      <c r="C214" s="1" t="s">
        <v>91</v>
      </c>
      <c r="D214" s="1" t="s">
        <v>122</v>
      </c>
    </row>
    <row r="215">
      <c r="A215" s="40">
        <v>44596.75340677083</v>
      </c>
      <c r="C215" s="1" t="s">
        <v>101</v>
      </c>
      <c r="D215" s="1" t="s">
        <v>122</v>
      </c>
    </row>
    <row r="216">
      <c r="A216" s="40">
        <v>44596.75351229167</v>
      </c>
      <c r="C216" s="1" t="s">
        <v>101</v>
      </c>
      <c r="D216" s="1" t="s">
        <v>122</v>
      </c>
    </row>
    <row r="217">
      <c r="A217" s="40">
        <v>44596.75359165509</v>
      </c>
      <c r="C217" s="1" t="s">
        <v>91</v>
      </c>
      <c r="D217" s="1" t="s">
        <v>103</v>
      </c>
    </row>
    <row r="218">
      <c r="A218" s="40">
        <v>44596.75367726852</v>
      </c>
      <c r="C218" s="1" t="s">
        <v>91</v>
      </c>
      <c r="D218" s="1" t="s">
        <v>103</v>
      </c>
    </row>
    <row r="219">
      <c r="A219" s="40">
        <v>44596.753756516206</v>
      </c>
      <c r="C219" s="1" t="s">
        <v>91</v>
      </c>
      <c r="D219" s="1" t="s">
        <v>103</v>
      </c>
    </row>
    <row r="220">
      <c r="A220" s="40">
        <v>44596.75383460648</v>
      </c>
      <c r="C220" s="1" t="s">
        <v>91</v>
      </c>
      <c r="D220" s="1" t="s">
        <v>103</v>
      </c>
    </row>
    <row r="221">
      <c r="A221" s="40">
        <v>44596.753917939815</v>
      </c>
      <c r="C221" s="1" t="s">
        <v>91</v>
      </c>
      <c r="D221" s="1" t="s">
        <v>106</v>
      </c>
    </row>
    <row r="222">
      <c r="A222" s="40">
        <v>44596.75403324074</v>
      </c>
      <c r="C222" s="1" t="s">
        <v>91</v>
      </c>
      <c r="D222" s="1" t="s">
        <v>106</v>
      </c>
    </row>
    <row r="223">
      <c r="A223" s="40">
        <v>44596.754175497685</v>
      </c>
      <c r="D223" s="1" t="s">
        <v>108</v>
      </c>
      <c r="E223" s="1" t="s">
        <v>184</v>
      </c>
    </row>
    <row r="224">
      <c r="A224" s="40">
        <v>44596.75425300926</v>
      </c>
      <c r="E224" s="1" t="s">
        <v>184</v>
      </c>
    </row>
    <row r="225">
      <c r="A225" s="40">
        <v>44596.75435335648</v>
      </c>
      <c r="C225" s="1" t="s">
        <v>91</v>
      </c>
      <c r="D225" s="1" t="s">
        <v>109</v>
      </c>
    </row>
    <row r="226">
      <c r="A226" s="40">
        <v>44596.75446064815</v>
      </c>
      <c r="C226" s="1" t="s">
        <v>91</v>
      </c>
      <c r="D226" s="1" t="s">
        <v>109</v>
      </c>
    </row>
    <row r="227">
      <c r="A227" s="40">
        <v>44596.75461193287</v>
      </c>
      <c r="D227" s="1" t="s">
        <v>122</v>
      </c>
    </row>
    <row r="228">
      <c r="A228" s="40">
        <v>44597.69350725695</v>
      </c>
      <c r="B228" s="1" t="s">
        <v>198</v>
      </c>
      <c r="C228" s="1" t="s">
        <v>91</v>
      </c>
      <c r="D228" s="1" t="s">
        <v>125</v>
      </c>
      <c r="F228" s="1" t="s">
        <v>148</v>
      </c>
      <c r="G228" s="1" t="s">
        <v>199</v>
      </c>
    </row>
    <row r="229">
      <c r="A229" s="40">
        <v>44598.425190995375</v>
      </c>
      <c r="B229" s="1" t="s">
        <v>78</v>
      </c>
      <c r="C229" s="1" t="s">
        <v>91</v>
      </c>
      <c r="D229" s="1" t="s">
        <v>103</v>
      </c>
      <c r="E229" s="1" t="s">
        <v>182</v>
      </c>
    </row>
    <row r="230">
      <c r="A230" s="40">
        <v>44598.82152706019</v>
      </c>
      <c r="F230" s="1" t="s">
        <v>148</v>
      </c>
    </row>
    <row r="231">
      <c r="A231" s="40">
        <v>44598.82162372685</v>
      </c>
      <c r="G231" s="1" t="s">
        <v>143</v>
      </c>
    </row>
    <row r="232">
      <c r="A232" s="40">
        <v>44599.578148472225</v>
      </c>
      <c r="B232" s="1" t="s">
        <v>78</v>
      </c>
      <c r="C232" s="1" t="s">
        <v>91</v>
      </c>
      <c r="D232" s="1" t="s">
        <v>103</v>
      </c>
      <c r="E232" s="1" t="s">
        <v>182</v>
      </c>
      <c r="F232" s="1" t="s">
        <v>148</v>
      </c>
      <c r="G232" s="1" t="s">
        <v>139</v>
      </c>
    </row>
    <row r="233">
      <c r="A233" s="40">
        <v>44600.34811121528</v>
      </c>
      <c r="B233" s="1" t="s">
        <v>78</v>
      </c>
      <c r="C233" s="1" t="s">
        <v>91</v>
      </c>
      <c r="D233" s="1" t="s">
        <v>103</v>
      </c>
      <c r="E233" s="1" t="s">
        <v>182</v>
      </c>
      <c r="F233" s="1" t="s">
        <v>148</v>
      </c>
      <c r="G233" s="1" t="s">
        <v>139</v>
      </c>
    </row>
    <row r="234">
      <c r="A234" s="40">
        <v>44601.42623195602</v>
      </c>
      <c r="B234" s="1" t="s">
        <v>78</v>
      </c>
      <c r="C234" s="1" t="s">
        <v>91</v>
      </c>
      <c r="D234" s="1" t="s">
        <v>103</v>
      </c>
      <c r="E234" s="1" t="s">
        <v>182</v>
      </c>
      <c r="F234" s="1" t="s">
        <v>148</v>
      </c>
      <c r="G234" s="1" t="s">
        <v>139</v>
      </c>
    </row>
    <row r="235">
      <c r="A235" s="40">
        <v>44602.66191425926</v>
      </c>
      <c r="B235" s="1" t="s">
        <v>76</v>
      </c>
      <c r="C235" s="1" t="s">
        <v>182</v>
      </c>
      <c r="D235" s="1" t="s">
        <v>125</v>
      </c>
      <c r="E235" s="1" t="s">
        <v>134</v>
      </c>
      <c r="F235" s="1" t="s">
        <v>145</v>
      </c>
      <c r="G235" s="1" t="s">
        <v>140</v>
      </c>
    </row>
    <row r="236">
      <c r="A236" s="40">
        <v>44603.42466671296</v>
      </c>
      <c r="B236" s="1" t="s">
        <v>76</v>
      </c>
      <c r="C236" s="1" t="s">
        <v>182</v>
      </c>
      <c r="D236" s="1" t="s">
        <v>125</v>
      </c>
      <c r="E236" s="1" t="s">
        <v>134</v>
      </c>
      <c r="F236" s="1" t="s">
        <v>145</v>
      </c>
      <c r="G236" s="1" t="s">
        <v>139</v>
      </c>
    </row>
    <row r="237">
      <c r="A237" s="40">
        <v>44603.837377557866</v>
      </c>
      <c r="C237" s="1" t="s">
        <v>93</v>
      </c>
    </row>
    <row r="238">
      <c r="A238" s="40">
        <v>44604.45326201389</v>
      </c>
      <c r="B238" s="1" t="s">
        <v>76</v>
      </c>
      <c r="C238" s="1" t="s">
        <v>91</v>
      </c>
      <c r="D238" s="1" t="s">
        <v>125</v>
      </c>
      <c r="F238" s="1" t="s">
        <v>145</v>
      </c>
      <c r="G238" s="1" t="s">
        <v>139</v>
      </c>
    </row>
    <row r="239">
      <c r="A239" s="40">
        <v>44604.65167734954</v>
      </c>
      <c r="C239" s="1" t="s">
        <v>93</v>
      </c>
      <c r="D239" s="1" t="s">
        <v>123</v>
      </c>
    </row>
    <row r="240">
      <c r="A240" s="40">
        <v>44605.77301104167</v>
      </c>
      <c r="B240" s="1" t="s">
        <v>76</v>
      </c>
      <c r="C240" s="1" t="s">
        <v>91</v>
      </c>
      <c r="D240" s="1" t="s">
        <v>125</v>
      </c>
      <c r="G240" s="1" t="s">
        <v>140</v>
      </c>
    </row>
    <row r="241">
      <c r="A241" s="40">
        <v>44606.456917777774</v>
      </c>
      <c r="B241" s="1" t="s">
        <v>86</v>
      </c>
      <c r="C241" s="1" t="s">
        <v>91</v>
      </c>
      <c r="D241" s="1" t="s">
        <v>106</v>
      </c>
      <c r="F241" s="1" t="s">
        <v>145</v>
      </c>
      <c r="G241" s="1" t="s">
        <v>140</v>
      </c>
    </row>
    <row r="242">
      <c r="A242" s="40">
        <v>44606.70207929398</v>
      </c>
      <c r="C242" s="1" t="s">
        <v>93</v>
      </c>
    </row>
    <row r="243">
      <c r="A243" s="40">
        <v>44607.46938891204</v>
      </c>
      <c r="B243" s="1" t="s">
        <v>86</v>
      </c>
      <c r="C243" s="1" t="s">
        <v>91</v>
      </c>
      <c r="D243" s="1" t="s">
        <v>106</v>
      </c>
      <c r="E243" s="1" t="s">
        <v>182</v>
      </c>
      <c r="F243" s="1" t="s">
        <v>145</v>
      </c>
      <c r="G243" s="1" t="s">
        <v>139</v>
      </c>
    </row>
    <row r="244">
      <c r="A244" s="40">
        <v>44608.44287273148</v>
      </c>
      <c r="B244" s="1" t="s">
        <v>86</v>
      </c>
      <c r="C244" s="1" t="s">
        <v>91</v>
      </c>
      <c r="D244" s="1" t="s">
        <v>106</v>
      </c>
      <c r="E244" s="1" t="s">
        <v>182</v>
      </c>
      <c r="F244" s="1" t="s">
        <v>145</v>
      </c>
      <c r="G244" s="1" t="s">
        <v>140</v>
      </c>
    </row>
    <row r="245">
      <c r="A245" s="40">
        <v>44609.47233421296</v>
      </c>
      <c r="B245" s="1" t="s">
        <v>195</v>
      </c>
      <c r="C245" s="1" t="s">
        <v>91</v>
      </c>
      <c r="D245" s="1" t="s">
        <v>103</v>
      </c>
      <c r="E245" s="1" t="s">
        <v>182</v>
      </c>
      <c r="F245" s="1" t="s">
        <v>146</v>
      </c>
      <c r="G245" s="1" t="s">
        <v>139</v>
      </c>
    </row>
    <row r="246">
      <c r="A246" s="40">
        <v>44610.42465545139</v>
      </c>
      <c r="B246" s="1" t="s">
        <v>195</v>
      </c>
      <c r="C246" s="1" t="s">
        <v>91</v>
      </c>
      <c r="D246" s="1" t="s">
        <v>103</v>
      </c>
      <c r="F246" s="1" t="s">
        <v>148</v>
      </c>
      <c r="G246" s="1" t="s">
        <v>140</v>
      </c>
    </row>
    <row r="247">
      <c r="A247" s="40">
        <v>44611.47914688657</v>
      </c>
      <c r="B247" s="1" t="s">
        <v>195</v>
      </c>
      <c r="C247" s="1" t="s">
        <v>91</v>
      </c>
      <c r="D247" s="1" t="s">
        <v>103</v>
      </c>
      <c r="F247" s="1" t="s">
        <v>148</v>
      </c>
      <c r="G247" s="1" t="s">
        <v>139</v>
      </c>
    </row>
    <row r="248">
      <c r="A248" s="40">
        <v>44611.69329094907</v>
      </c>
      <c r="D248" s="1" t="s">
        <v>123</v>
      </c>
    </row>
    <row r="249">
      <c r="A249" s="40">
        <v>44612.928548564814</v>
      </c>
      <c r="B249" s="1" t="s">
        <v>78</v>
      </c>
      <c r="C249" s="1" t="s">
        <v>91</v>
      </c>
      <c r="F249" s="1" t="s">
        <v>148</v>
      </c>
      <c r="G249" s="1" t="s">
        <v>140</v>
      </c>
    </row>
    <row r="250">
      <c r="A250" s="40">
        <v>44613.61228166667</v>
      </c>
      <c r="B250" s="1" t="s">
        <v>78</v>
      </c>
      <c r="C250" s="1" t="s">
        <v>91</v>
      </c>
      <c r="D250" s="1" t="s">
        <v>186</v>
      </c>
      <c r="E250" s="1" t="s">
        <v>182</v>
      </c>
      <c r="F250" s="1" t="s">
        <v>185</v>
      </c>
      <c r="G250" s="1" t="s">
        <v>140</v>
      </c>
    </row>
    <row r="251">
      <c r="A251" s="40">
        <v>44614.63416430556</v>
      </c>
      <c r="C251" s="1" t="s">
        <v>101</v>
      </c>
      <c r="D251" s="1" t="s">
        <v>122</v>
      </c>
    </row>
    <row r="252">
      <c r="A252" s="40">
        <v>44615.73481201389</v>
      </c>
      <c r="C252" s="1" t="s">
        <v>101</v>
      </c>
      <c r="D252" s="1" t="s">
        <v>122</v>
      </c>
    </row>
    <row r="253">
      <c r="A253" s="40">
        <v>44616.484478391205</v>
      </c>
      <c r="B253" s="1" t="s">
        <v>76</v>
      </c>
      <c r="D253" s="1" t="s">
        <v>102</v>
      </c>
      <c r="F253" s="1" t="s">
        <v>146</v>
      </c>
      <c r="G253" s="1" t="s">
        <v>139</v>
      </c>
    </row>
    <row r="254">
      <c r="A254" s="40">
        <v>44617.37255513889</v>
      </c>
      <c r="B254" s="1" t="s">
        <v>76</v>
      </c>
      <c r="D254" s="1" t="s">
        <v>102</v>
      </c>
      <c r="F254" s="1" t="s">
        <v>146</v>
      </c>
      <c r="G254" s="1" t="s">
        <v>139</v>
      </c>
    </row>
    <row r="255">
      <c r="A255" s="40">
        <v>44618.706644895836</v>
      </c>
      <c r="B255" s="1" t="s">
        <v>76</v>
      </c>
      <c r="C255" s="1" t="s">
        <v>97</v>
      </c>
      <c r="D255" s="1" t="s">
        <v>102</v>
      </c>
    </row>
    <row r="256">
      <c r="A256" s="40">
        <v>44618.82131623843</v>
      </c>
      <c r="B256" s="1" t="s">
        <v>76</v>
      </c>
      <c r="D256" s="1" t="s">
        <v>102</v>
      </c>
    </row>
    <row r="257">
      <c r="A257" s="40">
        <v>44620.27734828704</v>
      </c>
      <c r="B257" s="1" t="s">
        <v>81</v>
      </c>
      <c r="C257" s="1" t="s">
        <v>188</v>
      </c>
      <c r="D257" s="1" t="s">
        <v>102</v>
      </c>
      <c r="F257" s="1" t="s">
        <v>152</v>
      </c>
      <c r="G257" s="1" t="s">
        <v>139</v>
      </c>
    </row>
    <row r="258">
      <c r="A258" s="40">
        <v>44620.27958162037</v>
      </c>
      <c r="B258" s="1" t="s">
        <v>81</v>
      </c>
      <c r="C258" s="1" t="s">
        <v>188</v>
      </c>
      <c r="D258" s="1" t="s">
        <v>102</v>
      </c>
      <c r="F258" s="1" t="s">
        <v>152</v>
      </c>
      <c r="G258" s="1" t="s">
        <v>139</v>
      </c>
    </row>
    <row r="259">
      <c r="A259" s="40">
        <v>44620.27965128473</v>
      </c>
      <c r="F259" s="1" t="s">
        <v>146</v>
      </c>
    </row>
    <row r="260">
      <c r="A260" s="40">
        <v>44621.420553449076</v>
      </c>
      <c r="B260" s="1" t="s">
        <v>81</v>
      </c>
      <c r="C260" s="1" t="s">
        <v>91</v>
      </c>
      <c r="D260" s="1" t="s">
        <v>106</v>
      </c>
    </row>
    <row r="261">
      <c r="A261" s="40">
        <v>44621.4206565625</v>
      </c>
      <c r="F261" s="1" t="s">
        <v>145</v>
      </c>
    </row>
    <row r="262">
      <c r="A262" s="40">
        <v>44622.42821564815</v>
      </c>
      <c r="B262" s="1" t="s">
        <v>81</v>
      </c>
      <c r="C262" s="1" t="s">
        <v>91</v>
      </c>
      <c r="D262" s="1" t="s">
        <v>106</v>
      </c>
      <c r="F262" s="1" t="s">
        <v>146</v>
      </c>
      <c r="G262" s="1" t="s">
        <v>139</v>
      </c>
    </row>
    <row r="263">
      <c r="A263" s="40">
        <v>44623.45552325231</v>
      </c>
      <c r="B263" s="1" t="s">
        <v>81</v>
      </c>
      <c r="D263" s="1" t="s">
        <v>105</v>
      </c>
      <c r="E263" s="1" t="s">
        <v>134</v>
      </c>
      <c r="F263" s="1" t="s">
        <v>146</v>
      </c>
      <c r="G263" s="1" t="s">
        <v>139</v>
      </c>
    </row>
    <row r="264">
      <c r="A264" s="40">
        <v>44625.44246024305</v>
      </c>
      <c r="B264" s="1" t="s">
        <v>81</v>
      </c>
      <c r="D264" s="1" t="s">
        <v>187</v>
      </c>
      <c r="F264" s="1" t="s">
        <v>145</v>
      </c>
      <c r="G264" s="1" t="s">
        <v>139</v>
      </c>
    </row>
    <row r="265">
      <c r="A265" s="40">
        <v>44625.44261564815</v>
      </c>
      <c r="B265" s="1" t="s">
        <v>81</v>
      </c>
      <c r="C265" s="1" t="s">
        <v>91</v>
      </c>
      <c r="D265" s="1" t="s">
        <v>124</v>
      </c>
    </row>
    <row r="266">
      <c r="A266" s="40">
        <v>44625.45613186342</v>
      </c>
      <c r="C266" s="1" t="s">
        <v>2</v>
      </c>
    </row>
    <row r="267">
      <c r="A267" s="40">
        <v>44625.45619211806</v>
      </c>
      <c r="C267" s="1" t="s">
        <v>2</v>
      </c>
    </row>
    <row r="268">
      <c r="A268" s="40">
        <v>44625.45627995371</v>
      </c>
      <c r="C268" s="1" t="s">
        <v>2</v>
      </c>
    </row>
    <row r="269">
      <c r="A269" s="40">
        <v>44626.55525265046</v>
      </c>
      <c r="D269" s="1" t="s">
        <v>105</v>
      </c>
      <c r="F269" s="1" t="s">
        <v>145</v>
      </c>
      <c r="G269" s="1" t="s">
        <v>139</v>
      </c>
    </row>
    <row r="270">
      <c r="A270" s="40">
        <v>44626.55556700232</v>
      </c>
      <c r="B270" s="1" t="s">
        <v>81</v>
      </c>
      <c r="C270" s="1" t="s">
        <v>91</v>
      </c>
      <c r="D270" s="1" t="s">
        <v>105</v>
      </c>
    </row>
    <row r="271">
      <c r="A271" s="40">
        <v>44626.55564559028</v>
      </c>
      <c r="C271" s="1" t="s">
        <v>2</v>
      </c>
    </row>
    <row r="272">
      <c r="A272" s="40">
        <v>44627.41294443287</v>
      </c>
      <c r="B272" s="1" t="s">
        <v>76</v>
      </c>
      <c r="C272" s="1" t="s">
        <v>97</v>
      </c>
      <c r="D272" s="1" t="s">
        <v>102</v>
      </c>
      <c r="F272" s="1" t="s">
        <v>145</v>
      </c>
      <c r="G272" s="1" t="s">
        <v>139</v>
      </c>
    </row>
    <row r="273">
      <c r="A273" s="40">
        <v>44628.5301453125</v>
      </c>
      <c r="B273" s="1" t="s">
        <v>76</v>
      </c>
      <c r="C273" s="1" t="s">
        <v>97</v>
      </c>
      <c r="D273" s="1" t="s">
        <v>102</v>
      </c>
      <c r="F273" s="1" t="s">
        <v>146</v>
      </c>
      <c r="G273" s="1" t="s">
        <v>139</v>
      </c>
    </row>
    <row r="274">
      <c r="A274" s="40">
        <v>44629.47318810185</v>
      </c>
      <c r="B274" s="1" t="s">
        <v>76</v>
      </c>
      <c r="C274" s="1" t="s">
        <v>99</v>
      </c>
      <c r="D274" s="1" t="s">
        <v>102</v>
      </c>
      <c r="F274" s="1" t="s">
        <v>145</v>
      </c>
      <c r="G274" s="1" t="s">
        <v>139</v>
      </c>
    </row>
    <row r="275">
      <c r="A275" s="40">
        <v>44630.41060376157</v>
      </c>
      <c r="B275" s="1" t="s">
        <v>76</v>
      </c>
      <c r="C275" s="1" t="s">
        <v>188</v>
      </c>
      <c r="D275" s="1" t="s">
        <v>102</v>
      </c>
      <c r="F275" s="1" t="s">
        <v>146</v>
      </c>
      <c r="G275" s="1" t="s">
        <v>139</v>
      </c>
    </row>
    <row r="276">
      <c r="A276" s="40">
        <v>44631.47868782407</v>
      </c>
      <c r="B276" s="1" t="s">
        <v>86</v>
      </c>
      <c r="C276" s="1" t="s">
        <v>91</v>
      </c>
      <c r="D276" s="1" t="s">
        <v>106</v>
      </c>
    </row>
    <row r="277">
      <c r="A277" s="40">
        <v>44631.68684767361</v>
      </c>
      <c r="F277" s="1" t="s">
        <v>145</v>
      </c>
      <c r="G277" s="1" t="s">
        <v>141</v>
      </c>
    </row>
    <row r="278">
      <c r="A278" s="40">
        <v>44632.44102975694</v>
      </c>
      <c r="B278" s="1" t="s">
        <v>86</v>
      </c>
      <c r="C278" s="1" t="s">
        <v>91</v>
      </c>
      <c r="D278" s="1" t="s">
        <v>106</v>
      </c>
    </row>
    <row r="279">
      <c r="A279" s="40">
        <v>44632.92176140046</v>
      </c>
      <c r="B279" s="1" t="s">
        <v>78</v>
      </c>
      <c r="D279" s="1" t="s">
        <v>103</v>
      </c>
      <c r="F279" s="1" t="s">
        <v>148</v>
      </c>
      <c r="G279" s="1" t="s">
        <v>139</v>
      </c>
    </row>
    <row r="280">
      <c r="A280" s="40">
        <v>44633.4397206713</v>
      </c>
      <c r="B280" s="1" t="s">
        <v>0</v>
      </c>
      <c r="C280" s="1" t="s">
        <v>3</v>
      </c>
    </row>
    <row r="281">
      <c r="A281" s="40">
        <v>44633.5139184375</v>
      </c>
      <c r="C281" s="1" t="s">
        <v>93</v>
      </c>
    </row>
    <row r="282">
      <c r="A282" s="40">
        <v>44634.76555251157</v>
      </c>
      <c r="B282" s="1" t="s">
        <v>0</v>
      </c>
      <c r="C282" s="1" t="s">
        <v>91</v>
      </c>
      <c r="D282" s="1" t="s">
        <v>103</v>
      </c>
      <c r="F282" s="1" t="s">
        <v>148</v>
      </c>
      <c r="G282" s="1" t="s">
        <v>140</v>
      </c>
    </row>
    <row r="283">
      <c r="A283" s="40">
        <v>44635.46524775463</v>
      </c>
      <c r="B283" s="1" t="s">
        <v>0</v>
      </c>
      <c r="C283" s="1" t="s">
        <v>91</v>
      </c>
      <c r="D283" s="1" t="s">
        <v>103</v>
      </c>
      <c r="F283" s="1" t="s">
        <v>148</v>
      </c>
      <c r="G283" s="1" t="s">
        <v>140</v>
      </c>
    </row>
    <row r="284">
      <c r="A284" s="40">
        <v>44636.45460689814</v>
      </c>
      <c r="B284" s="1" t="s">
        <v>81</v>
      </c>
      <c r="C284" s="1" t="s">
        <v>91</v>
      </c>
      <c r="D284" s="1" t="s">
        <v>105</v>
      </c>
      <c r="F284" s="1" t="s">
        <v>145</v>
      </c>
      <c r="G284" s="1" t="s">
        <v>140</v>
      </c>
    </row>
    <row r="285">
      <c r="A285" s="40">
        <v>44636.70838335648</v>
      </c>
      <c r="C285" s="1" t="s">
        <v>93</v>
      </c>
    </row>
    <row r="286">
      <c r="A286" s="40">
        <v>44637.463835358794</v>
      </c>
      <c r="B286" s="1" t="s">
        <v>81</v>
      </c>
      <c r="C286" s="1" t="s">
        <v>91</v>
      </c>
      <c r="D286" s="1" t="s">
        <v>105</v>
      </c>
      <c r="F286" s="1" t="s">
        <v>146</v>
      </c>
      <c r="G286" s="1" t="s">
        <v>140</v>
      </c>
    </row>
    <row r="287">
      <c r="A287" s="40">
        <v>44638.62538989584</v>
      </c>
      <c r="B287" s="1" t="s">
        <v>81</v>
      </c>
      <c r="C287" s="1" t="s">
        <v>91</v>
      </c>
      <c r="D287" s="1" t="s">
        <v>105</v>
      </c>
      <c r="F287" s="1" t="s">
        <v>145</v>
      </c>
      <c r="G287" s="1" t="s">
        <v>140</v>
      </c>
    </row>
    <row r="288">
      <c r="A288" s="40">
        <v>44639.76042399305</v>
      </c>
      <c r="B288" s="1" t="s">
        <v>81</v>
      </c>
      <c r="C288" s="1" t="s">
        <v>91</v>
      </c>
      <c r="D288" s="1" t="s">
        <v>105</v>
      </c>
      <c r="G288" s="1" t="s">
        <v>140</v>
      </c>
    </row>
    <row r="289">
      <c r="A289" s="40">
        <v>44639.7605108912</v>
      </c>
      <c r="C289" s="1" t="s">
        <v>2</v>
      </c>
    </row>
    <row r="290">
      <c r="A290" s="40">
        <v>44640.58470824074</v>
      </c>
      <c r="B290" s="1" t="s">
        <v>81</v>
      </c>
      <c r="C290" s="1" t="s">
        <v>97</v>
      </c>
      <c r="D290" s="1" t="s">
        <v>102</v>
      </c>
      <c r="F290" s="1" t="s">
        <v>145</v>
      </c>
      <c r="G290" s="1" t="s">
        <v>140</v>
      </c>
    </row>
    <row r="291">
      <c r="A291" s="40">
        <v>44640.84105313657</v>
      </c>
      <c r="F291" s="1" t="s">
        <v>146</v>
      </c>
    </row>
    <row r="292">
      <c r="A292" s="40">
        <v>44641.66136953703</v>
      </c>
      <c r="B292" s="1" t="s">
        <v>81</v>
      </c>
      <c r="C292" s="1" t="s">
        <v>97</v>
      </c>
      <c r="D292" s="1" t="s">
        <v>102</v>
      </c>
      <c r="G292" s="1" t="s">
        <v>143</v>
      </c>
    </row>
    <row r="293">
      <c r="A293" s="40">
        <v>44641.66146824074</v>
      </c>
      <c r="C293" s="1" t="s">
        <v>2</v>
      </c>
    </row>
    <row r="294">
      <c r="A294" s="40">
        <v>44642.42299825231</v>
      </c>
      <c r="B294" s="1" t="s">
        <v>81</v>
      </c>
      <c r="C294" s="1" t="s">
        <v>188</v>
      </c>
      <c r="D294" s="1" t="s">
        <v>102</v>
      </c>
      <c r="F294" s="1" t="s">
        <v>145</v>
      </c>
      <c r="G294" s="1" t="s">
        <v>140</v>
      </c>
    </row>
    <row r="295">
      <c r="A295" s="40">
        <v>44643.425454537035</v>
      </c>
      <c r="B295" s="1" t="s">
        <v>82</v>
      </c>
      <c r="F295" s="1" t="s">
        <v>148</v>
      </c>
      <c r="G295" s="1" t="s">
        <v>143</v>
      </c>
    </row>
    <row r="296">
      <c r="A296" s="40">
        <v>44644.52231195602</v>
      </c>
      <c r="B296" s="1" t="s">
        <v>0</v>
      </c>
      <c r="C296" s="1" t="s">
        <v>3</v>
      </c>
      <c r="F296" s="1" t="s">
        <v>148</v>
      </c>
      <c r="G296" s="1" t="s">
        <v>143</v>
      </c>
    </row>
    <row r="297">
      <c r="A297" s="40">
        <v>44645.433392430554</v>
      </c>
      <c r="B297" s="1" t="s">
        <v>0</v>
      </c>
      <c r="C297" s="1" t="s">
        <v>3</v>
      </c>
    </row>
    <row r="298">
      <c r="A298" s="40">
        <v>44646.81481384259</v>
      </c>
      <c r="B298" s="1" t="s">
        <v>82</v>
      </c>
    </row>
    <row r="299">
      <c r="A299" s="40">
        <v>44647.66162868055</v>
      </c>
      <c r="B299" s="1" t="s">
        <v>82</v>
      </c>
      <c r="C299" s="1" t="s">
        <v>91</v>
      </c>
      <c r="D299" s="1" t="s">
        <v>124</v>
      </c>
    </row>
    <row r="300">
      <c r="A300" s="40">
        <v>44648.417868171295</v>
      </c>
      <c r="B300" s="1" t="s">
        <v>82</v>
      </c>
      <c r="C300" s="1" t="s">
        <v>91</v>
      </c>
      <c r="D300" s="1" t="s">
        <v>124</v>
      </c>
    </row>
    <row r="301">
      <c r="A301" s="40">
        <v>44648.909317743055</v>
      </c>
      <c r="F301" s="1" t="s">
        <v>148</v>
      </c>
      <c r="G301" s="1" t="s">
        <v>143</v>
      </c>
    </row>
    <row r="302">
      <c r="A302" s="40">
        <v>44649.42794657407</v>
      </c>
      <c r="B302" s="1" t="s">
        <v>82</v>
      </c>
      <c r="C302" s="1" t="s">
        <v>91</v>
      </c>
      <c r="D302" s="1" t="s">
        <v>124</v>
      </c>
    </row>
    <row r="303">
      <c r="A303" s="40">
        <v>44649.93996260417</v>
      </c>
      <c r="B303" s="1" t="s">
        <v>76</v>
      </c>
      <c r="D303" s="1" t="s">
        <v>104</v>
      </c>
      <c r="F303" s="1" t="s">
        <v>146</v>
      </c>
    </row>
    <row r="304">
      <c r="A304" s="40">
        <v>44650.54311012731</v>
      </c>
      <c r="B304" s="1" t="s">
        <v>76</v>
      </c>
      <c r="D304" s="1" t="s">
        <v>104</v>
      </c>
      <c r="F304" s="1" t="s">
        <v>146</v>
      </c>
      <c r="G304" s="1" t="s">
        <v>143</v>
      </c>
    </row>
    <row r="305">
      <c r="A305" s="40">
        <v>44650.543190474535</v>
      </c>
      <c r="D305" s="1" t="s">
        <v>124</v>
      </c>
    </row>
    <row r="306">
      <c r="A306" s="40">
        <v>44651.399888113425</v>
      </c>
      <c r="E306" s="1" t="s">
        <v>127</v>
      </c>
    </row>
    <row r="307">
      <c r="A307" s="40">
        <v>44651.673470671296</v>
      </c>
      <c r="B307" s="1" t="s">
        <v>76</v>
      </c>
      <c r="D307" s="1" t="s">
        <v>104</v>
      </c>
      <c r="F307" s="1" t="s">
        <v>146</v>
      </c>
      <c r="G307" s="1" t="s">
        <v>140</v>
      </c>
    </row>
    <row r="308">
      <c r="A308" s="40">
        <v>44651.673554988425</v>
      </c>
      <c r="D308" s="1" t="s">
        <v>124</v>
      </c>
    </row>
    <row r="309">
      <c r="A309" s="40">
        <v>44652.78234311343</v>
      </c>
      <c r="B309" s="1" t="s">
        <v>76</v>
      </c>
      <c r="D309" s="1" t="s">
        <v>125</v>
      </c>
      <c r="E309" s="1" t="s">
        <v>133</v>
      </c>
      <c r="F309" s="1" t="s">
        <v>145</v>
      </c>
      <c r="G309" s="1" t="s">
        <v>140</v>
      </c>
    </row>
    <row r="310">
      <c r="A310" s="40">
        <v>44653.74511878472</v>
      </c>
      <c r="B310" s="1" t="s">
        <v>78</v>
      </c>
      <c r="C310" s="1" t="s">
        <v>91</v>
      </c>
      <c r="D310" s="1" t="s">
        <v>103</v>
      </c>
      <c r="F310" s="1" t="s">
        <v>148</v>
      </c>
      <c r="G310" s="1" t="s">
        <v>140</v>
      </c>
    </row>
    <row r="311">
      <c r="A311" s="40">
        <v>44654.58585135417</v>
      </c>
      <c r="B311" s="1" t="s">
        <v>78</v>
      </c>
      <c r="C311" s="1" t="s">
        <v>91</v>
      </c>
      <c r="D311" s="1" t="s">
        <v>103</v>
      </c>
      <c r="F311" s="1" t="s">
        <v>148</v>
      </c>
      <c r="G311" s="1" t="s">
        <v>140</v>
      </c>
    </row>
    <row r="312">
      <c r="A312" s="40">
        <v>44655.477163958334</v>
      </c>
      <c r="B312" s="1" t="s">
        <v>200</v>
      </c>
      <c r="D312" s="1" t="s">
        <v>108</v>
      </c>
      <c r="E312" s="1" t="s">
        <v>184</v>
      </c>
    </row>
    <row r="313">
      <c r="A313" s="40">
        <v>44655.842418761575</v>
      </c>
      <c r="F313" s="1" t="s">
        <v>145</v>
      </c>
      <c r="G313" s="1" t="s">
        <v>140</v>
      </c>
    </row>
    <row r="314">
      <c r="A314" s="40">
        <v>44656.4008530787</v>
      </c>
      <c r="B314" s="1" t="s">
        <v>200</v>
      </c>
      <c r="D314" s="1" t="s">
        <v>108</v>
      </c>
      <c r="E314" s="1" t="s">
        <v>184</v>
      </c>
      <c r="F314" s="1" t="s">
        <v>145</v>
      </c>
      <c r="G314" s="1" t="s">
        <v>140</v>
      </c>
    </row>
    <row r="315">
      <c r="A315" s="40">
        <v>44657.539218460646</v>
      </c>
      <c r="B315" s="1" t="s">
        <v>200</v>
      </c>
      <c r="D315" s="1" t="s">
        <v>108</v>
      </c>
      <c r="E315" s="1" t="s">
        <v>184</v>
      </c>
      <c r="F315" s="1" t="s">
        <v>145</v>
      </c>
      <c r="G315" s="1" t="s">
        <v>140</v>
      </c>
    </row>
    <row r="316">
      <c r="A316" s="40">
        <v>44657.76152581019</v>
      </c>
      <c r="C316" s="1" t="s">
        <v>93</v>
      </c>
    </row>
    <row r="317">
      <c r="A317" s="40">
        <v>44658.469458506945</v>
      </c>
      <c r="B317" s="1" t="s">
        <v>200</v>
      </c>
      <c r="C317" s="1" t="s">
        <v>91</v>
      </c>
      <c r="D317" s="1" t="s">
        <v>106</v>
      </c>
      <c r="F317" s="1" t="s">
        <v>146</v>
      </c>
      <c r="G317" s="1" t="s">
        <v>139</v>
      </c>
    </row>
    <row r="318">
      <c r="A318" s="40">
        <v>44659.57816466435</v>
      </c>
      <c r="B318" s="1" t="s">
        <v>200</v>
      </c>
      <c r="C318" s="1" t="s">
        <v>91</v>
      </c>
      <c r="D318" s="1" t="s">
        <v>106</v>
      </c>
      <c r="F318" s="1" t="s">
        <v>146</v>
      </c>
      <c r="G318" s="1" t="s">
        <v>139</v>
      </c>
    </row>
    <row r="319">
      <c r="A319" s="40">
        <v>44660.47460872685</v>
      </c>
      <c r="B319" s="1" t="s">
        <v>200</v>
      </c>
      <c r="C319" s="1" t="s">
        <v>91</v>
      </c>
      <c r="D319" s="1" t="s">
        <v>106</v>
      </c>
    </row>
    <row r="320">
      <c r="A320" s="40">
        <v>44660.805750405096</v>
      </c>
      <c r="F320" s="1" t="s">
        <v>145</v>
      </c>
      <c r="G320" s="1" t="s">
        <v>143</v>
      </c>
    </row>
    <row r="321">
      <c r="A321" s="40">
        <v>44661.47241314815</v>
      </c>
      <c r="B321" s="1" t="s">
        <v>200</v>
      </c>
      <c r="C321" s="1" t="s">
        <v>91</v>
      </c>
      <c r="D321" s="1" t="s">
        <v>105</v>
      </c>
    </row>
    <row r="322">
      <c r="A322" s="40">
        <v>44662.47008565972</v>
      </c>
      <c r="B322" s="1" t="s">
        <v>81</v>
      </c>
      <c r="C322" s="1" t="s">
        <v>97</v>
      </c>
      <c r="D322" s="1" t="s">
        <v>102</v>
      </c>
      <c r="F322" s="1" t="s">
        <v>146</v>
      </c>
      <c r="G322" s="1" t="s">
        <v>139</v>
      </c>
    </row>
    <row r="323">
      <c r="A323" s="40">
        <v>44663.41743086805</v>
      </c>
      <c r="B323" s="1" t="s">
        <v>81</v>
      </c>
      <c r="C323" s="1" t="s">
        <v>97</v>
      </c>
      <c r="D323" s="1" t="s">
        <v>102</v>
      </c>
      <c r="F323" s="1" t="s">
        <v>146</v>
      </c>
      <c r="G323" s="1" t="s">
        <v>139</v>
      </c>
    </row>
    <row r="324">
      <c r="A324" s="40">
        <v>44664.5029397801</v>
      </c>
      <c r="B324" s="1" t="s">
        <v>81</v>
      </c>
      <c r="C324" s="1" t="s">
        <v>188</v>
      </c>
      <c r="D324" s="1" t="s">
        <v>102</v>
      </c>
      <c r="F324" s="1" t="s">
        <v>146</v>
      </c>
      <c r="G324" s="1" t="s">
        <v>139</v>
      </c>
    </row>
    <row r="325">
      <c r="A325" s="40">
        <v>44665.457572534724</v>
      </c>
      <c r="B325" s="1" t="s">
        <v>0</v>
      </c>
      <c r="C325" s="1" t="s">
        <v>91</v>
      </c>
      <c r="D325" s="1" t="s">
        <v>103</v>
      </c>
      <c r="F325" s="1" t="s">
        <v>148</v>
      </c>
      <c r="G325" s="1" t="s">
        <v>143</v>
      </c>
    </row>
    <row r="326">
      <c r="A326" s="40">
        <v>44666.56755315972</v>
      </c>
      <c r="B326" s="1" t="s">
        <v>0</v>
      </c>
      <c r="C326" s="1" t="s">
        <v>91</v>
      </c>
      <c r="D326" s="1" t="s">
        <v>103</v>
      </c>
      <c r="F326" s="1" t="s">
        <v>148</v>
      </c>
      <c r="G326" s="1" t="s">
        <v>143</v>
      </c>
    </row>
    <row r="327">
      <c r="A327" s="40">
        <v>44667.481408946755</v>
      </c>
      <c r="B327" s="1" t="s">
        <v>0</v>
      </c>
      <c r="C327" s="1" t="s">
        <v>91</v>
      </c>
      <c r="D327" s="1" t="s">
        <v>103</v>
      </c>
    </row>
    <row r="328">
      <c r="A328" s="40">
        <v>44668.43821987268</v>
      </c>
      <c r="B328" s="1" t="s">
        <v>82</v>
      </c>
      <c r="E328" s="1" t="s">
        <v>127</v>
      </c>
    </row>
    <row r="329">
      <c r="A329" s="40">
        <v>44668.763504305556</v>
      </c>
      <c r="F329" s="1" t="s">
        <v>145</v>
      </c>
    </row>
    <row r="330">
      <c r="A330" s="40">
        <v>44669.534652083334</v>
      </c>
      <c r="B330" s="1" t="s">
        <v>0</v>
      </c>
      <c r="C330" s="1" t="s">
        <v>3</v>
      </c>
      <c r="F330" s="1" t="s">
        <v>148</v>
      </c>
      <c r="G330" s="1" t="s">
        <v>143</v>
      </c>
    </row>
    <row r="331">
      <c r="A331" s="40">
        <v>44670.53169017361</v>
      </c>
      <c r="B331" s="1" t="s">
        <v>0</v>
      </c>
      <c r="C331" s="1" t="s">
        <v>3</v>
      </c>
      <c r="F331" s="1" t="s">
        <v>148</v>
      </c>
      <c r="G331" s="1" t="s">
        <v>143</v>
      </c>
    </row>
    <row r="332">
      <c r="A332" s="40">
        <v>44671.628990474535</v>
      </c>
      <c r="B332" s="1" t="s">
        <v>76</v>
      </c>
      <c r="C332" s="1" t="s">
        <v>91</v>
      </c>
      <c r="D332" s="1" t="s">
        <v>125</v>
      </c>
      <c r="F332" s="1" t="s">
        <v>146</v>
      </c>
      <c r="G332" s="1" t="s">
        <v>143</v>
      </c>
    </row>
    <row r="333">
      <c r="A333" s="40">
        <v>44672.471316446754</v>
      </c>
      <c r="B333" s="1" t="s">
        <v>76</v>
      </c>
      <c r="C333" s="1" t="s">
        <v>91</v>
      </c>
      <c r="D333" s="1" t="s">
        <v>125</v>
      </c>
      <c r="F333" s="1" t="s">
        <v>146</v>
      </c>
    </row>
    <row r="334">
      <c r="A334" s="40">
        <v>44673.57805444444</v>
      </c>
      <c r="B334" s="1" t="s">
        <v>76</v>
      </c>
      <c r="C334" s="1" t="s">
        <v>91</v>
      </c>
      <c r="D334" s="1" t="s">
        <v>125</v>
      </c>
      <c r="F334" s="1" t="s">
        <v>146</v>
      </c>
      <c r="G334" s="1" t="s">
        <v>143</v>
      </c>
    </row>
    <row r="335">
      <c r="A335" s="40">
        <v>44674.951626967595</v>
      </c>
      <c r="B335" s="44" t="s">
        <v>87</v>
      </c>
      <c r="E335" s="1" t="s">
        <v>133</v>
      </c>
      <c r="F335" s="1" t="s">
        <v>152</v>
      </c>
      <c r="G335" s="1" t="s">
        <v>141</v>
      </c>
    </row>
    <row r="336">
      <c r="A336" s="40">
        <v>44675.440957314815</v>
      </c>
      <c r="B336" s="44" t="s">
        <v>87</v>
      </c>
      <c r="E336" s="1" t="s">
        <v>133</v>
      </c>
    </row>
    <row r="337">
      <c r="A337" s="40">
        <v>44675.60572378473</v>
      </c>
      <c r="C337" s="1" t="s">
        <v>93</v>
      </c>
    </row>
    <row r="338">
      <c r="A338" s="40">
        <v>44675.84694967592</v>
      </c>
      <c r="F338" s="1" t="s">
        <v>148</v>
      </c>
    </row>
    <row r="339">
      <c r="A339" s="40">
        <v>44676.46058315972</v>
      </c>
      <c r="B339" s="1" t="s">
        <v>200</v>
      </c>
      <c r="C339" s="1" t="s">
        <v>91</v>
      </c>
      <c r="D339" s="1" t="s">
        <v>106</v>
      </c>
    </row>
    <row r="340">
      <c r="A340" s="40">
        <v>44676.688786886574</v>
      </c>
      <c r="C340" s="1" t="s">
        <v>93</v>
      </c>
      <c r="G340" s="1" t="s">
        <v>140</v>
      </c>
    </row>
    <row r="341">
      <c r="A341" s="40">
        <v>44677.51267523148</v>
      </c>
      <c r="B341" s="1" t="s">
        <v>200</v>
      </c>
      <c r="D341" s="1" t="s">
        <v>102</v>
      </c>
      <c r="E341" s="1" t="s">
        <v>127</v>
      </c>
      <c r="F341" s="1" t="s">
        <v>146</v>
      </c>
      <c r="G341" s="1" t="s">
        <v>140</v>
      </c>
    </row>
    <row r="342">
      <c r="A342" s="40">
        <v>44678.688688587965</v>
      </c>
      <c r="C342" s="1" t="s">
        <v>2</v>
      </c>
      <c r="D342" s="1" t="s">
        <v>122</v>
      </c>
    </row>
    <row r="343">
      <c r="A343" s="40">
        <v>44679.65709232639</v>
      </c>
      <c r="C343" s="1" t="s">
        <v>2</v>
      </c>
      <c r="G343" s="1" t="s">
        <v>140</v>
      </c>
    </row>
    <row r="344">
      <c r="A344" s="40">
        <v>44680.42792829861</v>
      </c>
      <c r="B344" s="1" t="s">
        <v>200</v>
      </c>
      <c r="C344" s="1" t="s">
        <v>91</v>
      </c>
      <c r="D344" s="1" t="s">
        <v>106</v>
      </c>
    </row>
    <row r="345">
      <c r="A345" s="40">
        <v>44680.42818263889</v>
      </c>
      <c r="B345" s="1" t="s">
        <v>200</v>
      </c>
      <c r="C345" s="1" t="s">
        <v>97</v>
      </c>
      <c r="D345" s="1" t="s">
        <v>102</v>
      </c>
      <c r="F345" s="1" t="s">
        <v>145</v>
      </c>
    </row>
    <row r="346">
      <c r="A346" s="40">
        <v>44681.44513806713</v>
      </c>
      <c r="G346" s="1" t="s">
        <v>140</v>
      </c>
    </row>
    <row r="347">
      <c r="A347" s="40">
        <v>44681.4452405787</v>
      </c>
      <c r="B347" s="1" t="s">
        <v>0</v>
      </c>
      <c r="C347" s="1" t="s">
        <v>91</v>
      </c>
      <c r="D347" s="1" t="s">
        <v>103</v>
      </c>
    </row>
    <row r="348">
      <c r="A348" s="40">
        <v>44681.526143043986</v>
      </c>
      <c r="C348" s="1" t="s">
        <v>2</v>
      </c>
      <c r="F348" s="1" t="s">
        <v>148</v>
      </c>
      <c r="G348" s="1" t="s">
        <v>140</v>
      </c>
    </row>
    <row r="349">
      <c r="A349" s="40">
        <v>44682.51085046296</v>
      </c>
      <c r="B349" s="1" t="s">
        <v>0</v>
      </c>
      <c r="C349" s="1" t="s">
        <v>91</v>
      </c>
      <c r="D349" s="1" t="s">
        <v>103</v>
      </c>
      <c r="F349" s="1" t="s">
        <v>148</v>
      </c>
      <c r="G349" s="1" t="s">
        <v>140</v>
      </c>
    </row>
    <row r="350">
      <c r="A350" s="40">
        <v>44683.649455798615</v>
      </c>
      <c r="B350" s="1" t="s">
        <v>0</v>
      </c>
      <c r="C350" s="1" t="s">
        <v>3</v>
      </c>
      <c r="F350" s="1" t="s">
        <v>148</v>
      </c>
      <c r="G350" s="1" t="s">
        <v>143</v>
      </c>
    </row>
    <row r="351">
      <c r="A351" s="40">
        <v>44684.66630123842</v>
      </c>
      <c r="C351" s="1" t="s">
        <v>93</v>
      </c>
      <c r="D351" s="1" t="s">
        <v>122</v>
      </c>
    </row>
    <row r="352">
      <c r="A352" s="40">
        <v>44688.857053125</v>
      </c>
      <c r="C352" s="1" t="s">
        <v>2</v>
      </c>
    </row>
    <row r="353">
      <c r="A353" s="40">
        <v>44689.49210408565</v>
      </c>
      <c r="B353" s="1" t="s">
        <v>0</v>
      </c>
      <c r="C353" s="1" t="s">
        <v>91</v>
      </c>
      <c r="D353" s="1" t="s">
        <v>112</v>
      </c>
      <c r="F353" s="1" t="s">
        <v>148</v>
      </c>
      <c r="G353" s="1" t="s">
        <v>141</v>
      </c>
    </row>
    <row r="354">
      <c r="A354" s="40">
        <v>44689.49250115741</v>
      </c>
      <c r="B354" s="1" t="s">
        <v>0</v>
      </c>
      <c r="C354" s="1" t="s">
        <v>3</v>
      </c>
      <c r="F354" s="1" t="s">
        <v>148</v>
      </c>
      <c r="G354" s="1" t="s">
        <v>143</v>
      </c>
    </row>
    <row r="355">
      <c r="A355" s="40">
        <v>44689.492640254626</v>
      </c>
      <c r="B355" s="1" t="s">
        <v>81</v>
      </c>
      <c r="C355" s="1" t="s">
        <v>97</v>
      </c>
      <c r="D355" s="1" t="s">
        <v>102</v>
      </c>
    </row>
    <row r="356">
      <c r="A356" s="40">
        <v>44689.49317434028</v>
      </c>
      <c r="B356" s="1" t="s">
        <v>81</v>
      </c>
      <c r="C356" s="1" t="s">
        <v>91</v>
      </c>
      <c r="D356" s="1" t="s">
        <v>110</v>
      </c>
      <c r="F356" s="1" t="s">
        <v>145</v>
      </c>
      <c r="G356" s="1" t="s">
        <v>141</v>
      </c>
    </row>
    <row r="357">
      <c r="A357" s="40">
        <v>44690.58965246528</v>
      </c>
      <c r="B357" s="1" t="s">
        <v>81</v>
      </c>
      <c r="C357" s="1" t="s">
        <v>97</v>
      </c>
      <c r="D357" s="1" t="s">
        <v>102</v>
      </c>
      <c r="F357" s="1" t="s">
        <v>145</v>
      </c>
      <c r="G357" s="1" t="s">
        <v>141</v>
      </c>
    </row>
    <row r="358">
      <c r="A358" s="40">
        <v>44691.42412962963</v>
      </c>
      <c r="B358" s="1" t="s">
        <v>81</v>
      </c>
      <c r="E358" s="1" t="s">
        <v>196</v>
      </c>
      <c r="F358" s="1" t="s">
        <v>145</v>
      </c>
      <c r="G358" s="1" t="s">
        <v>141</v>
      </c>
    </row>
    <row r="359">
      <c r="A359" s="40">
        <v>44692.37444767361</v>
      </c>
      <c r="C359" s="1" t="s">
        <v>2</v>
      </c>
    </row>
    <row r="360">
      <c r="A360" s="40">
        <v>44692.49723005787</v>
      </c>
      <c r="B360" s="1" t="s">
        <v>81</v>
      </c>
      <c r="E360" s="1" t="s">
        <v>196</v>
      </c>
      <c r="F360" s="1" t="s">
        <v>145</v>
      </c>
    </row>
    <row r="361">
      <c r="A361" s="40">
        <v>44695.5491469213</v>
      </c>
      <c r="B361" s="1" t="s">
        <v>76</v>
      </c>
      <c r="E361" s="1" t="s">
        <v>128</v>
      </c>
      <c r="F361" s="1" t="s">
        <v>148</v>
      </c>
      <c r="G361" s="1" t="s">
        <v>143</v>
      </c>
    </row>
    <row r="362">
      <c r="A362" s="40">
        <v>44696.50691116898</v>
      </c>
      <c r="B362" s="1" t="s">
        <v>81</v>
      </c>
      <c r="C362" s="1" t="s">
        <v>91</v>
      </c>
      <c r="D362" s="1" t="s">
        <v>125</v>
      </c>
      <c r="F362" s="1" t="s">
        <v>145</v>
      </c>
      <c r="G362" s="1" t="s">
        <v>143</v>
      </c>
    </row>
    <row r="363">
      <c r="A363" s="40">
        <v>44696.50758348379</v>
      </c>
      <c r="B363" s="1" t="s">
        <v>76</v>
      </c>
      <c r="E363" s="1" t="s">
        <v>128</v>
      </c>
      <c r="F363" s="1" t="s">
        <v>148</v>
      </c>
      <c r="G363" s="1" t="s">
        <v>143</v>
      </c>
    </row>
    <row r="364">
      <c r="A364" s="40">
        <v>44696.72244085648</v>
      </c>
      <c r="B364" s="1" t="s">
        <v>76</v>
      </c>
      <c r="E364" s="1" t="s">
        <v>127</v>
      </c>
      <c r="F364" s="1" t="s">
        <v>146</v>
      </c>
      <c r="G364" s="1" t="s">
        <v>141</v>
      </c>
    </row>
    <row r="365">
      <c r="A365" s="40">
        <v>44697.59684103009</v>
      </c>
      <c r="B365" s="1" t="s">
        <v>0</v>
      </c>
      <c r="C365" s="1" t="s">
        <v>91</v>
      </c>
      <c r="D365" s="1" t="s">
        <v>110</v>
      </c>
      <c r="F365" s="1" t="s">
        <v>148</v>
      </c>
    </row>
    <row r="366">
      <c r="A366" s="40">
        <v>44698.596891354166</v>
      </c>
      <c r="B366" s="1" t="s">
        <v>0</v>
      </c>
      <c r="C366" s="1" t="s">
        <v>91</v>
      </c>
      <c r="D366" s="1" t="s">
        <v>110</v>
      </c>
    </row>
    <row r="367">
      <c r="A367" s="40">
        <v>44699.3950955787</v>
      </c>
      <c r="F367" s="1" t="s">
        <v>148</v>
      </c>
    </row>
    <row r="368">
      <c r="A368" s="40">
        <v>44699.53844462963</v>
      </c>
      <c r="B368" s="1" t="s">
        <v>0</v>
      </c>
      <c r="C368" s="1" t="s">
        <v>3</v>
      </c>
      <c r="F368" s="1" t="s">
        <v>148</v>
      </c>
    </row>
    <row r="369">
      <c r="A369" s="40">
        <v>44700.52947494213</v>
      </c>
      <c r="B369" s="1" t="s">
        <v>0</v>
      </c>
      <c r="E369" s="1" t="s">
        <v>128</v>
      </c>
      <c r="F369" s="1" t="s">
        <v>145</v>
      </c>
      <c r="G369" s="1" t="s">
        <v>141</v>
      </c>
    </row>
    <row r="370">
      <c r="A370" s="40">
        <v>44702.98471582176</v>
      </c>
      <c r="B370" s="1" t="s">
        <v>0</v>
      </c>
      <c r="C370" s="1" t="s">
        <v>99</v>
      </c>
    </row>
    <row r="371">
      <c r="A371" s="40">
        <v>44705.61049034722</v>
      </c>
      <c r="B371" s="1" t="s">
        <v>81</v>
      </c>
      <c r="C371" s="1" t="s">
        <v>2</v>
      </c>
      <c r="D371" s="1" t="s">
        <v>125</v>
      </c>
      <c r="F371" s="1" t="s">
        <v>145</v>
      </c>
      <c r="G371" s="1" t="s">
        <v>141</v>
      </c>
    </row>
    <row r="372">
      <c r="A372" s="40">
        <v>44705.61056548611</v>
      </c>
      <c r="F372" s="1" t="s">
        <v>146</v>
      </c>
    </row>
    <row r="373">
      <c r="A373" s="40">
        <v>44706.60648878472</v>
      </c>
      <c r="B373" s="1" t="s">
        <v>81</v>
      </c>
      <c r="C373" s="1" t="s">
        <v>91</v>
      </c>
      <c r="D373" s="1" t="s">
        <v>125</v>
      </c>
      <c r="F373" s="1" t="s">
        <v>148</v>
      </c>
      <c r="G373" s="1" t="s">
        <v>141</v>
      </c>
    </row>
    <row r="374">
      <c r="A374" s="40">
        <v>44707.46031587963</v>
      </c>
      <c r="B374" s="1" t="s">
        <v>81</v>
      </c>
      <c r="C374" s="1" t="s">
        <v>91</v>
      </c>
      <c r="D374" s="1" t="s">
        <v>125</v>
      </c>
    </row>
    <row r="375">
      <c r="A375" s="40">
        <v>44708.45933828704</v>
      </c>
      <c r="B375" s="1" t="s">
        <v>81</v>
      </c>
      <c r="C375" s="1" t="s">
        <v>101</v>
      </c>
    </row>
    <row r="376">
      <c r="A376" s="40">
        <v>44709.419666064816</v>
      </c>
      <c r="B376" s="1" t="s">
        <v>81</v>
      </c>
      <c r="C376" s="1" t="s">
        <v>101</v>
      </c>
    </row>
    <row r="377">
      <c r="A377" s="40">
        <v>44710.459871921295</v>
      </c>
      <c r="D377" s="1" t="s">
        <v>112</v>
      </c>
      <c r="F377" s="1" t="s">
        <v>145</v>
      </c>
      <c r="G377" s="1" t="s">
        <v>141</v>
      </c>
    </row>
    <row r="378">
      <c r="A378" s="40">
        <v>44710.46002074074</v>
      </c>
      <c r="B378" s="1" t="s">
        <v>81</v>
      </c>
      <c r="C378" s="1" t="s">
        <v>91</v>
      </c>
      <c r="D378" s="1" t="s">
        <v>112</v>
      </c>
    </row>
    <row r="379">
      <c r="A379" s="40">
        <v>44711.676296377314</v>
      </c>
      <c r="B379" s="1" t="s">
        <v>81</v>
      </c>
      <c r="C379" s="1" t="s">
        <v>91</v>
      </c>
      <c r="D379" s="1" t="s">
        <v>112</v>
      </c>
      <c r="F379" s="1" t="s">
        <v>145</v>
      </c>
      <c r="G379" s="1" t="s">
        <v>141</v>
      </c>
    </row>
    <row r="380">
      <c r="A380" s="40">
        <v>44712.42068848379</v>
      </c>
      <c r="B380" s="1" t="s">
        <v>81</v>
      </c>
      <c r="C380" s="1" t="s">
        <v>91</v>
      </c>
      <c r="D380" s="1" t="s">
        <v>112</v>
      </c>
      <c r="F380" s="1" t="s">
        <v>145</v>
      </c>
      <c r="G380" s="1" t="s">
        <v>141</v>
      </c>
    </row>
    <row r="381">
      <c r="A381" s="40">
        <v>44713.55490768519</v>
      </c>
      <c r="B381" s="1" t="s">
        <v>81</v>
      </c>
      <c r="C381" s="1" t="s">
        <v>91</v>
      </c>
      <c r="D381" s="1" t="s">
        <v>112</v>
      </c>
      <c r="F381" s="1" t="s">
        <v>145</v>
      </c>
      <c r="G381" s="1" t="s">
        <v>141</v>
      </c>
    </row>
    <row r="382">
      <c r="A382" s="40">
        <v>44714.724889791665</v>
      </c>
      <c r="B382" s="1" t="s">
        <v>0</v>
      </c>
      <c r="C382" s="1" t="s">
        <v>91</v>
      </c>
      <c r="D382" s="1" t="s">
        <v>112</v>
      </c>
      <c r="F382" s="1" t="s">
        <v>148</v>
      </c>
    </row>
    <row r="383">
      <c r="A383" s="40">
        <v>44715.45395473379</v>
      </c>
      <c r="B383" s="1" t="s">
        <v>0</v>
      </c>
      <c r="C383" s="1" t="s">
        <v>3</v>
      </c>
      <c r="D383" s="1" t="s">
        <v>112</v>
      </c>
      <c r="F383" s="1" t="s">
        <v>148</v>
      </c>
    </row>
    <row r="384">
      <c r="A384" s="40">
        <v>44716.81944302084</v>
      </c>
      <c r="B384" s="1" t="s">
        <v>0</v>
      </c>
      <c r="C384" s="1" t="s">
        <v>91</v>
      </c>
    </row>
    <row r="385">
      <c r="A385" s="40">
        <v>44717.69695943287</v>
      </c>
      <c r="C385" s="1" t="s">
        <v>2</v>
      </c>
    </row>
    <row r="386">
      <c r="A386" s="40">
        <v>44717.697432939814</v>
      </c>
      <c r="B386" s="1" t="s">
        <v>0</v>
      </c>
      <c r="C386" s="1" t="s">
        <v>91</v>
      </c>
    </row>
    <row r="387">
      <c r="A387" s="40">
        <v>44718.430618611106</v>
      </c>
      <c r="B387" s="44" t="s">
        <v>87</v>
      </c>
      <c r="C387" s="1" t="s">
        <v>99</v>
      </c>
    </row>
    <row r="388">
      <c r="A388" s="40">
        <v>44719.46579120371</v>
      </c>
      <c r="B388" s="44" t="s">
        <v>87</v>
      </c>
      <c r="C388" s="1" t="s">
        <v>99</v>
      </c>
    </row>
    <row r="389">
      <c r="A389" s="40">
        <v>44719.93498287037</v>
      </c>
      <c r="C389" s="1" t="s">
        <v>101</v>
      </c>
    </row>
    <row r="390">
      <c r="A390" s="40">
        <v>44720.485311261575</v>
      </c>
      <c r="B390" s="44" t="s">
        <v>87</v>
      </c>
      <c r="C390" s="1" t="s">
        <v>3</v>
      </c>
      <c r="F390" s="1" t="s">
        <v>148</v>
      </c>
    </row>
    <row r="391">
      <c r="A391" s="40">
        <v>44721.39644803241</v>
      </c>
      <c r="B391" s="44" t="s">
        <v>87</v>
      </c>
      <c r="C391" s="1" t="s">
        <v>93</v>
      </c>
      <c r="F391" s="1" t="s">
        <v>148</v>
      </c>
      <c r="G391" s="1" t="s">
        <v>141</v>
      </c>
    </row>
    <row r="392">
      <c r="A392" s="40">
        <v>44722.55548916667</v>
      </c>
      <c r="B392" s="1" t="s">
        <v>200</v>
      </c>
      <c r="E392" s="1" t="s">
        <v>196</v>
      </c>
      <c r="F392" s="1" t="s">
        <v>145</v>
      </c>
      <c r="G392" s="1" t="s">
        <v>141</v>
      </c>
    </row>
    <row r="393">
      <c r="A393" s="40">
        <v>44724.55485763889</v>
      </c>
      <c r="B393" s="1" t="s">
        <v>76</v>
      </c>
      <c r="E393" s="1" t="s">
        <v>128</v>
      </c>
      <c r="F393" s="1" t="s">
        <v>148</v>
      </c>
      <c r="G393" s="1" t="s">
        <v>141</v>
      </c>
    </row>
    <row r="394">
      <c r="A394" s="40">
        <v>44724.55508496528</v>
      </c>
      <c r="B394" s="1" t="s">
        <v>76</v>
      </c>
      <c r="E394" s="1" t="s">
        <v>128</v>
      </c>
    </row>
    <row r="395">
      <c r="A395" s="40">
        <v>44725.53495888889</v>
      </c>
      <c r="B395" s="1" t="s">
        <v>78</v>
      </c>
      <c r="E395" s="1" t="s">
        <v>128</v>
      </c>
    </row>
    <row r="396">
      <c r="A396" s="40">
        <v>44726.55423171296</v>
      </c>
      <c r="B396" s="1" t="s">
        <v>76</v>
      </c>
      <c r="C396" s="1" t="s">
        <v>3</v>
      </c>
      <c r="F396" s="1" t="s">
        <v>148</v>
      </c>
      <c r="G396" s="1" t="s">
        <v>143</v>
      </c>
    </row>
    <row r="397">
      <c r="A397" s="40">
        <v>44727.42857733797</v>
      </c>
      <c r="B397" s="1" t="s">
        <v>82</v>
      </c>
      <c r="E397" s="1" t="s">
        <v>127</v>
      </c>
      <c r="F397" s="1" t="s">
        <v>145</v>
      </c>
    </row>
    <row r="398">
      <c r="A398" s="40">
        <v>44728.575116875</v>
      </c>
      <c r="B398" s="1" t="s">
        <v>82</v>
      </c>
      <c r="E398" s="1" t="s">
        <v>127</v>
      </c>
      <c r="F398" s="1" t="s">
        <v>145</v>
      </c>
    </row>
    <row r="399">
      <c r="A399" s="40">
        <v>44730.38777638889</v>
      </c>
      <c r="B399" s="1" t="s">
        <v>88</v>
      </c>
      <c r="C399" s="1" t="s">
        <v>99</v>
      </c>
      <c r="F399" s="1" t="s">
        <v>148</v>
      </c>
    </row>
    <row r="400">
      <c r="A400" s="40">
        <v>44730.38790976852</v>
      </c>
      <c r="C400" s="1" t="s">
        <v>191</v>
      </c>
    </row>
    <row r="401">
      <c r="A401" s="40">
        <v>44731.88268730324</v>
      </c>
      <c r="B401" s="1" t="s">
        <v>88</v>
      </c>
      <c r="E401" s="1" t="s">
        <v>133</v>
      </c>
      <c r="F401" s="1" t="s">
        <v>148</v>
      </c>
    </row>
    <row r="402">
      <c r="A402" s="40">
        <v>44731.88282076389</v>
      </c>
      <c r="B402" s="1" t="s">
        <v>88</v>
      </c>
      <c r="E402" s="1" t="s">
        <v>133</v>
      </c>
      <c r="F402" s="1" t="s">
        <v>148</v>
      </c>
    </row>
    <row r="403">
      <c r="A403" s="40">
        <v>44732.515145694444</v>
      </c>
      <c r="B403" s="44" t="s">
        <v>87</v>
      </c>
      <c r="C403" s="1" t="s">
        <v>3</v>
      </c>
      <c r="F403" s="1" t="s">
        <v>148</v>
      </c>
    </row>
    <row r="404">
      <c r="A404" s="40">
        <v>44733.76948412037</v>
      </c>
      <c r="B404" s="44" t="s">
        <v>87</v>
      </c>
      <c r="C404" s="1" t="s">
        <v>93</v>
      </c>
    </row>
    <row r="405">
      <c r="A405" s="40">
        <v>44733.76954325232</v>
      </c>
      <c r="C405" s="1" t="s">
        <v>91</v>
      </c>
    </row>
    <row r="406">
      <c r="A406" s="40">
        <v>44734.35939182871</v>
      </c>
      <c r="F406" s="1" t="s">
        <v>148</v>
      </c>
      <c r="G406" s="1" t="s">
        <v>143</v>
      </c>
    </row>
    <row r="407">
      <c r="A407" s="40">
        <v>44734.359545127314</v>
      </c>
      <c r="B407" s="44" t="s">
        <v>87</v>
      </c>
      <c r="C407" s="1" t="s">
        <v>2</v>
      </c>
      <c r="F407" s="1" t="s">
        <v>148</v>
      </c>
      <c r="G407" s="1" t="s">
        <v>143</v>
      </c>
    </row>
    <row r="408">
      <c r="A408" s="40">
        <v>44735.52741255787</v>
      </c>
      <c r="B408" s="44" t="s">
        <v>87</v>
      </c>
      <c r="C408" s="1" t="s">
        <v>2</v>
      </c>
      <c r="F408" s="1" t="s">
        <v>148</v>
      </c>
      <c r="G408" s="1" t="s">
        <v>143</v>
      </c>
    </row>
    <row r="409">
      <c r="A409" s="40">
        <v>44736.49206712963</v>
      </c>
      <c r="B409" s="1" t="s">
        <v>0</v>
      </c>
      <c r="E409" s="1" t="s">
        <v>128</v>
      </c>
    </row>
    <row r="410">
      <c r="A410" s="40">
        <v>44738.444984444446</v>
      </c>
      <c r="B410" s="1" t="s">
        <v>88</v>
      </c>
      <c r="C410" s="1" t="s">
        <v>101</v>
      </c>
      <c r="F410" s="1" t="s">
        <v>148</v>
      </c>
    </row>
    <row r="411">
      <c r="A411" s="40">
        <v>44738.44509743055</v>
      </c>
      <c r="B411" s="1" t="s">
        <v>88</v>
      </c>
      <c r="C411" s="1" t="s">
        <v>101</v>
      </c>
    </row>
    <row r="412">
      <c r="A412" s="40">
        <v>44739.4408065625</v>
      </c>
      <c r="B412" s="1" t="s">
        <v>88</v>
      </c>
      <c r="C412" s="1" t="s">
        <v>91</v>
      </c>
    </row>
    <row r="413">
      <c r="A413" s="40">
        <v>44740.473551006944</v>
      </c>
      <c r="B413" s="1" t="s">
        <v>88</v>
      </c>
      <c r="E413" s="1" t="s">
        <v>133</v>
      </c>
    </row>
    <row r="414">
      <c r="A414" s="40">
        <v>44742.4530790162</v>
      </c>
      <c r="B414" s="1" t="s">
        <v>89</v>
      </c>
      <c r="E414" s="1" t="s">
        <v>138</v>
      </c>
      <c r="F414" s="1" t="s">
        <v>148</v>
      </c>
    </row>
    <row r="415">
      <c r="A415" s="40">
        <v>44742.45322822916</v>
      </c>
      <c r="B415" s="1" t="s">
        <v>88</v>
      </c>
      <c r="C415" s="1" t="s">
        <v>3</v>
      </c>
    </row>
    <row r="416">
      <c r="A416" s="40">
        <v>44742.4911390162</v>
      </c>
      <c r="C416" s="1" t="s">
        <v>93</v>
      </c>
    </row>
    <row r="417">
      <c r="A417" s="40">
        <v>44743.439222974535</v>
      </c>
      <c r="B417" s="1" t="s">
        <v>88</v>
      </c>
      <c r="C417" s="1" t="s">
        <v>94</v>
      </c>
    </row>
    <row r="418">
      <c r="A418" s="40">
        <v>44743.60595991898</v>
      </c>
      <c r="C418" s="1" t="s">
        <v>93</v>
      </c>
    </row>
    <row r="419">
      <c r="A419" s="40">
        <v>44747.84250103009</v>
      </c>
      <c r="F419" s="1" t="s">
        <v>148</v>
      </c>
      <c r="G419" s="1" t="s">
        <v>141</v>
      </c>
    </row>
    <row r="420">
      <c r="A420" s="40">
        <v>44747.842697361106</v>
      </c>
      <c r="B420" s="1" t="s">
        <v>88</v>
      </c>
      <c r="C420" s="1" t="s">
        <v>4</v>
      </c>
      <c r="F420" s="1" t="s">
        <v>148</v>
      </c>
    </row>
    <row r="421">
      <c r="A421" s="40">
        <v>44747.84303255787</v>
      </c>
      <c r="B421" s="44" t="s">
        <v>87</v>
      </c>
      <c r="C421" s="1" t="s">
        <v>93</v>
      </c>
      <c r="F421" s="1" t="s">
        <v>148</v>
      </c>
      <c r="G421" s="1" t="s">
        <v>141</v>
      </c>
    </row>
    <row r="422">
      <c r="A422" s="40">
        <v>44747.843229791666</v>
      </c>
      <c r="B422" s="44" t="s">
        <v>87</v>
      </c>
      <c r="C422" s="1" t="s">
        <v>2</v>
      </c>
      <c r="F422" s="1" t="s">
        <v>148</v>
      </c>
    </row>
    <row r="423">
      <c r="A423" s="40">
        <v>44747.843363402775</v>
      </c>
      <c r="C423" s="1" t="s">
        <v>2</v>
      </c>
    </row>
    <row r="424">
      <c r="A424" s="40">
        <v>44748.752130196764</v>
      </c>
      <c r="B424" s="44" t="s">
        <v>87</v>
      </c>
      <c r="C424" s="1" t="s">
        <v>2</v>
      </c>
      <c r="F424" s="1" t="s">
        <v>148</v>
      </c>
      <c r="G424" s="1" t="s">
        <v>143</v>
      </c>
    </row>
    <row r="425">
      <c r="A425" s="40">
        <v>44749.49456965278</v>
      </c>
      <c r="B425" s="1" t="s">
        <v>0</v>
      </c>
      <c r="C425" s="1" t="s">
        <v>99</v>
      </c>
    </row>
    <row r="426">
      <c r="A426" s="40">
        <v>44751.422801759254</v>
      </c>
      <c r="F426" s="1" t="s">
        <v>148</v>
      </c>
      <c r="G426" s="1" t="s">
        <v>143</v>
      </c>
    </row>
    <row r="427">
      <c r="A427" s="40">
        <v>44751.42297951389</v>
      </c>
      <c r="B427" s="1" t="s">
        <v>0</v>
      </c>
      <c r="C427" s="1" t="s">
        <v>4</v>
      </c>
      <c r="F427" s="1" t="s">
        <v>148</v>
      </c>
    </row>
    <row r="428">
      <c r="A428" s="40">
        <v>44751.42307863426</v>
      </c>
      <c r="B428" s="1" t="s">
        <v>0</v>
      </c>
      <c r="C428" s="1" t="s">
        <v>93</v>
      </c>
    </row>
    <row r="429">
      <c r="A429" s="40">
        <v>44752.53004087963</v>
      </c>
      <c r="B429" s="1" t="s">
        <v>78</v>
      </c>
      <c r="C429" s="1" t="s">
        <v>94</v>
      </c>
      <c r="F429" s="1" t="s">
        <v>148</v>
      </c>
      <c r="G429" s="1" t="s">
        <v>143</v>
      </c>
    </row>
    <row r="430">
      <c r="A430" s="40">
        <v>44753.409758043985</v>
      </c>
      <c r="B430" s="1" t="s">
        <v>78</v>
      </c>
      <c r="C430" s="1" t="s">
        <v>2</v>
      </c>
      <c r="F430" s="1" t="s">
        <v>148</v>
      </c>
    </row>
    <row r="431">
      <c r="A431" s="40">
        <v>44754.46188587963</v>
      </c>
      <c r="B431" s="1" t="s">
        <v>78</v>
      </c>
      <c r="C431" s="1" t="s">
        <v>2</v>
      </c>
      <c r="F431" s="1" t="s">
        <v>148</v>
      </c>
    </row>
    <row r="432">
      <c r="A432" s="40">
        <v>44755.908501875005</v>
      </c>
      <c r="B432" s="1" t="s">
        <v>78</v>
      </c>
      <c r="E432" s="1" t="s">
        <v>133</v>
      </c>
      <c r="F432" s="1" t="s">
        <v>152</v>
      </c>
    </row>
    <row r="433">
      <c r="A433" s="40">
        <v>44755.90863755787</v>
      </c>
      <c r="B433" s="44" t="s">
        <v>87</v>
      </c>
      <c r="C433" s="1" t="s">
        <v>3</v>
      </c>
    </row>
    <row r="434">
      <c r="A434" s="40">
        <v>44756.59002581019</v>
      </c>
      <c r="B434" s="1" t="s">
        <v>89</v>
      </c>
      <c r="E434" s="1" t="s">
        <v>190</v>
      </c>
    </row>
    <row r="435">
      <c r="A435" s="40">
        <v>44757.50600252315</v>
      </c>
      <c r="B435" s="1" t="s">
        <v>88</v>
      </c>
      <c r="C435" s="1" t="s">
        <v>4</v>
      </c>
    </row>
    <row r="436">
      <c r="A436" s="40">
        <v>44758.74697083334</v>
      </c>
      <c r="B436" s="1" t="s">
        <v>88</v>
      </c>
      <c r="C436" s="1" t="s">
        <v>3</v>
      </c>
      <c r="F436" s="1" t="s">
        <v>152</v>
      </c>
    </row>
    <row r="437">
      <c r="A437" s="40">
        <v>44759.84722003472</v>
      </c>
      <c r="B437" s="1" t="s">
        <v>89</v>
      </c>
      <c r="C437" s="1" t="s">
        <v>97</v>
      </c>
    </row>
    <row r="438">
      <c r="A438" s="40">
        <v>44761.8473375</v>
      </c>
      <c r="B438" s="1" t="s">
        <v>88</v>
      </c>
      <c r="C438" s="1" t="s">
        <v>2</v>
      </c>
      <c r="F438" s="1" t="s">
        <v>152</v>
      </c>
    </row>
    <row r="439">
      <c r="A439" s="40">
        <v>44762.91645763889</v>
      </c>
      <c r="B439" s="1" t="s">
        <v>89</v>
      </c>
      <c r="E439" s="1" t="s">
        <v>138</v>
      </c>
    </row>
    <row r="440">
      <c r="A440" s="40">
        <v>44764.79571878472</v>
      </c>
      <c r="B440" s="1" t="s">
        <v>88</v>
      </c>
      <c r="C440" s="1" t="s">
        <v>2</v>
      </c>
      <c r="F440" s="1" t="s">
        <v>152</v>
      </c>
    </row>
    <row r="441">
      <c r="A441" s="40">
        <v>44768.42283925926</v>
      </c>
      <c r="B441" s="1" t="s">
        <v>89</v>
      </c>
      <c r="C441" s="1" t="s">
        <v>94</v>
      </c>
      <c r="F441" s="1" t="s">
        <v>152</v>
      </c>
    </row>
    <row r="442">
      <c r="A442" s="40">
        <v>44768.423182812505</v>
      </c>
      <c r="B442" s="1" t="s">
        <v>78</v>
      </c>
      <c r="C442" s="1" t="s">
        <v>94</v>
      </c>
      <c r="F442" s="1" t="s">
        <v>152</v>
      </c>
    </row>
    <row r="443">
      <c r="A443" s="40">
        <v>44768.42346315972</v>
      </c>
      <c r="B443" s="1" t="s">
        <v>89</v>
      </c>
      <c r="C443" s="1" t="s">
        <v>97</v>
      </c>
      <c r="F443" s="1" t="s">
        <v>152</v>
      </c>
    </row>
    <row r="444">
      <c r="A444" s="40">
        <v>44769.490446192125</v>
      </c>
      <c r="B444" s="1" t="s">
        <v>88</v>
      </c>
      <c r="E444" s="1" t="s">
        <v>138</v>
      </c>
      <c r="F444" s="1" t="s">
        <v>152</v>
      </c>
    </row>
    <row r="445">
      <c r="A445" s="40">
        <v>44769.526149212965</v>
      </c>
      <c r="B445" s="1" t="s">
        <v>89</v>
      </c>
      <c r="C445" s="1" t="s">
        <v>4</v>
      </c>
      <c r="F445" s="1" t="s">
        <v>152</v>
      </c>
    </row>
    <row r="446">
      <c r="A446" s="40">
        <v>44770.72039416667</v>
      </c>
      <c r="B446" s="1" t="s">
        <v>89</v>
      </c>
      <c r="C446" s="1" t="s">
        <v>97</v>
      </c>
      <c r="F446" s="1" t="s">
        <v>152</v>
      </c>
    </row>
    <row r="447">
      <c r="A447" s="40">
        <v>44771.84467438658</v>
      </c>
      <c r="B447" s="1" t="s">
        <v>89</v>
      </c>
      <c r="C447" s="1" t="s">
        <v>97</v>
      </c>
      <c r="F447" s="1" t="s">
        <v>152</v>
      </c>
    </row>
    <row r="448">
      <c r="A448" s="40">
        <v>44775.502899756946</v>
      </c>
      <c r="B448" s="1" t="s">
        <v>78</v>
      </c>
      <c r="C448" s="1" t="s">
        <v>94</v>
      </c>
      <c r="F448" s="1" t="s">
        <v>152</v>
      </c>
    </row>
    <row r="449">
      <c r="A449" s="40">
        <v>44775.50321957176</v>
      </c>
      <c r="B449" s="1" t="s">
        <v>89</v>
      </c>
      <c r="E449" s="1" t="s">
        <v>190</v>
      </c>
      <c r="F449" s="1" t="s">
        <v>152</v>
      </c>
    </row>
    <row r="450">
      <c r="A450" s="40">
        <v>44775.50356258102</v>
      </c>
      <c r="B450" s="44" t="s">
        <v>87</v>
      </c>
      <c r="E450" s="1" t="s">
        <v>133</v>
      </c>
    </row>
    <row r="451">
      <c r="A451" s="40">
        <v>44775.503709756944</v>
      </c>
      <c r="B451" s="1" t="s">
        <v>86</v>
      </c>
      <c r="C451" s="1" t="s">
        <v>99</v>
      </c>
    </row>
    <row r="452">
      <c r="A452" s="40">
        <v>44778.38072410879</v>
      </c>
      <c r="B452" s="1" t="s">
        <v>86</v>
      </c>
      <c r="C452" s="1" t="s">
        <v>99</v>
      </c>
    </row>
    <row r="453">
      <c r="A453" s="40">
        <v>44778.38092203704</v>
      </c>
      <c r="B453" s="1" t="s">
        <v>88</v>
      </c>
      <c r="C453" s="1" t="s">
        <v>3</v>
      </c>
    </row>
    <row r="454">
      <c r="A454" s="40">
        <v>44778.381026469906</v>
      </c>
      <c r="B454" s="1" t="s">
        <v>88</v>
      </c>
      <c r="C454" s="1" t="s">
        <v>3</v>
      </c>
      <c r="F454" s="1" t="s">
        <v>148</v>
      </c>
    </row>
    <row r="455">
      <c r="A455" s="40">
        <v>44778.58888997685</v>
      </c>
      <c r="B455" s="1" t="s">
        <v>193</v>
      </c>
      <c r="C455" s="1" t="s">
        <v>97</v>
      </c>
      <c r="F455" s="1" t="s">
        <v>152</v>
      </c>
    </row>
    <row r="456">
      <c r="A456" s="40">
        <v>44779.474331006946</v>
      </c>
      <c r="C456" s="1" t="s">
        <v>93</v>
      </c>
    </row>
    <row r="457">
      <c r="A457" s="40">
        <v>44779.97588064815</v>
      </c>
      <c r="B457" s="1" t="s">
        <v>89</v>
      </c>
      <c r="C457" s="1" t="s">
        <v>2</v>
      </c>
    </row>
    <row r="458">
      <c r="A458" s="40">
        <v>44780.51120086806</v>
      </c>
      <c r="B458" s="1" t="s">
        <v>89</v>
      </c>
      <c r="E458" s="1" t="s">
        <v>128</v>
      </c>
    </row>
    <row r="459">
      <c r="A459" s="40">
        <v>44780.75123917824</v>
      </c>
      <c r="F459" s="1" t="s">
        <v>148</v>
      </c>
    </row>
    <row r="460">
      <c r="A460" s="40">
        <v>44781.4733859838</v>
      </c>
      <c r="B460" s="1" t="s">
        <v>88</v>
      </c>
      <c r="C460" s="1" t="s">
        <v>94</v>
      </c>
    </row>
    <row r="461">
      <c r="A461" s="40">
        <v>44781.74621074074</v>
      </c>
      <c r="F461" s="1" t="s">
        <v>148</v>
      </c>
    </row>
    <row r="462">
      <c r="A462" s="40">
        <v>44783.465431805555</v>
      </c>
      <c r="B462" s="1" t="s">
        <v>89</v>
      </c>
      <c r="C462" s="1" t="s">
        <v>4</v>
      </c>
      <c r="F462" s="1" t="s">
        <v>152</v>
      </c>
    </row>
    <row r="463">
      <c r="A463" s="40">
        <v>44783.82313359954</v>
      </c>
      <c r="E463" s="1" t="s">
        <v>128</v>
      </c>
      <c r="F463" s="1" t="s">
        <v>148</v>
      </c>
    </row>
    <row r="464">
      <c r="A464" s="40">
        <v>44784.43456815972</v>
      </c>
      <c r="B464" s="1" t="s">
        <v>89</v>
      </c>
      <c r="C464" s="1" t="s">
        <v>4</v>
      </c>
      <c r="F464" s="1" t="s">
        <v>148</v>
      </c>
    </row>
    <row r="465">
      <c r="A465" s="40">
        <v>44785.48492017361</v>
      </c>
      <c r="B465" s="1" t="s">
        <v>89</v>
      </c>
      <c r="C465" s="1" t="s">
        <v>97</v>
      </c>
      <c r="F465" s="1" t="s">
        <v>152</v>
      </c>
    </row>
    <row r="466">
      <c r="A466" s="40">
        <v>44785.9379746875</v>
      </c>
      <c r="B466" s="44" t="s">
        <v>87</v>
      </c>
      <c r="C466" s="1" t="s">
        <v>2</v>
      </c>
    </row>
    <row r="467">
      <c r="A467" s="40">
        <v>44787.503018171294</v>
      </c>
      <c r="B467" s="1" t="s">
        <v>88</v>
      </c>
      <c r="C467" s="1" t="s">
        <v>94</v>
      </c>
      <c r="F467" s="1" t="s">
        <v>148</v>
      </c>
    </row>
    <row r="468">
      <c r="A468" s="40">
        <v>44787.571885474536</v>
      </c>
      <c r="C468" s="1" t="s">
        <v>2</v>
      </c>
    </row>
    <row r="469">
      <c r="A469" s="40">
        <v>44788.43615019676</v>
      </c>
      <c r="B469" s="1" t="s">
        <v>88</v>
      </c>
      <c r="C469" s="1" t="s">
        <v>3</v>
      </c>
      <c r="F469" s="1" t="s">
        <v>148</v>
      </c>
    </row>
    <row r="470">
      <c r="A470" s="40">
        <v>44788.56612145834</v>
      </c>
      <c r="C470" s="1" t="s">
        <v>93</v>
      </c>
    </row>
    <row r="471">
      <c r="A471" s="40">
        <v>44790.48185480324</v>
      </c>
      <c r="B471" s="1" t="s">
        <v>89</v>
      </c>
      <c r="E471" s="1" t="s">
        <v>128</v>
      </c>
      <c r="F471" s="1" t="s">
        <v>148</v>
      </c>
    </row>
    <row r="472">
      <c r="A472" s="40">
        <v>44790.48575303241</v>
      </c>
      <c r="B472" s="1" t="s">
        <v>88</v>
      </c>
      <c r="C472" s="1" t="s">
        <v>3</v>
      </c>
    </row>
    <row r="473">
      <c r="A473" s="40">
        <v>44791.57519974537</v>
      </c>
      <c r="B473" s="1" t="s">
        <v>88</v>
      </c>
      <c r="C473" s="1" t="s">
        <v>99</v>
      </c>
    </row>
    <row r="474">
      <c r="A474" s="40">
        <v>44792.42316965278</v>
      </c>
      <c r="B474" s="44" t="s">
        <v>87</v>
      </c>
      <c r="C474" s="1" t="s">
        <v>101</v>
      </c>
    </row>
    <row r="475">
      <c r="A475" s="40">
        <v>44793.44796984954</v>
      </c>
      <c r="B475" s="44" t="s">
        <v>87</v>
      </c>
      <c r="C475" s="1" t="s">
        <v>101</v>
      </c>
    </row>
    <row r="476">
      <c r="A476" s="40">
        <v>44794.4320127199</v>
      </c>
      <c r="B476" s="44" t="s">
        <v>87</v>
      </c>
      <c r="C476" s="1" t="s">
        <v>2</v>
      </c>
    </row>
    <row r="477">
      <c r="A477" s="40">
        <v>44795.42774702546</v>
      </c>
      <c r="B477" s="44" t="s">
        <v>87</v>
      </c>
      <c r="C477" s="1" t="s">
        <v>2</v>
      </c>
    </row>
    <row r="478">
      <c r="A478" s="40">
        <v>44796.43606548611</v>
      </c>
      <c r="B478" s="1" t="s">
        <v>89</v>
      </c>
      <c r="E478" s="1" t="s">
        <v>128</v>
      </c>
      <c r="F478" s="1" t="s">
        <v>148</v>
      </c>
    </row>
    <row r="479">
      <c r="A479" s="40">
        <v>44796.63634997685</v>
      </c>
      <c r="C479" s="1" t="s">
        <v>2</v>
      </c>
    </row>
    <row r="480">
      <c r="A480" s="40">
        <v>44797.44740880787</v>
      </c>
      <c r="B480" s="1" t="s">
        <v>89</v>
      </c>
      <c r="E480" s="1" t="s">
        <v>189</v>
      </c>
    </row>
    <row r="481">
      <c r="A481" s="40">
        <v>44798.64745159722</v>
      </c>
      <c r="B481" s="1" t="s">
        <v>89</v>
      </c>
      <c r="E481" s="1" t="s">
        <v>189</v>
      </c>
      <c r="F481" s="1" t="s">
        <v>148</v>
      </c>
    </row>
    <row r="482">
      <c r="A482" s="40">
        <v>44799.35523114583</v>
      </c>
      <c r="B482" s="1" t="s">
        <v>89</v>
      </c>
      <c r="C482" s="1" t="s">
        <v>97</v>
      </c>
      <c r="F482" s="1" t="s">
        <v>148</v>
      </c>
    </row>
    <row r="483">
      <c r="A483" s="40">
        <v>44800.4375334838</v>
      </c>
      <c r="B483" s="1" t="s">
        <v>0</v>
      </c>
      <c r="C483" s="1" t="s">
        <v>3</v>
      </c>
    </row>
    <row r="484">
      <c r="A484" s="40">
        <v>44800.86562344908</v>
      </c>
      <c r="C484" s="1" t="s">
        <v>93</v>
      </c>
      <c r="F484" s="1" t="s">
        <v>148</v>
      </c>
      <c r="G484" s="1" t="s">
        <v>143</v>
      </c>
    </row>
    <row r="485">
      <c r="A485" s="40">
        <v>44801.42547927084</v>
      </c>
      <c r="B485" s="1" t="s">
        <v>0</v>
      </c>
      <c r="C485" s="1" t="s">
        <v>3</v>
      </c>
    </row>
    <row r="486">
      <c r="A486" s="40">
        <v>44801.88143613426</v>
      </c>
      <c r="C486" s="1" t="s">
        <v>4</v>
      </c>
      <c r="F486" s="1" t="s">
        <v>148</v>
      </c>
    </row>
    <row r="487">
      <c r="A487" s="40">
        <v>44802.526474513885</v>
      </c>
      <c r="B487" s="1" t="s">
        <v>0</v>
      </c>
      <c r="C487" s="1" t="s">
        <v>94</v>
      </c>
      <c r="F487" s="1" t="s">
        <v>148</v>
      </c>
      <c r="G487" s="1" t="s">
        <v>143</v>
      </c>
    </row>
    <row r="488">
      <c r="A488" s="40">
        <v>44803.57531659723</v>
      </c>
      <c r="B488" s="1" t="s">
        <v>0</v>
      </c>
      <c r="C488" s="1" t="s">
        <v>4</v>
      </c>
      <c r="F488" s="1" t="s">
        <v>148</v>
      </c>
      <c r="G488" s="1" t="s">
        <v>143</v>
      </c>
    </row>
    <row r="489">
      <c r="A489" s="40">
        <v>44804.437822314816</v>
      </c>
      <c r="B489" s="1" t="s">
        <v>78</v>
      </c>
      <c r="C489" s="1" t="s">
        <v>2</v>
      </c>
      <c r="F489" s="1" t="s">
        <v>148</v>
      </c>
      <c r="G489" s="1" t="s">
        <v>140</v>
      </c>
    </row>
    <row r="490">
      <c r="A490" s="40">
        <v>44806.3260296875</v>
      </c>
      <c r="B490" s="1" t="s">
        <v>78</v>
      </c>
      <c r="C490" s="1" t="s">
        <v>3</v>
      </c>
      <c r="F490" s="1" t="s">
        <v>148</v>
      </c>
    </row>
    <row r="491">
      <c r="A491" s="40">
        <v>44806.3261412037</v>
      </c>
      <c r="B491" s="1" t="s">
        <v>88</v>
      </c>
      <c r="C491" s="1" t="s">
        <v>2</v>
      </c>
    </row>
    <row r="492">
      <c r="A492" s="40">
        <v>44806.61999626158</v>
      </c>
      <c r="B492" s="1" t="s">
        <v>78</v>
      </c>
      <c r="C492" s="1" t="s">
        <v>2</v>
      </c>
      <c r="F492" s="1" t="s">
        <v>148</v>
      </c>
    </row>
    <row r="493">
      <c r="A493" s="40">
        <v>44807.75590880787</v>
      </c>
      <c r="B493" s="1" t="s">
        <v>89</v>
      </c>
      <c r="E493" s="1" t="s">
        <v>128</v>
      </c>
      <c r="F493" s="1" t="s">
        <v>148</v>
      </c>
    </row>
    <row r="494">
      <c r="A494" s="40">
        <v>44808.42230534722</v>
      </c>
      <c r="B494" s="44" t="s">
        <v>87</v>
      </c>
      <c r="C494" s="1" t="s">
        <v>101</v>
      </c>
    </row>
    <row r="495">
      <c r="A495" s="40">
        <v>44808.73493212963</v>
      </c>
      <c r="C495" s="1" t="s">
        <v>93</v>
      </c>
      <c r="F495" s="1" t="s">
        <v>148</v>
      </c>
    </row>
    <row r="496">
      <c r="A496" s="40">
        <v>44809.55542163194</v>
      </c>
      <c r="B496" s="1" t="s">
        <v>0</v>
      </c>
      <c r="C496" s="1" t="s">
        <v>94</v>
      </c>
      <c r="F496" s="1" t="s">
        <v>148</v>
      </c>
    </row>
    <row r="497">
      <c r="A497" s="40">
        <v>44810.41688502315</v>
      </c>
      <c r="B497" s="1" t="s">
        <v>0</v>
      </c>
      <c r="C497" s="1" t="s">
        <v>4</v>
      </c>
      <c r="F497" s="1" t="s">
        <v>148</v>
      </c>
    </row>
    <row r="498">
      <c r="A498" s="40">
        <v>44810.934613136575</v>
      </c>
      <c r="C498" s="1" t="s">
        <v>93</v>
      </c>
    </row>
    <row r="499">
      <c r="A499" s="40">
        <v>44811.58141002315</v>
      </c>
      <c r="B499" s="1" t="s">
        <v>0</v>
      </c>
      <c r="C499" s="1" t="s">
        <v>97</v>
      </c>
      <c r="F499" s="1" t="s">
        <v>148</v>
      </c>
    </row>
    <row r="500">
      <c r="A500" s="40">
        <v>44811.70055638889</v>
      </c>
      <c r="C500" s="1" t="s">
        <v>4</v>
      </c>
    </row>
    <row r="501">
      <c r="A501" s="40">
        <v>44812.458179629626</v>
      </c>
      <c r="B501" s="1" t="s">
        <v>0</v>
      </c>
      <c r="C501" s="1" t="s">
        <v>99</v>
      </c>
      <c r="F501" s="1" t="s">
        <v>148</v>
      </c>
    </row>
    <row r="502">
      <c r="A502" s="40">
        <v>44813.44313666667</v>
      </c>
      <c r="B502" s="1" t="s">
        <v>76</v>
      </c>
      <c r="C502" s="1" t="s">
        <v>3</v>
      </c>
      <c r="F502" s="1" t="s">
        <v>148</v>
      </c>
    </row>
    <row r="503">
      <c r="A503" s="40">
        <v>44813.66283644676</v>
      </c>
      <c r="G503" s="1" t="s">
        <v>143</v>
      </c>
    </row>
    <row r="504">
      <c r="A504" s="40">
        <v>44814.93262810185</v>
      </c>
      <c r="B504" s="44" t="s">
        <v>87</v>
      </c>
      <c r="C504" s="1" t="s">
        <v>2</v>
      </c>
    </row>
    <row r="505">
      <c r="A505" s="40">
        <v>44814.93269548611</v>
      </c>
      <c r="C505" s="1" t="s">
        <v>2</v>
      </c>
    </row>
    <row r="506">
      <c r="A506" s="40">
        <v>44815.45019513889</v>
      </c>
      <c r="B506" s="44" t="s">
        <v>87</v>
      </c>
      <c r="C506" s="1" t="s">
        <v>2</v>
      </c>
    </row>
    <row r="507">
      <c r="A507" s="40">
        <v>44815.77139969908</v>
      </c>
      <c r="C507" s="1" t="s">
        <v>91</v>
      </c>
      <c r="F507" s="1" t="s">
        <v>148</v>
      </c>
    </row>
    <row r="508">
      <c r="A508" s="40">
        <v>44815.77253135417</v>
      </c>
      <c r="G508" s="1" t="s">
        <v>143</v>
      </c>
    </row>
    <row r="509">
      <c r="A509" s="40">
        <v>44816.58500057871</v>
      </c>
      <c r="B509" s="1" t="s">
        <v>76</v>
      </c>
      <c r="E509" s="1" t="s">
        <v>128</v>
      </c>
      <c r="F509" s="1" t="s">
        <v>148</v>
      </c>
      <c r="G509" s="1" t="s">
        <v>143</v>
      </c>
    </row>
    <row r="510">
      <c r="A510" s="40">
        <v>44816.80233986111</v>
      </c>
      <c r="C510" s="1" t="s">
        <v>93</v>
      </c>
    </row>
    <row r="511">
      <c r="A511" s="40">
        <v>44817.497977129635</v>
      </c>
      <c r="B511" s="1" t="s">
        <v>78</v>
      </c>
      <c r="C511" s="1" t="s">
        <v>3</v>
      </c>
      <c r="F511" s="1" t="s">
        <v>148</v>
      </c>
    </row>
    <row r="512">
      <c r="A512" s="40">
        <v>44818.35237309028</v>
      </c>
      <c r="B512" s="1" t="s">
        <v>78</v>
      </c>
      <c r="C512" s="1" t="s">
        <v>94</v>
      </c>
      <c r="F512" s="1" t="s">
        <v>148</v>
      </c>
      <c r="G512" s="1" t="s">
        <v>143</v>
      </c>
    </row>
    <row r="513">
      <c r="A513" s="40">
        <v>44818.793259502316</v>
      </c>
      <c r="C513" s="1" t="s">
        <v>93</v>
      </c>
    </row>
    <row r="514">
      <c r="A514" s="40">
        <v>44819.765127962964</v>
      </c>
      <c r="B514" s="1" t="s">
        <v>78</v>
      </c>
      <c r="C514" s="1" t="s">
        <v>94</v>
      </c>
      <c r="F514" s="1" t="s">
        <v>148</v>
      </c>
      <c r="G514" s="1" t="s">
        <v>143</v>
      </c>
    </row>
    <row r="515">
      <c r="A515" s="40">
        <v>44820.49075512731</v>
      </c>
      <c r="B515" s="1" t="s">
        <v>76</v>
      </c>
      <c r="C515" s="1" t="s">
        <v>4</v>
      </c>
      <c r="F515" s="1" t="s">
        <v>148</v>
      </c>
    </row>
    <row r="516">
      <c r="A516" s="40">
        <v>44821.43437469908</v>
      </c>
      <c r="B516" s="1" t="s">
        <v>86</v>
      </c>
      <c r="C516" s="1" t="s">
        <v>91</v>
      </c>
      <c r="D516" s="1" t="s">
        <v>106</v>
      </c>
      <c r="F516" s="1" t="s">
        <v>145</v>
      </c>
    </row>
    <row r="517">
      <c r="A517" s="40">
        <v>44822.51294497685</v>
      </c>
      <c r="B517" s="1" t="s">
        <v>86</v>
      </c>
      <c r="C517" s="1" t="s">
        <v>91</v>
      </c>
      <c r="D517" s="1" t="s">
        <v>106</v>
      </c>
    </row>
    <row r="518">
      <c r="A518" s="40">
        <v>44823.5748258449</v>
      </c>
      <c r="B518" s="1" t="s">
        <v>81</v>
      </c>
      <c r="C518" s="1" t="s">
        <v>91</v>
      </c>
      <c r="D518" s="1" t="s">
        <v>125</v>
      </c>
      <c r="F518" s="1" t="s">
        <v>145</v>
      </c>
      <c r="G518" s="1" t="s">
        <v>140</v>
      </c>
    </row>
    <row r="519">
      <c r="A519" s="40">
        <v>44824.66897621528</v>
      </c>
      <c r="B519" s="1" t="s">
        <v>81</v>
      </c>
      <c r="C519" s="1" t="s">
        <v>91</v>
      </c>
      <c r="D519" s="1" t="s">
        <v>125</v>
      </c>
      <c r="F519" s="1" t="s">
        <v>146</v>
      </c>
      <c r="G519" s="1" t="s">
        <v>143</v>
      </c>
    </row>
    <row r="520">
      <c r="A520" s="40">
        <v>44825.6780387037</v>
      </c>
      <c r="B520" s="1" t="s">
        <v>81</v>
      </c>
      <c r="C520" s="1" t="s">
        <v>91</v>
      </c>
      <c r="D520" s="1" t="s">
        <v>125</v>
      </c>
      <c r="F520" s="1" t="s">
        <v>146</v>
      </c>
      <c r="G520" s="1" t="s">
        <v>143</v>
      </c>
    </row>
    <row r="521">
      <c r="A521" s="40">
        <v>44826.40834501157</v>
      </c>
      <c r="B521" s="1" t="s">
        <v>81</v>
      </c>
      <c r="C521" s="1" t="s">
        <v>93</v>
      </c>
      <c r="D521" s="1" t="s">
        <v>112</v>
      </c>
    </row>
    <row r="522">
      <c r="A522" s="40">
        <v>44826.5692215625</v>
      </c>
      <c r="F522" s="1" t="s">
        <v>145</v>
      </c>
    </row>
    <row r="523">
      <c r="A523" s="40">
        <v>44827.56300746527</v>
      </c>
      <c r="B523" s="1" t="s">
        <v>81</v>
      </c>
      <c r="C523" s="1" t="s">
        <v>2</v>
      </c>
      <c r="D523" s="1" t="s">
        <v>112</v>
      </c>
      <c r="F523" s="1" t="s">
        <v>145</v>
      </c>
    </row>
    <row r="524">
      <c r="A524" s="40">
        <v>44828.47928465278</v>
      </c>
      <c r="B524" s="1" t="s">
        <v>86</v>
      </c>
      <c r="C524" s="1" t="s">
        <v>91</v>
      </c>
      <c r="D524" s="1" t="s">
        <v>106</v>
      </c>
    </row>
    <row r="525">
      <c r="A525" s="40">
        <v>44829.03441607639</v>
      </c>
      <c r="F525" s="1" t="s">
        <v>145</v>
      </c>
    </row>
    <row r="526">
      <c r="A526" s="40">
        <v>44829.53498149305</v>
      </c>
      <c r="B526" s="1" t="s">
        <v>0</v>
      </c>
      <c r="C526" s="1" t="s">
        <v>2</v>
      </c>
      <c r="D526" s="1" t="s">
        <v>112</v>
      </c>
      <c r="F526" s="1" t="s">
        <v>148</v>
      </c>
    </row>
    <row r="527">
      <c r="A527" s="40">
        <v>44830.66502533565</v>
      </c>
      <c r="B527" s="1" t="s">
        <v>0</v>
      </c>
      <c r="C527" s="1" t="s">
        <v>91</v>
      </c>
      <c r="D527" s="1" t="s">
        <v>112</v>
      </c>
      <c r="F527" s="1" t="s">
        <v>148</v>
      </c>
    </row>
    <row r="528">
      <c r="A528" s="40">
        <v>44830.79403820602</v>
      </c>
      <c r="C528" s="1" t="s">
        <v>93</v>
      </c>
    </row>
    <row r="529">
      <c r="A529" s="40">
        <v>44831.41564378473</v>
      </c>
      <c r="B529" s="1" t="s">
        <v>0</v>
      </c>
      <c r="C529" s="1" t="s">
        <v>91</v>
      </c>
      <c r="D529" s="1" t="s">
        <v>112</v>
      </c>
      <c r="F529" s="1" t="s">
        <v>145</v>
      </c>
    </row>
    <row r="530">
      <c r="A530" s="40">
        <v>44832.56819679398</v>
      </c>
      <c r="B530" s="1" t="s">
        <v>0</v>
      </c>
      <c r="C530" s="1" t="s">
        <v>2</v>
      </c>
      <c r="D530" s="1" t="s">
        <v>110</v>
      </c>
      <c r="F530" s="1" t="s">
        <v>148</v>
      </c>
      <c r="G530" s="1" t="s">
        <v>143</v>
      </c>
    </row>
    <row r="531">
      <c r="A531" s="40">
        <v>44832.84771696759</v>
      </c>
      <c r="C531" s="1" t="s">
        <v>91</v>
      </c>
    </row>
    <row r="532">
      <c r="A532" s="40">
        <v>44833.55233690972</v>
      </c>
      <c r="B532" s="1" t="s">
        <v>0</v>
      </c>
      <c r="C532" s="1" t="s">
        <v>91</v>
      </c>
      <c r="D532" s="1" t="s">
        <v>110</v>
      </c>
      <c r="F532" s="1" t="s">
        <v>148</v>
      </c>
      <c r="G532" s="1" t="s">
        <v>143</v>
      </c>
    </row>
    <row r="533">
      <c r="A533" s="40">
        <v>44834.45236697917</v>
      </c>
      <c r="B533" s="1" t="s">
        <v>0</v>
      </c>
      <c r="C533" s="1" t="s">
        <v>2</v>
      </c>
      <c r="D533" s="1" t="s">
        <v>110</v>
      </c>
      <c r="F533" s="1" t="s">
        <v>148</v>
      </c>
      <c r="G533" s="1" t="s">
        <v>143</v>
      </c>
    </row>
    <row r="534">
      <c r="A534" s="40">
        <v>44835.431982546295</v>
      </c>
      <c r="B534" s="1" t="s">
        <v>81</v>
      </c>
      <c r="C534" s="1" t="s">
        <v>91</v>
      </c>
      <c r="D534" s="1" t="s">
        <v>106</v>
      </c>
    </row>
    <row r="535">
      <c r="A535" s="40">
        <v>44836.391818240736</v>
      </c>
      <c r="C535" s="1" t="s">
        <v>3</v>
      </c>
      <c r="D535" s="1" t="s">
        <v>122</v>
      </c>
    </row>
    <row r="536">
      <c r="A536" s="40">
        <v>44836.442463495376</v>
      </c>
      <c r="B536" s="1" t="s">
        <v>81</v>
      </c>
      <c r="C536" s="1" t="s">
        <v>91</v>
      </c>
      <c r="D536" s="1" t="s">
        <v>106</v>
      </c>
    </row>
    <row r="537">
      <c r="A537" s="40">
        <v>44837.74957697917</v>
      </c>
      <c r="B537" s="1" t="s">
        <v>81</v>
      </c>
      <c r="D537" s="1" t="s">
        <v>102</v>
      </c>
      <c r="E537" s="1" t="s">
        <v>127</v>
      </c>
      <c r="F537" s="1" t="s">
        <v>145</v>
      </c>
      <c r="G537" s="1" t="s">
        <v>141</v>
      </c>
    </row>
    <row r="538">
      <c r="A538" s="40">
        <v>44838.48015553241</v>
      </c>
      <c r="B538" s="1" t="s">
        <v>81</v>
      </c>
      <c r="D538" s="1" t="s">
        <v>102</v>
      </c>
      <c r="E538" s="1" t="s">
        <v>127</v>
      </c>
      <c r="F538" s="1" t="s">
        <v>145</v>
      </c>
      <c r="G538" s="1" t="s">
        <v>141</v>
      </c>
    </row>
    <row r="539">
      <c r="A539" s="40">
        <v>44838.813662870365</v>
      </c>
      <c r="C539" s="1" t="s">
        <v>3</v>
      </c>
    </row>
    <row r="540">
      <c r="A540" s="40">
        <v>44839.85712399306</v>
      </c>
      <c r="B540" s="1" t="s">
        <v>81</v>
      </c>
      <c r="C540" s="1" t="s">
        <v>97</v>
      </c>
      <c r="D540" s="1" t="s">
        <v>102</v>
      </c>
      <c r="F540" s="1" t="s">
        <v>145</v>
      </c>
      <c r="G540" s="1" t="s">
        <v>141</v>
      </c>
    </row>
    <row r="541">
      <c r="A541" s="40">
        <v>44840.42003304398</v>
      </c>
      <c r="B541" s="1" t="s">
        <v>81</v>
      </c>
      <c r="C541" s="1" t="s">
        <v>97</v>
      </c>
      <c r="D541" s="1" t="s">
        <v>102</v>
      </c>
      <c r="F541" s="1" t="s">
        <v>145</v>
      </c>
      <c r="G541" s="1" t="s">
        <v>141</v>
      </c>
    </row>
    <row r="542">
      <c r="A542" s="40">
        <v>44841.72650341435</v>
      </c>
      <c r="B542" s="1" t="s">
        <v>81</v>
      </c>
      <c r="D542" s="1" t="s">
        <v>105</v>
      </c>
      <c r="E542" s="1" t="s">
        <v>134</v>
      </c>
      <c r="F542" s="1" t="s">
        <v>145</v>
      </c>
      <c r="G542" s="1" t="s">
        <v>141</v>
      </c>
    </row>
    <row r="543">
      <c r="A543" s="40">
        <v>44842.4546791551</v>
      </c>
      <c r="F543" s="1" t="s">
        <v>146</v>
      </c>
    </row>
    <row r="544">
      <c r="A544" s="40">
        <v>44842.732347708334</v>
      </c>
      <c r="B544" s="1" t="s">
        <v>86</v>
      </c>
      <c r="C544" s="1" t="s">
        <v>91</v>
      </c>
      <c r="D544" s="1" t="s">
        <v>106</v>
      </c>
    </row>
    <row r="545">
      <c r="A545" s="40">
        <v>44843.44034405093</v>
      </c>
      <c r="B545" s="1" t="s">
        <v>86</v>
      </c>
      <c r="C545" s="1" t="s">
        <v>91</v>
      </c>
      <c r="D545" s="1" t="s">
        <v>106</v>
      </c>
    </row>
    <row r="546">
      <c r="A546" s="40">
        <v>44843.79741583334</v>
      </c>
      <c r="B546" s="1" t="s">
        <v>76</v>
      </c>
      <c r="D546" s="1" t="s">
        <v>105</v>
      </c>
      <c r="E546" s="1" t="s">
        <v>134</v>
      </c>
      <c r="F546" s="1" t="s">
        <v>146</v>
      </c>
      <c r="G546" s="1" t="s">
        <v>139</v>
      </c>
    </row>
    <row r="547">
      <c r="A547" s="40">
        <v>44844.76688037037</v>
      </c>
      <c r="B547" s="44" t="s">
        <v>87</v>
      </c>
      <c r="C547" s="1" t="s">
        <v>2</v>
      </c>
      <c r="D547" s="1" t="s">
        <v>125</v>
      </c>
      <c r="F547" s="1" t="s">
        <v>145</v>
      </c>
      <c r="G547" s="1" t="s">
        <v>140</v>
      </c>
    </row>
    <row r="548">
      <c r="A548" s="40">
        <v>44845.87825903935</v>
      </c>
      <c r="B548" s="44" t="s">
        <v>87</v>
      </c>
      <c r="C548" s="1" t="s">
        <v>91</v>
      </c>
      <c r="D548" s="1" t="s">
        <v>125</v>
      </c>
      <c r="F548" s="1" t="s">
        <v>145</v>
      </c>
      <c r="G548" s="1" t="s">
        <v>141</v>
      </c>
    </row>
    <row r="549">
      <c r="A549" s="40">
        <v>44845.87838069444</v>
      </c>
      <c r="B549" s="1" t="s">
        <v>86</v>
      </c>
      <c r="C549" s="1" t="s">
        <v>91</v>
      </c>
      <c r="D549" s="1" t="s">
        <v>106</v>
      </c>
    </row>
    <row r="550">
      <c r="A550" s="40">
        <v>44846.78942418982</v>
      </c>
      <c r="B550" s="44" t="s">
        <v>87</v>
      </c>
      <c r="C550" s="1" t="s">
        <v>2</v>
      </c>
      <c r="D550" s="1" t="s">
        <v>125</v>
      </c>
      <c r="F550" s="1" t="s">
        <v>145</v>
      </c>
      <c r="G550" s="1" t="s">
        <v>141</v>
      </c>
    </row>
    <row r="551">
      <c r="A551" s="40">
        <v>44847.72588684028</v>
      </c>
      <c r="B551" s="1" t="s">
        <v>76</v>
      </c>
      <c r="C551" s="1" t="s">
        <v>91</v>
      </c>
      <c r="D551" s="1" t="s">
        <v>125</v>
      </c>
      <c r="F551" s="1" t="s">
        <v>146</v>
      </c>
      <c r="G551" s="1" t="s">
        <v>140</v>
      </c>
    </row>
    <row r="552">
      <c r="A552" s="40">
        <v>44848.66444673611</v>
      </c>
      <c r="B552" s="1" t="s">
        <v>76</v>
      </c>
      <c r="C552" s="1" t="s">
        <v>97</v>
      </c>
      <c r="D552" s="1" t="s">
        <v>102</v>
      </c>
      <c r="F552" s="1" t="s">
        <v>146</v>
      </c>
      <c r="G552" s="1" t="s">
        <v>140</v>
      </c>
    </row>
    <row r="553">
      <c r="A553" s="40">
        <v>44849.439879537036</v>
      </c>
      <c r="B553" s="1" t="s">
        <v>86</v>
      </c>
      <c r="C553" s="1" t="s">
        <v>91</v>
      </c>
      <c r="D553" s="1" t="s">
        <v>106</v>
      </c>
    </row>
    <row r="554">
      <c r="A554" s="40">
        <v>44850.554471365744</v>
      </c>
      <c r="B554" s="1" t="s">
        <v>0</v>
      </c>
      <c r="C554" s="1" t="s">
        <v>91</v>
      </c>
      <c r="D554" s="1" t="s">
        <v>112</v>
      </c>
      <c r="F554" s="1" t="s">
        <v>145</v>
      </c>
      <c r="G554" s="1" t="s">
        <v>141</v>
      </c>
    </row>
    <row r="555">
      <c r="A555" s="40">
        <v>44851.64789263889</v>
      </c>
      <c r="B555" s="1" t="s">
        <v>0</v>
      </c>
      <c r="C555" s="1" t="s">
        <v>91</v>
      </c>
      <c r="D555" s="1" t="s">
        <v>112</v>
      </c>
      <c r="F555" s="1" t="s">
        <v>145</v>
      </c>
      <c r="G555" s="1" t="s">
        <v>141</v>
      </c>
    </row>
    <row r="556">
      <c r="A556" s="40">
        <v>44852.4619771875</v>
      </c>
      <c r="B556" s="1" t="s">
        <v>86</v>
      </c>
      <c r="C556" s="1" t="s">
        <v>91</v>
      </c>
      <c r="D556" s="1" t="s">
        <v>106</v>
      </c>
    </row>
    <row r="557">
      <c r="A557" s="40">
        <v>44854.71418418981</v>
      </c>
      <c r="B557" s="1" t="s">
        <v>0</v>
      </c>
      <c r="C557" s="1" t="s">
        <v>91</v>
      </c>
      <c r="D557" s="1" t="s">
        <v>110</v>
      </c>
      <c r="F557" s="1" t="s">
        <v>145</v>
      </c>
      <c r="G557" s="1" t="s">
        <v>143</v>
      </c>
    </row>
    <row r="558">
      <c r="A558" s="40">
        <v>44855.43640334491</v>
      </c>
      <c r="B558" s="1" t="s">
        <v>0</v>
      </c>
      <c r="C558" s="1" t="s">
        <v>3</v>
      </c>
      <c r="D558" s="1" t="s">
        <v>110</v>
      </c>
      <c r="F558" s="1" t="s">
        <v>145</v>
      </c>
      <c r="G558" s="1" t="s">
        <v>143</v>
      </c>
    </row>
    <row r="559">
      <c r="A559" s="40">
        <v>44855.43660746528</v>
      </c>
      <c r="B559" s="1" t="s">
        <v>0</v>
      </c>
      <c r="C559" s="1" t="s">
        <v>91</v>
      </c>
      <c r="D559" s="1" t="s">
        <v>110</v>
      </c>
      <c r="F559" s="1" t="s">
        <v>145</v>
      </c>
      <c r="G559" s="1" t="s">
        <v>143</v>
      </c>
    </row>
    <row r="560">
      <c r="A560" s="40">
        <v>44856.439327291664</v>
      </c>
      <c r="B560" s="1" t="s">
        <v>0</v>
      </c>
      <c r="C560" s="1" t="s">
        <v>91</v>
      </c>
      <c r="D560" s="1" t="s">
        <v>110</v>
      </c>
      <c r="F560" s="1" t="s">
        <v>145</v>
      </c>
      <c r="G560" s="1" t="s">
        <v>143</v>
      </c>
    </row>
    <row r="561">
      <c r="A561" s="40">
        <v>44857.480901145835</v>
      </c>
      <c r="B561" s="44" t="s">
        <v>87</v>
      </c>
      <c r="C561" s="1" t="s">
        <v>2</v>
      </c>
      <c r="D561" s="1" t="s">
        <v>109</v>
      </c>
    </row>
    <row r="562">
      <c r="A562" s="40">
        <v>44858.553897881946</v>
      </c>
      <c r="B562" s="1" t="s">
        <v>81</v>
      </c>
      <c r="D562" s="1" t="s">
        <v>104</v>
      </c>
      <c r="F562" s="1" t="s">
        <v>146</v>
      </c>
      <c r="G562" s="1" t="s">
        <v>139</v>
      </c>
    </row>
    <row r="563">
      <c r="A563" s="40">
        <v>44858.55398136574</v>
      </c>
      <c r="D563" s="1" t="s">
        <v>124</v>
      </c>
    </row>
    <row r="564">
      <c r="A564" s="40">
        <v>44859.56779453704</v>
      </c>
      <c r="B564" s="1" t="s">
        <v>81</v>
      </c>
      <c r="D564" s="1" t="s">
        <v>104</v>
      </c>
      <c r="F564" s="1" t="s">
        <v>146</v>
      </c>
      <c r="G564" s="1" t="s">
        <v>139</v>
      </c>
    </row>
    <row r="565">
      <c r="A565" s="40">
        <v>44859.56788427083</v>
      </c>
      <c r="D565" s="1" t="s">
        <v>124</v>
      </c>
    </row>
    <row r="566">
      <c r="A566" s="40">
        <v>44860.92977859954</v>
      </c>
      <c r="B566" s="1" t="s">
        <v>81</v>
      </c>
      <c r="D566" s="1" t="s">
        <v>104</v>
      </c>
      <c r="F566" s="1" t="s">
        <v>146</v>
      </c>
      <c r="G566" s="1" t="s">
        <v>139</v>
      </c>
    </row>
    <row r="567">
      <c r="A567" s="40">
        <v>44860.92988082176</v>
      </c>
      <c r="D567" s="1" t="s">
        <v>124</v>
      </c>
    </row>
    <row r="568">
      <c r="A568" s="40">
        <v>44861.620044641204</v>
      </c>
      <c r="B568" s="1" t="s">
        <v>81</v>
      </c>
      <c r="C568" s="1" t="s">
        <v>91</v>
      </c>
      <c r="D568" s="1" t="s">
        <v>125</v>
      </c>
      <c r="F568" s="1" t="s">
        <v>145</v>
      </c>
      <c r="G568" s="1" t="s">
        <v>140</v>
      </c>
    </row>
    <row r="569">
      <c r="A569" s="40">
        <v>44863.412396099535</v>
      </c>
      <c r="B569" s="1" t="s">
        <v>81</v>
      </c>
      <c r="C569" s="1" t="s">
        <v>3</v>
      </c>
      <c r="D569" s="1" t="s">
        <v>125</v>
      </c>
      <c r="F569" s="1" t="s">
        <v>145</v>
      </c>
      <c r="G569" s="1" t="s">
        <v>140</v>
      </c>
    </row>
    <row r="570">
      <c r="A570" s="40">
        <v>44863.41256413194</v>
      </c>
      <c r="B570" s="44" t="s">
        <v>87</v>
      </c>
      <c r="C570" s="1" t="s">
        <v>3</v>
      </c>
      <c r="D570" s="1" t="s">
        <v>109</v>
      </c>
    </row>
    <row r="571">
      <c r="A571" s="40">
        <v>44864.504686747685</v>
      </c>
      <c r="B571" s="44" t="s">
        <v>87</v>
      </c>
      <c r="C571" s="1" t="s">
        <v>91</v>
      </c>
      <c r="D571" s="1" t="s">
        <v>109</v>
      </c>
    </row>
    <row r="572">
      <c r="A572" s="40">
        <v>44864.50508570602</v>
      </c>
      <c r="F572" s="1" t="s">
        <v>145</v>
      </c>
    </row>
    <row r="573">
      <c r="A573" s="40">
        <v>44864.627394166666</v>
      </c>
      <c r="F573" s="1" t="s">
        <v>145</v>
      </c>
    </row>
    <row r="574">
      <c r="A574" s="40">
        <v>44865.76606484954</v>
      </c>
      <c r="C574" s="1" t="s">
        <v>93</v>
      </c>
    </row>
    <row r="575">
      <c r="A575" s="40">
        <v>44865.76627263889</v>
      </c>
      <c r="B575" s="1" t="s">
        <v>200</v>
      </c>
      <c r="C575" s="1" t="s">
        <v>91</v>
      </c>
      <c r="D575" s="1" t="s">
        <v>105</v>
      </c>
      <c r="F575" s="1" t="s">
        <v>145</v>
      </c>
      <c r="G575" s="1" t="s">
        <v>140</v>
      </c>
    </row>
    <row r="576">
      <c r="A576" s="40">
        <v>44866.5883153125</v>
      </c>
      <c r="B576" s="1" t="s">
        <v>200</v>
      </c>
      <c r="E576" s="1" t="s">
        <v>134</v>
      </c>
      <c r="F576" s="1" t="s">
        <v>146</v>
      </c>
      <c r="G576" s="1" t="s">
        <v>139</v>
      </c>
    </row>
    <row r="577">
      <c r="A577" s="40">
        <v>44866.606459745366</v>
      </c>
      <c r="D577" s="1" t="s">
        <v>105</v>
      </c>
    </row>
    <row r="578">
      <c r="A578" s="40">
        <v>44868.34499758102</v>
      </c>
      <c r="B578" s="1" t="s">
        <v>200</v>
      </c>
      <c r="C578" s="1" t="s">
        <v>2</v>
      </c>
      <c r="D578" s="1" t="s">
        <v>105</v>
      </c>
      <c r="F578" s="1" t="s">
        <v>145</v>
      </c>
      <c r="G578" s="1" t="s">
        <v>139</v>
      </c>
    </row>
    <row r="579">
      <c r="A579" s="40">
        <v>44868.34522462963</v>
      </c>
      <c r="B579" s="1" t="s">
        <v>0</v>
      </c>
      <c r="C579" s="1" t="s">
        <v>93</v>
      </c>
      <c r="D579" s="1" t="s">
        <v>112</v>
      </c>
      <c r="F579" s="1" t="s">
        <v>145</v>
      </c>
      <c r="G579" s="1" t="s">
        <v>140</v>
      </c>
    </row>
    <row r="580">
      <c r="A580" s="40">
        <v>44871.45782940972</v>
      </c>
      <c r="B580" s="1" t="s">
        <v>0</v>
      </c>
      <c r="C580" s="1" t="s">
        <v>93</v>
      </c>
      <c r="D580" s="1" t="s">
        <v>110</v>
      </c>
      <c r="F580" s="1" t="s">
        <v>145</v>
      </c>
      <c r="G580" s="1" t="s">
        <v>140</v>
      </c>
    </row>
    <row r="581">
      <c r="A581" s="40">
        <v>44871.45806077546</v>
      </c>
      <c r="B581" s="44" t="s">
        <v>87</v>
      </c>
      <c r="C581" s="1" t="s">
        <v>2</v>
      </c>
      <c r="E581" s="1" t="s">
        <v>190</v>
      </c>
    </row>
    <row r="582">
      <c r="A582" s="40">
        <v>44871.458144351855</v>
      </c>
      <c r="G582" s="1" t="s">
        <v>143</v>
      </c>
    </row>
    <row r="583">
      <c r="A583" s="40">
        <v>44871.45820166667</v>
      </c>
      <c r="G583" s="1" t="s">
        <v>143</v>
      </c>
    </row>
    <row r="584">
      <c r="A584" s="40">
        <v>44871.45838967593</v>
      </c>
      <c r="B584" s="1" t="s">
        <v>0</v>
      </c>
      <c r="C584" s="1" t="s">
        <v>91</v>
      </c>
      <c r="D584" s="1" t="s">
        <v>110</v>
      </c>
      <c r="F584" s="1" t="s">
        <v>145</v>
      </c>
    </row>
    <row r="585">
      <c r="A585" s="40">
        <v>44871.45844969907</v>
      </c>
      <c r="C585" s="1" t="s">
        <v>93</v>
      </c>
    </row>
    <row r="586">
      <c r="A586" s="40">
        <v>44872.350833969904</v>
      </c>
      <c r="C586" s="1" t="s">
        <v>100</v>
      </c>
      <c r="F586" s="1" t="s">
        <v>153</v>
      </c>
    </row>
    <row r="587">
      <c r="A587" s="40">
        <v>44872.630226574074</v>
      </c>
      <c r="B587" s="1" t="s">
        <v>81</v>
      </c>
      <c r="C587" s="1" t="s">
        <v>2</v>
      </c>
      <c r="D587" s="1" t="s">
        <v>106</v>
      </c>
      <c r="F587" s="1" t="s">
        <v>145</v>
      </c>
      <c r="G587" s="1" t="s">
        <v>140</v>
      </c>
    </row>
    <row r="588">
      <c r="A588" s="40">
        <v>44873.46472662037</v>
      </c>
      <c r="B588" s="1" t="s">
        <v>200</v>
      </c>
      <c r="C588" s="1" t="s">
        <v>2</v>
      </c>
      <c r="D588" s="1" t="s">
        <v>106</v>
      </c>
      <c r="F588" s="1" t="s">
        <v>145</v>
      </c>
      <c r="G588" s="1" t="s">
        <v>140</v>
      </c>
    </row>
    <row r="589">
      <c r="A589" s="40">
        <v>44874.799602847226</v>
      </c>
      <c r="B589" s="1" t="s">
        <v>200</v>
      </c>
      <c r="C589" s="1" t="s">
        <v>97</v>
      </c>
      <c r="D589" s="1" t="s">
        <v>102</v>
      </c>
      <c r="F589" s="1" t="s">
        <v>145</v>
      </c>
      <c r="G589" s="1" t="s">
        <v>140</v>
      </c>
    </row>
    <row r="590">
      <c r="A590" s="40">
        <v>44875.739350393516</v>
      </c>
      <c r="B590" s="1" t="s">
        <v>200</v>
      </c>
      <c r="C590" s="1" t="s">
        <v>97</v>
      </c>
      <c r="D590" s="1" t="s">
        <v>102</v>
      </c>
      <c r="F590" s="1" t="s">
        <v>145</v>
      </c>
      <c r="G590" s="1" t="s">
        <v>140</v>
      </c>
    </row>
    <row r="591">
      <c r="A591" s="40">
        <v>44876.45991358796</v>
      </c>
      <c r="B591" s="1" t="s">
        <v>200</v>
      </c>
      <c r="C591" s="1" t="s">
        <v>99</v>
      </c>
      <c r="D591" s="1" t="s">
        <v>102</v>
      </c>
      <c r="F591" s="1" t="s">
        <v>145</v>
      </c>
      <c r="G591" s="1" t="s">
        <v>140</v>
      </c>
    </row>
    <row r="592">
      <c r="A592" s="40">
        <v>44877.487661875</v>
      </c>
      <c r="B592" s="1" t="s">
        <v>76</v>
      </c>
      <c r="E592" s="1" t="s">
        <v>127</v>
      </c>
      <c r="F592" s="1" t="s">
        <v>146</v>
      </c>
    </row>
    <row r="593">
      <c r="A593" s="40">
        <v>44877.59068006944</v>
      </c>
      <c r="B593" s="44" t="s">
        <v>87</v>
      </c>
      <c r="C593" s="1" t="s">
        <v>91</v>
      </c>
      <c r="D593" s="1" t="s">
        <v>109</v>
      </c>
    </row>
    <row r="594">
      <c r="A594" s="40">
        <v>44877.95960940972</v>
      </c>
      <c r="C594" s="1" t="s">
        <v>2</v>
      </c>
      <c r="D594" s="1" t="s">
        <v>122</v>
      </c>
    </row>
    <row r="595">
      <c r="A595" s="40">
        <v>44878.47099486111</v>
      </c>
      <c r="B595" s="44" t="s">
        <v>87</v>
      </c>
      <c r="C595" s="1" t="s">
        <v>3</v>
      </c>
      <c r="D595" s="1" t="s">
        <v>109</v>
      </c>
    </row>
    <row r="596">
      <c r="A596" s="40">
        <v>44878.67845125</v>
      </c>
      <c r="C596" s="1" t="s">
        <v>3</v>
      </c>
    </row>
    <row r="597">
      <c r="A597" s="40">
        <v>44879.446053125</v>
      </c>
      <c r="B597" s="1" t="s">
        <v>76</v>
      </c>
      <c r="D597" s="1" t="s">
        <v>102</v>
      </c>
      <c r="E597" s="1" t="s">
        <v>127</v>
      </c>
      <c r="F597" s="1" t="s">
        <v>145</v>
      </c>
      <c r="G597" s="1" t="s">
        <v>139</v>
      </c>
    </row>
    <row r="598">
      <c r="A598" s="40">
        <v>44880.58495002315</v>
      </c>
      <c r="B598" s="1" t="s">
        <v>76</v>
      </c>
      <c r="C598" s="1" t="s">
        <v>97</v>
      </c>
      <c r="D598" s="1" t="s">
        <v>102</v>
      </c>
      <c r="F598" s="1" t="s">
        <v>146</v>
      </c>
      <c r="G598" s="1" t="s">
        <v>139</v>
      </c>
    </row>
    <row r="599">
      <c r="A599" s="40">
        <v>44881.717723368056</v>
      </c>
      <c r="B599" s="1" t="s">
        <v>76</v>
      </c>
      <c r="C599" s="1" t="s">
        <v>97</v>
      </c>
      <c r="D599" s="1" t="s">
        <v>102</v>
      </c>
      <c r="F599" s="1" t="s">
        <v>145</v>
      </c>
      <c r="G599" s="1" t="s">
        <v>139</v>
      </c>
    </row>
    <row r="600">
      <c r="A600" s="40">
        <v>44881.7177995949</v>
      </c>
      <c r="C600" s="1" t="s">
        <v>93</v>
      </c>
    </row>
    <row r="601">
      <c r="A601" s="40">
        <v>44882.914410833335</v>
      </c>
      <c r="B601" s="1" t="s">
        <v>76</v>
      </c>
      <c r="C601" s="1" t="s">
        <v>2</v>
      </c>
      <c r="D601" s="1" t="s">
        <v>125</v>
      </c>
      <c r="F601" s="1" t="s">
        <v>145</v>
      </c>
      <c r="G601" s="1" t="s">
        <v>140</v>
      </c>
    </row>
    <row r="602">
      <c r="A602" s="40">
        <v>44883.495349791665</v>
      </c>
      <c r="B602" s="1" t="s">
        <v>76</v>
      </c>
      <c r="C602" s="1" t="s">
        <v>2</v>
      </c>
      <c r="D602" s="1" t="s">
        <v>125</v>
      </c>
      <c r="F602" s="1" t="s">
        <v>145</v>
      </c>
      <c r="G602" s="1" t="s">
        <v>140</v>
      </c>
    </row>
    <row r="603">
      <c r="A603" s="40">
        <v>44885.66293100694</v>
      </c>
      <c r="B603" s="1" t="s">
        <v>0</v>
      </c>
      <c r="C603" s="1" t="s">
        <v>97</v>
      </c>
      <c r="D603" s="1" t="s">
        <v>102</v>
      </c>
      <c r="F603" s="1" t="s">
        <v>145</v>
      </c>
      <c r="G603" s="1" t="s">
        <v>140</v>
      </c>
    </row>
    <row r="604">
      <c r="A604" s="40">
        <v>44885.66308719908</v>
      </c>
      <c r="B604" s="1" t="s">
        <v>0</v>
      </c>
      <c r="C604" s="1" t="s">
        <v>97</v>
      </c>
      <c r="D604" s="1" t="s">
        <v>102</v>
      </c>
      <c r="F604" s="1" t="s">
        <v>145</v>
      </c>
      <c r="G604" s="1" t="s">
        <v>140</v>
      </c>
    </row>
    <row r="605">
      <c r="A605" s="40">
        <v>44885.66323626158</v>
      </c>
      <c r="B605" s="44" t="s">
        <v>87</v>
      </c>
      <c r="C605" s="1" t="s">
        <v>91</v>
      </c>
      <c r="D605" s="1" t="s">
        <v>109</v>
      </c>
    </row>
    <row r="606">
      <c r="A606" s="40">
        <v>44886.61073783565</v>
      </c>
      <c r="B606" s="1" t="s">
        <v>200</v>
      </c>
      <c r="C606" s="1" t="s">
        <v>91</v>
      </c>
      <c r="D606" s="1" t="s">
        <v>105</v>
      </c>
      <c r="F606" s="1" t="s">
        <v>145</v>
      </c>
      <c r="G606" s="1" t="s">
        <v>140</v>
      </c>
    </row>
    <row r="607">
      <c r="A607" s="40">
        <v>44887.71886663194</v>
      </c>
      <c r="B607" s="1" t="s">
        <v>200</v>
      </c>
      <c r="C607" s="1" t="s">
        <v>2</v>
      </c>
      <c r="D607" s="1" t="s">
        <v>105</v>
      </c>
      <c r="F607" s="1" t="s">
        <v>145</v>
      </c>
      <c r="G607" s="1" t="s">
        <v>140</v>
      </c>
    </row>
    <row r="608">
      <c r="A608" s="40">
        <v>44888.82602228009</v>
      </c>
      <c r="B608" s="1" t="s">
        <v>200</v>
      </c>
      <c r="C608" s="1" t="s">
        <v>2</v>
      </c>
      <c r="D608" s="1" t="s">
        <v>106</v>
      </c>
      <c r="F608" s="1" t="s">
        <v>145</v>
      </c>
      <c r="G608" s="1" t="s">
        <v>140</v>
      </c>
    </row>
    <row r="609">
      <c r="A609" s="40">
        <v>44891.43641753472</v>
      </c>
      <c r="B609" s="44" t="s">
        <v>87</v>
      </c>
      <c r="C609" s="1" t="s">
        <v>2</v>
      </c>
      <c r="D609" s="1" t="s">
        <v>109</v>
      </c>
      <c r="F609" s="1" t="s">
        <v>146</v>
      </c>
    </row>
    <row r="610">
      <c r="A610" s="40">
        <v>44891.43714966435</v>
      </c>
      <c r="B610" s="1" t="s">
        <v>81</v>
      </c>
      <c r="C610" s="1" t="s">
        <v>91</v>
      </c>
      <c r="D610" s="1" t="s">
        <v>106</v>
      </c>
      <c r="F610" s="1" t="s">
        <v>145</v>
      </c>
      <c r="G610" s="1" t="s">
        <v>140</v>
      </c>
    </row>
    <row r="611">
      <c r="A611" s="40">
        <v>44892.50841135417</v>
      </c>
      <c r="C611" s="1" t="s">
        <v>100</v>
      </c>
      <c r="D611" s="1" t="s">
        <v>122</v>
      </c>
      <c r="F611" s="1" t="s">
        <v>153</v>
      </c>
      <c r="G611" s="1" t="s">
        <v>140</v>
      </c>
    </row>
    <row r="612">
      <c r="A612" s="40">
        <v>44893.43291371528</v>
      </c>
      <c r="B612" s="1" t="s">
        <v>0</v>
      </c>
      <c r="C612" s="1" t="s">
        <v>3</v>
      </c>
      <c r="D612" s="1" t="s">
        <v>112</v>
      </c>
      <c r="F612" s="1" t="s">
        <v>145</v>
      </c>
      <c r="G612" s="1" t="s">
        <v>140</v>
      </c>
    </row>
    <row r="613">
      <c r="A613" s="40">
        <v>44894.58868162037</v>
      </c>
      <c r="B613" s="44" t="s">
        <v>87</v>
      </c>
      <c r="C613" s="1" t="s">
        <v>91</v>
      </c>
      <c r="D613" s="1" t="s">
        <v>109</v>
      </c>
      <c r="F613" s="1" t="s">
        <v>145</v>
      </c>
      <c r="G613" s="1" t="s">
        <v>140</v>
      </c>
    </row>
    <row r="614">
      <c r="A614" s="40">
        <v>44895.44211399306</v>
      </c>
      <c r="B614" s="1" t="s">
        <v>81</v>
      </c>
      <c r="C614" s="1" t="s">
        <v>91</v>
      </c>
      <c r="D614" s="1" t="s">
        <v>112</v>
      </c>
      <c r="F614" s="1" t="s">
        <v>145</v>
      </c>
      <c r="G614" s="1" t="s">
        <v>140</v>
      </c>
    </row>
    <row r="615">
      <c r="A615" s="40">
        <v>44896.892863368055</v>
      </c>
      <c r="B615" s="1" t="s">
        <v>81</v>
      </c>
      <c r="C615" s="1" t="s">
        <v>91</v>
      </c>
      <c r="D615" s="1" t="s">
        <v>112</v>
      </c>
      <c r="F615" s="1" t="s">
        <v>145</v>
      </c>
      <c r="G615" s="1" t="s">
        <v>140</v>
      </c>
    </row>
    <row r="616">
      <c r="A616" s="40">
        <v>44897.49308930556</v>
      </c>
      <c r="B616" s="1" t="s">
        <v>81</v>
      </c>
      <c r="C616" s="1" t="s">
        <v>2</v>
      </c>
      <c r="D616" s="1" t="s">
        <v>112</v>
      </c>
      <c r="F616" s="1" t="s">
        <v>145</v>
      </c>
      <c r="G616" s="1" t="s">
        <v>140</v>
      </c>
    </row>
    <row r="617">
      <c r="A617" s="40">
        <v>44898.97409686343</v>
      </c>
      <c r="B617" s="1" t="s">
        <v>81</v>
      </c>
      <c r="C617" s="1" t="s">
        <v>2</v>
      </c>
      <c r="D617" s="1" t="s">
        <v>112</v>
      </c>
      <c r="F617" s="1" t="s">
        <v>145</v>
      </c>
      <c r="G617" s="1" t="s">
        <v>140</v>
      </c>
    </row>
    <row r="618">
      <c r="A618" s="40">
        <v>44899.52883096065</v>
      </c>
      <c r="B618" s="1" t="s">
        <v>86</v>
      </c>
      <c r="C618" s="1" t="s">
        <v>91</v>
      </c>
      <c r="D618" s="1" t="s">
        <v>106</v>
      </c>
    </row>
    <row r="619">
      <c r="A619" s="40">
        <v>44900.45120962963</v>
      </c>
      <c r="B619" s="1" t="s">
        <v>81</v>
      </c>
      <c r="C619" s="1" t="s">
        <v>97</v>
      </c>
      <c r="D619" s="1" t="s">
        <v>102</v>
      </c>
      <c r="F619" s="1" t="s">
        <v>145</v>
      </c>
      <c r="G619" s="1" t="s">
        <v>139</v>
      </c>
    </row>
    <row r="620">
      <c r="A620" s="40">
        <v>44901.56425030093</v>
      </c>
      <c r="B620" s="1" t="s">
        <v>81</v>
      </c>
      <c r="D620" s="1" t="s">
        <v>102</v>
      </c>
      <c r="E620" s="1" t="s">
        <v>127</v>
      </c>
      <c r="F620" s="1" t="s">
        <v>145</v>
      </c>
      <c r="G620" s="1" t="s">
        <v>139</v>
      </c>
    </row>
    <row r="621">
      <c r="A621" s="40">
        <v>44902.46394071759</v>
      </c>
      <c r="B621" s="1" t="s">
        <v>81</v>
      </c>
      <c r="D621" s="1" t="s">
        <v>102</v>
      </c>
      <c r="E621" s="1" t="s">
        <v>127</v>
      </c>
      <c r="F621" s="1" t="s">
        <v>146</v>
      </c>
      <c r="G621" s="1" t="s">
        <v>139</v>
      </c>
    </row>
    <row r="622">
      <c r="A622" s="40">
        <v>44903.57877416667</v>
      </c>
      <c r="B622" s="1" t="s">
        <v>81</v>
      </c>
      <c r="D622" s="1" t="s">
        <v>104</v>
      </c>
      <c r="F622" s="1" t="s">
        <v>146</v>
      </c>
      <c r="G622" s="1" t="s">
        <v>139</v>
      </c>
    </row>
    <row r="623">
      <c r="A623" s="40">
        <v>44903.57886949074</v>
      </c>
      <c r="D623" s="1" t="s">
        <v>124</v>
      </c>
    </row>
    <row r="624">
      <c r="A624" s="40">
        <v>44904.748075428244</v>
      </c>
      <c r="B624" s="1" t="s">
        <v>81</v>
      </c>
      <c r="D624" s="1" t="s">
        <v>104</v>
      </c>
      <c r="F624" s="1" t="s">
        <v>146</v>
      </c>
      <c r="G624" s="1" t="s">
        <v>139</v>
      </c>
    </row>
    <row r="625">
      <c r="A625" s="40">
        <v>44904.748177326386</v>
      </c>
      <c r="D625" s="1" t="s">
        <v>124</v>
      </c>
    </row>
    <row r="626">
      <c r="A626" s="40">
        <v>44905.43869729167</v>
      </c>
      <c r="B626" s="1" t="s">
        <v>86</v>
      </c>
      <c r="C626" s="1" t="s">
        <v>91</v>
      </c>
      <c r="D626" s="1" t="s">
        <v>106</v>
      </c>
    </row>
    <row r="627">
      <c r="A627" s="40">
        <v>44905.48492332176</v>
      </c>
      <c r="F627" s="1" t="s">
        <v>145</v>
      </c>
      <c r="G627" s="1" t="s">
        <v>140</v>
      </c>
    </row>
    <row r="628">
      <c r="A628" s="40">
        <v>44906.957771747686</v>
      </c>
      <c r="C628" s="1" t="s">
        <v>93</v>
      </c>
      <c r="D628" s="1" t="s">
        <v>122</v>
      </c>
    </row>
    <row r="629">
      <c r="A629" s="40">
        <v>44906.95797396991</v>
      </c>
      <c r="B629" s="1" t="s">
        <v>86</v>
      </c>
      <c r="C629" s="1" t="s">
        <v>91</v>
      </c>
      <c r="D629" s="1" t="s">
        <v>106</v>
      </c>
      <c r="F629" s="1" t="s">
        <v>145</v>
      </c>
      <c r="G629" s="1" t="s">
        <v>140</v>
      </c>
    </row>
    <row r="630">
      <c r="A630" s="40">
        <v>44907.50878189815</v>
      </c>
      <c r="B630" s="1" t="s">
        <v>76</v>
      </c>
      <c r="D630" s="1" t="s">
        <v>125</v>
      </c>
      <c r="E630" s="1" t="s">
        <v>134</v>
      </c>
      <c r="F630" s="1" t="s">
        <v>146</v>
      </c>
      <c r="G630" s="1" t="s">
        <v>139</v>
      </c>
    </row>
    <row r="631">
      <c r="A631" s="40">
        <v>44908.4825602662</v>
      </c>
      <c r="B631" s="1" t="s">
        <v>76</v>
      </c>
      <c r="C631" s="1" t="s">
        <v>2</v>
      </c>
      <c r="D631" s="1" t="s">
        <v>125</v>
      </c>
      <c r="F631" s="1" t="s">
        <v>145</v>
      </c>
      <c r="G631" s="1" t="s">
        <v>139</v>
      </c>
    </row>
    <row r="632">
      <c r="A632" s="40">
        <v>44911.35207706019</v>
      </c>
      <c r="B632" s="44" t="s">
        <v>87</v>
      </c>
      <c r="C632" s="1" t="s">
        <v>91</v>
      </c>
      <c r="D632" s="1" t="s">
        <v>109</v>
      </c>
      <c r="F632" s="1" t="s">
        <v>145</v>
      </c>
      <c r="G632" s="1" t="s">
        <v>140</v>
      </c>
    </row>
    <row r="633">
      <c r="A633" s="40">
        <v>44911.35228416667</v>
      </c>
      <c r="B633" s="44" t="s">
        <v>87</v>
      </c>
      <c r="C633" s="1" t="s">
        <v>93</v>
      </c>
      <c r="D633" s="1" t="s">
        <v>109</v>
      </c>
      <c r="F633" s="1" t="s">
        <v>145</v>
      </c>
      <c r="G633" s="1" t="s">
        <v>140</v>
      </c>
    </row>
    <row r="634">
      <c r="A634" s="40">
        <v>44912.55933822917</v>
      </c>
      <c r="B634" s="44" t="s">
        <v>87</v>
      </c>
      <c r="C634" s="1" t="s">
        <v>93</v>
      </c>
      <c r="D634" s="1" t="s">
        <v>109</v>
      </c>
    </row>
    <row r="635">
      <c r="A635" s="40">
        <v>44912.560057615745</v>
      </c>
      <c r="B635" s="1" t="s">
        <v>76</v>
      </c>
      <c r="D635" s="1" t="s">
        <v>125</v>
      </c>
      <c r="E635" s="1" t="s">
        <v>134</v>
      </c>
    </row>
    <row r="636">
      <c r="A636" s="40">
        <v>44913.441253125</v>
      </c>
      <c r="B636" s="1" t="s">
        <v>86</v>
      </c>
      <c r="C636" s="1" t="s">
        <v>91</v>
      </c>
      <c r="D636" s="1" t="s">
        <v>106</v>
      </c>
    </row>
    <row r="637">
      <c r="A637" s="40">
        <v>44914.47801693287</v>
      </c>
      <c r="B637" s="1" t="s">
        <v>0</v>
      </c>
      <c r="C637" s="1" t="s">
        <v>91</v>
      </c>
      <c r="D637" s="1" t="s">
        <v>112</v>
      </c>
      <c r="F637" s="1" t="s">
        <v>145</v>
      </c>
      <c r="G637" s="1" t="s">
        <v>140</v>
      </c>
    </row>
    <row r="638">
      <c r="A638" s="40">
        <v>44916.32148584491</v>
      </c>
      <c r="B638" s="1" t="s">
        <v>0</v>
      </c>
      <c r="C638" s="1" t="s">
        <v>2</v>
      </c>
      <c r="D638" s="1" t="s">
        <v>110</v>
      </c>
      <c r="F638" s="1" t="s">
        <v>145</v>
      </c>
      <c r="G638" s="1" t="s">
        <v>140</v>
      </c>
    </row>
    <row r="639">
      <c r="A639" s="40">
        <v>44916.35405363426</v>
      </c>
      <c r="B639" s="1" t="s">
        <v>0</v>
      </c>
      <c r="C639" s="1" t="s">
        <v>2</v>
      </c>
      <c r="D639" s="1" t="s">
        <v>110</v>
      </c>
      <c r="F639" s="1" t="s">
        <v>145</v>
      </c>
      <c r="G639" s="1" t="s">
        <v>140</v>
      </c>
    </row>
    <row r="640">
      <c r="A640" s="40">
        <v>44917.823025798614</v>
      </c>
      <c r="B640" s="1" t="s">
        <v>81</v>
      </c>
      <c r="D640" s="1" t="s">
        <v>104</v>
      </c>
      <c r="F640" s="1" t="s">
        <v>145</v>
      </c>
      <c r="G640" s="1" t="s">
        <v>140</v>
      </c>
    </row>
    <row r="641">
      <c r="A641" s="40">
        <v>44917.82310751158</v>
      </c>
      <c r="D641" s="1" t="s">
        <v>124</v>
      </c>
    </row>
    <row r="642">
      <c r="A642" s="40">
        <v>44918.596747777774</v>
      </c>
      <c r="B642" s="1" t="s">
        <v>76</v>
      </c>
      <c r="E642" s="1" t="s">
        <v>128</v>
      </c>
    </row>
    <row r="643">
      <c r="A643" s="40">
        <v>44919.44711677083</v>
      </c>
      <c r="B643" s="1" t="s">
        <v>81</v>
      </c>
      <c r="D643" s="1" t="s">
        <v>104</v>
      </c>
      <c r="F643" s="1" t="s">
        <v>145</v>
      </c>
      <c r="G643" s="1" t="s">
        <v>139</v>
      </c>
    </row>
    <row r="644">
      <c r="A644" s="40">
        <v>44919.44730508102</v>
      </c>
      <c r="D644" s="1" t="s">
        <v>124</v>
      </c>
      <c r="F644" s="1" t="s">
        <v>146</v>
      </c>
    </row>
    <row r="645">
      <c r="A645" s="40">
        <v>44919.447428796295</v>
      </c>
      <c r="B645" s="1" t="s">
        <v>86</v>
      </c>
      <c r="C645" s="1" t="s">
        <v>91</v>
      </c>
      <c r="D645" s="1" t="s">
        <v>106</v>
      </c>
    </row>
    <row r="646">
      <c r="A646" s="40">
        <v>44920.47341481481</v>
      </c>
      <c r="B646" s="1" t="s">
        <v>86</v>
      </c>
      <c r="C646" s="1" t="s">
        <v>91</v>
      </c>
      <c r="D646" s="1" t="s">
        <v>106</v>
      </c>
    </row>
    <row r="647">
      <c r="A647" s="40">
        <v>44920.930649409725</v>
      </c>
      <c r="F647" s="1" t="s">
        <v>145</v>
      </c>
      <c r="G647" s="1" t="s">
        <v>140</v>
      </c>
    </row>
    <row r="648">
      <c r="A648" s="40">
        <v>44920.93087423611</v>
      </c>
      <c r="D648" s="1" t="s">
        <v>122</v>
      </c>
      <c r="F648" s="1" t="s">
        <v>145</v>
      </c>
      <c r="G648" s="1" t="s">
        <v>140</v>
      </c>
    </row>
    <row r="649">
      <c r="A649" s="40">
        <v>44921.686606435185</v>
      </c>
      <c r="B649" s="1" t="s">
        <v>81</v>
      </c>
      <c r="C649" s="1" t="s">
        <v>91</v>
      </c>
      <c r="D649" s="1" t="s">
        <v>112</v>
      </c>
      <c r="F649" s="1" t="s">
        <v>145</v>
      </c>
      <c r="G649" s="1" t="s">
        <v>140</v>
      </c>
    </row>
    <row r="650">
      <c r="A650" s="40">
        <v>44922.67512975694</v>
      </c>
      <c r="B650" s="1" t="s">
        <v>81</v>
      </c>
      <c r="C650" s="1" t="s">
        <v>91</v>
      </c>
      <c r="D650" s="1" t="s">
        <v>112</v>
      </c>
      <c r="F650" s="1" t="s">
        <v>145</v>
      </c>
      <c r="G650" s="1" t="s">
        <v>140</v>
      </c>
    </row>
    <row r="651">
      <c r="A651" s="40">
        <v>44923.466737442126</v>
      </c>
      <c r="B651" s="1" t="s">
        <v>81</v>
      </c>
      <c r="C651" s="1" t="s">
        <v>2</v>
      </c>
      <c r="D651" s="1" t="s">
        <v>112</v>
      </c>
      <c r="F651" s="1" t="s">
        <v>145</v>
      </c>
      <c r="G651" s="1" t="s">
        <v>140</v>
      </c>
    </row>
    <row r="652">
      <c r="A652" s="40">
        <v>44924.46218540509</v>
      </c>
      <c r="B652" s="1" t="s">
        <v>81</v>
      </c>
      <c r="C652" s="1" t="s">
        <v>91</v>
      </c>
      <c r="D652" s="1" t="s">
        <v>112</v>
      </c>
      <c r="F652" s="1" t="s">
        <v>145</v>
      </c>
      <c r="G652" s="1" t="s">
        <v>140</v>
      </c>
    </row>
    <row r="653">
      <c r="A653" s="40">
        <v>44927.52198517361</v>
      </c>
      <c r="B653" s="1" t="s">
        <v>86</v>
      </c>
      <c r="C653" s="1" t="s">
        <v>91</v>
      </c>
      <c r="D653" s="1" t="s">
        <v>106</v>
      </c>
    </row>
    <row r="654">
      <c r="A654" s="40">
        <v>44927.5709783912</v>
      </c>
      <c r="F654" s="1" t="s">
        <v>145</v>
      </c>
    </row>
    <row r="655">
      <c r="A655" s="40">
        <v>44928.56743180555</v>
      </c>
      <c r="B655" s="1" t="s">
        <v>81</v>
      </c>
      <c r="C655" s="1" t="s">
        <v>97</v>
      </c>
      <c r="D655" s="1" t="s">
        <v>113</v>
      </c>
      <c r="F655" s="1" t="s">
        <v>145</v>
      </c>
      <c r="G655" s="1" t="s">
        <v>140</v>
      </c>
    </row>
    <row r="656">
      <c r="A656" s="40">
        <v>44928.5676241551</v>
      </c>
      <c r="B656" s="1" t="s">
        <v>81</v>
      </c>
      <c r="C656" s="1" t="s">
        <v>99</v>
      </c>
      <c r="D656" s="1" t="s">
        <v>113</v>
      </c>
      <c r="F656" s="1" t="s">
        <v>145</v>
      </c>
      <c r="G656" s="1" t="s">
        <v>140</v>
      </c>
    </row>
    <row r="657">
      <c r="A657" s="40">
        <v>44928.56784118056</v>
      </c>
      <c r="B657" s="1" t="s">
        <v>81</v>
      </c>
      <c r="C657" s="1" t="s">
        <v>99</v>
      </c>
      <c r="D657" s="1" t="s">
        <v>113</v>
      </c>
      <c r="F657" s="1" t="s">
        <v>145</v>
      </c>
      <c r="G657" s="1" t="s">
        <v>140</v>
      </c>
    </row>
    <row r="658">
      <c r="A658" s="40">
        <v>44928.56795607639</v>
      </c>
      <c r="B658" s="1" t="s">
        <v>86</v>
      </c>
      <c r="C658" s="1" t="s">
        <v>91</v>
      </c>
      <c r="D658" s="1" t="s">
        <v>106</v>
      </c>
    </row>
    <row r="659">
      <c r="A659" s="40">
        <v>44928.72863873842</v>
      </c>
      <c r="F659" s="1" t="s">
        <v>145</v>
      </c>
      <c r="G659" s="1" t="s">
        <v>140</v>
      </c>
    </row>
    <row r="660">
      <c r="A660" s="40">
        <v>44929.71724547454</v>
      </c>
      <c r="B660" s="1" t="s">
        <v>86</v>
      </c>
      <c r="C660" s="1" t="s">
        <v>91</v>
      </c>
      <c r="D660" s="1" t="s">
        <v>106</v>
      </c>
    </row>
    <row r="661">
      <c r="A661" s="40">
        <v>44930.54396414352</v>
      </c>
      <c r="B661" s="1" t="s">
        <v>86</v>
      </c>
      <c r="C661" s="1" t="s">
        <v>91</v>
      </c>
      <c r="D661" s="1" t="s">
        <v>106</v>
      </c>
    </row>
    <row r="662">
      <c r="A662" s="40">
        <v>44931.45379196759</v>
      </c>
      <c r="F662" s="1" t="s">
        <v>145</v>
      </c>
      <c r="G662" s="1" t="s">
        <v>140</v>
      </c>
    </row>
    <row r="663">
      <c r="A663" s="40">
        <v>44932.980642870374</v>
      </c>
      <c r="B663" s="1" t="s">
        <v>76</v>
      </c>
      <c r="D663" s="1" t="s">
        <v>102</v>
      </c>
      <c r="E663" s="1" t="s">
        <v>127</v>
      </c>
      <c r="F663" s="1" t="s">
        <v>146</v>
      </c>
      <c r="G663" s="1" t="s">
        <v>139</v>
      </c>
    </row>
    <row r="664">
      <c r="A664" s="40">
        <v>44932.98092028935</v>
      </c>
      <c r="B664" s="1" t="s">
        <v>76</v>
      </c>
      <c r="D664" s="1" t="s">
        <v>102</v>
      </c>
      <c r="E664" s="1" t="s">
        <v>127</v>
      </c>
      <c r="F664" s="1" t="s">
        <v>145</v>
      </c>
      <c r="G664" s="1" t="s">
        <v>139</v>
      </c>
    </row>
    <row r="665">
      <c r="A665" s="40">
        <v>44933.820290069445</v>
      </c>
      <c r="B665" s="1" t="s">
        <v>76</v>
      </c>
      <c r="D665" s="1" t="s">
        <v>102</v>
      </c>
      <c r="E665" s="1" t="s">
        <v>127</v>
      </c>
      <c r="F665" s="1" t="s">
        <v>145</v>
      </c>
      <c r="G665" s="1" t="s">
        <v>139</v>
      </c>
    </row>
    <row r="666">
      <c r="A666" s="40">
        <v>44934.39104648148</v>
      </c>
      <c r="B666" s="44" t="s">
        <v>87</v>
      </c>
      <c r="C666" s="1" t="s">
        <v>93</v>
      </c>
      <c r="D666" s="1" t="s">
        <v>109</v>
      </c>
    </row>
    <row r="667">
      <c r="A667" s="40">
        <v>44935.58325494213</v>
      </c>
      <c r="B667" s="1" t="s">
        <v>76</v>
      </c>
      <c r="C667" s="1" t="s">
        <v>97</v>
      </c>
      <c r="D667" s="1" t="s">
        <v>102</v>
      </c>
      <c r="F667" s="1" t="s">
        <v>145</v>
      </c>
      <c r="G667" s="1" t="s">
        <v>140</v>
      </c>
    </row>
    <row r="668">
      <c r="A668" s="40">
        <v>44936.41600974537</v>
      </c>
      <c r="B668" s="1" t="s">
        <v>76</v>
      </c>
      <c r="C668" s="1" t="s">
        <v>99</v>
      </c>
      <c r="D668" s="1" t="s">
        <v>102</v>
      </c>
      <c r="F668" s="1" t="s">
        <v>146</v>
      </c>
      <c r="G668" s="1" t="s">
        <v>139</v>
      </c>
    </row>
    <row r="669">
      <c r="A669" s="40">
        <v>44939.497723900466</v>
      </c>
      <c r="B669" s="1" t="s">
        <v>81</v>
      </c>
      <c r="C669" s="1" t="s">
        <v>91</v>
      </c>
      <c r="D669" s="1" t="s">
        <v>106</v>
      </c>
      <c r="F669" s="1" t="s">
        <v>145</v>
      </c>
      <c r="G669" s="1" t="s">
        <v>140</v>
      </c>
    </row>
    <row r="670">
      <c r="A670" s="40">
        <v>44939.638076724535</v>
      </c>
      <c r="B670" s="1" t="s">
        <v>76</v>
      </c>
      <c r="C670" s="1" t="s">
        <v>2</v>
      </c>
      <c r="D670" s="1" t="s">
        <v>118</v>
      </c>
      <c r="F670" s="1" t="s">
        <v>146</v>
      </c>
      <c r="G670" s="1" t="s">
        <v>139</v>
      </c>
    </row>
    <row r="671">
      <c r="A671" s="40">
        <v>44939.63830476852</v>
      </c>
      <c r="B671" s="1" t="s">
        <v>76</v>
      </c>
      <c r="C671" s="1" t="s">
        <v>2</v>
      </c>
      <c r="D671" s="1" t="s">
        <v>118</v>
      </c>
      <c r="F671" s="1" t="s">
        <v>146</v>
      </c>
      <c r="G671" s="1" t="s">
        <v>140</v>
      </c>
    </row>
    <row r="672">
      <c r="A672" s="40">
        <v>44941.444696770835</v>
      </c>
      <c r="B672" s="1" t="s">
        <v>200</v>
      </c>
      <c r="C672" s="1" t="s">
        <v>2</v>
      </c>
      <c r="D672" s="1" t="s">
        <v>118</v>
      </c>
      <c r="F672" s="1" t="s">
        <v>152</v>
      </c>
      <c r="G672" s="1" t="s">
        <v>140</v>
      </c>
    </row>
    <row r="673">
      <c r="A673" s="40">
        <v>44941.444936238426</v>
      </c>
      <c r="B673" s="1" t="s">
        <v>200</v>
      </c>
      <c r="C673" s="1" t="s">
        <v>2</v>
      </c>
      <c r="D673" s="1" t="s">
        <v>118</v>
      </c>
      <c r="F673" s="1" t="s">
        <v>152</v>
      </c>
      <c r="G673" s="1" t="s">
        <v>140</v>
      </c>
    </row>
    <row r="674">
      <c r="A674" s="40">
        <v>44942.44902259259</v>
      </c>
      <c r="B674" s="1" t="s">
        <v>81</v>
      </c>
      <c r="C674" s="1" t="s">
        <v>91</v>
      </c>
      <c r="D674" s="1" t="s">
        <v>106</v>
      </c>
      <c r="F674" s="1" t="s">
        <v>145</v>
      </c>
      <c r="G674" s="1" t="s">
        <v>140</v>
      </c>
    </row>
    <row r="675">
      <c r="A675" s="40">
        <v>44943.38361394676</v>
      </c>
      <c r="B675" s="1" t="s">
        <v>0</v>
      </c>
      <c r="C675" s="1" t="s">
        <v>91</v>
      </c>
      <c r="D675" s="1" t="s">
        <v>113</v>
      </c>
      <c r="F675" s="1" t="s">
        <v>145</v>
      </c>
      <c r="G675" s="1" t="s">
        <v>140</v>
      </c>
    </row>
    <row r="676">
      <c r="A676" s="40">
        <v>44944.43185184027</v>
      </c>
      <c r="B676" s="1" t="s">
        <v>0</v>
      </c>
      <c r="C676" s="1" t="s">
        <v>91</v>
      </c>
      <c r="D676" s="1" t="s">
        <v>113</v>
      </c>
    </row>
    <row r="677">
      <c r="A677" s="40">
        <v>44945.455983865744</v>
      </c>
      <c r="B677" s="1" t="s">
        <v>0</v>
      </c>
      <c r="C677" s="1" t="s">
        <v>91</v>
      </c>
      <c r="D677" s="1" t="s">
        <v>113</v>
      </c>
      <c r="F677" s="1" t="s">
        <v>145</v>
      </c>
      <c r="G677" s="1" t="s">
        <v>139</v>
      </c>
    </row>
    <row r="678">
      <c r="A678" s="40">
        <v>44946.49185524306</v>
      </c>
      <c r="B678" s="1" t="s">
        <v>0</v>
      </c>
      <c r="C678" s="1" t="s">
        <v>99</v>
      </c>
      <c r="D678" s="1" t="s">
        <v>102</v>
      </c>
      <c r="F678" s="1" t="s">
        <v>145</v>
      </c>
      <c r="G678" s="1" t="s">
        <v>140</v>
      </c>
    </row>
    <row r="679">
      <c r="A679" s="40">
        <v>44947.434043194444</v>
      </c>
      <c r="B679" s="1" t="s">
        <v>0</v>
      </c>
      <c r="C679" s="1" t="s">
        <v>99</v>
      </c>
      <c r="D679" s="1" t="s">
        <v>102</v>
      </c>
    </row>
    <row r="680">
      <c r="A680" s="40">
        <v>44947.85750021991</v>
      </c>
      <c r="C680" s="1" t="s">
        <v>93</v>
      </c>
      <c r="D680" s="1" t="s">
        <v>122</v>
      </c>
      <c r="F680" s="1" t="s">
        <v>153</v>
      </c>
    </row>
    <row r="681">
      <c r="A681" s="40">
        <v>44947.8597327662</v>
      </c>
      <c r="F681" s="1" t="s">
        <v>145</v>
      </c>
      <c r="G681" s="1" t="s">
        <v>140</v>
      </c>
    </row>
    <row r="682">
      <c r="A682" s="40">
        <v>44948.57178841435</v>
      </c>
      <c r="B682" s="1" t="s">
        <v>76</v>
      </c>
      <c r="C682" s="1" t="s">
        <v>91</v>
      </c>
      <c r="D682" s="1" t="s">
        <v>118</v>
      </c>
      <c r="F682" s="1" t="s">
        <v>145</v>
      </c>
      <c r="G682" s="1" t="s">
        <v>139</v>
      </c>
    </row>
    <row r="683">
      <c r="A683" s="40">
        <v>44949.604572129625</v>
      </c>
      <c r="B683" s="1" t="s">
        <v>76</v>
      </c>
      <c r="C683" s="1" t="s">
        <v>91</v>
      </c>
      <c r="D683" s="1" t="s">
        <v>118</v>
      </c>
      <c r="G683" s="1" t="s">
        <v>139</v>
      </c>
    </row>
    <row r="684">
      <c r="A684" s="40">
        <v>44950.461098796295</v>
      </c>
      <c r="B684" s="1" t="s">
        <v>76</v>
      </c>
      <c r="C684" s="1" t="s">
        <v>2</v>
      </c>
      <c r="D684" s="1" t="s">
        <v>125</v>
      </c>
      <c r="F684" s="1" t="s">
        <v>145</v>
      </c>
      <c r="G684" s="1" t="s">
        <v>139</v>
      </c>
    </row>
    <row r="685">
      <c r="A685" s="40">
        <v>44950.612254120366</v>
      </c>
      <c r="F685" s="1" t="s">
        <v>146</v>
      </c>
    </row>
    <row r="686">
      <c r="A686" s="40">
        <v>44951.53771348379</v>
      </c>
      <c r="B686" s="1" t="s">
        <v>76</v>
      </c>
      <c r="C686" s="1" t="s">
        <v>91</v>
      </c>
      <c r="D686" s="1" t="s">
        <v>118</v>
      </c>
      <c r="F686" s="1" t="s">
        <v>146</v>
      </c>
      <c r="G686" s="1" t="s">
        <v>139</v>
      </c>
    </row>
    <row r="687">
      <c r="A687" s="40">
        <v>44952.456616157404</v>
      </c>
      <c r="B687" s="1" t="s">
        <v>81</v>
      </c>
      <c r="C687" s="1" t="s">
        <v>2</v>
      </c>
      <c r="D687" s="1" t="s">
        <v>112</v>
      </c>
      <c r="F687" s="1" t="s">
        <v>145</v>
      </c>
      <c r="G687" s="1" t="s">
        <v>140</v>
      </c>
    </row>
    <row r="688">
      <c r="A688" s="40">
        <v>44953.619717685186</v>
      </c>
      <c r="B688" s="1" t="s">
        <v>81</v>
      </c>
      <c r="C688" s="1" t="s">
        <v>91</v>
      </c>
      <c r="D688" s="1" t="s">
        <v>112</v>
      </c>
      <c r="F688" s="1" t="s">
        <v>145</v>
      </c>
      <c r="G688" s="1" t="s">
        <v>140</v>
      </c>
    </row>
    <row r="689">
      <c r="A689" s="40">
        <v>44953.753240370366</v>
      </c>
      <c r="C689" s="1" t="s">
        <v>2</v>
      </c>
      <c r="D689" s="1" t="s">
        <v>122</v>
      </c>
      <c r="F689" s="1" t="s">
        <v>153</v>
      </c>
    </row>
    <row r="690">
      <c r="A690" s="40">
        <v>44954.44741011574</v>
      </c>
      <c r="B690" s="44" t="s">
        <v>87</v>
      </c>
      <c r="C690" s="1" t="s">
        <v>91</v>
      </c>
      <c r="D690" s="1" t="s">
        <v>109</v>
      </c>
    </row>
    <row r="691">
      <c r="A691" s="40">
        <v>44954.45798587963</v>
      </c>
      <c r="F691" s="1" t="s">
        <v>153</v>
      </c>
    </row>
    <row r="692">
      <c r="A692" s="40">
        <v>44955.42056820602</v>
      </c>
      <c r="B692" s="44" t="s">
        <v>87</v>
      </c>
      <c r="C692" s="1" t="s">
        <v>91</v>
      </c>
      <c r="D692" s="1" t="s">
        <v>109</v>
      </c>
    </row>
    <row r="693">
      <c r="A693" s="40">
        <v>44956.449825937496</v>
      </c>
      <c r="B693" s="1" t="s">
        <v>81</v>
      </c>
      <c r="D693" s="1" t="s">
        <v>105</v>
      </c>
      <c r="E693" s="1" t="s">
        <v>134</v>
      </c>
      <c r="F693" s="1" t="s">
        <v>146</v>
      </c>
      <c r="G693" s="1" t="s">
        <v>139</v>
      </c>
    </row>
    <row r="694">
      <c r="A694" s="40">
        <v>44957.488879930555</v>
      </c>
      <c r="B694" s="1" t="s">
        <v>81</v>
      </c>
      <c r="D694" s="1" t="s">
        <v>105</v>
      </c>
      <c r="E694" s="1" t="s">
        <v>134</v>
      </c>
      <c r="F694" s="1" t="s">
        <v>145</v>
      </c>
      <c r="G694" s="1" t="s">
        <v>140</v>
      </c>
    </row>
    <row r="695">
      <c r="A695" s="40">
        <v>44958.4864140625</v>
      </c>
      <c r="B695" s="1" t="s">
        <v>81</v>
      </c>
      <c r="C695" s="1" t="s">
        <v>91</v>
      </c>
      <c r="D695" s="1" t="s">
        <v>112</v>
      </c>
      <c r="F695" s="1" t="s">
        <v>145</v>
      </c>
      <c r="G695" s="1" t="s">
        <v>140</v>
      </c>
    </row>
    <row r="696">
      <c r="A696" s="40">
        <v>44959.43165996528</v>
      </c>
      <c r="B696" s="1" t="s">
        <v>76</v>
      </c>
      <c r="C696" s="1" t="s">
        <v>2</v>
      </c>
      <c r="D696" s="1" t="s">
        <v>118</v>
      </c>
      <c r="F696" s="1" t="s">
        <v>145</v>
      </c>
      <c r="G696" s="1" t="s">
        <v>140</v>
      </c>
    </row>
    <row r="697">
      <c r="A697" s="40">
        <v>44960.4689262037</v>
      </c>
      <c r="B697" s="1" t="s">
        <v>76</v>
      </c>
      <c r="C697" s="1" t="s">
        <v>91</v>
      </c>
      <c r="D697" s="1" t="s">
        <v>118</v>
      </c>
      <c r="F697" s="1" t="s">
        <v>146</v>
      </c>
      <c r="G697" s="1" t="s">
        <v>139</v>
      </c>
    </row>
    <row r="698">
      <c r="A698" s="40">
        <v>44961.43889153935</v>
      </c>
      <c r="B698" s="44" t="s">
        <v>87</v>
      </c>
      <c r="C698" s="1" t="s">
        <v>91</v>
      </c>
      <c r="D698" s="1" t="s">
        <v>109</v>
      </c>
    </row>
    <row r="699">
      <c r="A699" s="40">
        <v>44961.59931826389</v>
      </c>
      <c r="C699" s="1" t="s">
        <v>2</v>
      </c>
      <c r="D699" s="1" t="s">
        <v>122</v>
      </c>
      <c r="F699" s="1" t="s">
        <v>153</v>
      </c>
    </row>
    <row r="700">
      <c r="A700" s="40">
        <v>44962.44032417824</v>
      </c>
      <c r="B700" s="44" t="s">
        <v>87</v>
      </c>
      <c r="C700" s="1" t="s">
        <v>91</v>
      </c>
      <c r="D700" s="1" t="s">
        <v>109</v>
      </c>
    </row>
    <row r="701">
      <c r="A701" s="40">
        <v>44963.56734767361</v>
      </c>
      <c r="B701" s="1" t="s">
        <v>0</v>
      </c>
      <c r="C701" s="1" t="s">
        <v>91</v>
      </c>
      <c r="D701" s="1" t="s">
        <v>113</v>
      </c>
      <c r="F701" s="1" t="s">
        <v>145</v>
      </c>
      <c r="G701" s="1" t="s">
        <v>139</v>
      </c>
    </row>
    <row r="702">
      <c r="A702" s="40">
        <v>44964.50051621528</v>
      </c>
      <c r="B702" s="1" t="s">
        <v>0</v>
      </c>
      <c r="C702" s="1" t="s">
        <v>91</v>
      </c>
      <c r="D702" s="1" t="s">
        <v>113</v>
      </c>
      <c r="F702" s="1" t="s">
        <v>145</v>
      </c>
      <c r="G702" s="1" t="s">
        <v>139</v>
      </c>
    </row>
    <row r="703">
      <c r="A703" s="40">
        <v>44965.474940520835</v>
      </c>
      <c r="B703" s="1" t="s">
        <v>86</v>
      </c>
      <c r="C703" s="1" t="s">
        <v>91</v>
      </c>
      <c r="D703" s="1" t="s">
        <v>112</v>
      </c>
    </row>
    <row r="704">
      <c r="A704" s="40">
        <v>44966.85997962963</v>
      </c>
      <c r="B704" s="1" t="s">
        <v>86</v>
      </c>
      <c r="C704" s="1" t="s">
        <v>91</v>
      </c>
      <c r="D704" s="1" t="s">
        <v>112</v>
      </c>
    </row>
    <row r="705">
      <c r="A705" s="40">
        <v>44967.556758136576</v>
      </c>
      <c r="B705" s="1" t="s">
        <v>86</v>
      </c>
      <c r="C705" s="1" t="s">
        <v>91</v>
      </c>
      <c r="D705" s="1" t="s">
        <v>112</v>
      </c>
    </row>
    <row r="706">
      <c r="A706" s="40">
        <v>44968.45444035879</v>
      </c>
      <c r="B706" s="1" t="s">
        <v>0</v>
      </c>
      <c r="C706" s="1" t="s">
        <v>91</v>
      </c>
      <c r="D706" s="1" t="s">
        <v>113</v>
      </c>
    </row>
    <row r="707">
      <c r="A707" s="40">
        <v>44968.955085671296</v>
      </c>
      <c r="F707" s="1" t="s">
        <v>145</v>
      </c>
      <c r="G707" s="1" t="s">
        <v>140</v>
      </c>
    </row>
    <row r="708">
      <c r="A708" s="40">
        <v>44969.478449745366</v>
      </c>
      <c r="B708" s="1" t="s">
        <v>0</v>
      </c>
      <c r="D708" s="1" t="s">
        <v>113</v>
      </c>
    </row>
    <row r="709">
      <c r="A709" s="40">
        <v>44969.65168142361</v>
      </c>
      <c r="F709" s="1" t="s">
        <v>145</v>
      </c>
      <c r="G709" s="1" t="s">
        <v>139</v>
      </c>
    </row>
    <row r="710">
      <c r="A710" s="40">
        <v>44970.57046747685</v>
      </c>
      <c r="B710" s="1" t="s">
        <v>0</v>
      </c>
      <c r="C710" s="1" t="s">
        <v>91</v>
      </c>
      <c r="D710" s="1" t="s">
        <v>103</v>
      </c>
      <c r="F710" s="1" t="s">
        <v>148</v>
      </c>
      <c r="G710" s="1" t="s">
        <v>139</v>
      </c>
    </row>
    <row r="711">
      <c r="A711" s="40">
        <v>44970.57105789352</v>
      </c>
      <c r="C711" s="1" t="s">
        <v>97</v>
      </c>
    </row>
    <row r="712">
      <c r="A712" s="40">
        <v>44971.48271646991</v>
      </c>
      <c r="B712" s="1" t="s">
        <v>0</v>
      </c>
      <c r="C712" s="1" t="s">
        <v>91</v>
      </c>
      <c r="D712" s="1" t="s">
        <v>103</v>
      </c>
      <c r="F712" s="1" t="s">
        <v>148</v>
      </c>
      <c r="G712" s="1" t="s">
        <v>139</v>
      </c>
    </row>
    <row r="713">
      <c r="A713" s="40">
        <v>44972.43417197917</v>
      </c>
      <c r="B713" s="1" t="s">
        <v>78</v>
      </c>
      <c r="C713" s="1" t="s">
        <v>91</v>
      </c>
      <c r="D713" s="1" t="s">
        <v>103</v>
      </c>
      <c r="F713" s="1" t="s">
        <v>148</v>
      </c>
      <c r="G713" s="1" t="s">
        <v>139</v>
      </c>
    </row>
    <row r="714">
      <c r="A714" s="40">
        <v>44973.42386185185</v>
      </c>
      <c r="B714" s="1" t="s">
        <v>78</v>
      </c>
      <c r="C714" s="1" t="s">
        <v>91</v>
      </c>
      <c r="D714" s="1" t="s">
        <v>103</v>
      </c>
      <c r="F714" s="1" t="s">
        <v>148</v>
      </c>
      <c r="G714" s="1" t="s">
        <v>139</v>
      </c>
    </row>
    <row r="715">
      <c r="A715" s="40">
        <v>44974.41907737269</v>
      </c>
      <c r="B715" s="1" t="s">
        <v>81</v>
      </c>
      <c r="C715" s="1" t="s">
        <v>91</v>
      </c>
      <c r="D715" s="1" t="s">
        <v>112</v>
      </c>
      <c r="F715" s="1" t="s">
        <v>145</v>
      </c>
      <c r="G715" s="1" t="s">
        <v>140</v>
      </c>
    </row>
    <row r="716">
      <c r="A716" s="40">
        <v>44975.44568546297</v>
      </c>
      <c r="B716" s="1" t="s">
        <v>81</v>
      </c>
      <c r="C716" s="1" t="s">
        <v>91</v>
      </c>
      <c r="D716" s="1" t="s">
        <v>112</v>
      </c>
    </row>
    <row r="717">
      <c r="A717" s="40">
        <v>44975.44584143518</v>
      </c>
      <c r="B717" s="1" t="s">
        <v>78</v>
      </c>
      <c r="D717" s="1" t="s">
        <v>103</v>
      </c>
      <c r="F717" s="1" t="s">
        <v>148</v>
      </c>
      <c r="G717" s="1" t="s">
        <v>139</v>
      </c>
    </row>
    <row r="718">
      <c r="A718" s="40">
        <v>44976.44116837963</v>
      </c>
      <c r="B718" s="1" t="s">
        <v>78</v>
      </c>
      <c r="C718" s="1" t="s">
        <v>91</v>
      </c>
      <c r="D718" s="1" t="s">
        <v>110</v>
      </c>
    </row>
    <row r="719">
      <c r="A719" s="40">
        <v>44977.54855440972</v>
      </c>
      <c r="B719" s="1" t="s">
        <v>0</v>
      </c>
      <c r="C719" s="1" t="s">
        <v>91</v>
      </c>
      <c r="D719" s="1" t="s">
        <v>110</v>
      </c>
      <c r="F719" s="1" t="s">
        <v>148</v>
      </c>
      <c r="G719" s="1" t="s">
        <v>140</v>
      </c>
    </row>
    <row r="720">
      <c r="A720" s="40">
        <v>44978.46438804398</v>
      </c>
      <c r="B720" s="1" t="s">
        <v>0</v>
      </c>
      <c r="C720" s="1" t="s">
        <v>91</v>
      </c>
      <c r="D720" s="1" t="s">
        <v>112</v>
      </c>
      <c r="F720" s="1" t="s">
        <v>145</v>
      </c>
      <c r="G720" s="1" t="s">
        <v>140</v>
      </c>
    </row>
    <row r="721">
      <c r="A721" s="40">
        <v>44979.41918831019</v>
      </c>
      <c r="B721" s="1" t="s">
        <v>0</v>
      </c>
      <c r="C721" s="1" t="s">
        <v>91</v>
      </c>
      <c r="D721" s="1" t="s">
        <v>112</v>
      </c>
      <c r="F721" s="1" t="s">
        <v>145</v>
      </c>
      <c r="G721" s="1" t="s">
        <v>140</v>
      </c>
    </row>
    <row r="722">
      <c r="A722" s="40">
        <v>44980.42918391204</v>
      </c>
      <c r="B722" s="1" t="s">
        <v>78</v>
      </c>
      <c r="C722" s="1" t="s">
        <v>91</v>
      </c>
      <c r="D722" s="1" t="s">
        <v>110</v>
      </c>
      <c r="F722" s="1" t="s">
        <v>148</v>
      </c>
      <c r="G722" s="1" t="s">
        <v>140</v>
      </c>
    </row>
    <row r="723">
      <c r="A723" s="40">
        <v>44981.73019891204</v>
      </c>
      <c r="B723" s="1" t="s">
        <v>81</v>
      </c>
      <c r="C723" s="1" t="s">
        <v>91</v>
      </c>
      <c r="D723" s="1" t="s">
        <v>112</v>
      </c>
      <c r="F723" s="1" t="s">
        <v>145</v>
      </c>
    </row>
    <row r="724">
      <c r="A724" s="40">
        <v>44982.35815450232</v>
      </c>
      <c r="B724" s="1" t="s">
        <v>81</v>
      </c>
      <c r="C724" s="1" t="s">
        <v>91</v>
      </c>
      <c r="D724" s="1" t="s">
        <v>112</v>
      </c>
      <c r="F724" s="1" t="s">
        <v>145</v>
      </c>
    </row>
    <row r="725">
      <c r="A725" s="40">
        <v>44983.75614791666</v>
      </c>
      <c r="B725" s="1" t="s">
        <v>81</v>
      </c>
      <c r="C725" s="1" t="s">
        <v>2</v>
      </c>
      <c r="D725" s="1" t="s">
        <v>112</v>
      </c>
    </row>
    <row r="726">
      <c r="A726" s="40">
        <v>44983.75624048611</v>
      </c>
      <c r="D726" s="1" t="s">
        <v>113</v>
      </c>
    </row>
    <row r="727">
      <c r="A727" s="40">
        <v>44984.8169765625</v>
      </c>
      <c r="B727" s="1" t="s">
        <v>81</v>
      </c>
      <c r="C727" s="1" t="s">
        <v>91</v>
      </c>
      <c r="D727" s="1" t="s">
        <v>112</v>
      </c>
    </row>
    <row r="728">
      <c r="A728" s="40">
        <v>44984.817075</v>
      </c>
      <c r="D728" s="1" t="s">
        <v>113</v>
      </c>
    </row>
    <row r="729">
      <c r="A729" s="40">
        <v>44985.939239155094</v>
      </c>
      <c r="B729" s="1" t="s">
        <v>81</v>
      </c>
      <c r="C729" s="1" t="s">
        <v>91</v>
      </c>
      <c r="D729" s="1" t="s">
        <v>112</v>
      </c>
      <c r="F729" s="1" t="s">
        <v>145</v>
      </c>
    </row>
    <row r="730">
      <c r="A730" s="40">
        <v>44985.939313124996</v>
      </c>
      <c r="D730" s="1" t="s">
        <v>113</v>
      </c>
    </row>
    <row r="731">
      <c r="A731" s="40">
        <v>44986.745556064816</v>
      </c>
      <c r="B731" s="1" t="s">
        <v>81</v>
      </c>
      <c r="C731" s="1" t="s">
        <v>91</v>
      </c>
      <c r="D731" s="1" t="s">
        <v>112</v>
      </c>
      <c r="F731" s="1" t="s">
        <v>145</v>
      </c>
    </row>
    <row r="732">
      <c r="A732" s="40">
        <v>44986.74606122685</v>
      </c>
      <c r="D732" s="1" t="s">
        <v>113</v>
      </c>
    </row>
    <row r="733">
      <c r="A733" s="40">
        <v>44987.80402885417</v>
      </c>
      <c r="B733" s="1" t="s">
        <v>81</v>
      </c>
      <c r="C733" s="1" t="s">
        <v>91</v>
      </c>
      <c r="D733" s="1" t="s">
        <v>112</v>
      </c>
      <c r="F733" s="1" t="s">
        <v>145</v>
      </c>
    </row>
    <row r="734">
      <c r="A734" s="40">
        <v>44987.80411211806</v>
      </c>
      <c r="D734" s="1" t="s">
        <v>113</v>
      </c>
    </row>
    <row r="735">
      <c r="A735" s="40">
        <v>44988.54099894676</v>
      </c>
      <c r="B735" s="1" t="s">
        <v>81</v>
      </c>
      <c r="C735" s="1" t="s">
        <v>91</v>
      </c>
      <c r="D735" s="1" t="s">
        <v>112</v>
      </c>
      <c r="F735" s="1" t="s">
        <v>145</v>
      </c>
    </row>
    <row r="736">
      <c r="A736" s="40">
        <v>44988.541106805555</v>
      </c>
      <c r="D736" s="1" t="s">
        <v>113</v>
      </c>
    </row>
    <row r="737">
      <c r="A737" s="40">
        <v>44989.45041482639</v>
      </c>
      <c r="B737" s="1" t="s">
        <v>78</v>
      </c>
      <c r="C737" s="1" t="s">
        <v>93</v>
      </c>
      <c r="D737" s="1" t="s">
        <v>110</v>
      </c>
    </row>
    <row r="738">
      <c r="A738" s="40">
        <v>44990.433364004624</v>
      </c>
      <c r="C738" s="1" t="s">
        <v>93</v>
      </c>
      <c r="D738" s="1" t="s">
        <v>118</v>
      </c>
      <c r="F738" s="1" t="s">
        <v>146</v>
      </c>
      <c r="G738" s="1" t="s">
        <v>139</v>
      </c>
    </row>
    <row r="739">
      <c r="A739" s="40">
        <v>44991.58813577546</v>
      </c>
      <c r="C739" s="1" t="s">
        <v>91</v>
      </c>
      <c r="D739" s="1" t="s">
        <v>118</v>
      </c>
      <c r="F739" s="1" t="s">
        <v>146</v>
      </c>
      <c r="G739" s="1" t="s">
        <v>140</v>
      </c>
    </row>
    <row r="740">
      <c r="A740" s="40">
        <v>44991.667104803244</v>
      </c>
      <c r="B740" s="1" t="s">
        <v>1</v>
      </c>
    </row>
    <row r="741">
      <c r="A741" s="40">
        <v>44991.667185706014</v>
      </c>
      <c r="B741" s="1" t="s">
        <v>1</v>
      </c>
    </row>
    <row r="742">
      <c r="A742" s="40">
        <v>44992.55546225695</v>
      </c>
      <c r="B742" s="1" t="s">
        <v>1</v>
      </c>
      <c r="C742" s="1" t="s">
        <v>91</v>
      </c>
      <c r="D742" s="1" t="s">
        <v>118</v>
      </c>
      <c r="F742" s="1" t="s">
        <v>145</v>
      </c>
      <c r="G742" s="1" t="s">
        <v>140</v>
      </c>
    </row>
    <row r="743">
      <c r="A743" s="40">
        <v>44993.42313232639</v>
      </c>
      <c r="B743" s="1" t="s">
        <v>1</v>
      </c>
      <c r="C743" s="1" t="s">
        <v>91</v>
      </c>
      <c r="D743" s="1" t="s">
        <v>125</v>
      </c>
      <c r="F743" s="1" t="s">
        <v>145</v>
      </c>
      <c r="G743" s="1" t="s">
        <v>140</v>
      </c>
    </row>
    <row r="744">
      <c r="A744" s="40">
        <v>44994.44688564815</v>
      </c>
      <c r="B744" s="1" t="s">
        <v>1</v>
      </c>
      <c r="C744" s="1" t="s">
        <v>91</v>
      </c>
      <c r="D744" s="1" t="s">
        <v>125</v>
      </c>
      <c r="F744" s="1" t="s">
        <v>145</v>
      </c>
      <c r="G744" s="1" t="s">
        <v>140</v>
      </c>
    </row>
    <row r="745">
      <c r="A745" s="40">
        <v>44996.47556303241</v>
      </c>
      <c r="B745" s="1" t="s">
        <v>76</v>
      </c>
      <c r="C745" s="1" t="s">
        <v>91</v>
      </c>
      <c r="D745" s="1" t="s">
        <v>125</v>
      </c>
      <c r="F745" s="1" t="s">
        <v>145</v>
      </c>
      <c r="G745" s="1" t="s">
        <v>140</v>
      </c>
    </row>
    <row r="746">
      <c r="A746" s="40">
        <v>44996.47568560185</v>
      </c>
      <c r="B746" s="1" t="s">
        <v>78</v>
      </c>
      <c r="C746" s="1" t="s">
        <v>91</v>
      </c>
      <c r="D746" s="1" t="s">
        <v>110</v>
      </c>
    </row>
    <row r="747">
      <c r="A747" s="40">
        <v>44996.84651120371</v>
      </c>
      <c r="F747" s="1" t="s">
        <v>148</v>
      </c>
      <c r="G747" s="1" t="s">
        <v>140</v>
      </c>
    </row>
    <row r="748">
      <c r="A748" s="40">
        <v>44997.46195327546</v>
      </c>
      <c r="B748" s="1" t="s">
        <v>78</v>
      </c>
      <c r="C748" s="1" t="s">
        <v>91</v>
      </c>
      <c r="D748" s="1" t="s">
        <v>110</v>
      </c>
    </row>
    <row r="749">
      <c r="A749" s="40">
        <v>44998.471210185184</v>
      </c>
      <c r="B749" s="1" t="s">
        <v>0</v>
      </c>
      <c r="C749" s="1" t="s">
        <v>91</v>
      </c>
      <c r="D749" s="1" t="s">
        <v>110</v>
      </c>
      <c r="F749" s="1" t="s">
        <v>148</v>
      </c>
      <c r="G749" s="1" t="s">
        <v>140</v>
      </c>
    </row>
    <row r="750">
      <c r="A750" s="40">
        <v>44999.48234702546</v>
      </c>
      <c r="B750" s="1" t="s">
        <v>0</v>
      </c>
      <c r="C750" s="1" t="s">
        <v>2</v>
      </c>
      <c r="D750" s="1" t="s">
        <v>103</v>
      </c>
      <c r="F750" s="1" t="s">
        <v>148</v>
      </c>
      <c r="G750" s="1" t="s">
        <v>140</v>
      </c>
    </row>
    <row r="751">
      <c r="A751" s="40">
        <v>45000.57858770833</v>
      </c>
      <c r="B751" s="1" t="s">
        <v>0</v>
      </c>
      <c r="C751" s="1" t="s">
        <v>2</v>
      </c>
      <c r="D751" s="1" t="s">
        <v>103</v>
      </c>
      <c r="F751" s="1" t="s">
        <v>148</v>
      </c>
      <c r="G751" s="1" t="s">
        <v>140</v>
      </c>
    </row>
    <row r="752">
      <c r="A752" s="40">
        <v>45000.8658664699</v>
      </c>
      <c r="G752" s="1" t="s">
        <v>139</v>
      </c>
    </row>
    <row r="753">
      <c r="A753" s="40">
        <v>45001.66242396991</v>
      </c>
      <c r="B753" s="1" t="s">
        <v>0</v>
      </c>
      <c r="C753" s="1" t="s">
        <v>2</v>
      </c>
      <c r="D753" s="1" t="s">
        <v>109</v>
      </c>
      <c r="F753" s="1" t="s">
        <v>145</v>
      </c>
      <c r="G753" s="1" t="s">
        <v>140</v>
      </c>
    </row>
    <row r="754">
      <c r="A754" s="40">
        <v>45002.49193192129</v>
      </c>
      <c r="B754" s="1" t="s">
        <v>0</v>
      </c>
      <c r="C754" s="1" t="s">
        <v>91</v>
      </c>
      <c r="D754" s="1" t="s">
        <v>109</v>
      </c>
      <c r="F754" s="1" t="s">
        <v>145</v>
      </c>
      <c r="G754" s="1" t="s">
        <v>140</v>
      </c>
    </row>
    <row r="755">
      <c r="A755" s="40">
        <v>45003.43126326389</v>
      </c>
      <c r="B755" s="1" t="s">
        <v>1</v>
      </c>
      <c r="C755" s="1" t="s">
        <v>91</v>
      </c>
      <c r="D755" s="1" t="s">
        <v>118</v>
      </c>
      <c r="F755" s="1" t="s">
        <v>146</v>
      </c>
      <c r="G755" s="1" t="s">
        <v>139</v>
      </c>
    </row>
    <row r="756">
      <c r="A756" s="40">
        <v>45004.44457233796</v>
      </c>
      <c r="B756" s="1" t="s">
        <v>1</v>
      </c>
      <c r="C756" s="1" t="s">
        <v>91</v>
      </c>
      <c r="D756" s="1" t="s">
        <v>125</v>
      </c>
    </row>
    <row r="757">
      <c r="A757" s="40">
        <v>45005.46783579861</v>
      </c>
      <c r="B757" s="1" t="s">
        <v>0</v>
      </c>
      <c r="C757" s="1" t="s">
        <v>91</v>
      </c>
      <c r="D757" s="1" t="s">
        <v>113</v>
      </c>
      <c r="F757" s="1" t="s">
        <v>145</v>
      </c>
      <c r="G757" s="1" t="s">
        <v>140</v>
      </c>
    </row>
    <row r="758">
      <c r="A758" s="40">
        <v>45006.501418831016</v>
      </c>
      <c r="B758" s="1" t="s">
        <v>0</v>
      </c>
      <c r="C758" s="1" t="s">
        <v>91</v>
      </c>
      <c r="D758" s="1" t="s">
        <v>112</v>
      </c>
      <c r="F758" s="1" t="s">
        <v>145</v>
      </c>
      <c r="G758" s="1" t="s">
        <v>140</v>
      </c>
    </row>
    <row r="759">
      <c r="A759" s="40">
        <v>45007.44133479167</v>
      </c>
      <c r="B759" s="1" t="s">
        <v>1</v>
      </c>
      <c r="C759" s="1" t="s">
        <v>91</v>
      </c>
      <c r="D759" s="1" t="s">
        <v>118</v>
      </c>
      <c r="F759" s="1" t="s">
        <v>145</v>
      </c>
      <c r="G759" s="1" t="s">
        <v>140</v>
      </c>
    </row>
    <row r="760">
      <c r="A760" s="40">
        <v>45008.49813799768</v>
      </c>
      <c r="B760" s="1" t="s">
        <v>1</v>
      </c>
      <c r="C760" s="1" t="s">
        <v>91</v>
      </c>
      <c r="D760" s="1" t="s">
        <v>118</v>
      </c>
      <c r="F760" s="1" t="s">
        <v>145</v>
      </c>
      <c r="G760" s="1" t="s">
        <v>140</v>
      </c>
    </row>
    <row r="761">
      <c r="A761" s="40">
        <v>45009.456045011575</v>
      </c>
      <c r="B761" s="1" t="s">
        <v>1</v>
      </c>
      <c r="C761" s="1" t="s">
        <v>2</v>
      </c>
      <c r="D761" s="1" t="s">
        <v>118</v>
      </c>
      <c r="F761" s="1" t="s">
        <v>145</v>
      </c>
      <c r="G761" s="1" t="s">
        <v>140</v>
      </c>
    </row>
    <row r="762">
      <c r="A762" s="40">
        <v>45010.424108657404</v>
      </c>
      <c r="B762" s="44" t="s">
        <v>87</v>
      </c>
      <c r="C762" s="1" t="s">
        <v>91</v>
      </c>
      <c r="D762" s="1" t="s">
        <v>109</v>
      </c>
    </row>
    <row r="763">
      <c r="A763" s="40">
        <v>45011.88361788195</v>
      </c>
      <c r="B763" s="44" t="s">
        <v>87</v>
      </c>
      <c r="C763" s="1" t="s">
        <v>91</v>
      </c>
      <c r="D763" s="1" t="s">
        <v>109</v>
      </c>
      <c r="F763" s="1" t="s">
        <v>145</v>
      </c>
      <c r="G763" s="1" t="s">
        <v>140</v>
      </c>
    </row>
    <row r="764">
      <c r="A764" s="40">
        <v>45012.438010972226</v>
      </c>
      <c r="B764" s="1" t="s">
        <v>1</v>
      </c>
      <c r="C764" s="1" t="s">
        <v>97</v>
      </c>
      <c r="D764" s="1" t="s">
        <v>102</v>
      </c>
      <c r="F764" s="1" t="s">
        <v>145</v>
      </c>
      <c r="G764" s="1" t="s">
        <v>140</v>
      </c>
    </row>
    <row r="765">
      <c r="A765" s="40">
        <v>45013.59321363426</v>
      </c>
      <c r="B765" s="1" t="s">
        <v>1</v>
      </c>
      <c r="C765" s="1" t="s">
        <v>97</v>
      </c>
      <c r="D765" s="1" t="s">
        <v>102</v>
      </c>
      <c r="F765" s="1" t="s">
        <v>145</v>
      </c>
      <c r="G765" s="1" t="s">
        <v>140</v>
      </c>
    </row>
    <row r="766">
      <c r="A766" s="40">
        <v>45014.46706619213</v>
      </c>
      <c r="B766" s="1" t="s">
        <v>1</v>
      </c>
      <c r="C766" s="1" t="s">
        <v>99</v>
      </c>
      <c r="D766" s="1" t="s">
        <v>102</v>
      </c>
      <c r="F766" s="1" t="s">
        <v>145</v>
      </c>
      <c r="G766" s="1" t="s">
        <v>140</v>
      </c>
    </row>
    <row r="767">
      <c r="A767" s="40">
        <v>45015.43111157407</v>
      </c>
      <c r="B767" s="1" t="s">
        <v>0</v>
      </c>
      <c r="C767" s="1" t="s">
        <v>91</v>
      </c>
      <c r="D767" s="1" t="s">
        <v>109</v>
      </c>
      <c r="F767" s="1" t="s">
        <v>145</v>
      </c>
      <c r="G767" s="1" t="s">
        <v>140</v>
      </c>
    </row>
    <row r="768">
      <c r="A768" s="40">
        <v>45015.752489895836</v>
      </c>
      <c r="F768" s="1" t="s">
        <v>146</v>
      </c>
    </row>
    <row r="769">
      <c r="A769" s="40">
        <v>45016.59234575232</v>
      </c>
      <c r="B769" s="1" t="s">
        <v>0</v>
      </c>
      <c r="C769" s="1" t="s">
        <v>91</v>
      </c>
      <c r="D769" s="1" t="s">
        <v>109</v>
      </c>
      <c r="F769" s="1" t="s">
        <v>145</v>
      </c>
      <c r="G769" s="1" t="s">
        <v>140</v>
      </c>
    </row>
    <row r="770">
      <c r="A770" s="40">
        <v>45018.45230149306</v>
      </c>
      <c r="B770" s="1" t="s">
        <v>86</v>
      </c>
      <c r="C770" s="1" t="s">
        <v>91</v>
      </c>
      <c r="D770" s="1" t="s">
        <v>106</v>
      </c>
    </row>
    <row r="771">
      <c r="A771" s="40">
        <v>45019.55318358797</v>
      </c>
      <c r="B771" s="1" t="s">
        <v>81</v>
      </c>
      <c r="D771" s="1" t="s">
        <v>102</v>
      </c>
      <c r="E771" s="1" t="s">
        <v>127</v>
      </c>
      <c r="F771" s="1" t="s">
        <v>146</v>
      </c>
      <c r="G771" s="1" t="s">
        <v>139</v>
      </c>
    </row>
    <row r="772">
      <c r="A772" s="40">
        <v>45020.44590258102</v>
      </c>
      <c r="B772" s="1" t="s">
        <v>81</v>
      </c>
      <c r="D772" s="1" t="s">
        <v>102</v>
      </c>
      <c r="E772" s="1" t="s">
        <v>127</v>
      </c>
      <c r="F772" s="1" t="s">
        <v>146</v>
      </c>
      <c r="G772" s="1" t="s">
        <v>139</v>
      </c>
    </row>
    <row r="773">
      <c r="A773" s="40">
        <v>45021.55567340278</v>
      </c>
      <c r="B773" s="1" t="s">
        <v>81</v>
      </c>
      <c r="D773" s="1" t="s">
        <v>102</v>
      </c>
      <c r="E773" s="1" t="s">
        <v>127</v>
      </c>
      <c r="F773" s="1" t="s">
        <v>146</v>
      </c>
      <c r="G773" s="1" t="s">
        <v>139</v>
      </c>
    </row>
    <row r="774">
      <c r="A774" s="40">
        <v>45022.39025681713</v>
      </c>
      <c r="B774" s="1" t="s">
        <v>0</v>
      </c>
      <c r="D774" s="1" t="s">
        <v>103</v>
      </c>
      <c r="F774" s="1" t="s">
        <v>148</v>
      </c>
      <c r="G774" s="1" t="s">
        <v>140</v>
      </c>
    </row>
    <row r="775">
      <c r="A775" s="40">
        <v>45022.42371850694</v>
      </c>
      <c r="B775" s="1" t="s">
        <v>86</v>
      </c>
      <c r="C775" s="1" t="s">
        <v>91</v>
      </c>
      <c r="D775" s="1" t="s">
        <v>106</v>
      </c>
    </row>
    <row r="776">
      <c r="A776" s="40">
        <v>45023.3922316088</v>
      </c>
      <c r="B776" s="1" t="s">
        <v>86</v>
      </c>
      <c r="C776" s="1" t="s">
        <v>91</v>
      </c>
      <c r="D776" s="1" t="s">
        <v>106</v>
      </c>
    </row>
    <row r="777">
      <c r="A777" s="40">
        <v>45024.47078703703</v>
      </c>
      <c r="B777" s="1" t="s">
        <v>86</v>
      </c>
      <c r="C777" s="1" t="s">
        <v>91</v>
      </c>
      <c r="D777" s="1" t="s">
        <v>106</v>
      </c>
    </row>
    <row r="778">
      <c r="A778" s="40">
        <v>45024.47093894676</v>
      </c>
      <c r="F778" s="1" t="s">
        <v>145</v>
      </c>
    </row>
    <row r="779">
      <c r="A779" s="40">
        <v>45025.45250237269</v>
      </c>
      <c r="B779" s="1" t="s">
        <v>86</v>
      </c>
      <c r="C779" s="1" t="s">
        <v>91</v>
      </c>
      <c r="D779" s="1" t="s">
        <v>106</v>
      </c>
    </row>
    <row r="780">
      <c r="A780" s="40">
        <v>45026.47418435186</v>
      </c>
      <c r="B780" s="44" t="s">
        <v>87</v>
      </c>
      <c r="C780" s="1" t="s">
        <v>91</v>
      </c>
      <c r="D780" s="1" t="s">
        <v>109</v>
      </c>
    </row>
    <row r="781">
      <c r="A781" s="40">
        <v>45027.42637465278</v>
      </c>
      <c r="B781" s="44" t="s">
        <v>87</v>
      </c>
      <c r="C781" s="1" t="s">
        <v>91</v>
      </c>
      <c r="D781" s="1" t="s">
        <v>109</v>
      </c>
    </row>
    <row r="782">
      <c r="A782" s="40">
        <v>45028.46928123843</v>
      </c>
      <c r="B782" s="1" t="s">
        <v>1</v>
      </c>
      <c r="C782" s="1" t="s">
        <v>2</v>
      </c>
      <c r="D782" s="1" t="s">
        <v>118</v>
      </c>
      <c r="F782" s="1" t="s">
        <v>145</v>
      </c>
      <c r="G782" s="1" t="s">
        <v>140</v>
      </c>
    </row>
    <row r="783">
      <c r="A783" s="40">
        <v>45029.51156890046</v>
      </c>
      <c r="B783" s="1" t="s">
        <v>81</v>
      </c>
      <c r="C783" s="1" t="s">
        <v>91</v>
      </c>
      <c r="D783" s="1" t="s">
        <v>112</v>
      </c>
      <c r="F783" s="1" t="s">
        <v>145</v>
      </c>
      <c r="G783" s="1" t="s">
        <v>140</v>
      </c>
    </row>
    <row r="784">
      <c r="A784" s="40">
        <v>45030.449103645835</v>
      </c>
      <c r="B784" s="1" t="s">
        <v>1</v>
      </c>
      <c r="C784" s="1" t="s">
        <v>91</v>
      </c>
      <c r="D784" s="1" t="s">
        <v>118</v>
      </c>
      <c r="F784" s="1" t="s">
        <v>146</v>
      </c>
      <c r="G784" s="1" t="s">
        <v>139</v>
      </c>
    </row>
    <row r="785">
      <c r="A785" s="40">
        <v>45031.61639232639</v>
      </c>
      <c r="B785" s="1" t="s">
        <v>1</v>
      </c>
      <c r="C785" s="1" t="s">
        <v>91</v>
      </c>
      <c r="D785" s="1" t="s">
        <v>118</v>
      </c>
      <c r="F785" s="1" t="s">
        <v>146</v>
      </c>
      <c r="G785" s="1" t="s">
        <v>139</v>
      </c>
    </row>
    <row r="786">
      <c r="A786" s="40">
        <v>45032.52851120371</v>
      </c>
      <c r="B786" s="1" t="s">
        <v>0</v>
      </c>
      <c r="C786" s="1" t="s">
        <v>91</v>
      </c>
      <c r="D786" s="1" t="s">
        <v>110</v>
      </c>
      <c r="F786" s="1" t="s">
        <v>148</v>
      </c>
      <c r="G786" s="1" t="s">
        <v>140</v>
      </c>
    </row>
    <row r="787">
      <c r="A787" s="40">
        <v>45033.803420625</v>
      </c>
      <c r="B787" s="1" t="s">
        <v>0</v>
      </c>
      <c r="C787" s="1" t="s">
        <v>91</v>
      </c>
      <c r="D787" s="1" t="s">
        <v>110</v>
      </c>
      <c r="F787" s="1" t="s">
        <v>148</v>
      </c>
      <c r="G787" s="1" t="s">
        <v>140</v>
      </c>
    </row>
    <row r="788">
      <c r="A788" s="40">
        <v>45034.56427652777</v>
      </c>
      <c r="B788" s="1" t="s">
        <v>0</v>
      </c>
      <c r="C788" s="1" t="s">
        <v>91</v>
      </c>
      <c r="D788" s="1" t="s">
        <v>112</v>
      </c>
      <c r="F788" s="1" t="s">
        <v>148</v>
      </c>
      <c r="G788" s="1" t="s">
        <v>140</v>
      </c>
    </row>
    <row r="789">
      <c r="A789" s="40">
        <v>45035.42725525463</v>
      </c>
      <c r="B789" s="1" t="s">
        <v>1</v>
      </c>
      <c r="C789" s="1" t="s">
        <v>91</v>
      </c>
      <c r="D789" s="1" t="s">
        <v>103</v>
      </c>
      <c r="F789" s="1" t="s">
        <v>146</v>
      </c>
      <c r="G789" s="1" t="s">
        <v>139</v>
      </c>
    </row>
    <row r="790">
      <c r="A790" s="40">
        <v>45036.46081765046</v>
      </c>
      <c r="B790" s="1" t="s">
        <v>1</v>
      </c>
      <c r="C790" s="1" t="s">
        <v>91</v>
      </c>
      <c r="D790" s="1" t="s">
        <v>103</v>
      </c>
      <c r="F790" s="1" t="s">
        <v>148</v>
      </c>
      <c r="G790" s="1" t="s">
        <v>140</v>
      </c>
    </row>
    <row r="791">
      <c r="A791" s="40">
        <v>45037.53762833333</v>
      </c>
      <c r="B791" s="1" t="s">
        <v>81</v>
      </c>
      <c r="C791" s="1" t="s">
        <v>91</v>
      </c>
      <c r="D791" s="1" t="s">
        <v>125</v>
      </c>
      <c r="F791" s="1" t="s">
        <v>145</v>
      </c>
      <c r="G791" s="1" t="s">
        <v>140</v>
      </c>
    </row>
    <row r="792">
      <c r="A792" s="40">
        <v>45038.44379957176</v>
      </c>
      <c r="B792" s="1" t="s">
        <v>86</v>
      </c>
      <c r="C792" s="1" t="s">
        <v>91</v>
      </c>
      <c r="D792" s="1" t="s">
        <v>112</v>
      </c>
    </row>
    <row r="793">
      <c r="A793" s="40">
        <v>45039.47171135417</v>
      </c>
      <c r="B793" s="1" t="s">
        <v>0</v>
      </c>
      <c r="C793" s="1" t="s">
        <v>91</v>
      </c>
      <c r="D793" s="1" t="s">
        <v>112</v>
      </c>
    </row>
    <row r="794">
      <c r="A794" s="40">
        <v>45040.429657719906</v>
      </c>
      <c r="B794" s="1" t="s">
        <v>0</v>
      </c>
      <c r="C794" s="1" t="s">
        <v>91</v>
      </c>
      <c r="D794" s="1" t="s">
        <v>112</v>
      </c>
    </row>
    <row r="795">
      <c r="A795" s="40">
        <v>45040.429749421295</v>
      </c>
      <c r="F795" s="1" t="s">
        <v>145</v>
      </c>
      <c r="G795" s="1" t="s">
        <v>143</v>
      </c>
    </row>
    <row r="796">
      <c r="A796" s="40">
        <v>45041.43578644676</v>
      </c>
      <c r="B796" s="1" t="s">
        <v>86</v>
      </c>
      <c r="C796" s="1" t="s">
        <v>91</v>
      </c>
      <c r="D796" s="1" t="s">
        <v>106</v>
      </c>
    </row>
    <row r="797">
      <c r="A797" s="40">
        <v>45041.43746972222</v>
      </c>
      <c r="C797" s="1" t="s">
        <v>93</v>
      </c>
      <c r="F797" s="1" t="s">
        <v>153</v>
      </c>
    </row>
    <row r="798">
      <c r="A798" s="40">
        <v>45041.59990353009</v>
      </c>
      <c r="C798" s="1" t="s">
        <v>93</v>
      </c>
      <c r="D798" s="1" t="s">
        <v>122</v>
      </c>
      <c r="F798" s="1" t="s">
        <v>153</v>
      </c>
    </row>
    <row r="799">
      <c r="A799" s="40">
        <v>45042.65354788194</v>
      </c>
      <c r="B799" s="1" t="s">
        <v>86</v>
      </c>
      <c r="D799" s="1" t="s">
        <v>106</v>
      </c>
    </row>
    <row r="800">
      <c r="A800" s="40">
        <v>45042.924420219904</v>
      </c>
      <c r="B800" s="1" t="s">
        <v>0</v>
      </c>
      <c r="C800" s="1" t="s">
        <v>91</v>
      </c>
      <c r="D800" s="1" t="s">
        <v>110</v>
      </c>
    </row>
    <row r="801">
      <c r="A801" s="40">
        <v>45042.92450596065</v>
      </c>
      <c r="F801" s="1" t="s">
        <v>148</v>
      </c>
      <c r="G801" s="1" t="s">
        <v>140</v>
      </c>
    </row>
    <row r="802">
      <c r="A802" s="40">
        <v>45043.468973333336</v>
      </c>
      <c r="B802" s="1" t="s">
        <v>0</v>
      </c>
      <c r="C802" s="1" t="s">
        <v>91</v>
      </c>
      <c r="D802" s="1" t="s">
        <v>110</v>
      </c>
      <c r="F802" s="1" t="s">
        <v>148</v>
      </c>
      <c r="G802" s="1" t="s">
        <v>140</v>
      </c>
    </row>
    <row r="803">
      <c r="A803" s="40">
        <v>45044.520738402774</v>
      </c>
      <c r="B803" s="44" t="s">
        <v>87</v>
      </c>
      <c r="C803" s="1" t="s">
        <v>91</v>
      </c>
      <c r="D803" s="1" t="s">
        <v>109</v>
      </c>
    </row>
    <row r="804">
      <c r="A804" s="40">
        <v>45044.615240983796</v>
      </c>
      <c r="C804" s="1" t="s">
        <v>93</v>
      </c>
      <c r="D804" s="1" t="s">
        <v>122</v>
      </c>
      <c r="F804" s="1" t="s">
        <v>153</v>
      </c>
    </row>
    <row r="805">
      <c r="A805" s="40">
        <v>45045.46336666666</v>
      </c>
      <c r="B805" s="44" t="s">
        <v>87</v>
      </c>
      <c r="C805" s="1" t="s">
        <v>91</v>
      </c>
      <c r="D805" s="1" t="s">
        <v>109</v>
      </c>
    </row>
    <row r="806">
      <c r="A806" s="40">
        <v>45046.42431494213</v>
      </c>
      <c r="B806" s="1" t="s">
        <v>1</v>
      </c>
      <c r="C806" s="1" t="s">
        <v>91</v>
      </c>
      <c r="D806" s="1" t="s">
        <v>103</v>
      </c>
      <c r="F806" s="1" t="s">
        <v>148</v>
      </c>
      <c r="G806" s="1" t="s">
        <v>143</v>
      </c>
    </row>
    <row r="807">
      <c r="A807" s="40">
        <v>45046.446750625</v>
      </c>
      <c r="C807" s="1" t="s">
        <v>93</v>
      </c>
    </row>
    <row r="808">
      <c r="A808" s="40">
        <v>45046.447491886574</v>
      </c>
      <c r="B808" s="1" t="s">
        <v>1</v>
      </c>
      <c r="C808" s="1" t="s">
        <v>91</v>
      </c>
      <c r="D808" s="1" t="s">
        <v>103</v>
      </c>
    </row>
    <row r="809">
      <c r="A809" s="40">
        <v>45047.40697618056</v>
      </c>
      <c r="B809" s="1" t="s">
        <v>1</v>
      </c>
      <c r="C809" s="1" t="s">
        <v>91</v>
      </c>
      <c r="D809" s="1" t="s">
        <v>118</v>
      </c>
    </row>
    <row r="810">
      <c r="A810" s="40">
        <v>45047.51112685185</v>
      </c>
      <c r="C810" s="1" t="s">
        <v>93</v>
      </c>
      <c r="D810" s="1" t="s">
        <v>122</v>
      </c>
      <c r="F810" s="1" t="s">
        <v>153</v>
      </c>
    </row>
    <row r="811">
      <c r="A811" s="40">
        <v>45048.37717422454</v>
      </c>
      <c r="B811" s="1" t="s">
        <v>1</v>
      </c>
      <c r="C811" s="1" t="s">
        <v>91</v>
      </c>
      <c r="D811" s="1" t="s">
        <v>118</v>
      </c>
    </row>
    <row r="812">
      <c r="A812" s="40">
        <v>45048.58124594907</v>
      </c>
      <c r="F812" s="1" t="s">
        <v>145</v>
      </c>
    </row>
    <row r="813">
      <c r="A813" s="40">
        <v>45049.433189143514</v>
      </c>
      <c r="B813" s="1" t="s">
        <v>1</v>
      </c>
      <c r="C813" s="1" t="s">
        <v>91</v>
      </c>
      <c r="D813" s="1" t="s">
        <v>118</v>
      </c>
    </row>
    <row r="814">
      <c r="A814" s="40">
        <v>45050.38449293982</v>
      </c>
      <c r="C814" s="1" t="s">
        <v>2</v>
      </c>
      <c r="F814" s="1" t="s">
        <v>153</v>
      </c>
    </row>
    <row r="815">
      <c r="A815" s="40">
        <v>45050.38458648148</v>
      </c>
      <c r="F815" s="1" t="s">
        <v>145</v>
      </c>
      <c r="G815" s="1" t="s">
        <v>143</v>
      </c>
    </row>
    <row r="816">
      <c r="A816" s="40">
        <v>45050.51313224537</v>
      </c>
      <c r="B816" s="1" t="s">
        <v>0</v>
      </c>
      <c r="C816" s="1" t="s">
        <v>91</v>
      </c>
      <c r="D816" s="1" t="s">
        <v>109</v>
      </c>
    </row>
    <row r="817">
      <c r="A817" s="40">
        <v>45051.47926988426</v>
      </c>
      <c r="C817" s="1" t="s">
        <v>2</v>
      </c>
      <c r="F817" s="1" t="s">
        <v>153</v>
      </c>
    </row>
    <row r="818">
      <c r="A818" s="40">
        <v>45051.47938109953</v>
      </c>
      <c r="B818" s="1" t="s">
        <v>0</v>
      </c>
      <c r="C818" s="1" t="s">
        <v>91</v>
      </c>
      <c r="D818" s="1" t="s">
        <v>109</v>
      </c>
    </row>
    <row r="819">
      <c r="A819" s="40">
        <v>45052.383089560186</v>
      </c>
      <c r="F819" s="1" t="s">
        <v>148</v>
      </c>
      <c r="G819" s="1" t="s">
        <v>143</v>
      </c>
    </row>
    <row r="820">
      <c r="A820" s="40">
        <v>45052.383190520835</v>
      </c>
      <c r="B820" s="1" t="s">
        <v>0</v>
      </c>
      <c r="C820" s="1" t="s">
        <v>91</v>
      </c>
      <c r="D820" s="1" t="s">
        <v>109</v>
      </c>
    </row>
    <row r="821">
      <c r="A821" s="40">
        <v>45053.42957287037</v>
      </c>
      <c r="B821" s="1" t="s">
        <v>0</v>
      </c>
      <c r="C821" s="1" t="s">
        <v>91</v>
      </c>
      <c r="D821" s="1" t="s">
        <v>110</v>
      </c>
    </row>
    <row r="822">
      <c r="A822" s="40">
        <v>45053.74986261574</v>
      </c>
      <c r="C822" s="1" t="s">
        <v>3</v>
      </c>
      <c r="F822" s="1" t="s">
        <v>148</v>
      </c>
      <c r="G822" s="1" t="s">
        <v>143</v>
      </c>
    </row>
    <row r="823">
      <c r="A823" s="40">
        <v>45054.56048363426</v>
      </c>
      <c r="B823" s="1" t="s">
        <v>78</v>
      </c>
      <c r="C823" s="1" t="s">
        <v>91</v>
      </c>
      <c r="D823" s="1" t="s">
        <v>110</v>
      </c>
      <c r="F823" s="1" t="s">
        <v>145</v>
      </c>
      <c r="G823" s="1" t="s">
        <v>140</v>
      </c>
    </row>
    <row r="824">
      <c r="A824" s="40">
        <v>45054.71773278935</v>
      </c>
      <c r="C824" s="1" t="s">
        <v>93</v>
      </c>
      <c r="F824" s="1" t="s">
        <v>153</v>
      </c>
    </row>
    <row r="825">
      <c r="A825" s="40">
        <v>45055.61750172454</v>
      </c>
      <c r="B825" s="1" t="s">
        <v>1</v>
      </c>
      <c r="C825" s="1" t="s">
        <v>91</v>
      </c>
      <c r="D825" s="1" t="s">
        <v>110</v>
      </c>
      <c r="F825" s="1" t="s">
        <v>148</v>
      </c>
      <c r="G825" s="1" t="s">
        <v>140</v>
      </c>
    </row>
    <row r="826">
      <c r="A826" s="40">
        <v>45056.56592538195</v>
      </c>
      <c r="B826" s="1" t="s">
        <v>1</v>
      </c>
      <c r="C826" s="1" t="s">
        <v>91</v>
      </c>
      <c r="D826" s="1" t="s">
        <v>110</v>
      </c>
      <c r="F826" s="1" t="s">
        <v>148</v>
      </c>
      <c r="G826" s="1" t="s">
        <v>140</v>
      </c>
    </row>
    <row r="827">
      <c r="A827" s="40">
        <v>45056.75045704861</v>
      </c>
      <c r="C827" s="1" t="s">
        <v>93</v>
      </c>
      <c r="D827" s="1" t="s">
        <v>122</v>
      </c>
      <c r="F827" s="1" t="s">
        <v>153</v>
      </c>
    </row>
    <row r="828">
      <c r="A828" s="40">
        <v>45057.54246359954</v>
      </c>
      <c r="B828" s="1" t="s">
        <v>76</v>
      </c>
      <c r="C828" s="1" t="s">
        <v>91</v>
      </c>
      <c r="D828" s="1" t="s">
        <v>118</v>
      </c>
      <c r="F828" s="1" t="s">
        <v>145</v>
      </c>
      <c r="G828" s="1" t="s">
        <v>140</v>
      </c>
    </row>
    <row r="829">
      <c r="A829" s="40">
        <v>45058.596100462964</v>
      </c>
      <c r="B829" s="1" t="s">
        <v>76</v>
      </c>
      <c r="C829" s="1" t="s">
        <v>91</v>
      </c>
      <c r="D829" s="1" t="s">
        <v>118</v>
      </c>
      <c r="F829" s="1" t="s">
        <v>145</v>
      </c>
      <c r="G829" s="1" t="s">
        <v>140</v>
      </c>
    </row>
    <row r="830">
      <c r="A830" s="40">
        <v>45059.55593731481</v>
      </c>
      <c r="B830" s="1" t="s">
        <v>78</v>
      </c>
      <c r="C830" s="1" t="s">
        <v>3</v>
      </c>
    </row>
    <row r="831">
      <c r="A831" s="40">
        <v>45060.43822861111</v>
      </c>
      <c r="B831" s="44" t="s">
        <v>87</v>
      </c>
      <c r="C831" s="1" t="s">
        <v>3</v>
      </c>
    </row>
    <row r="832">
      <c r="A832" s="40">
        <v>45060.4770250463</v>
      </c>
      <c r="C832" s="1" t="s">
        <v>93</v>
      </c>
      <c r="F832" s="1" t="s">
        <v>153</v>
      </c>
    </row>
    <row r="833">
      <c r="A833" s="40">
        <v>45061.5547683912</v>
      </c>
      <c r="B833" s="1" t="s">
        <v>1</v>
      </c>
      <c r="C833" s="1" t="s">
        <v>91</v>
      </c>
      <c r="D833" s="1" t="s">
        <v>103</v>
      </c>
      <c r="F833" s="1" t="s">
        <v>148</v>
      </c>
      <c r="G833" s="1" t="s">
        <v>140</v>
      </c>
    </row>
    <row r="834">
      <c r="A834" s="40">
        <v>45062.48121262732</v>
      </c>
      <c r="B834" s="1" t="s">
        <v>1</v>
      </c>
      <c r="C834" s="1" t="s">
        <v>91</v>
      </c>
      <c r="D834" s="1" t="s">
        <v>103</v>
      </c>
      <c r="F834" s="1" t="s">
        <v>148</v>
      </c>
      <c r="G834" s="1" t="s">
        <v>140</v>
      </c>
    </row>
    <row r="835">
      <c r="A835" s="40">
        <v>45063.651027430555</v>
      </c>
      <c r="B835" s="1" t="s">
        <v>81</v>
      </c>
      <c r="C835" s="1" t="s">
        <v>91</v>
      </c>
      <c r="D835" s="1" t="s">
        <v>112</v>
      </c>
      <c r="F835" s="1" t="s">
        <v>145</v>
      </c>
      <c r="G835" s="1" t="s">
        <v>140</v>
      </c>
    </row>
    <row r="836">
      <c r="A836" s="40">
        <v>45063.803527638884</v>
      </c>
      <c r="C836" s="1" t="s">
        <v>93</v>
      </c>
      <c r="F836" s="1" t="s">
        <v>153</v>
      </c>
    </row>
    <row r="837">
      <c r="A837" s="40">
        <v>45063.803826724536</v>
      </c>
      <c r="C837" s="1" t="s">
        <v>2</v>
      </c>
      <c r="F837" s="1" t="s">
        <v>153</v>
      </c>
    </row>
    <row r="838">
      <c r="A838" s="40">
        <v>45064.5323593287</v>
      </c>
      <c r="B838" s="1" t="s">
        <v>1</v>
      </c>
      <c r="C838" s="1" t="s">
        <v>91</v>
      </c>
      <c r="D838" s="1" t="s">
        <v>118</v>
      </c>
      <c r="F838" s="1" t="s">
        <v>145</v>
      </c>
      <c r="G838" s="1" t="s">
        <v>139</v>
      </c>
    </row>
    <row r="839">
      <c r="A839" s="40">
        <v>45065.4457611574</v>
      </c>
      <c r="B839" s="1" t="s">
        <v>81</v>
      </c>
      <c r="C839" s="1" t="s">
        <v>91</v>
      </c>
      <c r="D839" s="1" t="s">
        <v>112</v>
      </c>
    </row>
    <row r="840">
      <c r="A840" s="40">
        <v>45066.61407210648</v>
      </c>
      <c r="B840" s="1" t="s">
        <v>81</v>
      </c>
      <c r="C840" s="1" t="s">
        <v>91</v>
      </c>
      <c r="D840" s="1" t="s">
        <v>112</v>
      </c>
    </row>
    <row r="841">
      <c r="A841" s="40">
        <v>45066.739605532406</v>
      </c>
      <c r="C841" s="1" t="s">
        <v>93</v>
      </c>
      <c r="F841" s="1" t="s">
        <v>153</v>
      </c>
    </row>
    <row r="842">
      <c r="A842" s="40">
        <v>45067.62230275463</v>
      </c>
      <c r="B842" s="1" t="s">
        <v>81</v>
      </c>
      <c r="C842" s="1" t="s">
        <v>3</v>
      </c>
    </row>
    <row r="843">
      <c r="A843" s="40">
        <v>45067.62237703704</v>
      </c>
      <c r="C843" s="1" t="s">
        <v>2</v>
      </c>
    </row>
    <row r="844">
      <c r="A844" s="40">
        <v>45068.56454813658</v>
      </c>
      <c r="B844" s="1" t="s">
        <v>0</v>
      </c>
      <c r="C844" s="1" t="s">
        <v>3</v>
      </c>
      <c r="F844" s="1" t="s">
        <v>148</v>
      </c>
    </row>
    <row r="845">
      <c r="A845" s="40">
        <v>45069.478379374996</v>
      </c>
      <c r="B845" s="1" t="s">
        <v>0</v>
      </c>
      <c r="C845" s="1" t="s">
        <v>91</v>
      </c>
      <c r="D845" s="1" t="s">
        <v>112</v>
      </c>
      <c r="F845" s="1" t="s">
        <v>145</v>
      </c>
      <c r="G845" s="1" t="s">
        <v>141</v>
      </c>
    </row>
    <row r="846">
      <c r="A846" s="40">
        <v>45070.42672482639</v>
      </c>
      <c r="B846" s="1" t="s">
        <v>81</v>
      </c>
      <c r="C846" s="1" t="s">
        <v>91</v>
      </c>
      <c r="D846" s="1" t="s">
        <v>112</v>
      </c>
      <c r="F846" s="1" t="s">
        <v>145</v>
      </c>
      <c r="G846" s="1" t="s">
        <v>141</v>
      </c>
    </row>
    <row r="847">
      <c r="A847" s="40">
        <v>45071.487566909724</v>
      </c>
      <c r="B847" s="1" t="s">
        <v>81</v>
      </c>
      <c r="D847" s="1" t="s">
        <v>102</v>
      </c>
      <c r="E847" s="1" t="s">
        <v>127</v>
      </c>
      <c r="F847" s="1" t="s">
        <v>146</v>
      </c>
      <c r="G847" s="1" t="s">
        <v>139</v>
      </c>
    </row>
    <row r="848">
      <c r="A848" s="40">
        <v>45071.87540509259</v>
      </c>
      <c r="B848" s="1" t="s">
        <v>76</v>
      </c>
      <c r="D848" s="1" t="s">
        <v>102</v>
      </c>
      <c r="E848" s="1" t="s">
        <v>127</v>
      </c>
      <c r="F848" s="1" t="s">
        <v>146</v>
      </c>
      <c r="G848" s="1" t="s">
        <v>139</v>
      </c>
    </row>
    <row r="849">
      <c r="A849" s="40">
        <v>45072.442383622685</v>
      </c>
      <c r="B849" s="1" t="s">
        <v>0</v>
      </c>
      <c r="C849" s="1" t="s">
        <v>91</v>
      </c>
      <c r="D849" s="1" t="s">
        <v>109</v>
      </c>
      <c r="E849" s="1" t="s">
        <v>184</v>
      </c>
      <c r="F849" s="1" t="s">
        <v>148</v>
      </c>
      <c r="G849" s="1" t="s">
        <v>141</v>
      </c>
    </row>
    <row r="850">
      <c r="A850" s="40">
        <v>45073.79490409722</v>
      </c>
      <c r="B850" s="1" t="s">
        <v>0</v>
      </c>
      <c r="C850" s="1" t="s">
        <v>91</v>
      </c>
      <c r="D850" s="1" t="s">
        <v>109</v>
      </c>
    </row>
    <row r="851">
      <c r="A851" s="40">
        <v>45073.7950221412</v>
      </c>
      <c r="C851" s="1" t="s">
        <v>2</v>
      </c>
      <c r="F851" s="1" t="s">
        <v>153</v>
      </c>
    </row>
    <row r="852">
      <c r="A852" s="40">
        <v>45074.467784872686</v>
      </c>
      <c r="B852" s="1" t="s">
        <v>0</v>
      </c>
      <c r="C852" s="1" t="s">
        <v>94</v>
      </c>
      <c r="F852" s="1" t="s">
        <v>148</v>
      </c>
    </row>
    <row r="853">
      <c r="A853" s="40">
        <v>45075.491870972226</v>
      </c>
      <c r="B853" s="1" t="s">
        <v>0</v>
      </c>
      <c r="C853" s="1" t="s">
        <v>94</v>
      </c>
    </row>
    <row r="854">
      <c r="A854" s="40">
        <v>45076.59279167824</v>
      </c>
      <c r="B854" s="1" t="s">
        <v>0</v>
      </c>
      <c r="C854" s="1" t="s">
        <v>91</v>
      </c>
      <c r="D854" s="1" t="s">
        <v>110</v>
      </c>
      <c r="F854" s="1" t="s">
        <v>148</v>
      </c>
      <c r="G854" s="1" t="s">
        <v>140</v>
      </c>
    </row>
    <row r="855">
      <c r="A855" s="40">
        <v>45077.42630413194</v>
      </c>
      <c r="B855" s="1" t="s">
        <v>0</v>
      </c>
      <c r="C855" s="1" t="s">
        <v>91</v>
      </c>
      <c r="D855" s="1" t="s">
        <v>112</v>
      </c>
      <c r="F855" s="1" t="s">
        <v>148</v>
      </c>
    </row>
    <row r="856">
      <c r="A856" s="40">
        <v>45078.46055217592</v>
      </c>
      <c r="B856" s="1" t="s">
        <v>78</v>
      </c>
      <c r="C856" s="1" t="s">
        <v>91</v>
      </c>
      <c r="D856" s="1" t="s">
        <v>110</v>
      </c>
      <c r="F856" s="1" t="s">
        <v>148</v>
      </c>
    </row>
    <row r="857">
      <c r="A857" s="40">
        <v>45079.46950021991</v>
      </c>
      <c r="B857" s="1" t="s">
        <v>78</v>
      </c>
      <c r="C857" s="1" t="s">
        <v>91</v>
      </c>
      <c r="D857" s="1" t="s">
        <v>110</v>
      </c>
      <c r="F857" s="1" t="s">
        <v>148</v>
      </c>
    </row>
    <row r="858">
      <c r="A858" s="40">
        <v>45080.87369021991</v>
      </c>
      <c r="C858" s="1" t="s">
        <v>3</v>
      </c>
      <c r="F858" s="1" t="s">
        <v>148</v>
      </c>
      <c r="G858" s="1" t="s">
        <v>141</v>
      </c>
    </row>
    <row r="859">
      <c r="A859" s="40">
        <v>45082.46566315972</v>
      </c>
      <c r="B859" s="1" t="s">
        <v>1</v>
      </c>
      <c r="C859" s="1" t="s">
        <v>91</v>
      </c>
      <c r="D859" s="1" t="s">
        <v>118</v>
      </c>
      <c r="F859" s="1" t="s">
        <v>145</v>
      </c>
      <c r="G859" s="1" t="s">
        <v>141</v>
      </c>
    </row>
    <row r="860">
      <c r="A860" s="40">
        <v>45083.46147767361</v>
      </c>
      <c r="B860" s="1" t="s">
        <v>1</v>
      </c>
      <c r="C860" s="1" t="s">
        <v>91</v>
      </c>
      <c r="D860" s="1" t="s">
        <v>118</v>
      </c>
      <c r="F860" s="1" t="s">
        <v>145</v>
      </c>
      <c r="G860" s="1" t="s">
        <v>141</v>
      </c>
    </row>
    <row r="861">
      <c r="A861" s="40">
        <v>45084.422042418984</v>
      </c>
      <c r="B861" s="44" t="s">
        <v>87</v>
      </c>
      <c r="C861" s="1" t="s">
        <v>4</v>
      </c>
      <c r="F861" s="1" t="s">
        <v>148</v>
      </c>
      <c r="G861" s="1" t="s">
        <v>141</v>
      </c>
    </row>
    <row r="862">
      <c r="A862" s="40">
        <v>45085.422019895836</v>
      </c>
      <c r="B862" s="44" t="s">
        <v>87</v>
      </c>
      <c r="C862" s="1" t="s">
        <v>94</v>
      </c>
      <c r="F862" s="1" t="s">
        <v>148</v>
      </c>
      <c r="G862" s="1" t="s">
        <v>141</v>
      </c>
    </row>
    <row r="863">
      <c r="A863" s="40">
        <v>45086.421237048606</v>
      </c>
      <c r="B863" s="44" t="s">
        <v>87</v>
      </c>
      <c r="C863" s="1" t="s">
        <v>2</v>
      </c>
      <c r="F863" s="1" t="s">
        <v>145</v>
      </c>
    </row>
    <row r="864">
      <c r="A864" s="40">
        <v>45087.42339107639</v>
      </c>
      <c r="B864" s="1" t="s">
        <v>89</v>
      </c>
      <c r="E864" s="1" t="s">
        <v>128</v>
      </c>
      <c r="F864" s="1" t="s">
        <v>148</v>
      </c>
    </row>
    <row r="865">
      <c r="A865" s="40">
        <v>45087.42354984954</v>
      </c>
      <c r="B865" s="1" t="s">
        <v>89</v>
      </c>
      <c r="E865" s="1" t="s">
        <v>128</v>
      </c>
    </row>
    <row r="866">
      <c r="A866" s="40">
        <v>45089.856500821756</v>
      </c>
      <c r="B866" s="1" t="s">
        <v>89</v>
      </c>
      <c r="E866" s="1" t="s">
        <v>131</v>
      </c>
      <c r="F866" s="1" t="s">
        <v>148</v>
      </c>
    </row>
    <row r="867">
      <c r="A867" s="40">
        <v>45089.8567853125</v>
      </c>
      <c r="B867" s="1" t="s">
        <v>79</v>
      </c>
      <c r="E867" s="1" t="s">
        <v>131</v>
      </c>
      <c r="F867" s="1" t="s">
        <v>146</v>
      </c>
    </row>
    <row r="868">
      <c r="A868" s="40">
        <v>45090.56866592592</v>
      </c>
      <c r="B868" s="1" t="s">
        <v>79</v>
      </c>
      <c r="E868" s="1" t="s">
        <v>129</v>
      </c>
      <c r="F868" s="1" t="s">
        <v>146</v>
      </c>
    </row>
    <row r="869">
      <c r="A869" s="40">
        <v>45090.569128020834</v>
      </c>
      <c r="C869" s="1" t="s">
        <v>2</v>
      </c>
      <c r="F869" s="1" t="s">
        <v>153</v>
      </c>
    </row>
    <row r="870">
      <c r="A870" s="40">
        <v>45090.5692003588</v>
      </c>
      <c r="C870" s="1" t="s">
        <v>2</v>
      </c>
      <c r="F870" s="1" t="s">
        <v>153</v>
      </c>
    </row>
    <row r="871">
      <c r="A871" s="40">
        <v>45091.42716358796</v>
      </c>
      <c r="B871" s="1" t="s">
        <v>89</v>
      </c>
      <c r="E871" s="1" t="s">
        <v>128</v>
      </c>
      <c r="F871" s="1" t="s">
        <v>148</v>
      </c>
    </row>
    <row r="872">
      <c r="A872" s="40">
        <v>45092.52134552083</v>
      </c>
      <c r="B872" s="1" t="s">
        <v>89</v>
      </c>
      <c r="E872" s="1" t="s">
        <v>131</v>
      </c>
    </row>
    <row r="873">
      <c r="A873" s="40">
        <v>45093.46940216435</v>
      </c>
      <c r="B873" s="1" t="s">
        <v>88</v>
      </c>
      <c r="C873" s="1" t="s">
        <v>94</v>
      </c>
      <c r="F873" s="1" t="s">
        <v>148</v>
      </c>
    </row>
    <row r="874">
      <c r="A874" s="40">
        <v>45093.75363609954</v>
      </c>
      <c r="C874" s="1" t="s">
        <v>93</v>
      </c>
      <c r="F874" s="1" t="s">
        <v>153</v>
      </c>
    </row>
    <row r="875">
      <c r="A875" s="40">
        <v>45094.39985715278</v>
      </c>
      <c r="B875" s="1" t="s">
        <v>89</v>
      </c>
      <c r="E875" s="1" t="s">
        <v>128</v>
      </c>
    </row>
    <row r="876">
      <c r="A876" s="40">
        <v>45095.48828488426</v>
      </c>
      <c r="B876" s="1" t="s">
        <v>88</v>
      </c>
      <c r="C876" s="1" t="s">
        <v>4</v>
      </c>
    </row>
    <row r="877">
      <c r="A877" s="40">
        <v>45095.48846085648</v>
      </c>
      <c r="B877" s="1" t="s">
        <v>88</v>
      </c>
      <c r="C877" s="1" t="s">
        <v>94</v>
      </c>
      <c r="F877" s="1" t="s">
        <v>148</v>
      </c>
    </row>
    <row r="878">
      <c r="A878" s="40">
        <v>45095.48854355324</v>
      </c>
      <c r="C878" s="1" t="s">
        <v>4</v>
      </c>
    </row>
    <row r="879">
      <c r="A879" s="40">
        <v>45096.51166238426</v>
      </c>
      <c r="B879" s="1" t="s">
        <v>89</v>
      </c>
      <c r="E879" s="1" t="s">
        <v>129</v>
      </c>
      <c r="F879" s="1" t="s">
        <v>148</v>
      </c>
    </row>
    <row r="880">
      <c r="A880" s="40">
        <v>45097.459643877315</v>
      </c>
      <c r="B880" s="1" t="s">
        <v>88</v>
      </c>
      <c r="C880" s="1" t="s">
        <v>3</v>
      </c>
      <c r="F880" s="1" t="s">
        <v>148</v>
      </c>
    </row>
    <row r="881">
      <c r="A881" s="40">
        <v>45098.44331379629</v>
      </c>
      <c r="B881" s="1" t="s">
        <v>79</v>
      </c>
      <c r="E881" s="1" t="s">
        <v>128</v>
      </c>
      <c r="F881" s="1" t="s">
        <v>146</v>
      </c>
    </row>
    <row r="882">
      <c r="A882" s="40">
        <v>45099.45150696759</v>
      </c>
      <c r="B882" s="1" t="s">
        <v>88</v>
      </c>
      <c r="C882" s="1" t="s">
        <v>3</v>
      </c>
      <c r="F882" s="1" t="s">
        <v>148</v>
      </c>
    </row>
    <row r="883">
      <c r="A883" s="40">
        <v>45100.4781315625</v>
      </c>
      <c r="B883" s="1" t="s">
        <v>89</v>
      </c>
      <c r="E883" s="1" t="s">
        <v>131</v>
      </c>
      <c r="F883" s="1" t="s">
        <v>148</v>
      </c>
    </row>
    <row r="884">
      <c r="A884" s="40">
        <v>45101.45836929398</v>
      </c>
      <c r="B884" s="1" t="s">
        <v>89</v>
      </c>
      <c r="E884" s="1" t="s">
        <v>131</v>
      </c>
    </row>
    <row r="885">
      <c r="A885" s="40">
        <v>45101.45999239583</v>
      </c>
      <c r="C885" s="1" t="s">
        <v>2</v>
      </c>
      <c r="F885" s="1" t="s">
        <v>153</v>
      </c>
    </row>
    <row r="886">
      <c r="A886" s="40">
        <v>45101.460162731484</v>
      </c>
      <c r="C886" s="1" t="s">
        <v>93</v>
      </c>
      <c r="F886" s="1" t="s">
        <v>153</v>
      </c>
    </row>
    <row r="887">
      <c r="A887" s="40">
        <v>45101.46029909722</v>
      </c>
      <c r="C887" s="1" t="s">
        <v>2</v>
      </c>
      <c r="F887" s="1" t="s">
        <v>153</v>
      </c>
    </row>
    <row r="888">
      <c r="A888" s="40">
        <v>45101.46052422454</v>
      </c>
      <c r="C888" s="1" t="s">
        <v>93</v>
      </c>
      <c r="F888" s="1" t="s">
        <v>153</v>
      </c>
    </row>
    <row r="889">
      <c r="A889" s="40">
        <v>45102.51619667824</v>
      </c>
      <c r="C889" s="1" t="s">
        <v>2</v>
      </c>
      <c r="F889" s="1" t="s">
        <v>153</v>
      </c>
    </row>
    <row r="890">
      <c r="A890" s="40">
        <v>45102.516390069446</v>
      </c>
      <c r="B890" s="1" t="s">
        <v>89</v>
      </c>
      <c r="E890" s="1" t="s">
        <v>138</v>
      </c>
    </row>
    <row r="891">
      <c r="A891" s="40">
        <v>45103.42063717592</v>
      </c>
      <c r="B891" s="1" t="s">
        <v>89</v>
      </c>
      <c r="E891" s="1" t="s">
        <v>138</v>
      </c>
      <c r="F891" s="1" t="s">
        <v>148</v>
      </c>
    </row>
    <row r="892">
      <c r="A892" s="40">
        <v>45104.44201362268</v>
      </c>
      <c r="B892" s="1" t="s">
        <v>77</v>
      </c>
      <c r="C892" s="1" t="s">
        <v>4</v>
      </c>
      <c r="F892" s="1" t="s">
        <v>148</v>
      </c>
    </row>
    <row r="893">
      <c r="A893" s="40">
        <v>45105.4481149537</v>
      </c>
      <c r="B893" s="1" t="s">
        <v>77</v>
      </c>
      <c r="C893" s="1" t="s">
        <v>4</v>
      </c>
    </row>
    <row r="894">
      <c r="A894" s="40">
        <v>45106.38453657407</v>
      </c>
      <c r="C894" s="1" t="s">
        <v>2</v>
      </c>
      <c r="F894" s="1" t="s">
        <v>153</v>
      </c>
    </row>
    <row r="895">
      <c r="A895" s="40">
        <v>45106.3847647338</v>
      </c>
      <c r="C895" s="1" t="s">
        <v>2</v>
      </c>
      <c r="F895" s="1" t="s">
        <v>153</v>
      </c>
    </row>
    <row r="896">
      <c r="A896" s="40">
        <v>45106.43952305555</v>
      </c>
      <c r="B896" s="1" t="s">
        <v>77</v>
      </c>
      <c r="C896" s="1" t="s">
        <v>3</v>
      </c>
      <c r="F896" s="1" t="s">
        <v>148</v>
      </c>
    </row>
    <row r="897">
      <c r="A897" s="40">
        <v>45107.44215349537</v>
      </c>
      <c r="B897" s="1" t="s">
        <v>77</v>
      </c>
      <c r="C897" s="1" t="s">
        <v>3</v>
      </c>
    </row>
    <row r="898">
      <c r="A898" s="40">
        <v>45108.4101250463</v>
      </c>
      <c r="B898" s="44" t="s">
        <v>87</v>
      </c>
      <c r="C898" s="1" t="s">
        <v>3</v>
      </c>
    </row>
    <row r="899">
      <c r="A899" s="40">
        <v>45108.41023175926</v>
      </c>
      <c r="C899" s="1" t="s">
        <v>93</v>
      </c>
      <c r="F899" s="1" t="s">
        <v>153</v>
      </c>
    </row>
    <row r="900">
      <c r="A900" s="40">
        <v>45109.87725797454</v>
      </c>
      <c r="B900" s="44" t="s">
        <v>87</v>
      </c>
      <c r="C900" s="1" t="s">
        <v>94</v>
      </c>
    </row>
    <row r="901">
      <c r="A901" s="40">
        <v>45110.42808462963</v>
      </c>
      <c r="B901" s="1" t="s">
        <v>79</v>
      </c>
      <c r="E901" s="1" t="s">
        <v>128</v>
      </c>
      <c r="F901" s="1" t="s">
        <v>146</v>
      </c>
    </row>
    <row r="902">
      <c r="A902" s="40">
        <v>45110.588979409724</v>
      </c>
      <c r="C902" s="1" t="s">
        <v>93</v>
      </c>
      <c r="F902" s="1" t="s">
        <v>153</v>
      </c>
    </row>
    <row r="903">
      <c r="A903" s="40">
        <v>45111.452235185185</v>
      </c>
      <c r="B903" s="1" t="s">
        <v>79</v>
      </c>
      <c r="E903" s="1" t="s">
        <v>128</v>
      </c>
      <c r="F903" s="1" t="s">
        <v>146</v>
      </c>
    </row>
    <row r="904">
      <c r="A904" s="40">
        <v>45112.428440081014</v>
      </c>
      <c r="B904" s="44" t="s">
        <v>87</v>
      </c>
      <c r="C904" s="1" t="s">
        <v>94</v>
      </c>
      <c r="F904" s="1" t="s">
        <v>145</v>
      </c>
      <c r="G904" s="1" t="s">
        <v>140</v>
      </c>
    </row>
    <row r="905">
      <c r="A905" s="40">
        <v>45113.35108607639</v>
      </c>
      <c r="B905" s="1" t="s">
        <v>77</v>
      </c>
      <c r="C905" s="1" t="s">
        <v>4</v>
      </c>
      <c r="F905" s="1" t="s">
        <v>146</v>
      </c>
      <c r="G905" s="1" t="s">
        <v>141</v>
      </c>
    </row>
    <row r="906">
      <c r="A906" s="40">
        <v>45113.35138605324</v>
      </c>
      <c r="C906" s="1" t="s">
        <v>2</v>
      </c>
      <c r="F906" s="1" t="s">
        <v>153</v>
      </c>
    </row>
    <row r="907">
      <c r="A907" s="40">
        <v>45113.51668828704</v>
      </c>
      <c r="B907" s="1" t="s">
        <v>77</v>
      </c>
      <c r="C907" s="1" t="s">
        <v>4</v>
      </c>
      <c r="F907" s="1" t="s">
        <v>146</v>
      </c>
      <c r="G907" s="1" t="s">
        <v>141</v>
      </c>
    </row>
    <row r="908">
      <c r="A908" s="40">
        <v>45115.956811909724</v>
      </c>
      <c r="B908" s="1" t="s">
        <v>89</v>
      </c>
      <c r="E908" s="1" t="s">
        <v>131</v>
      </c>
      <c r="F908" s="1" t="s">
        <v>148</v>
      </c>
    </row>
    <row r="909">
      <c r="A909" s="40">
        <v>45116.425335312495</v>
      </c>
      <c r="B909" s="1" t="s">
        <v>88</v>
      </c>
      <c r="C909" s="1" t="s">
        <v>3</v>
      </c>
    </row>
    <row r="910">
      <c r="A910" s="40">
        <v>45117.41411247685</v>
      </c>
      <c r="C910" s="1" t="s">
        <v>93</v>
      </c>
      <c r="F910" s="1" t="s">
        <v>153</v>
      </c>
    </row>
    <row r="911">
      <c r="A911" s="40">
        <v>45118.483825243056</v>
      </c>
      <c r="B911" s="44" t="s">
        <v>87</v>
      </c>
      <c r="C911" s="1" t="s">
        <v>3</v>
      </c>
    </row>
    <row r="912">
      <c r="A912" s="40">
        <v>45118.70252032408</v>
      </c>
      <c r="F912" s="1" t="s">
        <v>148</v>
      </c>
    </row>
    <row r="913">
      <c r="A913" s="40">
        <v>45118.702701076385</v>
      </c>
      <c r="C913" s="1" t="s">
        <v>2</v>
      </c>
      <c r="F913" s="1" t="s">
        <v>153</v>
      </c>
    </row>
    <row r="914">
      <c r="A914" s="40">
        <v>45118.70305412037</v>
      </c>
      <c r="B914" s="44" t="s">
        <v>87</v>
      </c>
      <c r="C914" s="1" t="s">
        <v>4</v>
      </c>
      <c r="F914" s="1" t="s">
        <v>148</v>
      </c>
    </row>
    <row r="915">
      <c r="A915" s="40">
        <v>45119.64614373843</v>
      </c>
      <c r="B915" s="1" t="s">
        <v>77</v>
      </c>
      <c r="C915" s="1" t="s">
        <v>94</v>
      </c>
    </row>
    <row r="916">
      <c r="A916" s="40">
        <v>45120.4357487963</v>
      </c>
      <c r="F916" s="1" t="s">
        <v>150</v>
      </c>
    </row>
    <row r="917">
      <c r="A917" s="40">
        <v>45120.43585326389</v>
      </c>
      <c r="B917" s="1" t="s">
        <v>77</v>
      </c>
      <c r="C917" s="1" t="s">
        <v>92</v>
      </c>
    </row>
    <row r="918">
      <c r="A918" s="40">
        <v>45120.72064442129</v>
      </c>
      <c r="F918" s="1" t="s">
        <v>149</v>
      </c>
    </row>
    <row r="919">
      <c r="A919" s="40">
        <v>45120.720726377316</v>
      </c>
      <c r="C919" s="1" t="s">
        <v>93</v>
      </c>
      <c r="F919" s="1" t="s">
        <v>153</v>
      </c>
    </row>
    <row r="920">
      <c r="A920" s="40">
        <v>45121.696731504635</v>
      </c>
      <c r="C920" s="1" t="s">
        <v>101</v>
      </c>
      <c r="F920" s="1" t="s">
        <v>148</v>
      </c>
    </row>
    <row r="921">
      <c r="A921" s="40">
        <v>45121.69685891204</v>
      </c>
      <c r="B921" s="1" t="s">
        <v>88</v>
      </c>
      <c r="C921" s="1" t="s">
        <v>92</v>
      </c>
      <c r="F921" s="1" t="s">
        <v>149</v>
      </c>
    </row>
    <row r="922">
      <c r="A922" s="40">
        <v>45122.56625189815</v>
      </c>
      <c r="B922" s="1" t="s">
        <v>77</v>
      </c>
      <c r="C922" s="1" t="s">
        <v>92</v>
      </c>
      <c r="F922" s="1" t="s">
        <v>150</v>
      </c>
    </row>
    <row r="923">
      <c r="A923" s="40">
        <v>45123.428303981476</v>
      </c>
      <c r="B923" s="1" t="s">
        <v>88</v>
      </c>
      <c r="C923" s="1" t="s">
        <v>94</v>
      </c>
    </row>
    <row r="924">
      <c r="A924" s="40">
        <v>45124.572431782406</v>
      </c>
      <c r="B924" s="1" t="s">
        <v>77</v>
      </c>
      <c r="C924" s="1" t="s">
        <v>92</v>
      </c>
      <c r="F924" s="1" t="s">
        <v>150</v>
      </c>
    </row>
    <row r="925">
      <c r="A925" s="40">
        <v>45124.572732534725</v>
      </c>
      <c r="B925" s="1" t="s">
        <v>0</v>
      </c>
      <c r="C925" s="1" t="s">
        <v>92</v>
      </c>
      <c r="F925" s="1" t="s">
        <v>150</v>
      </c>
    </row>
    <row r="926">
      <c r="A926" s="40">
        <v>45125.63608732639</v>
      </c>
      <c r="B926" s="44" t="s">
        <v>87</v>
      </c>
      <c r="C926" s="1" t="s">
        <v>4</v>
      </c>
    </row>
    <row r="927">
      <c r="A927" s="40">
        <v>45126.471185104165</v>
      </c>
      <c r="B927" s="1" t="s">
        <v>0</v>
      </c>
      <c r="C927" s="1" t="s">
        <v>92</v>
      </c>
      <c r="F927" s="1" t="s">
        <v>150</v>
      </c>
    </row>
    <row r="928">
      <c r="A928" s="40">
        <v>45127.60066631944</v>
      </c>
      <c r="C928" s="1" t="s">
        <v>2</v>
      </c>
      <c r="F928" s="1" t="s">
        <v>153</v>
      </c>
    </row>
    <row r="929">
      <c r="A929" s="40">
        <v>45127.73812666666</v>
      </c>
      <c r="B929" s="44" t="s">
        <v>87</v>
      </c>
      <c r="C929" s="1" t="s">
        <v>4</v>
      </c>
      <c r="F929" s="1" t="s">
        <v>150</v>
      </c>
    </row>
    <row r="930">
      <c r="A930" s="40">
        <v>45129.5330303125</v>
      </c>
      <c r="B930" s="44" t="s">
        <v>87</v>
      </c>
      <c r="C930" s="1" t="s">
        <v>4</v>
      </c>
      <c r="F930" s="1" t="s">
        <v>150</v>
      </c>
    </row>
    <row r="931">
      <c r="A931" s="40">
        <v>45131.439105219906</v>
      </c>
      <c r="B931" s="1" t="s">
        <v>89</v>
      </c>
      <c r="E931" s="1" t="s">
        <v>128</v>
      </c>
      <c r="F931" s="1" t="s">
        <v>150</v>
      </c>
    </row>
    <row r="932">
      <c r="A932" s="40">
        <v>45131.43920736111</v>
      </c>
      <c r="B932" s="1" t="s">
        <v>88</v>
      </c>
      <c r="C932" s="1" t="s">
        <v>94</v>
      </c>
      <c r="F932" s="1" t="s">
        <v>150</v>
      </c>
    </row>
    <row r="933">
      <c r="A933" s="40">
        <v>45133.60003275463</v>
      </c>
      <c r="B933" s="1" t="s">
        <v>89</v>
      </c>
      <c r="E933" s="1" t="s">
        <v>129</v>
      </c>
      <c r="F933" s="1" t="s">
        <v>150</v>
      </c>
    </row>
    <row r="934">
      <c r="A934" s="40">
        <v>45133.60014043981</v>
      </c>
      <c r="B934" s="1" t="s">
        <v>88</v>
      </c>
      <c r="C934" s="1" t="s">
        <v>2</v>
      </c>
      <c r="F934" s="1" t="s">
        <v>150</v>
      </c>
    </row>
    <row r="935">
      <c r="A935" s="40">
        <v>45133.60019914352</v>
      </c>
      <c r="F935" s="1" t="s">
        <v>153</v>
      </c>
    </row>
    <row r="936">
      <c r="A936" s="40">
        <v>45134.432294375</v>
      </c>
      <c r="B936" s="44" t="s">
        <v>87</v>
      </c>
      <c r="C936" s="1" t="s">
        <v>3</v>
      </c>
      <c r="F936" s="1" t="s">
        <v>150</v>
      </c>
    </row>
    <row r="937">
      <c r="A937" s="40">
        <v>45135.43375469907</v>
      </c>
      <c r="B937" s="1" t="s">
        <v>77</v>
      </c>
      <c r="C937" s="1" t="s">
        <v>91</v>
      </c>
      <c r="D937" s="1" t="s">
        <v>118</v>
      </c>
    </row>
    <row r="938">
      <c r="A938" s="40">
        <v>45135.85386984954</v>
      </c>
      <c r="F938" s="1" t="s">
        <v>150</v>
      </c>
    </row>
    <row r="939">
      <c r="A939" s="40">
        <v>45136.432353854165</v>
      </c>
      <c r="B939" s="1" t="s">
        <v>77</v>
      </c>
      <c r="C939" s="1" t="s">
        <v>91</v>
      </c>
      <c r="D939" s="1" t="s">
        <v>118</v>
      </c>
    </row>
    <row r="940">
      <c r="A940" s="40">
        <v>45137.45753363426</v>
      </c>
      <c r="B940" s="1" t="s">
        <v>0</v>
      </c>
      <c r="C940" s="1" t="s">
        <v>91</v>
      </c>
      <c r="D940" s="1" t="s">
        <v>112</v>
      </c>
      <c r="F940" s="1" t="s">
        <v>150</v>
      </c>
    </row>
    <row r="941">
      <c r="A941" s="40">
        <v>45138.64537342593</v>
      </c>
      <c r="B941" s="44" t="s">
        <v>87</v>
      </c>
      <c r="C941" s="1" t="s">
        <v>3</v>
      </c>
      <c r="F941" s="1" t="s">
        <v>150</v>
      </c>
    </row>
    <row r="942">
      <c r="A942" s="40">
        <v>45139.83454134259</v>
      </c>
      <c r="C942" s="1" t="s">
        <v>2</v>
      </c>
      <c r="F942" s="1" t="s">
        <v>153</v>
      </c>
    </row>
    <row r="943">
      <c r="A943" s="40">
        <v>45139.83471606481</v>
      </c>
      <c r="B943" s="1" t="s">
        <v>89</v>
      </c>
      <c r="E943" s="1" t="s">
        <v>128</v>
      </c>
      <c r="F943" s="1" t="s">
        <v>150</v>
      </c>
    </row>
    <row r="944">
      <c r="A944" s="40">
        <v>45139.83492412037</v>
      </c>
      <c r="B944" s="1" t="s">
        <v>89</v>
      </c>
      <c r="E944" s="1" t="s">
        <v>128</v>
      </c>
      <c r="F944" s="1" t="s">
        <v>150</v>
      </c>
    </row>
    <row r="945">
      <c r="A945" s="40">
        <v>45141.04933703704</v>
      </c>
      <c r="B945" s="1" t="s">
        <v>88</v>
      </c>
      <c r="C945" s="1" t="s">
        <v>94</v>
      </c>
      <c r="F945" s="1" t="s">
        <v>150</v>
      </c>
    </row>
    <row r="946">
      <c r="A946" s="40">
        <v>45141.51338392361</v>
      </c>
      <c r="B946" s="44" t="s">
        <v>87</v>
      </c>
      <c r="C946" s="1" t="s">
        <v>4</v>
      </c>
      <c r="F946" s="1" t="s">
        <v>150</v>
      </c>
    </row>
    <row r="947">
      <c r="A947" s="40">
        <v>45142.64238803241</v>
      </c>
      <c r="B947" s="44" t="s">
        <v>87</v>
      </c>
      <c r="C947" s="1" t="s">
        <v>92</v>
      </c>
      <c r="F947" s="1" t="s">
        <v>150</v>
      </c>
    </row>
    <row r="948">
      <c r="A948" s="40">
        <v>45143.49488445601</v>
      </c>
      <c r="B948" s="1" t="s">
        <v>89</v>
      </c>
      <c r="E948" s="1" t="s">
        <v>129</v>
      </c>
      <c r="F948" s="1" t="s">
        <v>150</v>
      </c>
    </row>
    <row r="949">
      <c r="A949" s="40">
        <v>45144.42200497685</v>
      </c>
      <c r="B949" s="1" t="s">
        <v>89</v>
      </c>
      <c r="E949" s="1" t="s">
        <v>131</v>
      </c>
      <c r="F949" s="1" t="s">
        <v>150</v>
      </c>
    </row>
    <row r="950">
      <c r="A950" s="40">
        <v>45145.42840645833</v>
      </c>
      <c r="B950" s="1" t="s">
        <v>88</v>
      </c>
      <c r="C950" s="1" t="s">
        <v>92</v>
      </c>
      <c r="F950" s="1" t="s">
        <v>150</v>
      </c>
    </row>
    <row r="951">
      <c r="A951" s="40">
        <v>45146.289534791664</v>
      </c>
      <c r="B951" s="44" t="s">
        <v>87</v>
      </c>
      <c r="C951" s="1" t="s">
        <v>92</v>
      </c>
      <c r="F951" s="1" t="s">
        <v>150</v>
      </c>
    </row>
    <row r="952">
      <c r="A952" s="40">
        <v>45147.46657447917</v>
      </c>
      <c r="B952" s="1" t="s">
        <v>0</v>
      </c>
      <c r="C952" s="1" t="s">
        <v>97</v>
      </c>
      <c r="F952" s="1" t="s">
        <v>150</v>
      </c>
    </row>
    <row r="953">
      <c r="A953" s="40">
        <v>45148.45205673611</v>
      </c>
      <c r="B953" s="1" t="s">
        <v>0</v>
      </c>
      <c r="C953" s="1" t="s">
        <v>91</v>
      </c>
      <c r="D953" s="1" t="s">
        <v>112</v>
      </c>
      <c r="F953" s="1" t="s">
        <v>150</v>
      </c>
    </row>
    <row r="954">
      <c r="A954" s="40">
        <v>45149.447284270835</v>
      </c>
      <c r="B954" s="1" t="s">
        <v>78</v>
      </c>
      <c r="C954" s="1" t="s">
        <v>91</v>
      </c>
    </row>
    <row r="955">
      <c r="A955" s="40">
        <v>45150.44471871528</v>
      </c>
      <c r="B955" s="1" t="s">
        <v>1</v>
      </c>
      <c r="C955" s="1" t="s">
        <v>91</v>
      </c>
      <c r="D955" s="1" t="s">
        <v>118</v>
      </c>
      <c r="F955" s="1" t="s">
        <v>150</v>
      </c>
    </row>
    <row r="956">
      <c r="A956" s="40">
        <v>45150.44480814815</v>
      </c>
      <c r="B956" s="1" t="s">
        <v>78</v>
      </c>
      <c r="C956" s="1" t="s">
        <v>91</v>
      </c>
    </row>
    <row r="957">
      <c r="A957" s="40">
        <v>45151.48142123842</v>
      </c>
      <c r="B957" s="1" t="s">
        <v>77</v>
      </c>
      <c r="C957" s="1" t="s">
        <v>3</v>
      </c>
      <c r="F957" s="1" t="s">
        <v>149</v>
      </c>
    </row>
    <row r="958">
      <c r="A958" s="40">
        <v>45151.48150197917</v>
      </c>
      <c r="B958" s="44" t="s">
        <v>87</v>
      </c>
      <c r="C958" s="1" t="s">
        <v>91</v>
      </c>
    </row>
    <row r="959">
      <c r="A959" s="40">
        <v>45151.88615770833</v>
      </c>
      <c r="C959" s="1" t="s">
        <v>2</v>
      </c>
      <c r="F959" s="1" t="s">
        <v>153</v>
      </c>
    </row>
    <row r="960">
      <c r="A960" s="40">
        <v>45151.88643653935</v>
      </c>
      <c r="C960" s="1" t="s">
        <v>93</v>
      </c>
      <c r="F960" s="1" t="s">
        <v>153</v>
      </c>
    </row>
    <row r="961">
      <c r="A961" s="40">
        <v>45151.88652834491</v>
      </c>
      <c r="C961" s="1" t="s">
        <v>2</v>
      </c>
      <c r="F961" s="1" t="s">
        <v>153</v>
      </c>
    </row>
    <row r="962">
      <c r="A962" s="40">
        <v>45151.88661306713</v>
      </c>
      <c r="C962" s="1" t="s">
        <v>2</v>
      </c>
      <c r="F962" s="1" t="s">
        <v>153</v>
      </c>
    </row>
    <row r="963">
      <c r="A963" s="40">
        <v>45152.446628645834</v>
      </c>
      <c r="B963" s="44" t="s">
        <v>87</v>
      </c>
      <c r="C963" s="1" t="s">
        <v>91</v>
      </c>
    </row>
    <row r="964">
      <c r="A964" s="40">
        <v>45152.471152557875</v>
      </c>
      <c r="F964" s="1" t="s">
        <v>149</v>
      </c>
    </row>
    <row r="965">
      <c r="A965" s="40">
        <v>45154.690422534724</v>
      </c>
      <c r="B965" s="1" t="s">
        <v>80</v>
      </c>
      <c r="C965" s="1" t="s">
        <v>3</v>
      </c>
      <c r="F965" s="1" t="s">
        <v>150</v>
      </c>
    </row>
    <row r="966">
      <c r="A966" s="40">
        <v>45155.743642800924</v>
      </c>
      <c r="B966" s="1" t="s">
        <v>80</v>
      </c>
      <c r="C966" s="1" t="s">
        <v>94</v>
      </c>
      <c r="F966" s="1" t="s">
        <v>150</v>
      </c>
    </row>
    <row r="967">
      <c r="A967" s="40">
        <v>45155.743780034725</v>
      </c>
      <c r="B967" s="1" t="s">
        <v>89</v>
      </c>
      <c r="E967" s="1" t="s">
        <v>128</v>
      </c>
    </row>
    <row r="968">
      <c r="A968" s="40">
        <v>45156.64258590278</v>
      </c>
      <c r="B968" s="1" t="s">
        <v>89</v>
      </c>
      <c r="E968" s="1" t="s">
        <v>128</v>
      </c>
      <c r="F968" s="1" t="s">
        <v>150</v>
      </c>
    </row>
    <row r="969">
      <c r="A969" s="40">
        <v>45157.61483335648</v>
      </c>
      <c r="B969" s="1" t="s">
        <v>88</v>
      </c>
      <c r="C969" s="1" t="s">
        <v>98</v>
      </c>
    </row>
    <row r="970">
      <c r="A970" s="40">
        <v>45158.70824168982</v>
      </c>
      <c r="B970" s="1" t="s">
        <v>89</v>
      </c>
      <c r="E970" s="1" t="s">
        <v>128</v>
      </c>
      <c r="F970" s="1" t="s">
        <v>150</v>
      </c>
    </row>
    <row r="971">
      <c r="A971" s="40">
        <v>45159.56750446759</v>
      </c>
      <c r="B971" s="1" t="s">
        <v>80</v>
      </c>
      <c r="C971" s="1" t="s">
        <v>92</v>
      </c>
      <c r="F971" s="1" t="s">
        <v>150</v>
      </c>
    </row>
    <row r="972">
      <c r="A972" s="40">
        <v>45160.56308263889</v>
      </c>
      <c r="B972" s="1" t="s">
        <v>80</v>
      </c>
      <c r="C972" s="1" t="s">
        <v>92</v>
      </c>
      <c r="F972" s="1" t="s">
        <v>150</v>
      </c>
    </row>
    <row r="973">
      <c r="A973" s="40">
        <v>45161.44096092593</v>
      </c>
      <c r="B973" s="1" t="s">
        <v>88</v>
      </c>
      <c r="C973" s="1" t="s">
        <v>2</v>
      </c>
    </row>
    <row r="974">
      <c r="A974" s="40">
        <v>45162.43607549768</v>
      </c>
      <c r="B974" s="1" t="s">
        <v>88</v>
      </c>
      <c r="C974" s="1" t="s">
        <v>94</v>
      </c>
    </row>
    <row r="975">
      <c r="A975" s="40">
        <v>45163.45791311342</v>
      </c>
      <c r="B975" s="1" t="s">
        <v>88</v>
      </c>
      <c r="C975" s="1" t="s">
        <v>94</v>
      </c>
      <c r="F975" s="1" t="s">
        <v>150</v>
      </c>
    </row>
    <row r="976">
      <c r="A976" s="40">
        <v>45164.430170266205</v>
      </c>
      <c r="B976" s="1" t="s">
        <v>89</v>
      </c>
      <c r="E976" s="1" t="s">
        <v>129</v>
      </c>
    </row>
    <row r="977">
      <c r="A977" s="40">
        <v>45164.45499817129</v>
      </c>
      <c r="B977" s="1" t="s">
        <v>88</v>
      </c>
      <c r="C977" s="1" t="s">
        <v>92</v>
      </c>
      <c r="F977" s="1" t="s">
        <v>150</v>
      </c>
    </row>
    <row r="978">
      <c r="A978" s="40">
        <v>45166.55711472222</v>
      </c>
      <c r="C978" s="1" t="s">
        <v>98</v>
      </c>
      <c r="F978" s="1" t="s">
        <v>150</v>
      </c>
    </row>
    <row r="979">
      <c r="A979" s="40">
        <v>45167.57752638889</v>
      </c>
      <c r="B979" s="1" t="s">
        <v>80</v>
      </c>
      <c r="C979" s="1" t="s">
        <v>3</v>
      </c>
      <c r="F979" s="1" t="s">
        <v>150</v>
      </c>
    </row>
    <row r="980">
      <c r="A980" s="40">
        <v>45168.5780896875</v>
      </c>
      <c r="B980" s="1" t="s">
        <v>80</v>
      </c>
      <c r="C980" s="1" t="s">
        <v>3</v>
      </c>
      <c r="F980" s="1" t="s">
        <v>150</v>
      </c>
    </row>
    <row r="981">
      <c r="A981" s="40">
        <v>45169.686112615746</v>
      </c>
      <c r="B981" s="1" t="s">
        <v>0</v>
      </c>
      <c r="C981" s="1" t="s">
        <v>91</v>
      </c>
      <c r="D981" s="1" t="s">
        <v>112</v>
      </c>
    </row>
    <row r="982">
      <c r="A982" s="40">
        <v>45169.6862352662</v>
      </c>
      <c r="B982" s="1" t="s">
        <v>80</v>
      </c>
      <c r="C982" s="1" t="s">
        <v>3</v>
      </c>
      <c r="F982" s="1" t="s">
        <v>150</v>
      </c>
    </row>
    <row r="983">
      <c r="A983" s="40">
        <v>45170.44272859953</v>
      </c>
      <c r="B983" s="1" t="s">
        <v>0</v>
      </c>
      <c r="C983" s="1" t="s">
        <v>91</v>
      </c>
      <c r="D983" s="1" t="s">
        <v>112</v>
      </c>
    </row>
    <row r="984">
      <c r="A984" s="40">
        <v>45170.443928877314</v>
      </c>
      <c r="F984" s="1" t="s">
        <v>149</v>
      </c>
    </row>
    <row r="985">
      <c r="A985" s="40">
        <v>45171.43921520833</v>
      </c>
      <c r="B985" s="1" t="s">
        <v>0</v>
      </c>
      <c r="C985" s="1" t="s">
        <v>91</v>
      </c>
      <c r="D985" s="1" t="s">
        <v>112</v>
      </c>
    </row>
    <row r="986">
      <c r="A986" s="40">
        <v>45172.50166171296</v>
      </c>
      <c r="B986" s="1" t="s">
        <v>0</v>
      </c>
      <c r="C986" s="1" t="s">
        <v>91</v>
      </c>
      <c r="D986" s="1" t="s">
        <v>112</v>
      </c>
    </row>
    <row r="987">
      <c r="A987" s="40">
        <v>45173.38563625</v>
      </c>
      <c r="B987" s="1" t="s">
        <v>0</v>
      </c>
      <c r="C987" s="1" t="s">
        <v>91</v>
      </c>
      <c r="D987" s="1" t="s">
        <v>112</v>
      </c>
      <c r="F987" s="1" t="s">
        <v>145</v>
      </c>
    </row>
    <row r="988">
      <c r="A988" s="40">
        <v>45173.54779303241</v>
      </c>
      <c r="C988" s="1" t="s">
        <v>2</v>
      </c>
      <c r="F988" s="1" t="s">
        <v>153</v>
      </c>
    </row>
    <row r="989">
      <c r="A989" s="40">
        <v>45173.54787707176</v>
      </c>
      <c r="C989" s="1" t="s">
        <v>93</v>
      </c>
      <c r="F989" s="1" t="s">
        <v>153</v>
      </c>
    </row>
    <row r="990">
      <c r="A990" s="40">
        <v>45174.43825943287</v>
      </c>
      <c r="F990" s="1" t="s">
        <v>147</v>
      </c>
    </row>
    <row r="991">
      <c r="A991" s="40">
        <v>45174.504169328706</v>
      </c>
      <c r="B991" s="1" t="s">
        <v>77</v>
      </c>
      <c r="C991" s="1" t="s">
        <v>3</v>
      </c>
      <c r="F991" s="1" t="s">
        <v>147</v>
      </c>
    </row>
    <row r="992">
      <c r="A992" s="40">
        <v>45175.38748252315</v>
      </c>
      <c r="B992" s="1" t="s">
        <v>77</v>
      </c>
      <c r="E992" s="1" t="s">
        <v>128</v>
      </c>
      <c r="F992" s="1" t="s">
        <v>146</v>
      </c>
    </row>
    <row r="993">
      <c r="A993" s="40">
        <v>45176.46713842593</v>
      </c>
      <c r="B993" s="1" t="s">
        <v>89</v>
      </c>
      <c r="E993" s="1" t="s">
        <v>131</v>
      </c>
      <c r="F993" s="1" t="s">
        <v>149</v>
      </c>
    </row>
    <row r="994">
      <c r="A994" s="40">
        <v>45177.453433877316</v>
      </c>
      <c r="B994" s="1" t="s">
        <v>77</v>
      </c>
      <c r="C994" s="1" t="s">
        <v>4</v>
      </c>
      <c r="F994" s="1" t="s">
        <v>147</v>
      </c>
    </row>
    <row r="995">
      <c r="A995" s="40">
        <v>45178.60971738426</v>
      </c>
      <c r="B995" s="1" t="s">
        <v>89</v>
      </c>
      <c r="E995" s="1" t="s">
        <v>131</v>
      </c>
    </row>
    <row r="996">
      <c r="A996" s="40">
        <v>45178.87519277778</v>
      </c>
      <c r="C996" s="1" t="s">
        <v>2</v>
      </c>
      <c r="F996" s="1" t="s">
        <v>149</v>
      </c>
    </row>
    <row r="997">
      <c r="A997" s="40">
        <v>45179.57577326389</v>
      </c>
      <c r="B997" s="1" t="s">
        <v>89</v>
      </c>
      <c r="E997" s="1" t="s">
        <v>128</v>
      </c>
      <c r="F997" s="1" t="s">
        <v>149</v>
      </c>
    </row>
    <row r="998">
      <c r="A998" s="40">
        <v>45179.575867210646</v>
      </c>
      <c r="C998" s="1" t="s">
        <v>2</v>
      </c>
    </row>
    <row r="999">
      <c r="A999" s="40">
        <v>45180.430314537036</v>
      </c>
      <c r="B999" s="1" t="s">
        <v>0</v>
      </c>
      <c r="C999" s="1" t="s">
        <v>3</v>
      </c>
      <c r="F999" s="1" t="s">
        <v>149</v>
      </c>
    </row>
    <row r="1000">
      <c r="A1000" s="40">
        <v>45181.78366141204</v>
      </c>
      <c r="B1000" s="1" t="s">
        <v>0</v>
      </c>
      <c r="C1000" s="1" t="s">
        <v>3</v>
      </c>
      <c r="F1000" s="1" t="s">
        <v>150</v>
      </c>
    </row>
    <row r="1001">
      <c r="A1001" s="40">
        <v>45181.7837208912</v>
      </c>
      <c r="C1001" s="1" t="s">
        <v>2</v>
      </c>
    </row>
    <row r="1002">
      <c r="A1002" s="40">
        <v>45182.49500177083</v>
      </c>
      <c r="B1002" s="1" t="s">
        <v>0</v>
      </c>
      <c r="C1002" s="1" t="s">
        <v>91</v>
      </c>
      <c r="D1002" s="1" t="s">
        <v>112</v>
      </c>
      <c r="F1002" s="1" t="s">
        <v>145</v>
      </c>
    </row>
    <row r="1003">
      <c r="A1003" s="40">
        <v>45183.45716925926</v>
      </c>
      <c r="B1003" s="1" t="s">
        <v>0</v>
      </c>
      <c r="C1003" s="1" t="s">
        <v>91</v>
      </c>
      <c r="D1003" s="1" t="s">
        <v>110</v>
      </c>
      <c r="F1003" s="1" t="s">
        <v>150</v>
      </c>
    </row>
    <row r="1004">
      <c r="A1004" s="40">
        <v>45184.42823359954</v>
      </c>
      <c r="B1004" s="1" t="s">
        <v>1</v>
      </c>
      <c r="C1004" s="1" t="s">
        <v>92</v>
      </c>
      <c r="D1004" s="1" t="s">
        <v>118</v>
      </c>
      <c r="F1004" s="1" t="s">
        <v>147</v>
      </c>
    </row>
    <row r="1005">
      <c r="A1005" s="40">
        <v>45185.63581017361</v>
      </c>
      <c r="B1005" s="1" t="s">
        <v>1</v>
      </c>
      <c r="C1005" s="1" t="s">
        <v>92</v>
      </c>
      <c r="D1005" s="1" t="s">
        <v>118</v>
      </c>
    </row>
    <row r="1006">
      <c r="A1006" s="40">
        <v>45186.00377388889</v>
      </c>
      <c r="F1006" s="1" t="s">
        <v>147</v>
      </c>
    </row>
    <row r="1007">
      <c r="A1007" s="40">
        <v>45186.44527515046</v>
      </c>
      <c r="B1007" s="1" t="s">
        <v>1</v>
      </c>
      <c r="C1007" s="1" t="s">
        <v>91</v>
      </c>
    </row>
    <row r="1008">
      <c r="A1008" s="40">
        <v>45187.43060872685</v>
      </c>
      <c r="B1008" s="1" t="s">
        <v>1</v>
      </c>
      <c r="C1008" s="1" t="s">
        <v>92</v>
      </c>
      <c r="D1008" s="1" t="s">
        <v>118</v>
      </c>
      <c r="F1008" s="1" t="s">
        <v>146</v>
      </c>
    </row>
    <row r="1009">
      <c r="A1009" s="40">
        <v>45188.42793420139</v>
      </c>
      <c r="B1009" s="1" t="s">
        <v>77</v>
      </c>
      <c r="D1009" s="1" t="s">
        <v>107</v>
      </c>
      <c r="E1009" s="1" t="s">
        <v>127</v>
      </c>
      <c r="F1009" s="1" t="s">
        <v>146</v>
      </c>
    </row>
    <row r="1010">
      <c r="A1010" s="40">
        <v>45189.44572783565</v>
      </c>
      <c r="B1010" s="1" t="s">
        <v>77</v>
      </c>
      <c r="C1010" s="1" t="s">
        <v>91</v>
      </c>
      <c r="D1010" s="1" t="s">
        <v>125</v>
      </c>
      <c r="F1010" s="1" t="s">
        <v>146</v>
      </c>
    </row>
    <row r="1011">
      <c r="A1011" s="40">
        <v>45190.553438993054</v>
      </c>
      <c r="B1011" s="1" t="s">
        <v>77</v>
      </c>
      <c r="D1011" s="1" t="s">
        <v>107</v>
      </c>
      <c r="E1011" s="1" t="s">
        <v>127</v>
      </c>
      <c r="F1011" s="1" t="s">
        <v>145</v>
      </c>
      <c r="G1011" s="1" t="s">
        <v>140</v>
      </c>
    </row>
    <row r="1012">
      <c r="A1012" s="40">
        <v>45191.44985697916</v>
      </c>
      <c r="B1012" s="1" t="s">
        <v>1</v>
      </c>
      <c r="C1012" s="1" t="s">
        <v>91</v>
      </c>
      <c r="D1012" s="1" t="s">
        <v>103</v>
      </c>
      <c r="F1012" s="1" t="s">
        <v>150</v>
      </c>
      <c r="G1012" s="1" t="s">
        <v>140</v>
      </c>
    </row>
    <row r="1013">
      <c r="A1013" s="40">
        <v>45192.60338025463</v>
      </c>
      <c r="B1013" s="44" t="s">
        <v>87</v>
      </c>
      <c r="C1013" s="1" t="s">
        <v>91</v>
      </c>
      <c r="D1013" s="1" t="s">
        <v>113</v>
      </c>
      <c r="F1013" s="1" t="s">
        <v>145</v>
      </c>
    </row>
    <row r="1014">
      <c r="A1014" s="40">
        <v>45193.46126600694</v>
      </c>
      <c r="B1014" s="44" t="s">
        <v>87</v>
      </c>
      <c r="C1014" s="1" t="s">
        <v>91</v>
      </c>
      <c r="D1014" s="1" t="s">
        <v>113</v>
      </c>
    </row>
    <row r="1015">
      <c r="A1015" s="40">
        <v>45194.42793118056</v>
      </c>
      <c r="B1015" s="1" t="s">
        <v>1</v>
      </c>
      <c r="C1015" s="1" t="s">
        <v>92</v>
      </c>
      <c r="D1015" s="1" t="s">
        <v>125</v>
      </c>
      <c r="F1015" s="1" t="s">
        <v>146</v>
      </c>
    </row>
    <row r="1016">
      <c r="A1016" s="40">
        <v>45195.50243841435</v>
      </c>
      <c r="B1016" s="1" t="s">
        <v>1</v>
      </c>
      <c r="C1016" s="1" t="s">
        <v>91</v>
      </c>
      <c r="D1016" s="1" t="s">
        <v>103</v>
      </c>
      <c r="F1016" s="1" t="s">
        <v>149</v>
      </c>
    </row>
    <row r="1017">
      <c r="A1017" s="40">
        <v>45196.47356957176</v>
      </c>
      <c r="B1017" s="1" t="s">
        <v>0</v>
      </c>
      <c r="C1017" s="1" t="s">
        <v>91</v>
      </c>
      <c r="D1017" s="1" t="s">
        <v>109</v>
      </c>
      <c r="F1017" s="1" t="s">
        <v>147</v>
      </c>
    </row>
    <row r="1018">
      <c r="A1018" s="40">
        <v>45197.34748657407</v>
      </c>
      <c r="B1018" s="1" t="s">
        <v>0</v>
      </c>
      <c r="C1018" s="1" t="s">
        <v>91</v>
      </c>
      <c r="D1018" s="1" t="s">
        <v>109</v>
      </c>
      <c r="F1018" s="1" t="s">
        <v>150</v>
      </c>
    </row>
    <row r="1019">
      <c r="A1019" s="40">
        <v>45197.347584918985</v>
      </c>
      <c r="C1019" s="1" t="s">
        <v>2</v>
      </c>
      <c r="F1019" s="1" t="s">
        <v>153</v>
      </c>
    </row>
    <row r="1020">
      <c r="A1020" s="40">
        <v>45197.34765560185</v>
      </c>
      <c r="C1020" s="1" t="s">
        <v>2</v>
      </c>
      <c r="F1020" s="1" t="s">
        <v>153</v>
      </c>
    </row>
    <row r="1021">
      <c r="A1021" s="40">
        <v>45198.52079447916</v>
      </c>
      <c r="B1021" s="1" t="s">
        <v>77</v>
      </c>
      <c r="D1021" s="1" t="s">
        <v>105</v>
      </c>
      <c r="E1021" s="1" t="s">
        <v>134</v>
      </c>
      <c r="F1021" s="1" t="s">
        <v>146</v>
      </c>
    </row>
    <row r="1022">
      <c r="A1022" s="40">
        <v>45199.43188355324</v>
      </c>
      <c r="B1022" s="1" t="s">
        <v>86</v>
      </c>
      <c r="C1022" s="1" t="s">
        <v>91</v>
      </c>
      <c r="D1022" s="1" t="s">
        <v>106</v>
      </c>
    </row>
    <row r="1023">
      <c r="A1023" s="40">
        <v>45200.41395422454</v>
      </c>
      <c r="B1023" s="44" t="s">
        <v>87</v>
      </c>
      <c r="C1023" s="1" t="s">
        <v>91</v>
      </c>
      <c r="D1023" s="1" t="s">
        <v>125</v>
      </c>
      <c r="F1023" s="1" t="s">
        <v>145</v>
      </c>
    </row>
    <row r="1024">
      <c r="A1024" s="40">
        <v>45200.414063460645</v>
      </c>
      <c r="C1024" s="1" t="s">
        <v>2</v>
      </c>
      <c r="F1024" s="1" t="s">
        <v>153</v>
      </c>
    </row>
    <row r="1025">
      <c r="A1025" s="40">
        <v>45201.436077997685</v>
      </c>
      <c r="B1025" s="1" t="s">
        <v>1</v>
      </c>
      <c r="D1025" s="1" t="s">
        <v>105</v>
      </c>
      <c r="E1025" s="1" t="s">
        <v>134</v>
      </c>
      <c r="F1025" s="1" t="s">
        <v>146</v>
      </c>
    </row>
    <row r="1026">
      <c r="A1026" s="40">
        <v>45202.42909746528</v>
      </c>
      <c r="B1026" s="1" t="s">
        <v>0</v>
      </c>
      <c r="C1026" s="1" t="s">
        <v>91</v>
      </c>
      <c r="D1026" s="1" t="s">
        <v>109</v>
      </c>
      <c r="F1026" s="1" t="s">
        <v>145</v>
      </c>
    </row>
    <row r="1027">
      <c r="A1027" s="40">
        <v>45203.471106261575</v>
      </c>
      <c r="B1027" s="1" t="s">
        <v>1</v>
      </c>
      <c r="C1027" s="1" t="s">
        <v>92</v>
      </c>
      <c r="D1027" s="1" t="s">
        <v>118</v>
      </c>
      <c r="F1027" s="1" t="s">
        <v>146</v>
      </c>
      <c r="G1027" s="1" t="s">
        <v>139</v>
      </c>
    </row>
    <row r="1028">
      <c r="A1028" s="40">
        <v>45204.46013314815</v>
      </c>
      <c r="B1028" s="1" t="s">
        <v>1</v>
      </c>
      <c r="C1028" s="1" t="s">
        <v>92</v>
      </c>
      <c r="D1028" s="1" t="s">
        <v>118</v>
      </c>
      <c r="F1028" s="1" t="s">
        <v>146</v>
      </c>
      <c r="G1028" s="1" t="s">
        <v>139</v>
      </c>
    </row>
    <row r="1029">
      <c r="A1029" s="40">
        <v>45205.54764208333</v>
      </c>
      <c r="B1029" s="1" t="s">
        <v>77</v>
      </c>
      <c r="C1029" s="1" t="s">
        <v>97</v>
      </c>
      <c r="D1029" s="1" t="s">
        <v>102</v>
      </c>
      <c r="F1029" s="1" t="s">
        <v>146</v>
      </c>
      <c r="G1029" s="1" t="s">
        <v>139</v>
      </c>
    </row>
    <row r="1030">
      <c r="A1030" s="40">
        <v>45206.90058825232</v>
      </c>
      <c r="B1030" s="1" t="s">
        <v>77</v>
      </c>
      <c r="C1030" s="1" t="s">
        <v>99</v>
      </c>
      <c r="D1030" s="1" t="s">
        <v>102</v>
      </c>
      <c r="F1030" s="1" t="s">
        <v>146</v>
      </c>
      <c r="G1030" s="1" t="s">
        <v>139</v>
      </c>
    </row>
    <row r="1031">
      <c r="A1031" s="40">
        <v>45207.42919556713</v>
      </c>
      <c r="B1031" s="44" t="s">
        <v>87</v>
      </c>
      <c r="C1031" s="1" t="s">
        <v>91</v>
      </c>
      <c r="D1031" s="1" t="s">
        <v>109</v>
      </c>
    </row>
    <row r="1032">
      <c r="A1032" s="40">
        <v>45208.43042938657</v>
      </c>
      <c r="B1032" s="1" t="s">
        <v>0</v>
      </c>
      <c r="C1032" s="1" t="s">
        <v>91</v>
      </c>
      <c r="D1032" s="1" t="s">
        <v>110</v>
      </c>
      <c r="F1032" s="1" t="s">
        <v>149</v>
      </c>
    </row>
    <row r="1033">
      <c r="A1033" s="40">
        <v>45209.42579631944</v>
      </c>
      <c r="B1033" s="1" t="s">
        <v>0</v>
      </c>
      <c r="C1033" s="1" t="s">
        <v>91</v>
      </c>
      <c r="D1033" s="1" t="s">
        <v>110</v>
      </c>
      <c r="F1033" s="1" t="s">
        <v>150</v>
      </c>
    </row>
    <row r="1034">
      <c r="A1034" s="40">
        <v>45210.46787167824</v>
      </c>
      <c r="B1034" s="1" t="s">
        <v>1</v>
      </c>
      <c r="C1034" s="1" t="s">
        <v>91</v>
      </c>
      <c r="D1034" s="1" t="s">
        <v>103</v>
      </c>
      <c r="F1034" s="1" t="s">
        <v>150</v>
      </c>
      <c r="G1034" s="1" t="s">
        <v>140</v>
      </c>
    </row>
    <row r="1035">
      <c r="A1035" s="40">
        <v>45211.44039334491</v>
      </c>
      <c r="B1035" s="44" t="s">
        <v>87</v>
      </c>
      <c r="C1035" s="1" t="s">
        <v>91</v>
      </c>
      <c r="D1035" s="1" t="s">
        <v>110</v>
      </c>
      <c r="F1035" s="1" t="s">
        <v>145</v>
      </c>
      <c r="G1035" s="1" t="s">
        <v>140</v>
      </c>
    </row>
    <row r="1036">
      <c r="A1036" s="40">
        <v>45212.4443234375</v>
      </c>
      <c r="B1036" s="1" t="s">
        <v>1</v>
      </c>
      <c r="C1036" s="1" t="s">
        <v>91</v>
      </c>
      <c r="D1036" s="1" t="s">
        <v>125</v>
      </c>
      <c r="F1036" s="1" t="s">
        <v>145</v>
      </c>
      <c r="G1036" s="1" t="s">
        <v>140</v>
      </c>
    </row>
    <row r="1037">
      <c r="A1037" s="40">
        <v>45213.45030642361</v>
      </c>
      <c r="B1037" s="1" t="s">
        <v>86</v>
      </c>
      <c r="C1037" s="1" t="s">
        <v>91</v>
      </c>
      <c r="D1037" s="1" t="s">
        <v>106</v>
      </c>
    </row>
    <row r="1038">
      <c r="A1038" s="40">
        <v>45214.44562246528</v>
      </c>
      <c r="B1038" s="1" t="s">
        <v>86</v>
      </c>
      <c r="C1038" s="1" t="s">
        <v>91</v>
      </c>
      <c r="D1038" s="1" t="s">
        <v>106</v>
      </c>
    </row>
    <row r="1039">
      <c r="A1039" s="40">
        <v>45214.44581792824</v>
      </c>
      <c r="B1039" s="44" t="s">
        <v>87</v>
      </c>
      <c r="C1039" s="1" t="s">
        <v>92</v>
      </c>
      <c r="D1039" s="1" t="s">
        <v>125</v>
      </c>
      <c r="F1039" s="1" t="s">
        <v>146</v>
      </c>
      <c r="G1039" s="1" t="s">
        <v>139</v>
      </c>
    </row>
    <row r="1040">
      <c r="A1040" s="40">
        <v>45214.44610622685</v>
      </c>
      <c r="C1040" s="1" t="s">
        <v>2</v>
      </c>
      <c r="F1040" s="1" t="s">
        <v>153</v>
      </c>
    </row>
    <row r="1041">
      <c r="A1041" s="40">
        <v>45215.42913671296</v>
      </c>
      <c r="B1041" s="44" t="s">
        <v>87</v>
      </c>
      <c r="C1041" s="1" t="s">
        <v>92</v>
      </c>
      <c r="D1041" s="1" t="s">
        <v>125</v>
      </c>
      <c r="F1041" s="1" t="s">
        <v>146</v>
      </c>
      <c r="G1041" s="1" t="s">
        <v>139</v>
      </c>
    </row>
    <row r="1042">
      <c r="A1042" s="40">
        <v>45217.46295299768</v>
      </c>
      <c r="B1042" s="1" t="s">
        <v>77</v>
      </c>
      <c r="C1042" s="1" t="s">
        <v>91</v>
      </c>
      <c r="D1042" s="1" t="s">
        <v>118</v>
      </c>
      <c r="F1042" s="1" t="s">
        <v>147</v>
      </c>
      <c r="G1042" s="1" t="s">
        <v>139</v>
      </c>
    </row>
    <row r="1043">
      <c r="A1043" s="40">
        <v>45217.46310533565</v>
      </c>
      <c r="B1043" s="1" t="s">
        <v>77</v>
      </c>
      <c r="C1043" s="1" t="s">
        <v>92</v>
      </c>
      <c r="D1043" s="1" t="s">
        <v>118</v>
      </c>
      <c r="F1043" s="1" t="s">
        <v>147</v>
      </c>
      <c r="G1043" s="1" t="s">
        <v>139</v>
      </c>
    </row>
    <row r="1044">
      <c r="A1044" s="40">
        <v>45218.440322800925</v>
      </c>
      <c r="B1044" s="1" t="s">
        <v>0</v>
      </c>
      <c r="C1044" s="1" t="s">
        <v>91</v>
      </c>
      <c r="D1044" s="1" t="s">
        <v>113</v>
      </c>
      <c r="F1044" s="1" t="s">
        <v>145</v>
      </c>
      <c r="G1044" s="1" t="s">
        <v>140</v>
      </c>
    </row>
    <row r="1045">
      <c r="A1045" s="40">
        <v>45219.47263523148</v>
      </c>
      <c r="B1045" s="1" t="s">
        <v>0</v>
      </c>
      <c r="C1045" s="1" t="s">
        <v>91</v>
      </c>
      <c r="D1045" s="1" t="s">
        <v>113</v>
      </c>
      <c r="F1045" s="1" t="s">
        <v>145</v>
      </c>
      <c r="G1045" s="1" t="s">
        <v>140</v>
      </c>
    </row>
    <row r="1046">
      <c r="A1046" s="40">
        <v>45220.429112881946</v>
      </c>
      <c r="B1046" s="1" t="s">
        <v>86</v>
      </c>
      <c r="C1046" s="1" t="s">
        <v>91</v>
      </c>
      <c r="D1046" s="1" t="s">
        <v>106</v>
      </c>
    </row>
    <row r="1047">
      <c r="A1047" s="40">
        <v>45221.437286562505</v>
      </c>
      <c r="B1047" s="1" t="s">
        <v>86</v>
      </c>
      <c r="C1047" s="1" t="s">
        <v>91</v>
      </c>
      <c r="D1047" s="1" t="s">
        <v>106</v>
      </c>
    </row>
    <row r="1048">
      <c r="A1048" s="40">
        <v>45222.42884400463</v>
      </c>
      <c r="B1048" s="1" t="s">
        <v>0</v>
      </c>
      <c r="C1048" s="1" t="s">
        <v>91</v>
      </c>
      <c r="D1048" s="1" t="s">
        <v>113</v>
      </c>
      <c r="F1048" s="1" t="s">
        <v>150</v>
      </c>
      <c r="G1048" s="1" t="s">
        <v>140</v>
      </c>
    </row>
    <row r="1049">
      <c r="A1049" s="40">
        <v>45223.519235949076</v>
      </c>
      <c r="B1049" s="1" t="s">
        <v>77</v>
      </c>
      <c r="D1049" s="1" t="s">
        <v>107</v>
      </c>
      <c r="E1049" s="1" t="s">
        <v>131</v>
      </c>
      <c r="F1049" s="1" t="s">
        <v>146</v>
      </c>
      <c r="G1049" s="1" t="s">
        <v>139</v>
      </c>
    </row>
    <row r="1050">
      <c r="A1050" s="40">
        <v>45224.524426504635</v>
      </c>
      <c r="B1050" s="1" t="s">
        <v>1</v>
      </c>
      <c r="C1050" s="1" t="s">
        <v>91</v>
      </c>
      <c r="D1050" s="1" t="s">
        <v>103</v>
      </c>
      <c r="F1050" s="1" t="s">
        <v>150</v>
      </c>
      <c r="G1050" s="1" t="s">
        <v>140</v>
      </c>
    </row>
    <row r="1051">
      <c r="A1051" s="40">
        <v>45225.396057129634</v>
      </c>
      <c r="B1051" s="1" t="s">
        <v>77</v>
      </c>
      <c r="D1051" s="1" t="s">
        <v>107</v>
      </c>
      <c r="E1051" s="1" t="s">
        <v>131</v>
      </c>
      <c r="F1051" s="1" t="s">
        <v>146</v>
      </c>
      <c r="G1051" s="1" t="s">
        <v>139</v>
      </c>
    </row>
    <row r="1052">
      <c r="A1052" s="40">
        <v>45226.48471409723</v>
      </c>
      <c r="B1052" s="1" t="s">
        <v>1</v>
      </c>
      <c r="C1052" s="1" t="s">
        <v>91</v>
      </c>
      <c r="D1052" s="1" t="s">
        <v>110</v>
      </c>
      <c r="F1052" s="1" t="s">
        <v>150</v>
      </c>
      <c r="G1052" s="1" t="s">
        <v>140</v>
      </c>
    </row>
    <row r="1053">
      <c r="A1053" s="40">
        <v>45227.40077761574</v>
      </c>
      <c r="B1053" s="1" t="s">
        <v>1</v>
      </c>
      <c r="C1053" s="1" t="s">
        <v>91</v>
      </c>
      <c r="D1053" s="1" t="s">
        <v>110</v>
      </c>
      <c r="F1053" s="1" t="s">
        <v>150</v>
      </c>
      <c r="G1053" s="1" t="s">
        <v>140</v>
      </c>
    </row>
    <row r="1054">
      <c r="A1054" s="40">
        <v>45228.471987592595</v>
      </c>
      <c r="B1054" s="44" t="s">
        <v>87</v>
      </c>
      <c r="C1054" s="1" t="s">
        <v>91</v>
      </c>
      <c r="D1054" s="1" t="s">
        <v>109</v>
      </c>
    </row>
    <row r="1055">
      <c r="A1055" s="40">
        <v>45229.42631886574</v>
      </c>
      <c r="B1055" s="44" t="s">
        <v>87</v>
      </c>
      <c r="C1055" s="1" t="s">
        <v>91</v>
      </c>
      <c r="D1055" s="1" t="s">
        <v>109</v>
      </c>
      <c r="F1055" s="1" t="s">
        <v>145</v>
      </c>
      <c r="G1055" s="1" t="s">
        <v>140</v>
      </c>
    </row>
    <row r="1056">
      <c r="A1056" s="40">
        <v>45230.43026332176</v>
      </c>
      <c r="B1056" s="1" t="s">
        <v>77</v>
      </c>
      <c r="D1056" s="1" t="s">
        <v>107</v>
      </c>
      <c r="E1056" s="1" t="s">
        <v>127</v>
      </c>
      <c r="F1056" s="1" t="s">
        <v>146</v>
      </c>
      <c r="G1056" s="1" t="s">
        <v>139</v>
      </c>
    </row>
    <row r="1057">
      <c r="A1057" s="40">
        <v>45231.528640289354</v>
      </c>
      <c r="B1057" s="1" t="s">
        <v>1</v>
      </c>
      <c r="C1057" s="1" t="s">
        <v>92</v>
      </c>
      <c r="D1057" s="1" t="s">
        <v>125</v>
      </c>
      <c r="F1057" s="1" t="s">
        <v>145</v>
      </c>
      <c r="G1057" s="1" t="s">
        <v>140</v>
      </c>
    </row>
    <row r="1058">
      <c r="A1058" s="40">
        <v>45232.37100914352</v>
      </c>
      <c r="B1058" s="1" t="s">
        <v>1</v>
      </c>
      <c r="C1058" s="1" t="s">
        <v>91</v>
      </c>
      <c r="D1058" s="1" t="s">
        <v>125</v>
      </c>
      <c r="F1058" s="1" t="s">
        <v>145</v>
      </c>
      <c r="G1058" s="1" t="s">
        <v>140</v>
      </c>
    </row>
    <row r="1059">
      <c r="A1059" s="40">
        <v>45233.43473636574</v>
      </c>
      <c r="B1059" s="1" t="s">
        <v>77</v>
      </c>
      <c r="D1059" s="1" t="s">
        <v>107</v>
      </c>
      <c r="E1059" s="1" t="s">
        <v>127</v>
      </c>
      <c r="F1059" s="1" t="s">
        <v>146</v>
      </c>
      <c r="G1059" s="1" t="s">
        <v>140</v>
      </c>
    </row>
    <row r="1060">
      <c r="A1060" s="40">
        <v>45235.784737291666</v>
      </c>
      <c r="B1060" s="1" t="s">
        <v>1</v>
      </c>
      <c r="C1060" s="1" t="s">
        <v>91</v>
      </c>
      <c r="D1060" s="1" t="s">
        <v>118</v>
      </c>
      <c r="F1060" s="1" t="s">
        <v>150</v>
      </c>
      <c r="G1060" s="1" t="s">
        <v>140</v>
      </c>
    </row>
    <row r="1061">
      <c r="A1061" s="40">
        <v>45236.427921608796</v>
      </c>
      <c r="B1061" s="1" t="s">
        <v>1</v>
      </c>
      <c r="C1061" s="1" t="s">
        <v>91</v>
      </c>
      <c r="D1061" s="1" t="s">
        <v>118</v>
      </c>
      <c r="F1061" s="1" t="s">
        <v>147</v>
      </c>
      <c r="G1061" s="1" t="s">
        <v>139</v>
      </c>
    </row>
    <row r="1062">
      <c r="A1062" s="40">
        <v>45237.43647677083</v>
      </c>
      <c r="B1062" s="44" t="s">
        <v>87</v>
      </c>
      <c r="C1062" s="1" t="s">
        <v>91</v>
      </c>
      <c r="D1062" s="1" t="s">
        <v>109</v>
      </c>
    </row>
    <row r="1063">
      <c r="A1063" s="40">
        <v>45238.63009298611</v>
      </c>
      <c r="B1063" s="1" t="s">
        <v>0</v>
      </c>
      <c r="C1063" s="1" t="s">
        <v>91</v>
      </c>
      <c r="D1063" s="1" t="s">
        <v>109</v>
      </c>
      <c r="F1063" s="1" t="s">
        <v>150</v>
      </c>
      <c r="G1063" s="1" t="s">
        <v>140</v>
      </c>
    </row>
    <row r="1064">
      <c r="A1064" s="40">
        <v>45239.59627311343</v>
      </c>
      <c r="B1064" s="1" t="s">
        <v>1</v>
      </c>
      <c r="D1064" s="1" t="s">
        <v>105</v>
      </c>
      <c r="E1064" s="1" t="s">
        <v>134</v>
      </c>
      <c r="F1064" s="1" t="s">
        <v>146</v>
      </c>
      <c r="G1064" s="1" t="s">
        <v>139</v>
      </c>
    </row>
    <row r="1065">
      <c r="A1065" s="40">
        <v>45240.542307094904</v>
      </c>
      <c r="B1065" s="1" t="s">
        <v>1</v>
      </c>
      <c r="D1065" s="1" t="s">
        <v>105</v>
      </c>
      <c r="E1065" s="1" t="s">
        <v>134</v>
      </c>
      <c r="F1065" s="1" t="s">
        <v>146</v>
      </c>
      <c r="G1065" s="1" t="s">
        <v>139</v>
      </c>
    </row>
    <row r="1066">
      <c r="A1066" s="40">
        <v>45241.96080241898</v>
      </c>
      <c r="B1066" s="44" t="s">
        <v>87</v>
      </c>
      <c r="C1066" s="1" t="s">
        <v>91</v>
      </c>
      <c r="D1066" s="1" t="s">
        <v>106</v>
      </c>
      <c r="F1066" s="1" t="s">
        <v>145</v>
      </c>
      <c r="G1066" s="1" t="s">
        <v>140</v>
      </c>
    </row>
    <row r="1067">
      <c r="A1067" s="40">
        <v>45242.426994293986</v>
      </c>
      <c r="B1067" s="44" t="s">
        <v>87</v>
      </c>
      <c r="C1067" s="1" t="s">
        <v>91</v>
      </c>
      <c r="D1067" s="1" t="s">
        <v>106</v>
      </c>
    </row>
    <row r="1068">
      <c r="A1068" s="40">
        <v>45243.36600552083</v>
      </c>
      <c r="B1068" s="1" t="s">
        <v>1</v>
      </c>
      <c r="C1068" s="1" t="s">
        <v>91</v>
      </c>
      <c r="D1068" s="1" t="s">
        <v>110</v>
      </c>
      <c r="F1068" s="1" t="s">
        <v>150</v>
      </c>
      <c r="G1068" s="1" t="s">
        <v>140</v>
      </c>
    </row>
    <row r="1069">
      <c r="A1069" s="40">
        <v>45245.93938435185</v>
      </c>
      <c r="B1069" s="1" t="s">
        <v>77</v>
      </c>
      <c r="D1069" s="1" t="s">
        <v>107</v>
      </c>
      <c r="F1069" s="1" t="s">
        <v>147</v>
      </c>
      <c r="G1069" s="1" t="s">
        <v>140</v>
      </c>
    </row>
    <row r="1070">
      <c r="A1070" s="40">
        <v>45246.450771724536</v>
      </c>
      <c r="B1070" s="1" t="s">
        <v>1</v>
      </c>
      <c r="C1070" s="1" t="s">
        <v>92</v>
      </c>
      <c r="D1070" s="1" t="s">
        <v>118</v>
      </c>
      <c r="F1070" s="1" t="s">
        <v>146</v>
      </c>
      <c r="G1070" s="1" t="s">
        <v>140</v>
      </c>
    </row>
    <row r="1071">
      <c r="A1071" s="40">
        <v>45247.46062869213</v>
      </c>
      <c r="B1071" s="1" t="s">
        <v>77</v>
      </c>
      <c r="D1071" s="1" t="s">
        <v>107</v>
      </c>
      <c r="F1071" s="1" t="s">
        <v>147</v>
      </c>
      <c r="G1071" s="1" t="s">
        <v>139</v>
      </c>
    </row>
    <row r="1072">
      <c r="A1072" s="40">
        <v>45248.94588287037</v>
      </c>
      <c r="B1072" s="1" t="s">
        <v>81</v>
      </c>
      <c r="C1072" s="1" t="s">
        <v>101</v>
      </c>
      <c r="D1072" s="1" t="s">
        <v>123</v>
      </c>
      <c r="F1072" s="1" t="s">
        <v>145</v>
      </c>
      <c r="G1072" s="1" t="s">
        <v>140</v>
      </c>
    </row>
    <row r="1073">
      <c r="A1073" s="40">
        <v>45250.38277222222</v>
      </c>
      <c r="B1073" s="1" t="s">
        <v>1</v>
      </c>
      <c r="C1073" s="1" t="s">
        <v>91</v>
      </c>
      <c r="D1073" s="1" t="s">
        <v>110</v>
      </c>
      <c r="F1073" s="1" t="s">
        <v>150</v>
      </c>
      <c r="G1073" s="1" t="s">
        <v>140</v>
      </c>
    </row>
    <row r="1074">
      <c r="A1074" s="40">
        <v>45251.43196540509</v>
      </c>
      <c r="B1074" s="1" t="s">
        <v>1</v>
      </c>
      <c r="C1074" s="1" t="s">
        <v>91</v>
      </c>
      <c r="F1074" s="1" t="s">
        <v>150</v>
      </c>
      <c r="G1074" s="1" t="s">
        <v>140</v>
      </c>
    </row>
    <row r="1075">
      <c r="A1075" s="40">
        <v>45252.491967326394</v>
      </c>
      <c r="B1075" s="1" t="s">
        <v>0</v>
      </c>
      <c r="C1075" s="1" t="s">
        <v>91</v>
      </c>
      <c r="D1075" s="1" t="s">
        <v>112</v>
      </c>
      <c r="F1075" s="1" t="s">
        <v>150</v>
      </c>
      <c r="G1075" s="1" t="s">
        <v>140</v>
      </c>
    </row>
    <row r="1076">
      <c r="A1076" s="40">
        <v>45253.5010125</v>
      </c>
      <c r="B1076" s="1" t="s">
        <v>0</v>
      </c>
      <c r="C1076" s="1" t="s">
        <v>91</v>
      </c>
      <c r="D1076" s="1" t="s">
        <v>112</v>
      </c>
      <c r="F1076" s="1" t="s">
        <v>150</v>
      </c>
      <c r="G1076" s="1" t="s">
        <v>140</v>
      </c>
    </row>
    <row r="1077">
      <c r="A1077" s="40">
        <v>45254.44952918982</v>
      </c>
      <c r="B1077" s="1" t="s">
        <v>77</v>
      </c>
      <c r="D1077" s="1" t="s">
        <v>102</v>
      </c>
      <c r="E1077" s="1" t="s">
        <v>127</v>
      </c>
      <c r="F1077" s="1" t="s">
        <v>146</v>
      </c>
      <c r="G1077" s="1" t="s">
        <v>140</v>
      </c>
    </row>
    <row r="1078">
      <c r="A1078" s="40">
        <v>45255.43465738426</v>
      </c>
      <c r="B1078" s="44" t="s">
        <v>87</v>
      </c>
      <c r="C1078" s="1" t="s">
        <v>92</v>
      </c>
      <c r="D1078" s="1" t="s">
        <v>125</v>
      </c>
    </row>
    <row r="1079">
      <c r="A1079" s="40">
        <v>45255.44346734954</v>
      </c>
      <c r="D1079" s="1" t="s">
        <v>116</v>
      </c>
      <c r="E1079" s="1" t="s">
        <v>132</v>
      </c>
    </row>
    <row r="1080">
      <c r="A1080" s="40">
        <v>45255.443569282404</v>
      </c>
      <c r="E1080" s="1" t="s">
        <v>132</v>
      </c>
    </row>
    <row r="1081">
      <c r="A1081" s="40">
        <v>45255.44365811342</v>
      </c>
      <c r="E1081" s="1" t="s">
        <v>132</v>
      </c>
    </row>
    <row r="1082">
      <c r="A1082" s="40">
        <v>45255.76247314815</v>
      </c>
      <c r="F1082" s="1" t="s">
        <v>150</v>
      </c>
      <c r="G1082" s="1" t="s">
        <v>140</v>
      </c>
    </row>
    <row r="1083">
      <c r="A1083" s="40">
        <v>45257.40095765046</v>
      </c>
      <c r="B1083" s="1" t="s">
        <v>0</v>
      </c>
      <c r="C1083" s="1" t="s">
        <v>91</v>
      </c>
      <c r="D1083" s="1" t="s">
        <v>113</v>
      </c>
      <c r="F1083" s="1" t="s">
        <v>150</v>
      </c>
      <c r="G1083" s="1" t="s">
        <v>140</v>
      </c>
    </row>
    <row r="1084">
      <c r="A1084" s="40">
        <v>45257.40105569444</v>
      </c>
      <c r="B1084" s="1" t="s">
        <v>0</v>
      </c>
      <c r="C1084" s="1" t="s">
        <v>91</v>
      </c>
      <c r="D1084" s="1" t="s">
        <v>113</v>
      </c>
    </row>
    <row r="1085">
      <c r="A1085" s="40">
        <v>45258.637276574074</v>
      </c>
      <c r="B1085" s="1" t="s">
        <v>1</v>
      </c>
      <c r="D1085" s="1" t="s">
        <v>102</v>
      </c>
      <c r="E1085" s="1" t="s">
        <v>127</v>
      </c>
      <c r="F1085" s="1" t="s">
        <v>146</v>
      </c>
      <c r="G1085" s="1" t="s">
        <v>140</v>
      </c>
    </row>
    <row r="1086">
      <c r="A1086" s="40">
        <v>45259.55492456019</v>
      </c>
      <c r="B1086" s="1" t="s">
        <v>1</v>
      </c>
      <c r="C1086" s="1" t="s">
        <v>92</v>
      </c>
      <c r="D1086" s="1" t="s">
        <v>116</v>
      </c>
      <c r="F1086" s="1" t="s">
        <v>146</v>
      </c>
      <c r="G1086" s="1" t="s">
        <v>140</v>
      </c>
    </row>
    <row r="1087">
      <c r="A1087" s="40">
        <v>45260.47959297454</v>
      </c>
      <c r="B1087" s="1" t="s">
        <v>1</v>
      </c>
      <c r="C1087" s="1" t="s">
        <v>92</v>
      </c>
      <c r="D1087" s="1" t="s">
        <v>116</v>
      </c>
      <c r="F1087" s="1" t="s">
        <v>146</v>
      </c>
      <c r="G1087" s="1" t="s">
        <v>140</v>
      </c>
    </row>
    <row r="1088">
      <c r="A1088" s="40">
        <v>45261.53983414352</v>
      </c>
      <c r="B1088" s="1" t="s">
        <v>1</v>
      </c>
      <c r="C1088" s="1" t="s">
        <v>91</v>
      </c>
      <c r="D1088" s="1" t="s">
        <v>125</v>
      </c>
      <c r="F1088" s="1" t="s">
        <v>146</v>
      </c>
      <c r="G1088" s="1" t="s">
        <v>140</v>
      </c>
    </row>
    <row r="1089">
      <c r="A1089" s="40">
        <v>45263.901422627314</v>
      </c>
      <c r="B1089" s="1" t="s">
        <v>0</v>
      </c>
      <c r="C1089" s="1" t="s">
        <v>91</v>
      </c>
      <c r="D1089" s="1" t="s">
        <v>113</v>
      </c>
      <c r="F1089" s="1" t="s">
        <v>150</v>
      </c>
      <c r="G1089" s="1" t="s">
        <v>140</v>
      </c>
    </row>
    <row r="1090">
      <c r="A1090" s="40">
        <v>45264.582678425926</v>
      </c>
      <c r="B1090" s="1" t="s">
        <v>77</v>
      </c>
      <c r="C1090" s="1" t="s">
        <v>91</v>
      </c>
      <c r="D1090" s="1" t="s">
        <v>118</v>
      </c>
      <c r="F1090" s="1" t="s">
        <v>146</v>
      </c>
      <c r="G1090" s="1" t="s">
        <v>139</v>
      </c>
    </row>
    <row r="1091">
      <c r="A1091" s="40">
        <v>45265.512937604166</v>
      </c>
      <c r="B1091" s="1" t="s">
        <v>0</v>
      </c>
      <c r="C1091" s="1" t="s">
        <v>91</v>
      </c>
      <c r="D1091" s="1" t="s">
        <v>113</v>
      </c>
      <c r="F1091" s="1" t="s">
        <v>150</v>
      </c>
      <c r="G1091" s="1" t="s">
        <v>140</v>
      </c>
    </row>
    <row r="1092">
      <c r="A1092" s="40">
        <v>45266.484628645834</v>
      </c>
      <c r="B1092" s="1" t="s">
        <v>0</v>
      </c>
      <c r="C1092" s="1" t="s">
        <v>91</v>
      </c>
      <c r="D1092" s="1" t="s">
        <v>112</v>
      </c>
      <c r="F1092" s="1" t="s">
        <v>150</v>
      </c>
      <c r="G1092" s="1" t="s">
        <v>140</v>
      </c>
    </row>
    <row r="1093">
      <c r="A1093" s="40">
        <v>45267.685271435184</v>
      </c>
      <c r="B1093" s="1" t="s">
        <v>0</v>
      </c>
      <c r="C1093" s="1" t="s">
        <v>91</v>
      </c>
      <c r="D1093" s="1" t="s">
        <v>112</v>
      </c>
      <c r="F1093" s="1" t="s">
        <v>150</v>
      </c>
      <c r="G1093" s="1" t="s">
        <v>140</v>
      </c>
    </row>
    <row r="1094">
      <c r="A1094" s="40">
        <v>45268.444744479166</v>
      </c>
      <c r="B1094" s="1" t="s">
        <v>0</v>
      </c>
      <c r="C1094" s="1" t="s">
        <v>92</v>
      </c>
      <c r="D1094" s="1" t="s">
        <v>113</v>
      </c>
      <c r="F1094" s="1" t="s">
        <v>150</v>
      </c>
      <c r="G1094" s="1" t="s">
        <v>140</v>
      </c>
    </row>
    <row r="1095">
      <c r="A1095" s="40">
        <v>45269.47856594907</v>
      </c>
      <c r="B1095" s="1" t="s">
        <v>1</v>
      </c>
      <c r="C1095" s="1" t="s">
        <v>92</v>
      </c>
      <c r="D1095" s="1" t="s">
        <v>116</v>
      </c>
      <c r="F1095" s="1" t="s">
        <v>150</v>
      </c>
      <c r="G1095" s="1" t="s">
        <v>140</v>
      </c>
    </row>
    <row r="1096">
      <c r="A1096" s="40">
        <v>45270.42670459491</v>
      </c>
      <c r="B1096" s="1" t="s">
        <v>1</v>
      </c>
      <c r="C1096" s="1" t="s">
        <v>92</v>
      </c>
      <c r="D1096" s="1" t="s">
        <v>116</v>
      </c>
      <c r="F1096" s="1" t="s">
        <v>150</v>
      </c>
      <c r="G1096" s="1" t="s">
        <v>140</v>
      </c>
    </row>
    <row r="1097">
      <c r="A1097" s="40">
        <v>45271.58711653935</v>
      </c>
      <c r="B1097" s="44" t="s">
        <v>87</v>
      </c>
      <c r="C1097" s="1" t="s">
        <v>91</v>
      </c>
      <c r="D1097" s="1" t="s">
        <v>125</v>
      </c>
      <c r="F1097" s="1" t="s">
        <v>150</v>
      </c>
      <c r="G1097" s="1" t="s">
        <v>140</v>
      </c>
    </row>
    <row r="1098">
      <c r="A1098" s="40">
        <v>45272.60090494213</v>
      </c>
      <c r="B1098" s="44" t="s">
        <v>87</v>
      </c>
      <c r="C1098" s="1" t="s">
        <v>91</v>
      </c>
      <c r="D1098" s="1" t="s">
        <v>125</v>
      </c>
      <c r="F1098" s="1" t="s">
        <v>150</v>
      </c>
      <c r="G1098" s="1" t="s">
        <v>140</v>
      </c>
    </row>
    <row r="1099">
      <c r="A1099" s="40">
        <v>45273.52324484954</v>
      </c>
      <c r="B1099" s="44" t="s">
        <v>87</v>
      </c>
      <c r="C1099" s="1" t="s">
        <v>2</v>
      </c>
      <c r="D1099" s="1" t="s">
        <v>125</v>
      </c>
      <c r="F1099" s="1" t="s">
        <v>150</v>
      </c>
      <c r="G1099" s="1" t="s">
        <v>140</v>
      </c>
    </row>
    <row r="1100">
      <c r="A1100" s="40">
        <v>45274.449610625</v>
      </c>
      <c r="B1100" s="44" t="s">
        <v>87</v>
      </c>
      <c r="C1100" s="1" t="s">
        <v>91</v>
      </c>
      <c r="D1100" s="1" t="s">
        <v>109</v>
      </c>
    </row>
    <row r="1101">
      <c r="A1101" s="40">
        <v>45275.517570358796</v>
      </c>
      <c r="B1101" s="44" t="s">
        <v>87</v>
      </c>
      <c r="C1101" s="1" t="s">
        <v>91</v>
      </c>
      <c r="D1101" s="1" t="s">
        <v>109</v>
      </c>
      <c r="F1101" s="1" t="s">
        <v>150</v>
      </c>
      <c r="G1101" s="1" t="s">
        <v>140</v>
      </c>
    </row>
    <row r="1102">
      <c r="A1102" s="40">
        <v>45276.53046054398</v>
      </c>
      <c r="B1102" s="44" t="s">
        <v>87</v>
      </c>
      <c r="C1102" s="1" t="s">
        <v>91</v>
      </c>
      <c r="D1102" s="1" t="s">
        <v>109</v>
      </c>
    </row>
    <row r="1103">
      <c r="A1103" s="40">
        <v>45277.57692085648</v>
      </c>
      <c r="B1103" s="1" t="s">
        <v>77</v>
      </c>
      <c r="C1103" s="1" t="s">
        <v>92</v>
      </c>
      <c r="D1103" s="1" t="s">
        <v>110</v>
      </c>
    </row>
    <row r="1104">
      <c r="A1104" s="40">
        <v>45278.443340474536</v>
      </c>
      <c r="B1104" s="1" t="s">
        <v>77</v>
      </c>
      <c r="C1104" s="1" t="s">
        <v>92</v>
      </c>
      <c r="D1104" s="1" t="s">
        <v>110</v>
      </c>
      <c r="F1104" s="1" t="s">
        <v>150</v>
      </c>
      <c r="G1104" s="1" t="s">
        <v>140</v>
      </c>
    </row>
    <row r="1105">
      <c r="A1105" s="40">
        <v>45279.825365150464</v>
      </c>
      <c r="B1105" s="1" t="s">
        <v>81</v>
      </c>
      <c r="C1105" s="1" t="s">
        <v>91</v>
      </c>
      <c r="D1105" s="1" t="s">
        <v>118</v>
      </c>
      <c r="F1105" s="1" t="s">
        <v>146</v>
      </c>
      <c r="G1105" s="1" t="s">
        <v>140</v>
      </c>
    </row>
    <row r="1106">
      <c r="A1106" s="40">
        <v>45280.480092708334</v>
      </c>
      <c r="B1106" s="1" t="s">
        <v>81</v>
      </c>
      <c r="C1106" s="1" t="s">
        <v>91</v>
      </c>
      <c r="D1106" s="1" t="s">
        <v>118</v>
      </c>
      <c r="F1106" s="1" t="s">
        <v>146</v>
      </c>
      <c r="G1106" s="1" t="s">
        <v>139</v>
      </c>
    </row>
    <row r="1107">
      <c r="A1107" s="40">
        <v>45284.561068668976</v>
      </c>
      <c r="B1107" s="1" t="s">
        <v>0</v>
      </c>
      <c r="C1107" s="1" t="s">
        <v>91</v>
      </c>
      <c r="D1107" s="1" t="s">
        <v>112</v>
      </c>
      <c r="F1107" s="1" t="s">
        <v>150</v>
      </c>
      <c r="G1107" s="1" t="s">
        <v>140</v>
      </c>
    </row>
    <row r="1108">
      <c r="A1108" s="40">
        <v>45284.816121689815</v>
      </c>
      <c r="B1108" s="44" t="s">
        <v>87</v>
      </c>
    </row>
    <row r="1109">
      <c r="A1109" s="40">
        <v>45286.60150872685</v>
      </c>
      <c r="B1109" s="44" t="s">
        <v>87</v>
      </c>
      <c r="F1109" s="1" t="s">
        <v>150</v>
      </c>
      <c r="G1109" s="1" t="s">
        <v>140</v>
      </c>
    </row>
    <row r="1110">
      <c r="A1110" s="40">
        <v>45286.60157841435</v>
      </c>
      <c r="B1110" s="44" t="s">
        <v>87</v>
      </c>
    </row>
    <row r="1111">
      <c r="A1111" s="40">
        <v>45287.496972361114</v>
      </c>
      <c r="C1111" s="1" t="s">
        <v>2</v>
      </c>
      <c r="D1111" s="1" t="s">
        <v>122</v>
      </c>
      <c r="F1111" s="1" t="s">
        <v>153</v>
      </c>
    </row>
    <row r="1112">
      <c r="A1112" s="40">
        <v>45287.49715005787</v>
      </c>
      <c r="B1112" s="44" t="s">
        <v>87</v>
      </c>
      <c r="D1112" s="1" t="s">
        <v>110</v>
      </c>
      <c r="F1112" s="1" t="s">
        <v>150</v>
      </c>
      <c r="G1112" s="1" t="s">
        <v>140</v>
      </c>
    </row>
    <row r="1113">
      <c r="A1113" s="40">
        <v>45288.49284476852</v>
      </c>
      <c r="B1113" s="1" t="s">
        <v>77</v>
      </c>
      <c r="C1113" s="1" t="s">
        <v>91</v>
      </c>
      <c r="D1113" s="1" t="s">
        <v>116</v>
      </c>
    </row>
    <row r="1114">
      <c r="A1114" s="40">
        <v>45288.54926326389</v>
      </c>
      <c r="F1114" s="1" t="s">
        <v>147</v>
      </c>
    </row>
    <row r="1115">
      <c r="A1115" s="40">
        <v>45289.44827756945</v>
      </c>
      <c r="B1115" s="1" t="s">
        <v>77</v>
      </c>
      <c r="C1115" s="1" t="s">
        <v>91</v>
      </c>
      <c r="D1115" s="1" t="s">
        <v>116</v>
      </c>
    </row>
    <row r="1116">
      <c r="A1116" s="40">
        <v>45289.45383989583</v>
      </c>
      <c r="C1116" s="1" t="s">
        <v>2</v>
      </c>
      <c r="D1116" s="1" t="s">
        <v>122</v>
      </c>
      <c r="F1116" s="1" t="s">
        <v>153</v>
      </c>
    </row>
    <row r="1117">
      <c r="A1117" s="40">
        <v>45291.522180706015</v>
      </c>
      <c r="B1117" s="1" t="s">
        <v>1</v>
      </c>
      <c r="C1117" s="1" t="s">
        <v>91</v>
      </c>
      <c r="D1117" s="1" t="s">
        <v>116</v>
      </c>
      <c r="F1117" s="1" t="s">
        <v>147</v>
      </c>
      <c r="G1117" s="1" t="s">
        <v>140</v>
      </c>
    </row>
    <row r="1118">
      <c r="A1118" s="40">
        <v>45291.52233721065</v>
      </c>
      <c r="C1118" s="1" t="s">
        <v>91</v>
      </c>
      <c r="D1118" s="1" t="s">
        <v>116</v>
      </c>
      <c r="F1118" s="1" t="s">
        <v>147</v>
      </c>
      <c r="G1118" s="1" t="s">
        <v>140</v>
      </c>
    </row>
    <row r="1119">
      <c r="A1119" s="40">
        <v>45292.53993275463</v>
      </c>
      <c r="C1119" s="1" t="s">
        <v>91</v>
      </c>
      <c r="D1119" s="1" t="s">
        <v>116</v>
      </c>
      <c r="F1119" s="1" t="s">
        <v>147</v>
      </c>
      <c r="G1119" s="1" t="s">
        <v>140</v>
      </c>
    </row>
    <row r="1120">
      <c r="A1120" s="40">
        <v>45292.83990460648</v>
      </c>
      <c r="B1120" s="1" t="s">
        <v>83</v>
      </c>
    </row>
    <row r="1121">
      <c r="A1121" s="40">
        <v>45292.83996784722</v>
      </c>
      <c r="B1121" s="1" t="s">
        <v>83</v>
      </c>
    </row>
    <row r="1122">
      <c r="A1122" s="40">
        <v>45292.842556261574</v>
      </c>
      <c r="D1122" s="1" t="s">
        <v>121</v>
      </c>
    </row>
    <row r="1123">
      <c r="A1123" s="40">
        <v>45292.842638587965</v>
      </c>
      <c r="D1123" s="1" t="s">
        <v>121</v>
      </c>
    </row>
    <row r="1124">
      <c r="A1124" s="40">
        <v>45292.84271456019</v>
      </c>
      <c r="D1124" s="1" t="s">
        <v>121</v>
      </c>
    </row>
    <row r="1125">
      <c r="A1125" s="40">
        <v>45292.84278767361</v>
      </c>
      <c r="D1125" s="1" t="s">
        <v>121</v>
      </c>
    </row>
    <row r="1126">
      <c r="A1126" s="40">
        <v>45293.46351208333</v>
      </c>
      <c r="B1126" s="1" t="s">
        <v>83</v>
      </c>
      <c r="D1126" s="1" t="s">
        <v>120</v>
      </c>
    </row>
    <row r="1127">
      <c r="A1127" s="40">
        <v>45294.50019579861</v>
      </c>
      <c r="B1127" s="1" t="s">
        <v>83</v>
      </c>
      <c r="D1127" s="1" t="s">
        <v>120</v>
      </c>
      <c r="F1127" s="1" t="s">
        <v>150</v>
      </c>
      <c r="G1127" s="1" t="s">
        <v>140</v>
      </c>
    </row>
    <row r="1128">
      <c r="A1128" s="40">
        <v>45295.425762824074</v>
      </c>
      <c r="B1128" s="1" t="s">
        <v>83</v>
      </c>
      <c r="C1128" s="1" t="s">
        <v>91</v>
      </c>
      <c r="D1128" s="1" t="s">
        <v>113</v>
      </c>
    </row>
    <row r="1129">
      <c r="A1129" s="40">
        <v>45296.468892731486</v>
      </c>
      <c r="B1129" s="1" t="s">
        <v>83</v>
      </c>
      <c r="C1129" s="1" t="s">
        <v>91</v>
      </c>
      <c r="D1129" s="1" t="s">
        <v>113</v>
      </c>
      <c r="F1129" s="1" t="s">
        <v>147</v>
      </c>
      <c r="G1129" s="1" t="s">
        <v>140</v>
      </c>
    </row>
    <row r="1130">
      <c r="A1130" s="40">
        <v>45297.4625612963</v>
      </c>
      <c r="D1130" s="1" t="s">
        <v>118</v>
      </c>
    </row>
    <row r="1131">
      <c r="A1131" s="40">
        <v>45297.46267628472</v>
      </c>
      <c r="B1131" s="1" t="s">
        <v>83</v>
      </c>
      <c r="C1131" s="1" t="s">
        <v>91</v>
      </c>
      <c r="D1131" s="1" t="s">
        <v>113</v>
      </c>
    </row>
    <row r="1132">
      <c r="A1132" s="40">
        <v>45298.44816371528</v>
      </c>
      <c r="C1132" s="1" t="s">
        <v>2</v>
      </c>
      <c r="D1132" s="1" t="s">
        <v>113</v>
      </c>
      <c r="F1132" s="1" t="s">
        <v>150</v>
      </c>
      <c r="G1132" s="1" t="s">
        <v>140</v>
      </c>
    </row>
    <row r="1133">
      <c r="A1133" s="40">
        <v>45299.472091296295</v>
      </c>
      <c r="B1133" s="1" t="s">
        <v>1</v>
      </c>
      <c r="D1133" s="1" t="s">
        <v>107</v>
      </c>
      <c r="E1133" s="1" t="s">
        <v>127</v>
      </c>
      <c r="F1133" s="1" t="s">
        <v>146</v>
      </c>
      <c r="G1133" s="1" t="s">
        <v>140</v>
      </c>
    </row>
    <row r="1134">
      <c r="A1134" s="40">
        <v>45300.467193668985</v>
      </c>
      <c r="B1134" s="1" t="s">
        <v>1</v>
      </c>
      <c r="D1134" s="1" t="s">
        <v>107</v>
      </c>
      <c r="E1134" s="1" t="s">
        <v>127</v>
      </c>
      <c r="F1134" s="1" t="s">
        <v>146</v>
      </c>
      <c r="G1134" s="1" t="s">
        <v>140</v>
      </c>
    </row>
    <row r="1135">
      <c r="A1135" s="40">
        <v>45302.47651638889</v>
      </c>
      <c r="C1135" s="1" t="s">
        <v>91</v>
      </c>
      <c r="F1135" s="1" t="s">
        <v>146</v>
      </c>
      <c r="G1135" s="1" t="s">
        <v>140</v>
      </c>
    </row>
    <row r="1136">
      <c r="A1136" s="40">
        <v>45302.47661738426</v>
      </c>
      <c r="C1136" s="1" t="s">
        <v>91</v>
      </c>
      <c r="F1136" s="1" t="s">
        <v>146</v>
      </c>
      <c r="G1136" s="1" t="s">
        <v>140</v>
      </c>
    </row>
    <row r="1137">
      <c r="A1137" s="40">
        <v>45303.44554</v>
      </c>
      <c r="C1137" s="1" t="s">
        <v>91</v>
      </c>
      <c r="F1137" s="1" t="s">
        <v>146</v>
      </c>
      <c r="G1137" s="1" t="s">
        <v>140</v>
      </c>
    </row>
    <row r="1138">
      <c r="A1138" s="40">
        <v>45303.86991828703</v>
      </c>
      <c r="B1138" s="1" t="s">
        <v>84</v>
      </c>
    </row>
    <row r="1139">
      <c r="A1139" s="40">
        <v>45303.86998159722</v>
      </c>
      <c r="B1139" s="1" t="s">
        <v>84</v>
      </c>
    </row>
    <row r="1140">
      <c r="A1140" s="40">
        <v>45303.87005370371</v>
      </c>
      <c r="B1140" s="1" t="s">
        <v>84</v>
      </c>
    </row>
    <row r="1141">
      <c r="A1141" s="40">
        <v>45303.87351268518</v>
      </c>
      <c r="D1141" s="1" t="s">
        <v>115</v>
      </c>
    </row>
    <row r="1142">
      <c r="A1142" s="40">
        <v>45303.873671284724</v>
      </c>
      <c r="D1142" s="1" t="s">
        <v>115</v>
      </c>
    </row>
    <row r="1143">
      <c r="A1143" s="40">
        <v>45303.873827812495</v>
      </c>
      <c r="D1143" s="1" t="s">
        <v>115</v>
      </c>
    </row>
    <row r="1144">
      <c r="A1144" s="40">
        <v>45304.88007248843</v>
      </c>
      <c r="B1144" s="1" t="s">
        <v>84</v>
      </c>
      <c r="C1144" s="1" t="s">
        <v>91</v>
      </c>
      <c r="D1144" s="1" t="s">
        <v>115</v>
      </c>
      <c r="F1144" s="1" t="s">
        <v>150</v>
      </c>
      <c r="G1144" s="1" t="s">
        <v>140</v>
      </c>
    </row>
    <row r="1145">
      <c r="A1145" s="40">
        <v>45305.42870449074</v>
      </c>
      <c r="B1145" s="1" t="s">
        <v>0</v>
      </c>
      <c r="C1145" s="1" t="s">
        <v>97</v>
      </c>
      <c r="D1145" s="1" t="s">
        <v>112</v>
      </c>
      <c r="F1145" s="1" t="s">
        <v>150</v>
      </c>
      <c r="G1145" s="1" t="s">
        <v>140</v>
      </c>
    </row>
    <row r="1146">
      <c r="A1146" s="40">
        <v>45306.520797916666</v>
      </c>
      <c r="B1146" s="1" t="s">
        <v>0</v>
      </c>
      <c r="C1146" s="1" t="s">
        <v>97</v>
      </c>
      <c r="D1146" s="1" t="s">
        <v>112</v>
      </c>
      <c r="F1146" s="1" t="s">
        <v>150</v>
      </c>
      <c r="G1146" s="1" t="s">
        <v>140</v>
      </c>
    </row>
    <row r="1147">
      <c r="A1147" s="40">
        <v>45307.4401369213</v>
      </c>
      <c r="B1147" s="1" t="s">
        <v>1</v>
      </c>
      <c r="D1147" s="1" t="s">
        <v>107</v>
      </c>
      <c r="E1147" s="1" t="s">
        <v>127</v>
      </c>
      <c r="F1147" s="1" t="s">
        <v>146</v>
      </c>
      <c r="G1147" s="1" t="s">
        <v>139</v>
      </c>
    </row>
    <row r="1148">
      <c r="A1148" s="40">
        <v>45308.646732511574</v>
      </c>
      <c r="B1148" s="1" t="s">
        <v>0</v>
      </c>
      <c r="C1148" s="1" t="s">
        <v>91</v>
      </c>
      <c r="D1148" s="1" t="s">
        <v>113</v>
      </c>
      <c r="F1148" s="1" t="s">
        <v>150</v>
      </c>
      <c r="G1148" s="1" t="s">
        <v>140</v>
      </c>
    </row>
    <row r="1149">
      <c r="A1149" s="40">
        <v>45309.48368230324</v>
      </c>
      <c r="B1149" s="1" t="s">
        <v>0</v>
      </c>
      <c r="C1149" s="1" t="s">
        <v>91</v>
      </c>
      <c r="D1149" s="1" t="s">
        <v>113</v>
      </c>
    </row>
    <row r="1150">
      <c r="A1150" s="40">
        <v>45309.694057291665</v>
      </c>
      <c r="F1150" s="1" t="s">
        <v>150</v>
      </c>
      <c r="G1150" s="1" t="s">
        <v>140</v>
      </c>
    </row>
    <row r="1151">
      <c r="A1151" s="40">
        <v>45310.440198020835</v>
      </c>
      <c r="B1151" s="1" t="s">
        <v>0</v>
      </c>
      <c r="C1151" s="1" t="s">
        <v>91</v>
      </c>
      <c r="D1151" s="1" t="s">
        <v>110</v>
      </c>
      <c r="F1151" s="1" t="s">
        <v>150</v>
      </c>
      <c r="G1151" s="1" t="s">
        <v>140</v>
      </c>
    </row>
    <row r="1152">
      <c r="A1152" s="40">
        <v>45311.45476451389</v>
      </c>
      <c r="B1152" s="1" t="s">
        <v>0</v>
      </c>
      <c r="C1152" s="1" t="s">
        <v>91</v>
      </c>
      <c r="D1152" s="1" t="s">
        <v>110</v>
      </c>
      <c r="F1152" s="1" t="s">
        <v>150</v>
      </c>
      <c r="G1152" s="1" t="s">
        <v>140</v>
      </c>
    </row>
    <row r="1153">
      <c r="A1153" s="40">
        <v>45312.413672442126</v>
      </c>
      <c r="B1153" s="1" t="s">
        <v>83</v>
      </c>
      <c r="C1153" s="1" t="s">
        <v>91</v>
      </c>
      <c r="D1153" s="1" t="s">
        <v>114</v>
      </c>
      <c r="F1153" s="1" t="s">
        <v>150</v>
      </c>
      <c r="G1153" s="1" t="s">
        <v>140</v>
      </c>
    </row>
    <row r="1154">
      <c r="A1154" s="40">
        <v>45313.4288682176</v>
      </c>
      <c r="B1154" s="1" t="s">
        <v>84</v>
      </c>
      <c r="C1154" s="1" t="s">
        <v>91</v>
      </c>
      <c r="D1154" s="1" t="s">
        <v>115</v>
      </c>
      <c r="F1154" s="1" t="s">
        <v>150</v>
      </c>
      <c r="G1154" s="1" t="s">
        <v>139</v>
      </c>
    </row>
    <row r="1155">
      <c r="A1155" s="40">
        <v>45314.74093115741</v>
      </c>
      <c r="B1155" s="1" t="s">
        <v>84</v>
      </c>
      <c r="C1155" s="1" t="s">
        <v>91</v>
      </c>
      <c r="D1155" s="1" t="s">
        <v>115</v>
      </c>
      <c r="F1155" s="1" t="s">
        <v>150</v>
      </c>
      <c r="G1155" s="1" t="s">
        <v>139</v>
      </c>
    </row>
    <row r="1156">
      <c r="A1156" s="40">
        <v>45315.457329930556</v>
      </c>
      <c r="B1156" s="1" t="s">
        <v>83</v>
      </c>
      <c r="C1156" s="1" t="s">
        <v>91</v>
      </c>
      <c r="D1156" s="1" t="s">
        <v>116</v>
      </c>
      <c r="F1156" s="1" t="s">
        <v>146</v>
      </c>
      <c r="G1156" s="1" t="s">
        <v>139</v>
      </c>
    </row>
    <row r="1157">
      <c r="A1157" s="40">
        <v>45316.461542743054</v>
      </c>
      <c r="B1157" s="1" t="s">
        <v>83</v>
      </c>
      <c r="C1157" s="1" t="s">
        <v>91</v>
      </c>
      <c r="D1157" s="1" t="s">
        <v>116</v>
      </c>
      <c r="F1157" s="1" t="s">
        <v>146</v>
      </c>
      <c r="G1157" s="1" t="s">
        <v>139</v>
      </c>
    </row>
    <row r="1158">
      <c r="A1158" s="40">
        <v>45317.42914815972</v>
      </c>
      <c r="B1158" s="1" t="s">
        <v>83</v>
      </c>
      <c r="C1158" s="1" t="s">
        <v>91</v>
      </c>
      <c r="D1158" s="1" t="s">
        <v>116</v>
      </c>
      <c r="F1158" s="1" t="s">
        <v>146</v>
      </c>
      <c r="G1158" s="1" t="s">
        <v>139</v>
      </c>
    </row>
    <row r="1159">
      <c r="A1159" s="40">
        <v>45318.75897027778</v>
      </c>
      <c r="B1159" s="1" t="s">
        <v>83</v>
      </c>
      <c r="C1159" s="1" t="s">
        <v>91</v>
      </c>
      <c r="D1159" s="1" t="s">
        <v>116</v>
      </c>
      <c r="F1159" s="1" t="s">
        <v>147</v>
      </c>
      <c r="G1159" s="1" t="s">
        <v>139</v>
      </c>
    </row>
    <row r="1160">
      <c r="A1160" s="40">
        <v>45319.4277153588</v>
      </c>
      <c r="B1160" s="1" t="s">
        <v>83</v>
      </c>
      <c r="C1160" s="1" t="s">
        <v>91</v>
      </c>
      <c r="D1160" s="1" t="s">
        <v>112</v>
      </c>
      <c r="F1160" s="1" t="s">
        <v>147</v>
      </c>
      <c r="G1160" s="1" t="s">
        <v>139</v>
      </c>
    </row>
    <row r="1161">
      <c r="A1161" s="40">
        <v>45320.49742075232</v>
      </c>
      <c r="B1161" s="1" t="s">
        <v>77</v>
      </c>
      <c r="D1161" s="1" t="s">
        <v>121</v>
      </c>
      <c r="F1161" s="1" t="s">
        <v>147</v>
      </c>
      <c r="G1161" s="1" t="s">
        <v>139</v>
      </c>
    </row>
    <row r="1162">
      <c r="A1162" s="40">
        <v>45321.46488584491</v>
      </c>
      <c r="B1162" s="1" t="s">
        <v>77</v>
      </c>
      <c r="C1162" s="1" t="s">
        <v>91</v>
      </c>
      <c r="D1162" s="1" t="s">
        <v>118</v>
      </c>
      <c r="F1162" s="1" t="s">
        <v>147</v>
      </c>
      <c r="G1162" s="1" t="s">
        <v>139</v>
      </c>
    </row>
    <row r="1163">
      <c r="A1163" s="40">
        <v>45322.45861736111</v>
      </c>
      <c r="B1163" s="1" t="s">
        <v>77</v>
      </c>
      <c r="C1163" s="1" t="s">
        <v>91</v>
      </c>
      <c r="D1163" s="1" t="s">
        <v>118</v>
      </c>
      <c r="F1163" s="1" t="s">
        <v>147</v>
      </c>
      <c r="G1163" s="1" t="s">
        <v>139</v>
      </c>
    </row>
    <row r="1164">
      <c r="A1164" s="40">
        <v>45323.503533842595</v>
      </c>
      <c r="B1164" s="1" t="s">
        <v>84</v>
      </c>
      <c r="C1164" s="1" t="s">
        <v>92</v>
      </c>
      <c r="D1164" s="1" t="s">
        <v>115</v>
      </c>
      <c r="F1164" s="1" t="s">
        <v>146</v>
      </c>
      <c r="G1164" s="1" t="s">
        <v>139</v>
      </c>
    </row>
    <row r="1165">
      <c r="A1165" s="40">
        <v>45324.4487240625</v>
      </c>
      <c r="B1165" s="1" t="s">
        <v>84</v>
      </c>
      <c r="C1165" s="1" t="s">
        <v>92</v>
      </c>
      <c r="D1165" s="1" t="s">
        <v>115</v>
      </c>
      <c r="F1165" s="1" t="s">
        <v>150</v>
      </c>
    </row>
    <row r="1166">
      <c r="A1166" s="40">
        <v>45325.65398120371</v>
      </c>
      <c r="B1166" s="1" t="s">
        <v>84</v>
      </c>
      <c r="C1166" s="1" t="s">
        <v>92</v>
      </c>
      <c r="D1166" s="1" t="s">
        <v>115</v>
      </c>
      <c r="F1166" s="1" t="s">
        <v>150</v>
      </c>
    </row>
    <row r="1167">
      <c r="A1167" s="40">
        <v>45326.575250740745</v>
      </c>
      <c r="C1167" s="1" t="s">
        <v>92</v>
      </c>
      <c r="F1167" s="1" t="s">
        <v>150</v>
      </c>
    </row>
    <row r="1168">
      <c r="A1168" s="40">
        <v>45328.30959052083</v>
      </c>
      <c r="B1168" s="1" t="s">
        <v>1</v>
      </c>
      <c r="C1168" s="1" t="s">
        <v>2</v>
      </c>
      <c r="D1168" s="1" t="s">
        <v>114</v>
      </c>
      <c r="F1168" s="1" t="s">
        <v>150</v>
      </c>
    </row>
    <row r="1169">
      <c r="A1169" s="40">
        <v>45328.3099190162</v>
      </c>
      <c r="B1169" s="1" t="s">
        <v>1</v>
      </c>
      <c r="C1169" s="1" t="s">
        <v>2</v>
      </c>
      <c r="D1169" s="1" t="s">
        <v>114</v>
      </c>
      <c r="F1169" s="1" t="s">
        <v>150</v>
      </c>
    </row>
    <row r="1170">
      <c r="A1170" s="40">
        <v>45328.310054918984</v>
      </c>
      <c r="C1170" s="1" t="s">
        <v>2</v>
      </c>
      <c r="F1170" s="1" t="s">
        <v>150</v>
      </c>
    </row>
    <row r="1171">
      <c r="A1171" s="40">
        <v>45329.54413546296</v>
      </c>
      <c r="B1171" s="1" t="s">
        <v>1</v>
      </c>
      <c r="C1171" s="1" t="s">
        <v>92</v>
      </c>
      <c r="D1171" s="1" t="s">
        <v>114</v>
      </c>
      <c r="F1171" s="1" t="s">
        <v>150</v>
      </c>
    </row>
    <row r="1172">
      <c r="A1172" s="40">
        <v>45329.54421988426</v>
      </c>
      <c r="C1172" s="1" t="s">
        <v>2</v>
      </c>
    </row>
    <row r="1173">
      <c r="A1173" s="40">
        <v>45330.93181400463</v>
      </c>
      <c r="B1173" s="1" t="s">
        <v>1</v>
      </c>
      <c r="C1173" s="1" t="s">
        <v>92</v>
      </c>
      <c r="D1173" s="1" t="s">
        <v>115</v>
      </c>
      <c r="F1173" s="1" t="s">
        <v>150</v>
      </c>
    </row>
    <row r="1174">
      <c r="A1174" s="40">
        <v>45331.75657</v>
      </c>
      <c r="C1174" s="1" t="s">
        <v>92</v>
      </c>
    </row>
    <row r="1175">
      <c r="A1175" s="40">
        <v>45331.756665671295</v>
      </c>
      <c r="F1175" s="1" t="s">
        <v>150</v>
      </c>
    </row>
    <row r="1176">
      <c r="A1176" s="40">
        <v>45332.493723125</v>
      </c>
      <c r="B1176" s="1" t="s">
        <v>84</v>
      </c>
      <c r="C1176" s="1" t="s">
        <v>92</v>
      </c>
      <c r="D1176" s="1" t="s">
        <v>116</v>
      </c>
      <c r="F1176" s="1" t="s">
        <v>150</v>
      </c>
    </row>
    <row r="1177">
      <c r="A1177" s="40">
        <v>45333.50282083334</v>
      </c>
      <c r="B1177" s="1" t="s">
        <v>84</v>
      </c>
      <c r="C1177" s="1" t="s">
        <v>92</v>
      </c>
      <c r="D1177" s="1" t="s">
        <v>116</v>
      </c>
      <c r="F1177" s="1" t="s">
        <v>150</v>
      </c>
    </row>
    <row r="1178">
      <c r="A1178" s="40">
        <v>45334.52022853009</v>
      </c>
      <c r="B1178" s="1" t="s">
        <v>77</v>
      </c>
      <c r="D1178" s="1" t="s">
        <v>121</v>
      </c>
      <c r="F1178" s="1" t="s">
        <v>147</v>
      </c>
      <c r="G1178" s="1" t="s">
        <v>139</v>
      </c>
    </row>
    <row r="1179">
      <c r="A1179" s="40">
        <v>45335.48125252315</v>
      </c>
      <c r="B1179" s="1" t="s">
        <v>77</v>
      </c>
      <c r="D1179" s="1" t="s">
        <v>121</v>
      </c>
      <c r="F1179" s="1" t="s">
        <v>147</v>
      </c>
      <c r="G1179" s="1" t="s">
        <v>139</v>
      </c>
    </row>
    <row r="1180">
      <c r="A1180" s="40">
        <v>45336.639548287036</v>
      </c>
      <c r="B1180" s="1" t="s">
        <v>77</v>
      </c>
      <c r="D1180" s="1" t="s">
        <v>121</v>
      </c>
      <c r="F1180" s="1" t="s">
        <v>147</v>
      </c>
      <c r="G1180" s="1" t="s">
        <v>139</v>
      </c>
    </row>
    <row r="1181">
      <c r="A1181" s="40">
        <v>45337.42251284722</v>
      </c>
      <c r="B1181" s="1" t="s">
        <v>0</v>
      </c>
      <c r="C1181" s="1" t="s">
        <v>91</v>
      </c>
      <c r="D1181" s="1" t="s">
        <v>109</v>
      </c>
      <c r="F1181" s="1" t="s">
        <v>150</v>
      </c>
      <c r="G1181" s="1" t="s">
        <v>140</v>
      </c>
    </row>
    <row r="1182">
      <c r="A1182" s="40">
        <v>45338.45122967593</v>
      </c>
      <c r="B1182" s="1" t="s">
        <v>0</v>
      </c>
      <c r="C1182" s="1" t="s">
        <v>91</v>
      </c>
      <c r="D1182" s="1" t="s">
        <v>109</v>
      </c>
      <c r="F1182" s="1" t="s">
        <v>150</v>
      </c>
      <c r="G1182" s="1" t="s">
        <v>140</v>
      </c>
    </row>
    <row r="1183">
      <c r="A1183" s="40">
        <v>45339.40648697916</v>
      </c>
      <c r="B1183" s="1" t="s">
        <v>0</v>
      </c>
      <c r="C1183" s="1" t="s">
        <v>91</v>
      </c>
      <c r="D1183" s="1" t="s">
        <v>109</v>
      </c>
      <c r="F1183" s="1" t="s">
        <v>150</v>
      </c>
      <c r="G1183" s="1" t="s">
        <v>140</v>
      </c>
    </row>
    <row r="1184">
      <c r="A1184" s="40">
        <v>45340.43554392361</v>
      </c>
      <c r="B1184" s="1" t="s">
        <v>0</v>
      </c>
      <c r="C1184" s="1" t="s">
        <v>91</v>
      </c>
      <c r="D1184" s="1" t="s">
        <v>110</v>
      </c>
    </row>
    <row r="1185">
      <c r="A1185" s="40">
        <v>45341.4377122338</v>
      </c>
      <c r="B1185" s="1" t="s">
        <v>77</v>
      </c>
      <c r="D1185" s="1" t="s">
        <v>105</v>
      </c>
      <c r="E1185" s="1" t="s">
        <v>134</v>
      </c>
      <c r="F1185" s="1" t="s">
        <v>146</v>
      </c>
      <c r="G1185" s="1" t="s">
        <v>139</v>
      </c>
    </row>
    <row r="1186">
      <c r="A1186" s="40">
        <v>45342.44595866898</v>
      </c>
      <c r="B1186" s="1" t="s">
        <v>77</v>
      </c>
      <c r="D1186" s="1" t="s">
        <v>105</v>
      </c>
      <c r="E1186" s="1" t="s">
        <v>134</v>
      </c>
      <c r="F1186" s="1" t="s">
        <v>146</v>
      </c>
      <c r="G1186" s="1" t="s">
        <v>139</v>
      </c>
    </row>
    <row r="1187">
      <c r="A1187" s="40">
        <v>45343.530734189815</v>
      </c>
      <c r="B1187" s="1" t="s">
        <v>77</v>
      </c>
      <c r="C1187" s="1" t="s">
        <v>92</v>
      </c>
      <c r="D1187" s="1" t="s">
        <v>125</v>
      </c>
      <c r="F1187" s="1" t="s">
        <v>147</v>
      </c>
      <c r="G1187" s="1" t="s">
        <v>139</v>
      </c>
    </row>
    <row r="1188">
      <c r="A1188" s="40">
        <v>45344.41731266204</v>
      </c>
      <c r="B1188" s="1" t="s">
        <v>77</v>
      </c>
      <c r="C1188" s="1" t="s">
        <v>92</v>
      </c>
      <c r="D1188" s="1" t="s">
        <v>125</v>
      </c>
      <c r="F1188" s="1" t="s">
        <v>147</v>
      </c>
      <c r="G1188" s="1" t="s">
        <v>139</v>
      </c>
    </row>
    <row r="1189">
      <c r="A1189" s="40">
        <v>45345.4404449537</v>
      </c>
      <c r="B1189" s="1" t="s">
        <v>83</v>
      </c>
      <c r="C1189" s="1" t="s">
        <v>2</v>
      </c>
      <c r="D1189" s="1" t="s">
        <v>114</v>
      </c>
      <c r="F1189" s="1" t="s">
        <v>150</v>
      </c>
      <c r="G1189" s="1" t="s">
        <v>140</v>
      </c>
    </row>
    <row r="1190">
      <c r="A1190" s="40">
        <v>45346.48598354167</v>
      </c>
      <c r="B1190" s="1" t="s">
        <v>83</v>
      </c>
      <c r="C1190" s="1" t="s">
        <v>2</v>
      </c>
      <c r="D1190" s="1" t="s">
        <v>114</v>
      </c>
      <c r="F1190" s="1" t="s">
        <v>147</v>
      </c>
      <c r="G1190" s="1" t="s">
        <v>140</v>
      </c>
    </row>
    <row r="1191">
      <c r="A1191" s="40">
        <v>45347.450771296295</v>
      </c>
      <c r="B1191" s="1" t="s">
        <v>83</v>
      </c>
      <c r="C1191" s="1" t="s">
        <v>2</v>
      </c>
      <c r="D1191" s="1" t="s">
        <v>114</v>
      </c>
      <c r="F1191" s="1" t="s">
        <v>150</v>
      </c>
      <c r="G1191" s="1" t="s">
        <v>140</v>
      </c>
    </row>
    <row r="1192">
      <c r="A1192" s="40">
        <v>45348.43337679398</v>
      </c>
      <c r="B1192" s="1" t="s">
        <v>83</v>
      </c>
      <c r="C1192" s="1" t="s">
        <v>91</v>
      </c>
      <c r="D1192" s="1" t="s">
        <v>116</v>
      </c>
      <c r="F1192" s="1" t="s">
        <v>150</v>
      </c>
      <c r="G1192" s="1" t="s">
        <v>140</v>
      </c>
    </row>
    <row r="1193">
      <c r="A1193" s="40">
        <v>45349.444043043986</v>
      </c>
      <c r="B1193" s="1" t="s">
        <v>83</v>
      </c>
      <c r="C1193" s="1" t="s">
        <v>91</v>
      </c>
      <c r="D1193" s="1" t="s">
        <v>116</v>
      </c>
    </row>
    <row r="1194">
      <c r="A1194" s="40">
        <v>45350.43005925926</v>
      </c>
      <c r="B1194" s="1" t="s">
        <v>1</v>
      </c>
      <c r="C1194" s="1" t="s">
        <v>91</v>
      </c>
      <c r="D1194" s="1" t="s">
        <v>103</v>
      </c>
      <c r="F1194" s="1" t="s">
        <v>150</v>
      </c>
      <c r="G1194" s="1" t="s">
        <v>140</v>
      </c>
    </row>
    <row r="1195">
      <c r="A1195" s="40">
        <v>45351.4300425</v>
      </c>
      <c r="B1195" s="1" t="s">
        <v>1</v>
      </c>
      <c r="C1195" s="1" t="s">
        <v>91</v>
      </c>
      <c r="D1195" s="1" t="s">
        <v>103</v>
      </c>
      <c r="F1195" s="1" t="s">
        <v>150</v>
      </c>
      <c r="G1195" s="1" t="s">
        <v>140</v>
      </c>
    </row>
    <row r="1196">
      <c r="A1196" s="40">
        <v>45352.43814046297</v>
      </c>
      <c r="B1196" s="1" t="s">
        <v>1</v>
      </c>
      <c r="C1196" s="1" t="s">
        <v>97</v>
      </c>
      <c r="D1196" s="1" t="s">
        <v>102</v>
      </c>
      <c r="F1196" s="1" t="s">
        <v>146</v>
      </c>
      <c r="G1196" s="1" t="s">
        <v>140</v>
      </c>
    </row>
    <row r="1197">
      <c r="A1197" s="40">
        <v>45353.448678125</v>
      </c>
      <c r="B1197" s="1" t="s">
        <v>77</v>
      </c>
      <c r="C1197" s="1" t="s">
        <v>92</v>
      </c>
      <c r="D1197" s="1" t="s">
        <v>125</v>
      </c>
      <c r="F1197" s="1" t="s">
        <v>147</v>
      </c>
      <c r="G1197" s="1" t="s">
        <v>140</v>
      </c>
    </row>
    <row r="1198">
      <c r="A1198" s="40">
        <v>45354.60083876157</v>
      </c>
      <c r="B1198" s="1" t="s">
        <v>77</v>
      </c>
      <c r="D1198" s="1" t="s">
        <v>121</v>
      </c>
      <c r="F1198" s="1" t="s">
        <v>147</v>
      </c>
      <c r="G1198" s="1" t="s">
        <v>139</v>
      </c>
    </row>
    <row r="1199">
      <c r="A1199" s="40">
        <v>45355.43345986111</v>
      </c>
      <c r="B1199" s="1" t="s">
        <v>77</v>
      </c>
      <c r="D1199" s="1" t="s">
        <v>121</v>
      </c>
      <c r="F1199" s="1" t="s">
        <v>147</v>
      </c>
      <c r="G1199" s="1" t="s">
        <v>139</v>
      </c>
    </row>
    <row r="1200">
      <c r="A1200" s="40">
        <v>45356.453575949075</v>
      </c>
      <c r="B1200" s="1" t="s">
        <v>83</v>
      </c>
      <c r="C1200" s="1" t="s">
        <v>91</v>
      </c>
      <c r="D1200" s="1" t="s">
        <v>116</v>
      </c>
      <c r="F1200" s="1" t="s">
        <v>147</v>
      </c>
      <c r="G1200" s="1" t="s">
        <v>139</v>
      </c>
    </row>
    <row r="1201">
      <c r="A1201" s="40">
        <v>45357.45080490741</v>
      </c>
      <c r="B1201" s="1" t="s">
        <v>83</v>
      </c>
      <c r="C1201" s="1" t="s">
        <v>91</v>
      </c>
      <c r="D1201" s="1" t="s">
        <v>116</v>
      </c>
      <c r="F1201" s="1" t="s">
        <v>147</v>
      </c>
      <c r="G1201" s="1" t="s">
        <v>139</v>
      </c>
    </row>
    <row r="1202">
      <c r="A1202" s="40">
        <v>45358.47081832176</v>
      </c>
      <c r="B1202" s="1" t="s">
        <v>83</v>
      </c>
      <c r="C1202" s="1" t="s">
        <v>92</v>
      </c>
      <c r="D1202" s="1" t="s">
        <v>125</v>
      </c>
      <c r="F1202" s="1" t="s">
        <v>147</v>
      </c>
      <c r="G1202" s="1" t="s">
        <v>139</v>
      </c>
    </row>
    <row r="1203">
      <c r="A1203" s="40">
        <v>45359.508226018515</v>
      </c>
      <c r="B1203" s="1" t="s">
        <v>83</v>
      </c>
      <c r="C1203" s="1" t="s">
        <v>92</v>
      </c>
      <c r="D1203" s="1" t="s">
        <v>125</v>
      </c>
      <c r="F1203" s="1" t="s">
        <v>147</v>
      </c>
      <c r="G1203" s="1" t="s">
        <v>139</v>
      </c>
    </row>
    <row r="1204">
      <c r="A1204" s="40">
        <v>45360.50366240741</v>
      </c>
      <c r="B1204" s="1" t="s">
        <v>83</v>
      </c>
      <c r="C1204" s="1" t="s">
        <v>92</v>
      </c>
      <c r="D1204" s="1" t="s">
        <v>118</v>
      </c>
      <c r="F1204" s="1" t="s">
        <v>147</v>
      </c>
      <c r="G1204" s="1" t="s">
        <v>139</v>
      </c>
    </row>
    <row r="1205">
      <c r="A1205" s="40">
        <v>45361.42844304398</v>
      </c>
      <c r="B1205" s="1" t="s">
        <v>1</v>
      </c>
      <c r="C1205" s="1" t="s">
        <v>92</v>
      </c>
      <c r="D1205" s="1" t="s">
        <v>115</v>
      </c>
      <c r="F1205" s="1" t="s">
        <v>147</v>
      </c>
    </row>
    <row r="1206">
      <c r="A1206" s="40">
        <v>45361.42861664352</v>
      </c>
      <c r="B1206" s="1" t="s">
        <v>1</v>
      </c>
      <c r="D1206" s="1" t="s">
        <v>115</v>
      </c>
    </row>
    <row r="1207">
      <c r="A1207" s="40">
        <v>45362.49260142361</v>
      </c>
      <c r="B1207" s="1" t="s">
        <v>84</v>
      </c>
      <c r="C1207" s="1" t="s">
        <v>91</v>
      </c>
      <c r="D1207" s="1" t="s">
        <v>115</v>
      </c>
      <c r="F1207" s="1" t="s">
        <v>150</v>
      </c>
    </row>
    <row r="1208">
      <c r="A1208" s="40">
        <v>45363.432494479166</v>
      </c>
      <c r="B1208" s="1" t="s">
        <v>84</v>
      </c>
      <c r="C1208" s="1" t="s">
        <v>91</v>
      </c>
      <c r="D1208" s="1" t="s">
        <v>115</v>
      </c>
      <c r="F1208" s="1" t="s">
        <v>150</v>
      </c>
    </row>
    <row r="1209">
      <c r="A1209" s="40">
        <v>45364.41746078704</v>
      </c>
      <c r="B1209" s="1" t="s">
        <v>84</v>
      </c>
      <c r="C1209" s="1" t="s">
        <v>91</v>
      </c>
      <c r="D1209" s="1" t="s">
        <v>116</v>
      </c>
      <c r="F1209" s="1" t="s">
        <v>150</v>
      </c>
      <c r="G1209" s="1" t="s">
        <v>140</v>
      </c>
    </row>
    <row r="1210">
      <c r="A1210" s="40">
        <v>45365.52686881945</v>
      </c>
      <c r="B1210" s="1" t="s">
        <v>77</v>
      </c>
      <c r="D1210" s="1" t="s">
        <v>121</v>
      </c>
      <c r="F1210" s="1" t="s">
        <v>147</v>
      </c>
      <c r="G1210" s="1" t="s">
        <v>139</v>
      </c>
    </row>
    <row r="1211">
      <c r="A1211" s="40">
        <v>45366.54539377315</v>
      </c>
      <c r="B1211" s="1" t="s">
        <v>77</v>
      </c>
      <c r="D1211" s="1" t="s">
        <v>121</v>
      </c>
      <c r="F1211" s="1" t="s">
        <v>147</v>
      </c>
      <c r="G1211" s="1" t="s">
        <v>139</v>
      </c>
    </row>
    <row r="1212">
      <c r="A1212" s="40">
        <v>45367.47312685185</v>
      </c>
      <c r="B1212" s="1" t="s">
        <v>77</v>
      </c>
      <c r="E1212" s="1" t="s">
        <v>132</v>
      </c>
      <c r="F1212" s="1" t="s">
        <v>147</v>
      </c>
      <c r="G1212" s="1" t="s">
        <v>139</v>
      </c>
    </row>
    <row r="1213">
      <c r="A1213" s="40">
        <v>45368.687668321756</v>
      </c>
      <c r="B1213" s="1" t="s">
        <v>77</v>
      </c>
      <c r="D1213" s="1" t="s">
        <v>121</v>
      </c>
      <c r="F1213" s="1" t="s">
        <v>147</v>
      </c>
      <c r="G1213" s="1" t="s">
        <v>139</v>
      </c>
    </row>
    <row r="1214">
      <c r="A1214" s="40">
        <v>45368.86391847223</v>
      </c>
      <c r="G1214" s="1" t="s">
        <v>142</v>
      </c>
    </row>
    <row r="1215">
      <c r="A1215" s="40">
        <v>45368.86400340278</v>
      </c>
      <c r="G1215" s="1" t="s">
        <v>142</v>
      </c>
    </row>
    <row r="1216">
      <c r="A1216" s="40">
        <v>45368.86406986111</v>
      </c>
      <c r="G1216" s="1" t="s">
        <v>142</v>
      </c>
    </row>
    <row r="1217">
      <c r="A1217" s="40">
        <v>45368.86412916667</v>
      </c>
      <c r="G1217" s="1" t="s">
        <v>142</v>
      </c>
    </row>
    <row r="1218">
      <c r="A1218" s="40">
        <v>45368.86418616898</v>
      </c>
      <c r="G1218" s="1" t="s">
        <v>142</v>
      </c>
    </row>
    <row r="1219">
      <c r="A1219" s="40">
        <v>45369.42549155092</v>
      </c>
      <c r="B1219" s="1" t="s">
        <v>77</v>
      </c>
      <c r="C1219" s="1" t="s">
        <v>97</v>
      </c>
      <c r="D1219" s="1" t="s">
        <v>110</v>
      </c>
      <c r="F1219" s="1" t="s">
        <v>150</v>
      </c>
      <c r="G1219" s="1" t="s">
        <v>140</v>
      </c>
    </row>
    <row r="1220">
      <c r="A1220" s="40">
        <v>45370.41912579861</v>
      </c>
      <c r="B1220" s="1" t="s">
        <v>77</v>
      </c>
      <c r="C1220" s="1" t="s">
        <v>91</v>
      </c>
      <c r="D1220" s="1" t="s">
        <v>116</v>
      </c>
      <c r="F1220" s="1" t="s">
        <v>147</v>
      </c>
      <c r="G1220" s="1" t="s">
        <v>139</v>
      </c>
    </row>
    <row r="1221">
      <c r="A1221" s="40">
        <v>45371.44110296296</v>
      </c>
      <c r="B1221" s="1" t="s">
        <v>77</v>
      </c>
      <c r="C1221" s="1" t="s">
        <v>91</v>
      </c>
      <c r="D1221" s="1" t="s">
        <v>107</v>
      </c>
      <c r="F1221" s="1" t="s">
        <v>147</v>
      </c>
      <c r="G1221" s="1" t="s">
        <v>142</v>
      </c>
    </row>
    <row r="1222">
      <c r="A1222" s="40">
        <v>45372.44664778935</v>
      </c>
      <c r="B1222" s="1" t="s">
        <v>77</v>
      </c>
      <c r="C1222" s="1" t="s">
        <v>91</v>
      </c>
      <c r="D1222" s="1" t="s">
        <v>107</v>
      </c>
      <c r="F1222" s="1" t="s">
        <v>147</v>
      </c>
      <c r="G1222" s="1" t="s">
        <v>139</v>
      </c>
    </row>
    <row r="1223">
      <c r="A1223" s="40">
        <v>45373.48744167824</v>
      </c>
      <c r="B1223" s="1" t="s">
        <v>84</v>
      </c>
      <c r="C1223" s="1" t="s">
        <v>91</v>
      </c>
      <c r="D1223" s="1" t="s">
        <v>118</v>
      </c>
      <c r="F1223" s="1" t="s">
        <v>150</v>
      </c>
      <c r="G1223" s="1" t="s">
        <v>139</v>
      </c>
    </row>
    <row r="1224">
      <c r="A1224" s="40">
        <v>45374.43642895833</v>
      </c>
      <c r="B1224" s="1" t="s">
        <v>84</v>
      </c>
      <c r="C1224" s="1" t="s">
        <v>91</v>
      </c>
      <c r="D1224" s="1" t="s">
        <v>118</v>
      </c>
      <c r="F1224" s="1" t="s">
        <v>150</v>
      </c>
      <c r="G1224" s="1" t="s">
        <v>139</v>
      </c>
    </row>
    <row r="1225">
      <c r="A1225" s="40">
        <v>45375.48902659722</v>
      </c>
      <c r="B1225" s="1" t="s">
        <v>84</v>
      </c>
      <c r="C1225" s="1" t="s">
        <v>91</v>
      </c>
      <c r="D1225" s="1" t="s">
        <v>118</v>
      </c>
    </row>
    <row r="1226">
      <c r="A1226" s="40">
        <v>45376.55780226852</v>
      </c>
      <c r="B1226" s="1" t="s">
        <v>84</v>
      </c>
      <c r="C1226" s="1" t="s">
        <v>92</v>
      </c>
      <c r="D1226" s="1" t="s">
        <v>118</v>
      </c>
      <c r="F1226" s="1" t="s">
        <v>150</v>
      </c>
      <c r="G1226" s="1" t="s">
        <v>139</v>
      </c>
    </row>
    <row r="1227">
      <c r="A1227" s="40">
        <v>45377.56129258102</v>
      </c>
      <c r="B1227" s="1" t="s">
        <v>84</v>
      </c>
      <c r="C1227" s="1" t="s">
        <v>91</v>
      </c>
      <c r="D1227" s="1" t="s">
        <v>115</v>
      </c>
      <c r="F1227" s="1" t="s">
        <v>150</v>
      </c>
      <c r="G1227" s="1" t="s">
        <v>140</v>
      </c>
    </row>
    <row r="1228">
      <c r="A1228" s="40">
        <v>45378.45711166666</v>
      </c>
      <c r="B1228" s="1" t="s">
        <v>84</v>
      </c>
      <c r="C1228" s="1" t="s">
        <v>91</v>
      </c>
      <c r="D1228" s="1" t="s">
        <v>115</v>
      </c>
      <c r="F1228" s="1" t="s">
        <v>150</v>
      </c>
      <c r="G1228" s="1" t="s">
        <v>140</v>
      </c>
    </row>
    <row r="1229">
      <c r="A1229" s="40">
        <v>45379.70712424768</v>
      </c>
      <c r="B1229" s="1" t="s">
        <v>84</v>
      </c>
      <c r="C1229" s="1" t="s">
        <v>91</v>
      </c>
      <c r="D1229" s="1" t="s">
        <v>107</v>
      </c>
      <c r="F1229" s="1" t="s">
        <v>150</v>
      </c>
      <c r="G1229" s="1" t="s">
        <v>140</v>
      </c>
    </row>
    <row r="1230">
      <c r="A1230" s="40">
        <v>45380.7144318287</v>
      </c>
      <c r="B1230" s="1" t="s">
        <v>84</v>
      </c>
      <c r="D1230" s="1" t="s">
        <v>120</v>
      </c>
      <c r="F1230" s="1" t="s">
        <v>150</v>
      </c>
      <c r="G1230" s="1" t="s">
        <v>140</v>
      </c>
    </row>
    <row r="1231">
      <c r="A1231" s="40">
        <v>45381.55917552083</v>
      </c>
      <c r="B1231" s="1" t="s">
        <v>84</v>
      </c>
      <c r="D1231" s="1" t="s">
        <v>120</v>
      </c>
      <c r="F1231" s="1" t="s">
        <v>150</v>
      </c>
      <c r="G1231" s="1" t="s">
        <v>140</v>
      </c>
    </row>
    <row r="1232">
      <c r="A1232" s="40">
        <v>45382.91388259259</v>
      </c>
      <c r="B1232" s="1" t="s">
        <v>80</v>
      </c>
      <c r="C1232" s="1" t="s">
        <v>96</v>
      </c>
      <c r="D1232" s="1" t="s">
        <v>115</v>
      </c>
      <c r="F1232" s="1" t="s">
        <v>150</v>
      </c>
      <c r="G1232" s="1" t="s">
        <v>140</v>
      </c>
    </row>
    <row r="1233">
      <c r="A1233" s="40">
        <v>45384.42259731481</v>
      </c>
      <c r="B1233" s="1" t="s">
        <v>84</v>
      </c>
      <c r="C1233" s="1" t="s">
        <v>96</v>
      </c>
      <c r="D1233" s="1" t="s">
        <v>115</v>
      </c>
      <c r="F1233" s="1" t="s">
        <v>150</v>
      </c>
      <c r="G1233" s="1" t="s">
        <v>140</v>
      </c>
    </row>
    <row r="1234">
      <c r="A1234" s="40">
        <v>45385.476667986106</v>
      </c>
      <c r="B1234" s="1" t="s">
        <v>77</v>
      </c>
      <c r="C1234" s="1" t="s">
        <v>91</v>
      </c>
      <c r="D1234" s="1" t="s">
        <v>116</v>
      </c>
      <c r="F1234" s="1" t="s">
        <v>150</v>
      </c>
      <c r="G1234" s="1" t="s">
        <v>140</v>
      </c>
    </row>
    <row r="1235">
      <c r="A1235" s="40">
        <v>45386.4626339699</v>
      </c>
      <c r="B1235" s="1" t="s">
        <v>77</v>
      </c>
      <c r="C1235" s="1" t="s">
        <v>91</v>
      </c>
      <c r="D1235" s="1" t="s">
        <v>116</v>
      </c>
      <c r="F1235" s="1" t="s">
        <v>150</v>
      </c>
      <c r="G1235" s="1" t="s">
        <v>140</v>
      </c>
    </row>
    <row r="1236">
      <c r="A1236" s="40">
        <v>45387.43679548611</v>
      </c>
      <c r="B1236" s="1" t="s">
        <v>77</v>
      </c>
      <c r="C1236" s="1" t="s">
        <v>2</v>
      </c>
      <c r="D1236" s="1" t="s">
        <v>116</v>
      </c>
      <c r="F1236" s="1" t="s">
        <v>147</v>
      </c>
      <c r="G1236" s="1" t="s">
        <v>140</v>
      </c>
    </row>
    <row r="1237">
      <c r="A1237" s="40">
        <v>45388.82421577546</v>
      </c>
      <c r="B1237" s="1" t="s">
        <v>77</v>
      </c>
      <c r="D1237" s="1" t="s">
        <v>121</v>
      </c>
      <c r="F1237" s="1" t="s">
        <v>147</v>
      </c>
      <c r="G1237" s="1" t="s">
        <v>142</v>
      </c>
    </row>
    <row r="1238">
      <c r="A1238" s="40">
        <v>45390.43950025463</v>
      </c>
      <c r="B1238" s="1" t="s">
        <v>77</v>
      </c>
      <c r="C1238" s="1" t="s">
        <v>91</v>
      </c>
      <c r="D1238" s="1" t="s">
        <v>125</v>
      </c>
      <c r="F1238" s="1" t="s">
        <v>147</v>
      </c>
      <c r="G1238" s="1" t="s">
        <v>142</v>
      </c>
    </row>
    <row r="1239">
      <c r="A1239" s="40">
        <v>45391.682286400464</v>
      </c>
      <c r="B1239" s="1" t="s">
        <v>77</v>
      </c>
      <c r="D1239" s="1" t="s">
        <v>120</v>
      </c>
      <c r="F1239" s="1" t="s">
        <v>147</v>
      </c>
      <c r="G1239" s="1" t="s">
        <v>142</v>
      </c>
    </row>
    <row r="1240">
      <c r="A1240" s="40">
        <v>45393.46154143519</v>
      </c>
      <c r="B1240" s="1" t="s">
        <v>84</v>
      </c>
      <c r="C1240" s="1" t="s">
        <v>91</v>
      </c>
      <c r="F1240" s="1" t="s">
        <v>147</v>
      </c>
      <c r="G1240" s="1" t="s">
        <v>142</v>
      </c>
    </row>
    <row r="1241">
      <c r="A1241" s="40">
        <v>45394.43942638889</v>
      </c>
      <c r="B1241" s="1" t="s">
        <v>84</v>
      </c>
      <c r="C1241" s="1" t="s">
        <v>91</v>
      </c>
      <c r="F1241" s="1" t="s">
        <v>146</v>
      </c>
      <c r="G1241" s="1" t="s">
        <v>142</v>
      </c>
    </row>
    <row r="1242">
      <c r="A1242" s="40">
        <v>45395.502673055555</v>
      </c>
      <c r="B1242" s="44" t="s">
        <v>87</v>
      </c>
      <c r="C1242" s="1" t="s">
        <v>91</v>
      </c>
      <c r="D1242" s="1" t="s">
        <v>125</v>
      </c>
      <c r="F1242" s="1" t="s">
        <v>150</v>
      </c>
    </row>
    <row r="1243">
      <c r="A1243" s="40">
        <v>45397.49696114584</v>
      </c>
      <c r="B1243" s="44" t="s">
        <v>87</v>
      </c>
      <c r="C1243" s="1" t="s">
        <v>91</v>
      </c>
      <c r="D1243" s="1" t="s">
        <v>125</v>
      </c>
      <c r="F1243" s="1" t="s">
        <v>150</v>
      </c>
    </row>
    <row r="1244">
      <c r="A1244" s="40">
        <v>45398.674924120365</v>
      </c>
      <c r="B1244" s="1" t="s">
        <v>0</v>
      </c>
      <c r="C1244" s="1" t="s">
        <v>91</v>
      </c>
      <c r="D1244" s="1" t="s">
        <v>109</v>
      </c>
      <c r="F1244" s="1" t="s">
        <v>150</v>
      </c>
      <c r="G1244" s="1" t="s">
        <v>140</v>
      </c>
    </row>
    <row r="1245">
      <c r="A1245" s="40">
        <v>45399.51810296296</v>
      </c>
      <c r="B1245" s="1" t="s">
        <v>0</v>
      </c>
      <c r="C1245" s="1" t="s">
        <v>92</v>
      </c>
      <c r="D1245" s="1" t="s">
        <v>109</v>
      </c>
      <c r="F1245" s="1" t="s">
        <v>150</v>
      </c>
      <c r="G1245" s="1" t="s">
        <v>140</v>
      </c>
    </row>
    <row r="1246">
      <c r="A1246" s="40">
        <v>45400.70667216435</v>
      </c>
      <c r="B1246" s="1" t="s">
        <v>83</v>
      </c>
      <c r="D1246" s="1" t="s">
        <v>106</v>
      </c>
      <c r="E1246" s="1" t="s">
        <v>127</v>
      </c>
      <c r="F1246" s="1" t="s">
        <v>146</v>
      </c>
      <c r="G1246" s="1" t="s">
        <v>139</v>
      </c>
    </row>
    <row r="1247">
      <c r="A1247" s="40">
        <v>45401.44327019676</v>
      </c>
      <c r="B1247" s="1" t="s">
        <v>83</v>
      </c>
      <c r="D1247" s="1" t="s">
        <v>102</v>
      </c>
      <c r="E1247" s="1" t="s">
        <v>127</v>
      </c>
      <c r="F1247" s="1" t="s">
        <v>150</v>
      </c>
      <c r="G1247" s="1" t="s">
        <v>140</v>
      </c>
    </row>
    <row r="1248">
      <c r="A1248" s="40">
        <v>45401.44334621528</v>
      </c>
      <c r="D1248" s="1" t="s">
        <v>102</v>
      </c>
    </row>
    <row r="1249">
      <c r="A1249" s="40">
        <v>45402.64621313657</v>
      </c>
      <c r="B1249" s="1" t="s">
        <v>83</v>
      </c>
      <c r="D1249" s="1" t="s">
        <v>102</v>
      </c>
      <c r="E1249" s="1" t="s">
        <v>127</v>
      </c>
      <c r="F1249" s="1" t="s">
        <v>150</v>
      </c>
      <c r="G1249" s="1" t="s">
        <v>140</v>
      </c>
    </row>
    <row r="1250">
      <c r="A1250" s="40">
        <v>45403.46035738426</v>
      </c>
      <c r="B1250" s="1" t="s">
        <v>83</v>
      </c>
      <c r="C1250" s="1" t="s">
        <v>91</v>
      </c>
      <c r="D1250" s="1" t="s">
        <v>107</v>
      </c>
      <c r="F1250" s="1" t="s">
        <v>150</v>
      </c>
      <c r="G1250" s="1" t="s">
        <v>140</v>
      </c>
    </row>
    <row r="1251">
      <c r="A1251" s="40">
        <v>45404.489534513894</v>
      </c>
      <c r="B1251" s="1" t="s">
        <v>77</v>
      </c>
      <c r="D1251" s="1" t="s">
        <v>121</v>
      </c>
      <c r="F1251" s="1" t="s">
        <v>147</v>
      </c>
      <c r="G1251" s="1" t="s">
        <v>140</v>
      </c>
    </row>
    <row r="1252">
      <c r="A1252" s="40">
        <v>45405.51380423611</v>
      </c>
      <c r="B1252" s="1" t="s">
        <v>77</v>
      </c>
      <c r="D1252" s="1" t="s">
        <v>121</v>
      </c>
      <c r="F1252" s="1" t="s">
        <v>147</v>
      </c>
      <c r="G1252" s="1" t="s">
        <v>142</v>
      </c>
    </row>
    <row r="1253">
      <c r="A1253" s="40">
        <v>45406.56008487269</v>
      </c>
      <c r="B1253" s="1" t="s">
        <v>1</v>
      </c>
      <c r="C1253" s="1" t="s">
        <v>91</v>
      </c>
      <c r="D1253" s="1" t="s">
        <v>116</v>
      </c>
      <c r="F1253" s="1" t="s">
        <v>150</v>
      </c>
      <c r="G1253" s="1" t="s">
        <v>140</v>
      </c>
    </row>
    <row r="1254">
      <c r="A1254" s="40">
        <v>45407.601821006945</v>
      </c>
      <c r="B1254" s="1" t="s">
        <v>1</v>
      </c>
      <c r="C1254" s="1" t="s">
        <v>91</v>
      </c>
      <c r="D1254" s="1" t="s">
        <v>116</v>
      </c>
      <c r="F1254" s="1" t="s">
        <v>150</v>
      </c>
      <c r="G1254" s="1" t="s">
        <v>140</v>
      </c>
    </row>
    <row r="1255">
      <c r="A1255" s="40">
        <v>45408.44636255787</v>
      </c>
      <c r="B1255" s="1" t="s">
        <v>1</v>
      </c>
      <c r="C1255" s="1" t="s">
        <v>91</v>
      </c>
      <c r="D1255" s="1" t="s">
        <v>116</v>
      </c>
      <c r="F1255" s="1" t="s">
        <v>150</v>
      </c>
      <c r="G1255" s="1" t="s">
        <v>140</v>
      </c>
    </row>
    <row r="1256">
      <c r="A1256" s="40">
        <v>45410.09831715278</v>
      </c>
      <c r="B1256" s="1" t="s">
        <v>77</v>
      </c>
      <c r="D1256" s="1" t="s">
        <v>121</v>
      </c>
      <c r="F1256" s="1" t="s">
        <v>150</v>
      </c>
      <c r="G1256" s="1" t="s">
        <v>140</v>
      </c>
    </row>
    <row r="1257">
      <c r="A1257" s="40">
        <v>45410.85050695602</v>
      </c>
      <c r="B1257" s="1" t="s">
        <v>1</v>
      </c>
      <c r="C1257" s="1" t="s">
        <v>91</v>
      </c>
      <c r="D1257" s="1" t="s">
        <v>125</v>
      </c>
      <c r="F1257" s="1" t="s">
        <v>150</v>
      </c>
      <c r="G1257" s="1" t="s">
        <v>140</v>
      </c>
    </row>
    <row r="1258">
      <c r="A1258" s="40">
        <v>45411.41796511574</v>
      </c>
      <c r="B1258" s="1" t="s">
        <v>84</v>
      </c>
      <c r="D1258" s="1" t="s">
        <v>120</v>
      </c>
      <c r="F1258" s="1" t="s">
        <v>147</v>
      </c>
      <c r="G1258" s="1" t="s">
        <v>142</v>
      </c>
    </row>
    <row r="1259">
      <c r="A1259" s="40">
        <v>45412.54795608796</v>
      </c>
      <c r="B1259" s="1" t="s">
        <v>84</v>
      </c>
      <c r="D1259" s="1" t="s">
        <v>120</v>
      </c>
      <c r="F1259" s="1" t="s">
        <v>147</v>
      </c>
      <c r="G1259" s="1" t="s">
        <v>142</v>
      </c>
    </row>
    <row r="1260">
      <c r="A1260" s="40">
        <v>45413.47340777778</v>
      </c>
      <c r="B1260" s="1" t="s">
        <v>80</v>
      </c>
      <c r="C1260" s="1" t="s">
        <v>96</v>
      </c>
      <c r="F1260" s="1" t="s">
        <v>150</v>
      </c>
      <c r="G1260" s="1" t="s">
        <v>142</v>
      </c>
    </row>
    <row r="1261">
      <c r="A1261" s="40">
        <v>45414.43674738426</v>
      </c>
      <c r="B1261" s="1" t="s">
        <v>80</v>
      </c>
      <c r="C1261" s="1" t="s">
        <v>3</v>
      </c>
      <c r="F1261" s="1" t="s">
        <v>150</v>
      </c>
      <c r="G1261" s="1" t="s">
        <v>142</v>
      </c>
    </row>
    <row r="1262">
      <c r="A1262" s="40">
        <v>45415.581720173606</v>
      </c>
      <c r="B1262" s="1" t="s">
        <v>84</v>
      </c>
      <c r="C1262" s="1" t="s">
        <v>91</v>
      </c>
      <c r="D1262" s="1" t="s">
        <v>116</v>
      </c>
      <c r="F1262" s="1" t="s">
        <v>150</v>
      </c>
      <c r="G1262" s="1" t="s">
        <v>142</v>
      </c>
    </row>
    <row r="1263">
      <c r="A1263" s="40">
        <v>45416.73864043981</v>
      </c>
      <c r="B1263" s="1" t="s">
        <v>84</v>
      </c>
      <c r="C1263" s="1" t="s">
        <v>91</v>
      </c>
      <c r="D1263" s="1" t="s">
        <v>116</v>
      </c>
    </row>
    <row r="1264">
      <c r="A1264" s="40">
        <v>45417.64889353009</v>
      </c>
      <c r="B1264" s="1" t="s">
        <v>84</v>
      </c>
      <c r="C1264" s="1" t="s">
        <v>91</v>
      </c>
      <c r="D1264" s="1" t="s">
        <v>116</v>
      </c>
      <c r="F1264" s="1" t="s">
        <v>150</v>
      </c>
    </row>
    <row r="1265">
      <c r="A1265" s="40">
        <v>45418.620683113426</v>
      </c>
      <c r="B1265" s="1" t="s">
        <v>84</v>
      </c>
      <c r="C1265" s="1" t="s">
        <v>91</v>
      </c>
      <c r="F1265" s="1" t="s">
        <v>146</v>
      </c>
    </row>
    <row r="1266">
      <c r="A1266" s="40">
        <v>45419.432455636575</v>
      </c>
      <c r="B1266" s="1" t="s">
        <v>1</v>
      </c>
      <c r="C1266" s="1" t="s">
        <v>91</v>
      </c>
      <c r="D1266" s="1" t="s">
        <v>103</v>
      </c>
      <c r="F1266" s="1" t="s">
        <v>150</v>
      </c>
    </row>
    <row r="1267">
      <c r="A1267" s="40">
        <v>45420.58086700231</v>
      </c>
      <c r="B1267" s="1" t="s">
        <v>1</v>
      </c>
      <c r="C1267" s="1" t="s">
        <v>91</v>
      </c>
      <c r="D1267" s="1" t="s">
        <v>103</v>
      </c>
      <c r="F1267" s="1" t="s">
        <v>150</v>
      </c>
      <c r="G1267" s="1" t="s">
        <v>142</v>
      </c>
    </row>
    <row r="1268">
      <c r="A1268" s="40">
        <v>45421.45211789352</v>
      </c>
      <c r="B1268" s="1" t="s">
        <v>1</v>
      </c>
      <c r="C1268" s="1" t="s">
        <v>91</v>
      </c>
      <c r="D1268" s="1" t="s">
        <v>103</v>
      </c>
      <c r="F1268" s="1" t="s">
        <v>150</v>
      </c>
      <c r="G1268" s="1" t="s">
        <v>142</v>
      </c>
    </row>
    <row r="1269">
      <c r="A1269" s="40">
        <v>45422.65664696759</v>
      </c>
      <c r="B1269" s="1" t="s">
        <v>1</v>
      </c>
      <c r="C1269" s="1" t="s">
        <v>91</v>
      </c>
      <c r="D1269" s="1" t="s">
        <v>103</v>
      </c>
      <c r="F1269" s="1" t="s">
        <v>150</v>
      </c>
      <c r="G1269" s="1" t="s">
        <v>142</v>
      </c>
    </row>
    <row r="1270">
      <c r="A1270" s="40">
        <v>45424.442856875</v>
      </c>
      <c r="B1270" s="1" t="s">
        <v>80</v>
      </c>
      <c r="C1270" s="1" t="s">
        <v>3</v>
      </c>
      <c r="F1270" s="1" t="s">
        <v>150</v>
      </c>
      <c r="G1270" s="1" t="s">
        <v>142</v>
      </c>
    </row>
    <row r="1271">
      <c r="A1271" s="40">
        <v>45424.765300011575</v>
      </c>
      <c r="B1271" s="1" t="s">
        <v>80</v>
      </c>
      <c r="C1271" s="1" t="s">
        <v>96</v>
      </c>
      <c r="F1271" s="1" t="s">
        <v>150</v>
      </c>
      <c r="G1271" s="1" t="s">
        <v>142</v>
      </c>
    </row>
    <row r="1272">
      <c r="A1272" s="40">
        <v>45425.51472840278</v>
      </c>
      <c r="B1272" s="1" t="s">
        <v>80</v>
      </c>
      <c r="C1272" s="1" t="s">
        <v>96</v>
      </c>
      <c r="F1272" s="1" t="s">
        <v>147</v>
      </c>
      <c r="G1272" s="1" t="s">
        <v>142</v>
      </c>
    </row>
    <row r="1273">
      <c r="A1273" s="40">
        <v>45426.47509121528</v>
      </c>
      <c r="B1273" s="1" t="s">
        <v>89</v>
      </c>
      <c r="E1273" s="1" t="s">
        <v>128</v>
      </c>
      <c r="F1273" s="1" t="s">
        <v>150</v>
      </c>
    </row>
    <row r="1274">
      <c r="A1274" s="40">
        <v>45427.500429293985</v>
      </c>
      <c r="B1274" s="1" t="s">
        <v>84</v>
      </c>
      <c r="D1274" s="1" t="s">
        <v>120</v>
      </c>
      <c r="F1274" s="1" t="s">
        <v>147</v>
      </c>
    </row>
    <row r="1275">
      <c r="A1275" s="40">
        <v>45428.45550355324</v>
      </c>
      <c r="B1275" s="1" t="s">
        <v>84</v>
      </c>
      <c r="D1275" s="1" t="s">
        <v>120</v>
      </c>
      <c r="F1275" s="1" t="s">
        <v>147</v>
      </c>
      <c r="G1275" s="1" t="s">
        <v>142</v>
      </c>
    </row>
    <row r="1276">
      <c r="A1276" s="40">
        <v>45429.68002112268</v>
      </c>
      <c r="B1276" s="1" t="s">
        <v>77</v>
      </c>
      <c r="D1276" s="1" t="s">
        <v>121</v>
      </c>
      <c r="F1276" s="1" t="s">
        <v>146</v>
      </c>
      <c r="G1276" s="1" t="s">
        <v>142</v>
      </c>
    </row>
    <row r="1277">
      <c r="A1277" s="40">
        <v>45430.60970564815</v>
      </c>
      <c r="B1277" s="1" t="s">
        <v>89</v>
      </c>
      <c r="E1277" s="1" t="s">
        <v>128</v>
      </c>
      <c r="F1277" s="1" t="s">
        <v>150</v>
      </c>
    </row>
    <row r="1278">
      <c r="A1278" s="40">
        <v>45431.63382613426</v>
      </c>
      <c r="B1278" s="1" t="s">
        <v>80</v>
      </c>
      <c r="E1278" s="1" t="s">
        <v>133</v>
      </c>
      <c r="F1278" s="1" t="s">
        <v>147</v>
      </c>
    </row>
    <row r="1279">
      <c r="A1279" s="40">
        <v>45432.424389374995</v>
      </c>
      <c r="B1279" s="1" t="s">
        <v>80</v>
      </c>
      <c r="E1279" s="1" t="s">
        <v>133</v>
      </c>
      <c r="F1279" s="1" t="s">
        <v>147</v>
      </c>
      <c r="G1279" s="1" t="s">
        <v>141</v>
      </c>
    </row>
    <row r="1280">
      <c r="A1280" s="40">
        <v>45433.47816893518</v>
      </c>
      <c r="B1280" s="1" t="s">
        <v>0</v>
      </c>
      <c r="C1280" s="1" t="s">
        <v>91</v>
      </c>
      <c r="D1280" s="1" t="s">
        <v>112</v>
      </c>
      <c r="F1280" s="1" t="s">
        <v>150</v>
      </c>
    </row>
    <row r="1281">
      <c r="A1281" s="40">
        <v>45434.558063819444</v>
      </c>
      <c r="B1281" s="1" t="s">
        <v>0</v>
      </c>
      <c r="C1281" s="1" t="s">
        <v>91</v>
      </c>
      <c r="D1281" s="1" t="s">
        <v>112</v>
      </c>
      <c r="F1281" s="1" t="s">
        <v>150</v>
      </c>
    </row>
    <row r="1282">
      <c r="A1282" s="40">
        <v>45435.50407517361</v>
      </c>
      <c r="B1282" s="1" t="s">
        <v>83</v>
      </c>
      <c r="C1282" s="1" t="s">
        <v>91</v>
      </c>
      <c r="F1282" s="1" t="s">
        <v>146</v>
      </c>
      <c r="G1282" s="1" t="s">
        <v>142</v>
      </c>
    </row>
    <row r="1283">
      <c r="A1283" s="40">
        <v>45436.953171608795</v>
      </c>
      <c r="B1283" s="1" t="s">
        <v>77</v>
      </c>
      <c r="C1283" s="1" t="s">
        <v>91</v>
      </c>
      <c r="F1283" s="1" t="s">
        <v>146</v>
      </c>
      <c r="G1283" s="1" t="s">
        <v>142</v>
      </c>
    </row>
    <row r="1284">
      <c r="A1284" s="40">
        <v>45437.503083564814</v>
      </c>
      <c r="B1284" s="1" t="s">
        <v>84</v>
      </c>
      <c r="C1284" s="1" t="s">
        <v>91</v>
      </c>
      <c r="D1284" s="1" t="s">
        <v>116</v>
      </c>
      <c r="F1284" s="1" t="s">
        <v>150</v>
      </c>
      <c r="G1284" s="1" t="s">
        <v>142</v>
      </c>
    </row>
    <row r="1285">
      <c r="A1285" s="40">
        <v>45438.4212796412</v>
      </c>
      <c r="B1285" s="1" t="s">
        <v>77</v>
      </c>
      <c r="C1285" s="1" t="s">
        <v>92</v>
      </c>
      <c r="F1285" s="1" t="s">
        <v>146</v>
      </c>
      <c r="G1285" s="1" t="s">
        <v>142</v>
      </c>
    </row>
    <row r="1286">
      <c r="A1286" s="40">
        <v>45439.43817353009</v>
      </c>
      <c r="B1286" s="1" t="s">
        <v>84</v>
      </c>
      <c r="C1286" s="1" t="s">
        <v>92</v>
      </c>
      <c r="D1286" s="1" t="s">
        <v>116</v>
      </c>
      <c r="F1286" s="1" t="s">
        <v>150</v>
      </c>
      <c r="G1286" s="1" t="s">
        <v>142</v>
      </c>
    </row>
    <row r="1287">
      <c r="A1287" s="40">
        <v>45440.53396376157</v>
      </c>
      <c r="B1287" s="1" t="s">
        <v>77</v>
      </c>
      <c r="C1287" s="1" t="s">
        <v>92</v>
      </c>
      <c r="F1287" s="1" t="s">
        <v>146</v>
      </c>
      <c r="G1287" s="1" t="s">
        <v>142</v>
      </c>
    </row>
    <row r="1288">
      <c r="A1288" s="40">
        <v>45441.48595427083</v>
      </c>
      <c r="B1288" s="1" t="s">
        <v>0</v>
      </c>
      <c r="C1288" s="1" t="s">
        <v>91</v>
      </c>
      <c r="D1288" s="1" t="s">
        <v>112</v>
      </c>
      <c r="F1288" s="1" t="s">
        <v>150</v>
      </c>
      <c r="G1288" s="1" t="s">
        <v>141</v>
      </c>
    </row>
    <row r="1289">
      <c r="A1289" s="40">
        <v>45442.56624965278</v>
      </c>
      <c r="B1289" s="1" t="s">
        <v>84</v>
      </c>
      <c r="C1289" s="1" t="s">
        <v>91</v>
      </c>
      <c r="D1289" s="1" t="s">
        <v>116</v>
      </c>
      <c r="F1289" s="1" t="s">
        <v>150</v>
      </c>
      <c r="G1289" s="1" t="s">
        <v>142</v>
      </c>
    </row>
    <row r="1290">
      <c r="A1290" s="40">
        <v>45443.4757297801</v>
      </c>
      <c r="B1290" s="1" t="s">
        <v>84</v>
      </c>
      <c r="C1290" s="1" t="s">
        <v>91</v>
      </c>
      <c r="D1290" s="1" t="s">
        <v>116</v>
      </c>
      <c r="F1290" s="1" t="s">
        <v>150</v>
      </c>
      <c r="G1290" s="1" t="s">
        <v>142</v>
      </c>
    </row>
    <row r="1291">
      <c r="A1291" s="40">
        <v>45444.534315578705</v>
      </c>
      <c r="B1291" s="1" t="s">
        <v>84</v>
      </c>
      <c r="C1291" s="1" t="s">
        <v>92</v>
      </c>
      <c r="D1291" s="1" t="s">
        <v>107</v>
      </c>
      <c r="F1291" s="1" t="s">
        <v>150</v>
      </c>
      <c r="G1291" s="1" t="s">
        <v>142</v>
      </c>
    </row>
    <row r="1292">
      <c r="A1292" s="40">
        <v>45445.432469224535</v>
      </c>
      <c r="B1292" s="1" t="s">
        <v>84</v>
      </c>
      <c r="D1292" s="1" t="s">
        <v>120</v>
      </c>
      <c r="F1292" s="1" t="s">
        <v>147</v>
      </c>
      <c r="G1292" s="1" t="s">
        <v>142</v>
      </c>
    </row>
    <row r="1293">
      <c r="A1293" s="40">
        <v>45446.51372752315</v>
      </c>
      <c r="B1293" s="1" t="s">
        <v>1</v>
      </c>
      <c r="C1293" s="1" t="s">
        <v>91</v>
      </c>
      <c r="D1293" s="1" t="s">
        <v>118</v>
      </c>
      <c r="F1293" s="1" t="s">
        <v>147</v>
      </c>
      <c r="G1293" s="1" t="s">
        <v>142</v>
      </c>
    </row>
    <row r="1294">
      <c r="A1294" s="40">
        <v>45447.69782935185</v>
      </c>
      <c r="B1294" s="1" t="s">
        <v>1</v>
      </c>
      <c r="C1294" s="1" t="s">
        <v>91</v>
      </c>
      <c r="D1294" s="1" t="s">
        <v>118</v>
      </c>
      <c r="F1294" s="1" t="s">
        <v>147</v>
      </c>
      <c r="G1294" s="1" t="s">
        <v>142</v>
      </c>
    </row>
    <row r="1295">
      <c r="A1295" s="40">
        <v>45448.519381238424</v>
      </c>
      <c r="B1295" s="1" t="s">
        <v>1</v>
      </c>
      <c r="D1295" s="1" t="s">
        <v>120</v>
      </c>
      <c r="F1295" s="1" t="s">
        <v>146</v>
      </c>
      <c r="G1295" s="1" t="s">
        <v>142</v>
      </c>
    </row>
    <row r="1296">
      <c r="A1296" s="40">
        <v>45449.4347225463</v>
      </c>
      <c r="B1296" s="1" t="s">
        <v>77</v>
      </c>
      <c r="D1296" s="1" t="s">
        <v>121</v>
      </c>
      <c r="F1296" s="1" t="s">
        <v>147</v>
      </c>
      <c r="G1296" s="1" t="s">
        <v>142</v>
      </c>
    </row>
    <row r="1297">
      <c r="A1297" s="40">
        <v>45450.619905011576</v>
      </c>
      <c r="B1297" s="1" t="s">
        <v>77</v>
      </c>
      <c r="D1297" s="1" t="s">
        <v>121</v>
      </c>
      <c r="F1297" s="1" t="s">
        <v>147</v>
      </c>
      <c r="G1297" s="1" t="s">
        <v>142</v>
      </c>
    </row>
    <row r="1298">
      <c r="A1298" s="40">
        <v>45451.60751043982</v>
      </c>
      <c r="B1298" s="1" t="s">
        <v>77</v>
      </c>
      <c r="D1298" s="1" t="s">
        <v>121</v>
      </c>
      <c r="F1298" s="1" t="s">
        <v>147</v>
      </c>
      <c r="G1298" s="1" t="s">
        <v>142</v>
      </c>
    </row>
    <row r="1299">
      <c r="A1299" s="40">
        <v>45452.46296266204</v>
      </c>
      <c r="B1299" s="1" t="s">
        <v>1</v>
      </c>
      <c r="D1299" s="1" t="s">
        <v>120</v>
      </c>
      <c r="F1299" s="1" t="s">
        <v>146</v>
      </c>
      <c r="G1299" s="1" t="s">
        <v>142</v>
      </c>
    </row>
    <row r="1300">
      <c r="A1300" s="40">
        <v>45453.65765613426</v>
      </c>
      <c r="B1300" s="1" t="s">
        <v>77</v>
      </c>
      <c r="C1300" s="1" t="s">
        <v>91</v>
      </c>
      <c r="D1300" s="1" t="s">
        <v>116</v>
      </c>
      <c r="F1300" s="1" t="s">
        <v>150</v>
      </c>
      <c r="G1300" s="1" t="s">
        <v>142</v>
      </c>
    </row>
    <row r="1301">
      <c r="A1301" s="40">
        <v>45454.682421527774</v>
      </c>
      <c r="B1301" s="1" t="s">
        <v>77</v>
      </c>
      <c r="C1301" s="1" t="s">
        <v>91</v>
      </c>
      <c r="D1301" s="1" t="s">
        <v>107</v>
      </c>
      <c r="F1301" s="1" t="s">
        <v>147</v>
      </c>
      <c r="G1301" s="1" t="s">
        <v>142</v>
      </c>
    </row>
    <row r="1302">
      <c r="A1302" s="40">
        <v>45455.490812442134</v>
      </c>
      <c r="B1302" s="1" t="s">
        <v>77</v>
      </c>
      <c r="C1302" s="1" t="s">
        <v>91</v>
      </c>
      <c r="D1302" s="1" t="s">
        <v>107</v>
      </c>
      <c r="F1302" s="1" t="s">
        <v>147</v>
      </c>
      <c r="G1302" s="1" t="s">
        <v>142</v>
      </c>
    </row>
    <row r="1303">
      <c r="A1303" s="40">
        <v>45456.41858398148</v>
      </c>
      <c r="B1303" s="1" t="s">
        <v>77</v>
      </c>
      <c r="C1303" s="1" t="s">
        <v>91</v>
      </c>
      <c r="F1303" s="1" t="s">
        <v>150</v>
      </c>
      <c r="G1303" s="1" t="s">
        <v>142</v>
      </c>
    </row>
    <row r="1304">
      <c r="A1304" s="40">
        <v>45457.56563385417</v>
      </c>
      <c r="B1304" s="1" t="s">
        <v>77</v>
      </c>
      <c r="C1304" s="1" t="s">
        <v>91</v>
      </c>
      <c r="F1304" s="1" t="s">
        <v>150</v>
      </c>
      <c r="G1304" s="1" t="s">
        <v>142</v>
      </c>
    </row>
    <row r="1305">
      <c r="A1305" s="40">
        <v>45459.64300465278</v>
      </c>
      <c r="B1305" s="1" t="s">
        <v>1</v>
      </c>
      <c r="C1305" s="1" t="s">
        <v>91</v>
      </c>
      <c r="F1305" s="1" t="s">
        <v>150</v>
      </c>
      <c r="G1305" s="1" t="s">
        <v>142</v>
      </c>
    </row>
    <row r="1306">
      <c r="A1306" s="40">
        <v>45460.526071782406</v>
      </c>
      <c r="B1306" s="1" t="s">
        <v>1</v>
      </c>
      <c r="C1306" s="1" t="s">
        <v>91</v>
      </c>
      <c r="F1306" s="1" t="s">
        <v>150</v>
      </c>
      <c r="G1306" s="1" t="s">
        <v>142</v>
      </c>
    </row>
    <row r="1307">
      <c r="A1307" s="40">
        <v>45461.46323828703</v>
      </c>
      <c r="B1307" s="1" t="s">
        <v>83</v>
      </c>
      <c r="C1307" s="1" t="s">
        <v>91</v>
      </c>
      <c r="D1307" s="1" t="s">
        <v>103</v>
      </c>
      <c r="F1307" s="1" t="s">
        <v>147</v>
      </c>
    </row>
    <row r="1308">
      <c r="A1308" s="40">
        <v>45461.46334108796</v>
      </c>
      <c r="B1308" s="1" t="s">
        <v>83</v>
      </c>
      <c r="C1308" s="1" t="s">
        <v>91</v>
      </c>
      <c r="D1308" s="1" t="s">
        <v>103</v>
      </c>
    </row>
    <row r="1309">
      <c r="A1309" s="40">
        <v>45462.449771898144</v>
      </c>
      <c r="B1309" s="1" t="s">
        <v>83</v>
      </c>
      <c r="D1309" s="1" t="s">
        <v>120</v>
      </c>
      <c r="F1309" s="1" t="s">
        <v>147</v>
      </c>
      <c r="G1309" s="1" t="s">
        <v>142</v>
      </c>
    </row>
    <row r="1310">
      <c r="A1310" s="40">
        <v>45463.959494849536</v>
      </c>
      <c r="B1310" s="1" t="s">
        <v>83</v>
      </c>
      <c r="D1310" s="1" t="s">
        <v>120</v>
      </c>
      <c r="F1310" s="1" t="s">
        <v>147</v>
      </c>
      <c r="G1310" s="1" t="s">
        <v>142</v>
      </c>
    </row>
    <row r="1311">
      <c r="A1311" s="40">
        <v>45464.755781087966</v>
      </c>
      <c r="B1311" s="1" t="s">
        <v>83</v>
      </c>
      <c r="C1311" s="1" t="s">
        <v>91</v>
      </c>
      <c r="F1311" s="1" t="s">
        <v>146</v>
      </c>
      <c r="G1311" s="1" t="s">
        <v>142</v>
      </c>
    </row>
    <row r="1312">
      <c r="A1312" s="40">
        <v>45465.424640185185</v>
      </c>
      <c r="B1312" s="1" t="s">
        <v>0</v>
      </c>
      <c r="C1312" s="1" t="s">
        <v>91</v>
      </c>
      <c r="D1312" s="1" t="s">
        <v>110</v>
      </c>
      <c r="F1312" s="1" t="s">
        <v>150</v>
      </c>
      <c r="G1312" s="1" t="s">
        <v>142</v>
      </c>
    </row>
    <row r="1313">
      <c r="A1313" s="40">
        <v>45466.4971153125</v>
      </c>
      <c r="B1313" s="1" t="s">
        <v>0</v>
      </c>
      <c r="C1313" s="1" t="s">
        <v>91</v>
      </c>
      <c r="D1313" s="1" t="s">
        <v>110</v>
      </c>
      <c r="F1313" s="1" t="s">
        <v>150</v>
      </c>
      <c r="G1313" s="1" t="s">
        <v>142</v>
      </c>
    </row>
    <row r="1314">
      <c r="A1314" s="40">
        <v>45467.483221180555</v>
      </c>
      <c r="B1314" s="1" t="s">
        <v>0</v>
      </c>
      <c r="C1314" s="1" t="s">
        <v>91</v>
      </c>
      <c r="D1314" s="1" t="s">
        <v>112</v>
      </c>
      <c r="F1314" s="1" t="s">
        <v>150</v>
      </c>
    </row>
    <row r="1315">
      <c r="A1315" s="40">
        <v>45469.92697803241</v>
      </c>
      <c r="B1315" s="1" t="s">
        <v>80</v>
      </c>
      <c r="C1315" s="1" t="s">
        <v>3</v>
      </c>
      <c r="F1315" s="1" t="s">
        <v>147</v>
      </c>
    </row>
    <row r="1316">
      <c r="A1316" s="40">
        <v>45470.39438759259</v>
      </c>
      <c r="B1316" s="1" t="s">
        <v>77</v>
      </c>
      <c r="D1316" s="1" t="s">
        <v>121</v>
      </c>
      <c r="F1316" s="1" t="s">
        <v>147</v>
      </c>
    </row>
    <row r="1317">
      <c r="A1317" s="40">
        <v>45471.44664019676</v>
      </c>
      <c r="B1317" s="1" t="s">
        <v>89</v>
      </c>
      <c r="E1317" s="1" t="s">
        <v>128</v>
      </c>
      <c r="F1317" s="1" t="s">
        <v>150</v>
      </c>
    </row>
    <row r="1318">
      <c r="A1318" s="40">
        <v>45471.46123975694</v>
      </c>
      <c r="D1318" s="1" t="s">
        <v>119</v>
      </c>
    </row>
    <row r="1319">
      <c r="A1319" s="40">
        <v>45471.46134768518</v>
      </c>
      <c r="D1319" s="1" t="s">
        <v>119</v>
      </c>
    </row>
    <row r="1320">
      <c r="A1320" s="40">
        <v>45471.46142709491</v>
      </c>
      <c r="D1320" s="1" t="s">
        <v>119</v>
      </c>
    </row>
    <row r="1321">
      <c r="A1321" s="40">
        <v>45471.46156978009</v>
      </c>
      <c r="D1321" s="1" t="s">
        <v>119</v>
      </c>
    </row>
    <row r="1322">
      <c r="A1322" s="40">
        <v>45471.46163780092</v>
      </c>
      <c r="D1322" s="1" t="s">
        <v>119</v>
      </c>
    </row>
    <row r="1323">
      <c r="A1323" s="40">
        <v>45471.461886377314</v>
      </c>
      <c r="D1323" s="1" t="s">
        <v>119</v>
      </c>
    </row>
    <row r="1324">
      <c r="A1324" s="40">
        <v>45471.4619702662</v>
      </c>
      <c r="D1324" s="1" t="s">
        <v>119</v>
      </c>
    </row>
    <row r="1325">
      <c r="A1325" s="40">
        <v>45471.46208965278</v>
      </c>
      <c r="D1325" s="1" t="s">
        <v>119</v>
      </c>
    </row>
    <row r="1326">
      <c r="A1326" s="40">
        <v>45471.462170266204</v>
      </c>
      <c r="D1326" s="1" t="s">
        <v>119</v>
      </c>
    </row>
    <row r="1327">
      <c r="A1327" s="40">
        <v>45471.46236971064</v>
      </c>
      <c r="D1327" s="1" t="s">
        <v>119</v>
      </c>
    </row>
    <row r="1328">
      <c r="A1328" s="40">
        <v>45471.46256059028</v>
      </c>
      <c r="D1328" s="1" t="s">
        <v>119</v>
      </c>
    </row>
    <row r="1329">
      <c r="A1329" s="40">
        <v>45471.462636192126</v>
      </c>
      <c r="D1329" s="1" t="s">
        <v>119</v>
      </c>
    </row>
    <row r="1330">
      <c r="A1330" s="40">
        <v>45472.53858</v>
      </c>
      <c r="B1330" s="1" t="s">
        <v>77</v>
      </c>
      <c r="D1330" s="1" t="s">
        <v>121</v>
      </c>
      <c r="F1330" s="1" t="s">
        <v>147</v>
      </c>
    </row>
    <row r="1331">
      <c r="A1331" s="40">
        <v>45473.6300475</v>
      </c>
      <c r="B1331" s="1" t="s">
        <v>80</v>
      </c>
      <c r="C1331" s="1" t="s">
        <v>95</v>
      </c>
      <c r="F1331" s="1" t="s">
        <v>150</v>
      </c>
    </row>
    <row r="1332">
      <c r="A1332" s="40">
        <v>45473.630199328705</v>
      </c>
      <c r="B1332" s="1" t="s">
        <v>80</v>
      </c>
      <c r="C1332" s="1" t="s">
        <v>95</v>
      </c>
      <c r="F1332" s="1" t="s">
        <v>150</v>
      </c>
    </row>
    <row r="1333">
      <c r="A1333" s="40">
        <v>45474.61545733796</v>
      </c>
      <c r="B1333" s="1" t="s">
        <v>77</v>
      </c>
      <c r="C1333" s="1" t="s">
        <v>91</v>
      </c>
      <c r="D1333" s="1" t="s">
        <v>118</v>
      </c>
      <c r="F1333" s="1" t="s">
        <v>147</v>
      </c>
    </row>
    <row r="1334">
      <c r="A1334" s="40">
        <v>45475.918312326394</v>
      </c>
      <c r="B1334" s="1" t="s">
        <v>77</v>
      </c>
      <c r="C1334" s="1" t="s">
        <v>91</v>
      </c>
      <c r="E1334" s="1" t="s">
        <v>136</v>
      </c>
      <c r="F1334" s="1" t="s">
        <v>146</v>
      </c>
    </row>
    <row r="1335">
      <c r="A1335" s="40">
        <v>45476.6727944213</v>
      </c>
      <c r="B1335" s="1" t="s">
        <v>84</v>
      </c>
      <c r="D1335" s="1" t="s">
        <v>120</v>
      </c>
      <c r="F1335" s="1" t="s">
        <v>150</v>
      </c>
      <c r="G1335" s="1" t="s">
        <v>142</v>
      </c>
    </row>
    <row r="1336">
      <c r="A1336" s="40">
        <v>45477.655803368056</v>
      </c>
      <c r="B1336" s="1" t="s">
        <v>84</v>
      </c>
      <c r="D1336" s="1" t="s">
        <v>120</v>
      </c>
      <c r="F1336" s="1" t="s">
        <v>150</v>
      </c>
      <c r="G1336" s="1" t="s">
        <v>142</v>
      </c>
    </row>
    <row r="1337">
      <c r="A1337" s="40">
        <v>45478.62592709491</v>
      </c>
      <c r="B1337" s="1" t="s">
        <v>77</v>
      </c>
      <c r="C1337" s="1" t="s">
        <v>92</v>
      </c>
      <c r="D1337" s="1" t="s">
        <v>118</v>
      </c>
      <c r="F1337" s="1" t="s">
        <v>147</v>
      </c>
      <c r="G1337" s="1" t="s">
        <v>142</v>
      </c>
    </row>
    <row r="1338">
      <c r="A1338" s="40">
        <v>45479.58535356482</v>
      </c>
      <c r="B1338" s="1" t="s">
        <v>77</v>
      </c>
      <c r="C1338" s="1" t="s">
        <v>92</v>
      </c>
      <c r="D1338" s="1" t="s">
        <v>118</v>
      </c>
      <c r="F1338" s="1" t="s">
        <v>146</v>
      </c>
      <c r="G1338" s="1" t="s">
        <v>142</v>
      </c>
    </row>
    <row r="1339">
      <c r="A1339" s="40">
        <v>45480.51766398148</v>
      </c>
      <c r="B1339" s="1" t="s">
        <v>77</v>
      </c>
      <c r="C1339" s="1" t="s">
        <v>92</v>
      </c>
      <c r="D1339" s="1" t="s">
        <v>118</v>
      </c>
      <c r="F1339" s="1" t="s">
        <v>150</v>
      </c>
      <c r="G1339" s="1" t="s">
        <v>142</v>
      </c>
    </row>
    <row r="1340">
      <c r="A1340" s="40">
        <v>45481.449221331015</v>
      </c>
      <c r="C1340" s="1" t="s">
        <v>2</v>
      </c>
      <c r="F1340" s="1" t="s">
        <v>153</v>
      </c>
    </row>
    <row r="1341">
      <c r="A1341" s="40">
        <v>45481.44926489583</v>
      </c>
      <c r="F1341" s="1" t="s">
        <v>153</v>
      </c>
    </row>
    <row r="1342">
      <c r="A1342" s="40">
        <v>45481.44942359954</v>
      </c>
      <c r="B1342" s="1" t="s">
        <v>1</v>
      </c>
      <c r="C1342" s="1" t="s">
        <v>91</v>
      </c>
      <c r="D1342" s="1" t="s">
        <v>116</v>
      </c>
      <c r="F1342" s="1" t="s">
        <v>150</v>
      </c>
    </row>
    <row r="1343">
      <c r="A1343" s="40">
        <v>45482.74997467593</v>
      </c>
      <c r="B1343" s="1" t="s">
        <v>77</v>
      </c>
      <c r="C1343" s="1" t="s">
        <v>91</v>
      </c>
      <c r="E1343" s="1" t="s">
        <v>136</v>
      </c>
      <c r="F1343" s="1" t="s">
        <v>146</v>
      </c>
    </row>
    <row r="1344">
      <c r="A1344" s="40">
        <v>45483.55289155093</v>
      </c>
      <c r="B1344" s="1" t="s">
        <v>1</v>
      </c>
      <c r="C1344" s="1" t="s">
        <v>91</v>
      </c>
      <c r="D1344" s="1" t="s">
        <v>125</v>
      </c>
      <c r="F1344" s="1" t="s">
        <v>150</v>
      </c>
      <c r="G1344" s="1" t="s">
        <v>142</v>
      </c>
    </row>
    <row r="1345">
      <c r="A1345" s="40">
        <v>45484.49028597222</v>
      </c>
      <c r="B1345" s="1" t="s">
        <v>80</v>
      </c>
      <c r="C1345" s="1" t="s">
        <v>96</v>
      </c>
      <c r="F1345" s="1" t="s">
        <v>150</v>
      </c>
      <c r="G1345" s="1" t="s">
        <v>142</v>
      </c>
    </row>
    <row r="1346">
      <c r="A1346" s="40">
        <v>45485.44809921297</v>
      </c>
      <c r="B1346" s="1" t="s">
        <v>1</v>
      </c>
      <c r="C1346" s="1" t="s">
        <v>91</v>
      </c>
      <c r="D1346" s="1" t="s">
        <v>116</v>
      </c>
      <c r="F1346" s="1" t="s">
        <v>150</v>
      </c>
      <c r="G1346" s="1" t="s">
        <v>142</v>
      </c>
    </row>
    <row r="1347">
      <c r="A1347" s="40">
        <v>45486.653477789354</v>
      </c>
      <c r="B1347" s="1" t="s">
        <v>80</v>
      </c>
      <c r="C1347" s="1" t="s">
        <v>96</v>
      </c>
      <c r="F1347" s="1" t="s">
        <v>150</v>
      </c>
    </row>
    <row r="1348">
      <c r="A1348" s="40">
        <v>45488.72071983796</v>
      </c>
      <c r="B1348" s="1" t="s">
        <v>80</v>
      </c>
      <c r="C1348" s="1" t="s">
        <v>96</v>
      </c>
      <c r="F1348" s="1" t="s">
        <v>150</v>
      </c>
    </row>
    <row r="1349">
      <c r="A1349" s="40">
        <v>45488.72089236111</v>
      </c>
      <c r="B1349" s="1" t="s">
        <v>1</v>
      </c>
      <c r="C1349" s="1" t="s">
        <v>91</v>
      </c>
      <c r="D1349" s="1" t="s">
        <v>125</v>
      </c>
      <c r="F1349" s="1" t="s">
        <v>150</v>
      </c>
    </row>
    <row r="1350">
      <c r="A1350" s="40">
        <v>45489.66046458333</v>
      </c>
      <c r="B1350" s="1" t="s">
        <v>1</v>
      </c>
      <c r="C1350" s="1" t="s">
        <v>91</v>
      </c>
      <c r="D1350" s="1" t="s">
        <v>116</v>
      </c>
      <c r="F1350" s="1" t="s">
        <v>150</v>
      </c>
    </row>
    <row r="1351">
      <c r="A1351" s="40">
        <v>45490.45915055556</v>
      </c>
      <c r="B1351" s="1" t="s">
        <v>83</v>
      </c>
      <c r="D1351" s="1" t="s">
        <v>121</v>
      </c>
      <c r="F1351" s="1" t="s">
        <v>147</v>
      </c>
    </row>
    <row r="1352">
      <c r="A1352" s="40">
        <v>45491.37877083333</v>
      </c>
      <c r="B1352" s="1" t="s">
        <v>83</v>
      </c>
      <c r="D1352" s="1" t="s">
        <v>121</v>
      </c>
      <c r="F1352" s="1" t="s">
        <v>147</v>
      </c>
    </row>
    <row r="1353">
      <c r="A1353" s="40">
        <v>45491.37909967593</v>
      </c>
      <c r="C1353" s="1" t="s">
        <v>2</v>
      </c>
    </row>
    <row r="1354">
      <c r="A1354" s="40">
        <v>45491.37916232639</v>
      </c>
      <c r="C1354" s="1" t="s">
        <v>2</v>
      </c>
    </row>
    <row r="1355">
      <c r="A1355" s="40">
        <v>45491.37923672453</v>
      </c>
      <c r="C1355" s="1" t="s">
        <v>2</v>
      </c>
    </row>
    <row r="1356">
      <c r="A1356" s="40">
        <v>45491.379381412036</v>
      </c>
      <c r="F1356" s="1" t="s">
        <v>153</v>
      </c>
    </row>
    <row r="1357">
      <c r="A1357" s="40">
        <v>45491.379429583336</v>
      </c>
      <c r="F1357" s="1" t="s">
        <v>153</v>
      </c>
    </row>
    <row r="1358">
      <c r="A1358" s="40">
        <v>45492.438460324076</v>
      </c>
      <c r="B1358" s="1" t="s">
        <v>83</v>
      </c>
      <c r="D1358" s="1" t="s">
        <v>121</v>
      </c>
      <c r="F1358" s="1" t="s">
        <v>147</v>
      </c>
    </row>
    <row r="1359">
      <c r="A1359" s="40">
        <v>45494.62940263889</v>
      </c>
      <c r="B1359" s="1" t="s">
        <v>89</v>
      </c>
      <c r="E1359" s="1" t="s">
        <v>128</v>
      </c>
      <c r="F1359" s="1" t="s">
        <v>150</v>
      </c>
    </row>
    <row r="1360">
      <c r="A1360" s="40">
        <v>45494.629475243055</v>
      </c>
      <c r="B1360" s="1" t="s">
        <v>89</v>
      </c>
    </row>
    <row r="1361">
      <c r="A1361" s="40">
        <v>45494.62974788195</v>
      </c>
      <c r="B1361" s="1" t="s">
        <v>81</v>
      </c>
      <c r="C1361" s="1" t="s">
        <v>101</v>
      </c>
    </row>
    <row r="1362">
      <c r="A1362" s="40">
        <v>45495.49031333333</v>
      </c>
      <c r="B1362" s="1" t="s">
        <v>89</v>
      </c>
    </row>
    <row r="1363">
      <c r="A1363" s="40">
        <v>45496.827809560185</v>
      </c>
      <c r="B1363" s="44" t="s">
        <v>87</v>
      </c>
      <c r="C1363" s="1" t="s">
        <v>3</v>
      </c>
      <c r="F1363" s="1" t="s">
        <v>146</v>
      </c>
    </row>
    <row r="1364">
      <c r="A1364" s="40">
        <v>45496.82791155092</v>
      </c>
      <c r="B1364" s="1" t="s">
        <v>77</v>
      </c>
    </row>
    <row r="1365">
      <c r="A1365" s="40">
        <v>45498.57671256944</v>
      </c>
      <c r="B1365" s="44" t="s">
        <v>87</v>
      </c>
      <c r="C1365" s="1" t="s">
        <v>92</v>
      </c>
    </row>
    <row r="1366">
      <c r="A1366" s="40">
        <v>45498.63531216435</v>
      </c>
      <c r="E1366" s="1" t="s">
        <v>137</v>
      </c>
      <c r="F1366" s="1" t="s">
        <v>151</v>
      </c>
    </row>
    <row r="1367">
      <c r="A1367" s="40">
        <v>45498.63539747686</v>
      </c>
      <c r="F1367" s="1" t="s">
        <v>151</v>
      </c>
    </row>
    <row r="1368">
      <c r="A1368" s="40">
        <v>45498.63544770834</v>
      </c>
      <c r="F1368" s="1" t="s">
        <v>151</v>
      </c>
    </row>
    <row r="1369">
      <c r="A1369" s="40">
        <v>45498.635579803245</v>
      </c>
      <c r="E1369" s="1" t="s">
        <v>130</v>
      </c>
    </row>
    <row r="1370">
      <c r="A1370" s="40">
        <v>45498.635674386576</v>
      </c>
      <c r="E1370" s="1" t="s">
        <v>130</v>
      </c>
    </row>
    <row r="1371">
      <c r="A1371" s="40">
        <v>45499.48046711806</v>
      </c>
      <c r="B1371" s="1" t="s">
        <v>90</v>
      </c>
      <c r="D1371" s="1" t="s">
        <v>126</v>
      </c>
      <c r="E1371" s="1" t="s">
        <v>137</v>
      </c>
      <c r="F1371" s="1" t="s">
        <v>146</v>
      </c>
    </row>
    <row r="1372">
      <c r="A1372" s="40">
        <v>45500.72417127315</v>
      </c>
      <c r="B1372" s="1" t="s">
        <v>88</v>
      </c>
      <c r="C1372" s="1" t="s">
        <v>2</v>
      </c>
      <c r="F1372" s="1" t="s">
        <v>147</v>
      </c>
    </row>
    <row r="1373">
      <c r="A1373" s="40">
        <v>45500.72430898148</v>
      </c>
      <c r="B1373" s="1" t="s">
        <v>90</v>
      </c>
      <c r="D1373" s="1" t="s">
        <v>126</v>
      </c>
      <c r="E1373" s="1" t="s">
        <v>137</v>
      </c>
      <c r="F1373" s="1" t="s">
        <v>146</v>
      </c>
    </row>
    <row r="1374">
      <c r="A1374" s="40">
        <v>45501.51236115741</v>
      </c>
      <c r="C1374" s="1" t="s">
        <v>93</v>
      </c>
      <c r="F1374" s="1" t="s">
        <v>153</v>
      </c>
    </row>
    <row r="1375">
      <c r="A1375" s="40">
        <v>45501.512502743055</v>
      </c>
      <c r="B1375" s="1" t="s">
        <v>88</v>
      </c>
      <c r="C1375" s="1" t="s">
        <v>2</v>
      </c>
      <c r="F1375" s="1" t="s">
        <v>151</v>
      </c>
    </row>
    <row r="1376">
      <c r="A1376" s="40">
        <v>45502.745961215274</v>
      </c>
      <c r="B1376" s="1" t="s">
        <v>89</v>
      </c>
      <c r="E1376" s="1" t="s">
        <v>128</v>
      </c>
      <c r="F1376" s="1" t="s">
        <v>151</v>
      </c>
    </row>
    <row r="1377">
      <c r="A1377" s="40">
        <v>45503.42169611111</v>
      </c>
      <c r="B1377" s="1" t="s">
        <v>80</v>
      </c>
      <c r="C1377" s="1" t="s">
        <v>95</v>
      </c>
      <c r="F1377" s="1" t="s">
        <v>151</v>
      </c>
    </row>
    <row r="1378">
      <c r="A1378" s="40">
        <v>45504.495619803245</v>
      </c>
      <c r="B1378" s="1" t="s">
        <v>80</v>
      </c>
      <c r="C1378" s="1" t="s">
        <v>96</v>
      </c>
      <c r="F1378" s="1" t="s">
        <v>151</v>
      </c>
    </row>
    <row r="1379">
      <c r="A1379" s="40">
        <v>45505.51126134259</v>
      </c>
      <c r="B1379" s="44" t="s">
        <v>87</v>
      </c>
      <c r="C1379" s="1" t="s">
        <v>4</v>
      </c>
      <c r="F1379" s="1" t="s">
        <v>150</v>
      </c>
    </row>
    <row r="1380">
      <c r="A1380" s="40">
        <v>45507.554793773146</v>
      </c>
      <c r="B1380" s="1" t="s">
        <v>89</v>
      </c>
      <c r="E1380" s="1" t="s">
        <v>128</v>
      </c>
      <c r="F1380" s="1" t="s">
        <v>151</v>
      </c>
    </row>
    <row r="1381">
      <c r="A1381" s="40">
        <v>45508.497993020836</v>
      </c>
      <c r="C1381" s="1" t="s">
        <v>2</v>
      </c>
      <c r="F1381" s="1" t="s">
        <v>153</v>
      </c>
    </row>
    <row r="1382">
      <c r="A1382" s="40">
        <v>45508.66883581018</v>
      </c>
      <c r="B1382" s="1" t="s">
        <v>80</v>
      </c>
      <c r="C1382" s="1" t="s">
        <v>96</v>
      </c>
    </row>
    <row r="1383">
      <c r="A1383" s="40">
        <v>45509.49276815972</v>
      </c>
      <c r="B1383" s="1" t="s">
        <v>80</v>
      </c>
      <c r="C1383" s="1" t="s">
        <v>95</v>
      </c>
      <c r="F1383" s="1" t="s">
        <v>151</v>
      </c>
    </row>
    <row r="1384">
      <c r="A1384" s="40">
        <v>45510.54010773148</v>
      </c>
      <c r="B1384" s="1" t="s">
        <v>89</v>
      </c>
      <c r="E1384" s="1" t="s">
        <v>130</v>
      </c>
      <c r="F1384" s="1" t="s">
        <v>151</v>
      </c>
    </row>
    <row r="1385">
      <c r="A1385" s="40">
        <v>45511.50425359954</v>
      </c>
      <c r="B1385" s="1" t="s">
        <v>0</v>
      </c>
      <c r="C1385" s="1" t="s">
        <v>97</v>
      </c>
      <c r="F1385" s="1" t="s">
        <v>151</v>
      </c>
    </row>
    <row r="1386">
      <c r="A1386" s="40">
        <v>45512.71824939815</v>
      </c>
      <c r="B1386" s="1" t="s">
        <v>0</v>
      </c>
      <c r="C1386" s="1" t="s">
        <v>94</v>
      </c>
      <c r="F1386" s="1" t="s">
        <v>150</v>
      </c>
    </row>
    <row r="1387">
      <c r="A1387" s="40">
        <v>45514.02586760417</v>
      </c>
      <c r="B1387" s="1" t="s">
        <v>80</v>
      </c>
      <c r="C1387" s="1" t="s">
        <v>94</v>
      </c>
      <c r="F1387" s="1" t="s">
        <v>151</v>
      </c>
    </row>
    <row r="1388">
      <c r="A1388" s="40">
        <v>45514.620344675925</v>
      </c>
      <c r="B1388" s="1" t="s">
        <v>80</v>
      </c>
      <c r="C1388" s="1" t="s">
        <v>95</v>
      </c>
    </row>
    <row r="1389">
      <c r="A1389" s="40">
        <v>45515.51756664352</v>
      </c>
      <c r="B1389" s="1" t="s">
        <v>89</v>
      </c>
      <c r="C1389" s="1" t="s">
        <v>94</v>
      </c>
      <c r="F1389" s="1" t="s">
        <v>153</v>
      </c>
    </row>
    <row r="1390">
      <c r="A1390" s="40">
        <v>45515.51763902778</v>
      </c>
      <c r="C1390" s="1" t="s">
        <v>2</v>
      </c>
      <c r="F1390" s="1" t="s">
        <v>153</v>
      </c>
    </row>
    <row r="1391">
      <c r="A1391" s="40">
        <v>45515.51769792824</v>
      </c>
      <c r="C1391" s="1" t="s">
        <v>2</v>
      </c>
    </row>
    <row r="1392">
      <c r="A1392" s="40">
        <v>45515.51774271991</v>
      </c>
      <c r="F1392" s="1" t="s">
        <v>153</v>
      </c>
    </row>
    <row r="1393">
      <c r="A1393" s="40">
        <v>45516.46669947916</v>
      </c>
      <c r="B1393" s="1" t="s">
        <v>89</v>
      </c>
      <c r="E1393" s="1" t="s">
        <v>130</v>
      </c>
      <c r="F1393" s="1" t="s">
        <v>151</v>
      </c>
    </row>
    <row r="1394">
      <c r="A1394" s="40">
        <v>45517.48698894676</v>
      </c>
      <c r="B1394" s="1" t="s">
        <v>80</v>
      </c>
      <c r="C1394" s="1" t="s">
        <v>96</v>
      </c>
      <c r="F1394" s="1" t="s">
        <v>150</v>
      </c>
    </row>
    <row r="1395">
      <c r="A1395" s="40">
        <v>45518.46811944444</v>
      </c>
      <c r="B1395" s="1" t="s">
        <v>89</v>
      </c>
      <c r="E1395" s="1" t="s">
        <v>128</v>
      </c>
      <c r="F1395" s="1" t="s">
        <v>151</v>
      </c>
    </row>
    <row r="1396">
      <c r="A1396" s="40">
        <v>45519.41695329861</v>
      </c>
      <c r="B1396" s="1" t="s">
        <v>89</v>
      </c>
      <c r="E1396" s="1" t="s">
        <v>128</v>
      </c>
      <c r="F1396" s="1" t="s">
        <v>147</v>
      </c>
    </row>
    <row r="1397">
      <c r="A1397" s="40">
        <v>45520.42246104167</v>
      </c>
      <c r="B1397" s="1" t="s">
        <v>89</v>
      </c>
      <c r="C1397" s="1" t="s">
        <v>4</v>
      </c>
      <c r="F1397" s="1" t="s">
        <v>151</v>
      </c>
    </row>
    <row r="1398">
      <c r="A1398" s="40">
        <v>45522.465080995375</v>
      </c>
      <c r="B1398" s="1" t="s">
        <v>89</v>
      </c>
      <c r="E1398" s="1" t="s">
        <v>130</v>
      </c>
      <c r="F1398" s="1" t="s">
        <v>150</v>
      </c>
    </row>
    <row r="1399">
      <c r="A1399" s="40">
        <v>45523.38537417824</v>
      </c>
      <c r="B1399" s="1" t="s">
        <v>88</v>
      </c>
      <c r="C1399" s="1" t="s">
        <v>98</v>
      </c>
      <c r="F1399" s="1" t="s">
        <v>147</v>
      </c>
    </row>
    <row r="1400">
      <c r="A1400" s="40">
        <v>45523.38549959491</v>
      </c>
      <c r="C1400" s="1" t="s">
        <v>93</v>
      </c>
      <c r="F1400" s="1" t="s">
        <v>153</v>
      </c>
    </row>
    <row r="1401">
      <c r="A1401" s="40">
        <v>45523.38559858796</v>
      </c>
      <c r="C1401" s="1" t="s">
        <v>2</v>
      </c>
      <c r="F1401" s="1" t="s">
        <v>153</v>
      </c>
    </row>
    <row r="1402">
      <c r="A1402" s="40">
        <v>45523.47290252315</v>
      </c>
      <c r="B1402" s="1" t="s">
        <v>0</v>
      </c>
      <c r="C1402" s="1" t="s">
        <v>97</v>
      </c>
      <c r="F1402" s="1" t="s">
        <v>151</v>
      </c>
    </row>
    <row r="1403">
      <c r="A1403" s="40">
        <v>45524.42375731481</v>
      </c>
      <c r="B1403" s="1" t="s">
        <v>77</v>
      </c>
      <c r="E1403" s="1" t="s">
        <v>127</v>
      </c>
      <c r="F1403" s="1" t="s">
        <v>147</v>
      </c>
    </row>
    <row r="1404">
      <c r="A1404" s="40">
        <v>45525.794680879626</v>
      </c>
      <c r="C1404" s="1" t="s">
        <v>93</v>
      </c>
      <c r="F1404" s="1" t="s">
        <v>153</v>
      </c>
    </row>
    <row r="1405">
      <c r="A1405" s="40">
        <v>45525.85615759259</v>
      </c>
      <c r="B1405" s="1" t="s">
        <v>88</v>
      </c>
      <c r="E1405" s="1" t="s">
        <v>133</v>
      </c>
      <c r="F1405" s="1" t="s">
        <v>151</v>
      </c>
    </row>
    <row r="1406">
      <c r="A1406" s="40">
        <v>45526.512734421296</v>
      </c>
      <c r="B1406" s="1" t="s">
        <v>1</v>
      </c>
      <c r="C1406" s="1" t="s">
        <v>92</v>
      </c>
      <c r="D1406" s="1" t="s">
        <v>125</v>
      </c>
      <c r="F1406" s="1" t="s">
        <v>147</v>
      </c>
    </row>
    <row r="1407">
      <c r="A1407" s="40">
        <v>45527.44314189815</v>
      </c>
      <c r="B1407" s="1" t="s">
        <v>77</v>
      </c>
      <c r="C1407" s="1" t="s">
        <v>92</v>
      </c>
      <c r="D1407" s="1" t="s">
        <v>116</v>
      </c>
      <c r="F1407" s="1" t="s">
        <v>147</v>
      </c>
    </row>
    <row r="1408">
      <c r="A1408" s="40">
        <v>45529.66173876157</v>
      </c>
      <c r="B1408" s="1" t="s">
        <v>88</v>
      </c>
      <c r="C1408" s="1" t="s">
        <v>98</v>
      </c>
    </row>
    <row r="1409">
      <c r="A1409" s="40">
        <v>45530.425157314814</v>
      </c>
      <c r="C1409" s="1" t="s">
        <v>2</v>
      </c>
      <c r="F1409" s="1" t="s">
        <v>153</v>
      </c>
    </row>
    <row r="1410">
      <c r="A1410" s="40">
        <v>45531.50839693287</v>
      </c>
      <c r="B1410" s="1" t="s">
        <v>88</v>
      </c>
      <c r="C1410" s="1" t="s">
        <v>96</v>
      </c>
      <c r="F1410" s="1" t="s">
        <v>153</v>
      </c>
    </row>
    <row r="1411">
      <c r="A1411" s="40">
        <v>45531.50846157408</v>
      </c>
      <c r="C1411" s="1" t="s">
        <v>2</v>
      </c>
    </row>
    <row r="1412">
      <c r="A1412" s="40">
        <v>45532.444770312504</v>
      </c>
      <c r="B1412" s="1" t="s">
        <v>88</v>
      </c>
      <c r="C1412" s="1" t="s">
        <v>96</v>
      </c>
    </row>
    <row r="1413">
      <c r="A1413" s="40">
        <v>45532.49248016204</v>
      </c>
      <c r="C1413" s="1" t="s">
        <v>2</v>
      </c>
      <c r="F1413" s="1" t="s">
        <v>153</v>
      </c>
    </row>
    <row r="1414">
      <c r="A1414" s="40">
        <v>45533.42369913195</v>
      </c>
      <c r="C1414" s="1" t="s">
        <v>2</v>
      </c>
      <c r="F1414" s="1" t="s">
        <v>153</v>
      </c>
    </row>
    <row r="1415">
      <c r="A1415" s="40">
        <v>45533.42386579861</v>
      </c>
      <c r="B1415" s="1" t="s">
        <v>80</v>
      </c>
      <c r="C1415" s="1" t="s">
        <v>95</v>
      </c>
      <c r="F1415" s="1" t="s">
        <v>151</v>
      </c>
    </row>
    <row r="1416">
      <c r="A1416" s="40">
        <v>45534.67901116898</v>
      </c>
      <c r="B1416" s="1" t="s">
        <v>80</v>
      </c>
      <c r="C1416" s="1" t="s">
        <v>95</v>
      </c>
      <c r="F1416" s="1" t="s">
        <v>150</v>
      </c>
    </row>
    <row r="1417">
      <c r="A1417" s="40">
        <v>45535.7477928588</v>
      </c>
      <c r="B1417" s="1" t="s">
        <v>80</v>
      </c>
      <c r="C1417" s="1" t="s">
        <v>94</v>
      </c>
      <c r="F1417" s="1" t="s">
        <v>150</v>
      </c>
    </row>
    <row r="1418">
      <c r="A1418" s="40">
        <v>45535.74787545139</v>
      </c>
      <c r="C1418" s="1" t="s">
        <v>3</v>
      </c>
    </row>
    <row r="1419">
      <c r="A1419" s="40">
        <v>45536.65686752315</v>
      </c>
      <c r="B1419" s="1" t="s">
        <v>80</v>
      </c>
      <c r="C1419" s="1" t="s">
        <v>3</v>
      </c>
      <c r="F1419" s="1" t="s">
        <v>150</v>
      </c>
    </row>
    <row r="1420">
      <c r="A1420" s="40">
        <v>45537.48308210648</v>
      </c>
      <c r="C1420" s="1" t="s">
        <v>2</v>
      </c>
      <c r="F1420" s="1" t="s">
        <v>153</v>
      </c>
    </row>
    <row r="1421">
      <c r="A1421" s="40">
        <v>45538.51125384259</v>
      </c>
      <c r="C1421" s="1" t="s">
        <v>2</v>
      </c>
      <c r="F1421" s="1" t="s">
        <v>153</v>
      </c>
    </row>
    <row r="1422">
      <c r="A1422" s="40">
        <v>45538.511709178245</v>
      </c>
      <c r="B1422" s="1" t="s">
        <v>89</v>
      </c>
      <c r="E1422" s="1" t="s">
        <v>128</v>
      </c>
      <c r="F1422" s="1" t="s">
        <v>151</v>
      </c>
    </row>
    <row r="1423">
      <c r="A1423" s="40">
        <v>45539.41822760417</v>
      </c>
      <c r="B1423" s="1" t="s">
        <v>0</v>
      </c>
      <c r="C1423" s="1" t="s">
        <v>94</v>
      </c>
      <c r="F1423" s="1" t="s">
        <v>151</v>
      </c>
    </row>
    <row r="1424">
      <c r="A1424" s="40">
        <v>45539.418344108795</v>
      </c>
      <c r="C1424" s="1" t="s">
        <v>93</v>
      </c>
      <c r="F1424" s="1" t="s">
        <v>153</v>
      </c>
    </row>
    <row r="1425">
      <c r="A1425" s="40">
        <v>45540.46686863426</v>
      </c>
      <c r="B1425" s="1" t="s">
        <v>89</v>
      </c>
      <c r="E1425" s="1" t="s">
        <v>130</v>
      </c>
      <c r="F1425" s="1" t="s">
        <v>151</v>
      </c>
    </row>
    <row r="1426">
      <c r="A1426" s="40">
        <v>45541.457493877315</v>
      </c>
      <c r="B1426" s="1" t="s">
        <v>0</v>
      </c>
      <c r="C1426" s="1" t="s">
        <v>4</v>
      </c>
      <c r="F1426" s="1" t="s">
        <v>151</v>
      </c>
    </row>
    <row r="1427">
      <c r="A1427" s="40">
        <v>45542.45626142361</v>
      </c>
      <c r="G1427" s="1" t="s">
        <v>142</v>
      </c>
    </row>
    <row r="1428">
      <c r="A1428" s="40">
        <v>45542.47360982639</v>
      </c>
      <c r="C1428" s="1" t="s">
        <v>2</v>
      </c>
      <c r="F1428" s="1" t="s">
        <v>150</v>
      </c>
    </row>
    <row r="1429">
      <c r="A1429" s="40">
        <v>45543.468942754625</v>
      </c>
      <c r="C1429" s="1" t="s">
        <v>2</v>
      </c>
      <c r="F1429" s="1" t="s">
        <v>153</v>
      </c>
    </row>
    <row r="1430">
      <c r="A1430" s="40">
        <v>45544.33678950231</v>
      </c>
      <c r="B1430" s="1" t="s">
        <v>88</v>
      </c>
      <c r="C1430" s="1" t="s">
        <v>94</v>
      </c>
      <c r="F1430" s="1" t="s">
        <v>151</v>
      </c>
    </row>
    <row r="1431">
      <c r="A1431" s="40">
        <v>45545.41002123842</v>
      </c>
      <c r="B1431" s="1" t="s">
        <v>77</v>
      </c>
      <c r="C1431" s="1" t="s">
        <v>92</v>
      </c>
      <c r="D1431" s="1" t="s">
        <v>116</v>
      </c>
      <c r="F1431" s="1" t="s">
        <v>150</v>
      </c>
    </row>
    <row r="1432">
      <c r="A1432" s="40">
        <v>45545.41013016204</v>
      </c>
      <c r="C1432" s="1" t="s">
        <v>93</v>
      </c>
      <c r="F1432" s="1" t="s">
        <v>153</v>
      </c>
    </row>
    <row r="1433">
      <c r="A1433" s="40">
        <v>45545.410373101855</v>
      </c>
      <c r="B1433" s="1" t="s">
        <v>77</v>
      </c>
      <c r="C1433" s="1" t="s">
        <v>91</v>
      </c>
      <c r="D1433" s="1" t="s">
        <v>119</v>
      </c>
      <c r="F1433" s="1" t="s">
        <v>147</v>
      </c>
    </row>
    <row r="1434">
      <c r="A1434" s="40">
        <v>45546.56750579861</v>
      </c>
      <c r="B1434" s="1" t="s">
        <v>77</v>
      </c>
      <c r="C1434" s="1" t="s">
        <v>91</v>
      </c>
      <c r="D1434" s="1" t="s">
        <v>116</v>
      </c>
      <c r="F1434" s="1" t="s">
        <v>147</v>
      </c>
    </row>
    <row r="1435">
      <c r="A1435" s="40">
        <v>45546.56759979167</v>
      </c>
      <c r="C1435" s="1" t="s">
        <v>93</v>
      </c>
      <c r="F1435" s="1" t="s">
        <v>153</v>
      </c>
    </row>
    <row r="1436">
      <c r="A1436" s="40">
        <v>45547.539614884256</v>
      </c>
      <c r="B1436" s="1" t="s">
        <v>77</v>
      </c>
      <c r="D1436" s="1" t="s">
        <v>121</v>
      </c>
      <c r="F1436" s="1" t="s">
        <v>147</v>
      </c>
      <c r="G1436" s="1" t="s">
        <v>142</v>
      </c>
    </row>
    <row r="1437">
      <c r="A1437" s="40">
        <v>45548.45847637732</v>
      </c>
      <c r="B1437" s="1" t="s">
        <v>77</v>
      </c>
      <c r="C1437" s="1" t="s">
        <v>91</v>
      </c>
      <c r="D1437" s="1" t="s">
        <v>119</v>
      </c>
      <c r="F1437" s="1" t="s">
        <v>147</v>
      </c>
      <c r="G1437" s="1" t="s">
        <v>142</v>
      </c>
    </row>
    <row r="1438">
      <c r="A1438" s="40">
        <v>45549.48253912037</v>
      </c>
      <c r="B1438" s="1" t="s">
        <v>0</v>
      </c>
      <c r="C1438" s="1" t="s">
        <v>92</v>
      </c>
    </row>
    <row r="1439">
      <c r="A1439" s="40">
        <v>45549.482629074075</v>
      </c>
      <c r="C1439" s="1" t="s">
        <v>2</v>
      </c>
      <c r="F1439" s="1" t="s">
        <v>153</v>
      </c>
    </row>
    <row r="1440">
      <c r="A1440" s="40">
        <v>45549.89110765046</v>
      </c>
      <c r="F1440" s="1" t="s">
        <v>150</v>
      </c>
    </row>
    <row r="1441">
      <c r="A1441" s="40">
        <v>45550.69661370371</v>
      </c>
      <c r="B1441" s="1" t="s">
        <v>0</v>
      </c>
      <c r="C1441" s="1" t="s">
        <v>92</v>
      </c>
      <c r="F1441" s="1" t="s">
        <v>150</v>
      </c>
    </row>
    <row r="1442">
      <c r="A1442" s="40">
        <v>45551.67018054398</v>
      </c>
      <c r="B1442" s="1" t="s">
        <v>0</v>
      </c>
      <c r="C1442" s="1" t="s">
        <v>3</v>
      </c>
      <c r="F1442" s="1" t="s">
        <v>151</v>
      </c>
    </row>
    <row r="1443">
      <c r="A1443" s="40">
        <v>45551.67083179398</v>
      </c>
      <c r="C1443" s="1" t="s">
        <v>2</v>
      </c>
    </row>
    <row r="1444">
      <c r="A1444" s="40">
        <v>45552.70123351851</v>
      </c>
      <c r="B1444" s="1" t="s">
        <v>77</v>
      </c>
      <c r="C1444" s="1" t="s">
        <v>92</v>
      </c>
      <c r="D1444" s="1" t="s">
        <v>119</v>
      </c>
      <c r="F1444" s="1" t="s">
        <v>147</v>
      </c>
    </row>
    <row r="1445">
      <c r="A1445" s="40">
        <v>45552.701321863424</v>
      </c>
      <c r="C1445" s="1" t="s">
        <v>2</v>
      </c>
      <c r="F1445" s="1" t="s">
        <v>153</v>
      </c>
    </row>
    <row r="1446">
      <c r="A1446" s="40">
        <v>45553.42303917824</v>
      </c>
      <c r="B1446" s="1" t="s">
        <v>83</v>
      </c>
      <c r="C1446" s="1" t="s">
        <v>91</v>
      </c>
      <c r="D1446" s="1" t="s">
        <v>110</v>
      </c>
      <c r="F1446" s="1" t="s">
        <v>151</v>
      </c>
    </row>
    <row r="1447">
      <c r="A1447" s="40">
        <v>45554.58837857639</v>
      </c>
      <c r="B1447" s="1" t="s">
        <v>83</v>
      </c>
      <c r="C1447" s="1" t="s">
        <v>91</v>
      </c>
      <c r="D1447" s="1" t="s">
        <v>110</v>
      </c>
      <c r="F1447" s="1" t="s">
        <v>151</v>
      </c>
    </row>
    <row r="1448">
      <c r="A1448" s="40">
        <v>45555.469331388886</v>
      </c>
      <c r="B1448" s="1" t="s">
        <v>1</v>
      </c>
      <c r="C1448" s="1" t="s">
        <v>91</v>
      </c>
      <c r="D1448" s="1" t="s">
        <v>111</v>
      </c>
      <c r="F1448" s="1" t="s">
        <v>151</v>
      </c>
    </row>
    <row r="1449">
      <c r="A1449" s="40">
        <v>45556.44917569445</v>
      </c>
      <c r="B1449" s="1" t="s">
        <v>1</v>
      </c>
      <c r="C1449" s="1" t="s">
        <v>91</v>
      </c>
      <c r="D1449" s="1" t="s">
        <v>111</v>
      </c>
      <c r="F1449" s="1" t="s">
        <v>151</v>
      </c>
    </row>
    <row r="1450">
      <c r="A1450" s="40">
        <v>45557.60549927084</v>
      </c>
      <c r="B1450" s="44" t="s">
        <v>87</v>
      </c>
      <c r="C1450" s="1" t="s">
        <v>3</v>
      </c>
    </row>
    <row r="1451">
      <c r="A1451" s="40">
        <v>45557.60556866898</v>
      </c>
      <c r="C1451" s="1" t="s">
        <v>2</v>
      </c>
    </row>
    <row r="1452">
      <c r="A1452" s="40">
        <v>45558.492028043984</v>
      </c>
      <c r="B1452" s="1" t="s">
        <v>1</v>
      </c>
      <c r="C1452" s="1" t="s">
        <v>3</v>
      </c>
      <c r="D1452" s="1" t="s">
        <v>125</v>
      </c>
      <c r="F1452" s="1" t="s">
        <v>151</v>
      </c>
      <c r="G1452" s="1" t="s">
        <v>142</v>
      </c>
    </row>
    <row r="1453">
      <c r="A1453" s="40">
        <v>45559.58086134259</v>
      </c>
      <c r="B1453" s="1" t="s">
        <v>1</v>
      </c>
      <c r="C1453" s="1" t="s">
        <v>3</v>
      </c>
      <c r="D1453" s="1" t="s">
        <v>125</v>
      </c>
      <c r="F1453" s="1" t="s">
        <v>151</v>
      </c>
      <c r="G1453" s="1" t="s">
        <v>142</v>
      </c>
    </row>
    <row r="1454">
      <c r="A1454" s="40">
        <v>45560.490097789356</v>
      </c>
      <c r="B1454" s="1" t="s">
        <v>1</v>
      </c>
      <c r="D1454" s="1" t="s">
        <v>119</v>
      </c>
      <c r="F1454" s="1" t="s">
        <v>151</v>
      </c>
      <c r="G1454" s="1" t="s">
        <v>142</v>
      </c>
    </row>
    <row r="1455">
      <c r="A1455" s="40">
        <v>45560.76285241898</v>
      </c>
      <c r="C1455" s="1" t="s">
        <v>93</v>
      </c>
    </row>
    <row r="1456">
      <c r="A1456" s="40">
        <v>45561.57919153935</v>
      </c>
      <c r="B1456" s="1" t="s">
        <v>1</v>
      </c>
      <c r="C1456" s="1" t="s">
        <v>91</v>
      </c>
      <c r="D1456" s="1" t="s">
        <v>119</v>
      </c>
      <c r="F1456" s="1" t="s">
        <v>151</v>
      </c>
      <c r="G1456" s="1" t="s">
        <v>142</v>
      </c>
    </row>
    <row r="1457">
      <c r="A1457" s="40">
        <v>45562.48482657407</v>
      </c>
      <c r="B1457" s="1" t="s">
        <v>84</v>
      </c>
      <c r="C1457" s="1" t="s">
        <v>92</v>
      </c>
      <c r="D1457" s="1" t="s">
        <v>119</v>
      </c>
      <c r="F1457" s="1" t="s">
        <v>151</v>
      </c>
      <c r="G1457" s="1" t="s">
        <v>142</v>
      </c>
    </row>
    <row r="1458">
      <c r="A1458" s="40">
        <v>45563.72270396991</v>
      </c>
      <c r="B1458" s="1" t="s">
        <v>84</v>
      </c>
      <c r="C1458" s="1" t="s">
        <v>92</v>
      </c>
      <c r="D1458" s="1" t="s">
        <v>119</v>
      </c>
      <c r="F1458" s="1" t="s">
        <v>151</v>
      </c>
      <c r="G1458" s="1" t="s">
        <v>142</v>
      </c>
    </row>
    <row r="1459">
      <c r="A1459" s="40">
        <v>45563.72287462963</v>
      </c>
      <c r="B1459" s="1" t="s">
        <v>84</v>
      </c>
      <c r="C1459" s="1" t="s">
        <v>3</v>
      </c>
      <c r="D1459" s="1" t="s">
        <v>111</v>
      </c>
      <c r="F1459" s="1" t="s">
        <v>151</v>
      </c>
    </row>
    <row r="1460">
      <c r="A1460" s="40">
        <v>45566.442834490736</v>
      </c>
      <c r="B1460" s="1" t="s">
        <v>84</v>
      </c>
      <c r="C1460" s="1" t="s">
        <v>91</v>
      </c>
      <c r="D1460" s="1" t="s">
        <v>111</v>
      </c>
      <c r="F1460" s="1" t="s">
        <v>150</v>
      </c>
      <c r="G1460" s="1" t="s">
        <v>142</v>
      </c>
    </row>
    <row r="1461">
      <c r="A1461" s="40">
        <v>45566.47059306713</v>
      </c>
      <c r="B1461" s="1" t="s">
        <v>84</v>
      </c>
      <c r="C1461" s="1" t="s">
        <v>3</v>
      </c>
      <c r="D1461" s="1" t="s">
        <v>111</v>
      </c>
      <c r="F1461" s="1" t="s">
        <v>150</v>
      </c>
      <c r="G1461" s="1" t="s">
        <v>142</v>
      </c>
    </row>
    <row r="1462">
      <c r="A1462" s="40">
        <v>45567.939631030094</v>
      </c>
      <c r="B1462" s="1" t="s">
        <v>90</v>
      </c>
      <c r="D1462" s="1" t="s">
        <v>126</v>
      </c>
      <c r="E1462" s="1" t="s">
        <v>137</v>
      </c>
      <c r="F1462" s="1" t="s">
        <v>146</v>
      </c>
    </row>
    <row r="1463">
      <c r="A1463" s="40">
        <v>45567.93983828704</v>
      </c>
      <c r="B1463" s="1" t="s">
        <v>84</v>
      </c>
      <c r="C1463" s="1" t="s">
        <v>92</v>
      </c>
      <c r="D1463" s="1" t="s">
        <v>111</v>
      </c>
      <c r="F1463" s="1" t="s">
        <v>151</v>
      </c>
      <c r="G1463" s="1" t="s">
        <v>142</v>
      </c>
    </row>
    <row r="1464">
      <c r="A1464" s="40">
        <v>45568.51611165509</v>
      </c>
      <c r="B1464" s="1" t="s">
        <v>84</v>
      </c>
      <c r="C1464" s="1" t="s">
        <v>91</v>
      </c>
      <c r="D1464" s="1" t="s">
        <v>118</v>
      </c>
      <c r="F1464" s="1" t="s">
        <v>151</v>
      </c>
      <c r="G1464" s="1" t="s">
        <v>142</v>
      </c>
    </row>
    <row r="1465">
      <c r="A1465" s="40">
        <v>45569.479866724534</v>
      </c>
      <c r="B1465" s="1" t="s">
        <v>84</v>
      </c>
      <c r="C1465" s="1" t="s">
        <v>91</v>
      </c>
      <c r="D1465" s="1" t="s">
        <v>118</v>
      </c>
      <c r="F1465" s="1" t="s">
        <v>151</v>
      </c>
      <c r="G1465" s="1" t="s">
        <v>142</v>
      </c>
    </row>
    <row r="1466">
      <c r="A1466" s="40">
        <v>45570.67597324074</v>
      </c>
      <c r="B1466" s="1" t="s">
        <v>84</v>
      </c>
      <c r="C1466" s="1" t="s">
        <v>91</v>
      </c>
      <c r="D1466" s="1" t="s">
        <v>118</v>
      </c>
      <c r="F1466" s="1" t="s">
        <v>151</v>
      </c>
      <c r="G1466" s="1" t="s">
        <v>142</v>
      </c>
    </row>
    <row r="1467">
      <c r="A1467" s="40">
        <v>45571.747641064816</v>
      </c>
      <c r="B1467" s="1" t="s">
        <v>0</v>
      </c>
      <c r="C1467" s="1" t="s">
        <v>91</v>
      </c>
      <c r="D1467" s="1" t="s">
        <v>110</v>
      </c>
      <c r="F1467" s="1" t="s">
        <v>151</v>
      </c>
      <c r="G1467" s="1" t="s">
        <v>142</v>
      </c>
    </row>
    <row r="1468">
      <c r="A1468" s="40">
        <v>45572.42973027778</v>
      </c>
      <c r="B1468" s="1" t="s">
        <v>0</v>
      </c>
      <c r="C1468" s="1" t="s">
        <v>91</v>
      </c>
      <c r="D1468" s="1" t="s">
        <v>110</v>
      </c>
      <c r="F1468" s="1" t="s">
        <v>151</v>
      </c>
      <c r="G1468" s="1" t="s">
        <v>142</v>
      </c>
    </row>
    <row r="1469">
      <c r="A1469" s="40">
        <v>45574.38306929398</v>
      </c>
      <c r="B1469" s="1" t="s">
        <v>0</v>
      </c>
      <c r="C1469" s="1" t="s">
        <v>91</v>
      </c>
      <c r="D1469" s="1" t="s">
        <v>113</v>
      </c>
      <c r="F1469" s="1" t="s">
        <v>151</v>
      </c>
      <c r="G1469" s="1" t="s">
        <v>142</v>
      </c>
    </row>
    <row r="1470">
      <c r="A1470" s="40">
        <v>45574.383241261574</v>
      </c>
      <c r="B1470" s="1" t="s">
        <v>90</v>
      </c>
      <c r="D1470" s="1" t="s">
        <v>126</v>
      </c>
      <c r="E1470" s="1" t="s">
        <v>137</v>
      </c>
      <c r="F1470" s="1" t="s">
        <v>146</v>
      </c>
    </row>
    <row r="1471">
      <c r="A1471" s="40">
        <v>45575.49164412037</v>
      </c>
      <c r="B1471" s="1" t="s">
        <v>0</v>
      </c>
      <c r="C1471" s="1" t="s">
        <v>91</v>
      </c>
      <c r="D1471" s="1" t="s">
        <v>113</v>
      </c>
      <c r="F1471" s="1" t="s">
        <v>151</v>
      </c>
      <c r="G1471" s="1" t="s">
        <v>142</v>
      </c>
    </row>
    <row r="1472">
      <c r="A1472" s="40">
        <v>45576.448417962965</v>
      </c>
      <c r="B1472" s="1" t="s">
        <v>0</v>
      </c>
      <c r="C1472" s="1" t="s">
        <v>91</v>
      </c>
      <c r="D1472" s="1" t="s">
        <v>113</v>
      </c>
      <c r="F1472" s="1" t="s">
        <v>151</v>
      </c>
      <c r="G1472" s="1" t="s">
        <v>142</v>
      </c>
    </row>
    <row r="1473">
      <c r="A1473" s="40">
        <v>45578.38287756944</v>
      </c>
      <c r="B1473" s="1" t="s">
        <v>77</v>
      </c>
      <c r="C1473" s="1" t="s">
        <v>91</v>
      </c>
      <c r="D1473" s="1" t="s">
        <v>118</v>
      </c>
      <c r="F1473" s="1" t="s">
        <v>147</v>
      </c>
      <c r="G1473" s="1" t="s">
        <v>139</v>
      </c>
    </row>
    <row r="1474">
      <c r="A1474" s="40">
        <v>45580.516548472224</v>
      </c>
      <c r="B1474" s="1" t="s">
        <v>77</v>
      </c>
      <c r="C1474" s="1" t="s">
        <v>91</v>
      </c>
      <c r="D1474" s="1" t="s">
        <v>119</v>
      </c>
      <c r="F1474" s="1" t="s">
        <v>147</v>
      </c>
      <c r="G1474" s="1" t="s">
        <v>142</v>
      </c>
    </row>
    <row r="1475">
      <c r="A1475" s="40">
        <v>45581.508447175926</v>
      </c>
      <c r="B1475" s="1" t="s">
        <v>0</v>
      </c>
      <c r="C1475" s="1" t="s">
        <v>2</v>
      </c>
      <c r="F1475" s="1" t="s">
        <v>152</v>
      </c>
      <c r="G1475" s="1" t="s">
        <v>142</v>
      </c>
    </row>
    <row r="1476">
      <c r="A1476" s="40">
        <v>45582.7024665625</v>
      </c>
      <c r="B1476" s="1" t="s">
        <v>0</v>
      </c>
      <c r="C1476" s="1" t="s">
        <v>2</v>
      </c>
      <c r="F1476" s="1" t="s">
        <v>152</v>
      </c>
      <c r="G1476" s="1" t="s">
        <v>142</v>
      </c>
    </row>
    <row r="1477">
      <c r="A1477" s="40">
        <v>45583.56775929398</v>
      </c>
      <c r="B1477" s="1" t="s">
        <v>80</v>
      </c>
      <c r="C1477" s="1" t="s">
        <v>95</v>
      </c>
      <c r="F1477" s="1" t="s">
        <v>150</v>
      </c>
      <c r="G1477" s="1" t="s">
        <v>142</v>
      </c>
    </row>
    <row r="1478">
      <c r="A1478" s="40">
        <v>45584.52877480324</v>
      </c>
      <c r="B1478" s="1" t="s">
        <v>80</v>
      </c>
      <c r="C1478" s="1" t="s">
        <v>3</v>
      </c>
      <c r="F1478" s="1" t="s">
        <v>150</v>
      </c>
    </row>
    <row r="1479">
      <c r="A1479" s="40">
        <v>45585.48113829861</v>
      </c>
      <c r="B1479" s="1" t="s">
        <v>0</v>
      </c>
      <c r="C1479" s="1" t="s">
        <v>92</v>
      </c>
      <c r="F1479" s="1" t="s">
        <v>152</v>
      </c>
    </row>
    <row r="1480">
      <c r="A1480" s="40">
        <v>45586.49939710648</v>
      </c>
      <c r="C1480" s="1" t="s">
        <v>92</v>
      </c>
      <c r="F1480" s="1" t="s">
        <v>152</v>
      </c>
    </row>
    <row r="1481">
      <c r="A1481" s="40">
        <v>45590.476367511576</v>
      </c>
      <c r="B1481" s="1" t="s">
        <v>80</v>
      </c>
      <c r="C1481" s="1" t="s">
        <v>96</v>
      </c>
      <c r="F1481" s="1" t="s">
        <v>150</v>
      </c>
    </row>
    <row r="1482">
      <c r="A1482" s="40">
        <v>45590.47660135417</v>
      </c>
      <c r="B1482" s="1" t="s">
        <v>88</v>
      </c>
      <c r="C1482" s="1" t="s">
        <v>95</v>
      </c>
      <c r="F1482" s="1" t="s">
        <v>150</v>
      </c>
    </row>
    <row r="1483">
      <c r="A1483" s="40">
        <v>45595.477123136574</v>
      </c>
      <c r="B1483" s="1" t="s">
        <v>88</v>
      </c>
      <c r="C1483" s="1" t="s">
        <v>3</v>
      </c>
      <c r="F1483" s="1" t="s">
        <v>152</v>
      </c>
    </row>
    <row r="1484">
      <c r="A1484" s="40">
        <v>45600.61342862269</v>
      </c>
      <c r="B1484" s="1" t="s">
        <v>1</v>
      </c>
      <c r="D1484" s="1" t="s">
        <v>121</v>
      </c>
      <c r="F1484" s="1" t="s">
        <v>151</v>
      </c>
      <c r="G1484" s="1" t="s">
        <v>139</v>
      </c>
    </row>
    <row r="1485">
      <c r="A1485" s="40">
        <v>45601.50833766204</v>
      </c>
      <c r="B1485" s="1" t="s">
        <v>1</v>
      </c>
      <c r="D1485" s="1" t="s">
        <v>121</v>
      </c>
      <c r="F1485" s="1" t="s">
        <v>151</v>
      </c>
      <c r="G1485" s="1" t="s">
        <v>139</v>
      </c>
    </row>
    <row r="1486">
      <c r="A1486" s="40">
        <v>45602.53557688657</v>
      </c>
      <c r="B1486" s="1" t="s">
        <v>90</v>
      </c>
      <c r="D1486" s="1" t="s">
        <v>126</v>
      </c>
      <c r="E1486" s="1" t="s">
        <v>137</v>
      </c>
      <c r="F1486" s="1" t="s">
        <v>146</v>
      </c>
    </row>
    <row r="1487">
      <c r="A1487" s="40">
        <v>45603.627346064815</v>
      </c>
      <c r="B1487" s="1" t="s">
        <v>77</v>
      </c>
      <c r="C1487" s="1" t="s">
        <v>91</v>
      </c>
      <c r="D1487" s="1" t="s">
        <v>116</v>
      </c>
      <c r="F1487" s="1" t="s">
        <v>147</v>
      </c>
      <c r="G1487" s="1" t="s">
        <v>139</v>
      </c>
    </row>
    <row r="1488">
      <c r="A1488" s="40">
        <v>45604.71373171297</v>
      </c>
      <c r="C1488" s="1" t="s">
        <v>2</v>
      </c>
    </row>
    <row r="1489">
      <c r="A1489" s="40">
        <v>45604.71398346065</v>
      </c>
      <c r="B1489" s="1" t="s">
        <v>77</v>
      </c>
      <c r="C1489" s="1" t="s">
        <v>91</v>
      </c>
      <c r="D1489" s="1" t="s">
        <v>119</v>
      </c>
      <c r="F1489" s="1" t="s">
        <v>147</v>
      </c>
      <c r="G1489" s="1" t="s">
        <v>139</v>
      </c>
    </row>
    <row r="1490">
      <c r="A1490" s="40">
        <v>45605.981083182865</v>
      </c>
      <c r="B1490" s="1" t="s">
        <v>77</v>
      </c>
      <c r="C1490" s="1" t="s">
        <v>91</v>
      </c>
      <c r="D1490" s="1" t="s">
        <v>119</v>
      </c>
      <c r="F1490" s="1" t="s">
        <v>147</v>
      </c>
      <c r="G1490" s="1" t="s">
        <v>139</v>
      </c>
    </row>
    <row r="1491">
      <c r="A1491" s="40">
        <v>45606.974600104164</v>
      </c>
      <c r="B1491" s="1" t="s">
        <v>0</v>
      </c>
      <c r="C1491" s="1" t="s">
        <v>91</v>
      </c>
      <c r="D1491" s="1" t="s">
        <v>113</v>
      </c>
      <c r="F1491" s="1" t="s">
        <v>147</v>
      </c>
      <c r="G1491" s="1" t="s">
        <v>140</v>
      </c>
    </row>
    <row r="1492">
      <c r="A1492" s="40">
        <v>45607.44202633102</v>
      </c>
      <c r="B1492" s="1" t="s">
        <v>77</v>
      </c>
      <c r="C1492" s="1" t="s">
        <v>91</v>
      </c>
      <c r="D1492" s="1" t="s">
        <v>119</v>
      </c>
      <c r="F1492" s="1" t="s">
        <v>146</v>
      </c>
      <c r="G1492" s="1" t="s">
        <v>139</v>
      </c>
    </row>
    <row r="1493">
      <c r="A1493" s="40">
        <v>45608.51021957176</v>
      </c>
      <c r="B1493" s="1" t="s">
        <v>0</v>
      </c>
      <c r="C1493" s="1" t="s">
        <v>91</v>
      </c>
      <c r="D1493" s="1" t="s">
        <v>115</v>
      </c>
      <c r="F1493" s="1" t="s">
        <v>151</v>
      </c>
      <c r="G1493" s="1" t="s">
        <v>140</v>
      </c>
    </row>
    <row r="1494">
      <c r="A1494" s="40">
        <v>45609.417219421295</v>
      </c>
      <c r="B1494" s="1" t="s">
        <v>90</v>
      </c>
      <c r="D1494" s="1" t="s">
        <v>126</v>
      </c>
      <c r="E1494" s="1" t="s">
        <v>137</v>
      </c>
      <c r="F1494" s="1" t="s">
        <v>146</v>
      </c>
    </row>
    <row r="1495">
      <c r="A1495" s="40">
        <v>45609.86602707176</v>
      </c>
      <c r="B1495" s="1" t="s">
        <v>0</v>
      </c>
      <c r="C1495" s="1" t="s">
        <v>91</v>
      </c>
      <c r="D1495" s="1" t="s">
        <v>115</v>
      </c>
      <c r="F1495" s="1" t="s">
        <v>151</v>
      </c>
      <c r="G1495" s="1" t="s">
        <v>142</v>
      </c>
    </row>
    <row r="1496">
      <c r="A1496" s="40">
        <v>45610.466590972224</v>
      </c>
      <c r="B1496" s="1" t="s">
        <v>0</v>
      </c>
      <c r="C1496" s="1" t="s">
        <v>91</v>
      </c>
      <c r="D1496" s="1" t="s">
        <v>115</v>
      </c>
    </row>
    <row r="1497">
      <c r="A1497" s="40">
        <v>45611.646084629625</v>
      </c>
      <c r="B1497" s="1" t="s">
        <v>0</v>
      </c>
      <c r="C1497" s="1" t="s">
        <v>91</v>
      </c>
      <c r="D1497" s="1" t="s">
        <v>115</v>
      </c>
      <c r="F1497" s="1" t="s">
        <v>151</v>
      </c>
      <c r="G1497" s="1" t="s">
        <v>140</v>
      </c>
    </row>
    <row r="1498">
      <c r="A1498" s="40">
        <v>45612.58168863426</v>
      </c>
      <c r="B1498" s="1" t="s">
        <v>77</v>
      </c>
      <c r="C1498" s="1" t="s">
        <v>91</v>
      </c>
      <c r="D1498" s="1" t="s">
        <v>116</v>
      </c>
      <c r="F1498" s="1" t="s">
        <v>147</v>
      </c>
      <c r="G1498" s="1" t="s">
        <v>139</v>
      </c>
    </row>
    <row r="1499">
      <c r="A1499" s="40">
        <v>45613.62372184028</v>
      </c>
      <c r="B1499" s="1" t="s">
        <v>0</v>
      </c>
      <c r="C1499" s="1" t="s">
        <v>92</v>
      </c>
      <c r="D1499" s="1" t="s">
        <v>115</v>
      </c>
      <c r="F1499" s="1" t="s">
        <v>150</v>
      </c>
      <c r="G1499" s="1" t="s">
        <v>140</v>
      </c>
    </row>
    <row r="1500">
      <c r="A1500" s="40">
        <v>45614.42328508102</v>
      </c>
      <c r="B1500" s="1" t="s">
        <v>0</v>
      </c>
      <c r="C1500" s="1" t="s">
        <v>91</v>
      </c>
      <c r="D1500" s="1" t="s">
        <v>115</v>
      </c>
      <c r="F1500" s="1" t="s">
        <v>150</v>
      </c>
      <c r="G1500" s="1" t="s">
        <v>140</v>
      </c>
    </row>
    <row r="1501">
      <c r="A1501" s="40">
        <v>45615.48885055556</v>
      </c>
      <c r="B1501" s="1" t="s">
        <v>1</v>
      </c>
      <c r="C1501" s="1" t="s">
        <v>92</v>
      </c>
      <c r="D1501" s="1" t="s">
        <v>114</v>
      </c>
      <c r="F1501" s="1" t="s">
        <v>151</v>
      </c>
      <c r="G1501" s="1" t="s">
        <v>140</v>
      </c>
    </row>
    <row r="1502">
      <c r="A1502" s="40">
        <v>45616.42792664352</v>
      </c>
      <c r="B1502" s="1" t="s">
        <v>90</v>
      </c>
      <c r="D1502" s="1" t="s">
        <v>126</v>
      </c>
      <c r="E1502" s="1" t="s">
        <v>137</v>
      </c>
      <c r="F1502" s="1" t="s">
        <v>146</v>
      </c>
      <c r="G1502" s="1" t="s">
        <v>139</v>
      </c>
    </row>
    <row r="1503">
      <c r="A1503" s="40">
        <v>45617.44132940972</v>
      </c>
      <c r="B1503" s="1" t="s">
        <v>90</v>
      </c>
      <c r="D1503" s="1" t="s">
        <v>126</v>
      </c>
      <c r="E1503" s="1" t="s">
        <v>137</v>
      </c>
      <c r="F1503" s="1" t="s">
        <v>146</v>
      </c>
      <c r="G1503" s="1" t="s">
        <v>140</v>
      </c>
    </row>
    <row r="1504">
      <c r="A1504" s="40">
        <v>45618.495594189815</v>
      </c>
      <c r="B1504" s="1" t="s">
        <v>1</v>
      </c>
      <c r="C1504" s="1" t="s">
        <v>92</v>
      </c>
      <c r="D1504" s="1" t="s">
        <v>114</v>
      </c>
      <c r="F1504" s="1" t="s">
        <v>146</v>
      </c>
      <c r="G1504" s="1" t="s">
        <v>140</v>
      </c>
    </row>
    <row r="1505">
      <c r="A1505" s="40">
        <v>45619.400062569446</v>
      </c>
      <c r="C1505" s="1" t="s">
        <v>2</v>
      </c>
      <c r="D1505" s="1" t="s">
        <v>122</v>
      </c>
      <c r="F1505" s="1" t="s">
        <v>153</v>
      </c>
    </row>
    <row r="1506">
      <c r="A1506" s="40">
        <v>45619.56800824074</v>
      </c>
      <c r="B1506" s="1" t="s">
        <v>77</v>
      </c>
      <c r="C1506" s="1" t="s">
        <v>92</v>
      </c>
      <c r="D1506" s="1" t="s">
        <v>114</v>
      </c>
      <c r="F1506" s="1" t="s">
        <v>150</v>
      </c>
      <c r="G1506" s="1" t="s">
        <v>140</v>
      </c>
    </row>
    <row r="1507">
      <c r="A1507" s="40">
        <v>45620.52763505787</v>
      </c>
      <c r="B1507" s="1" t="s">
        <v>77</v>
      </c>
      <c r="C1507" s="1" t="s">
        <v>92</v>
      </c>
      <c r="D1507" s="1" t="s">
        <v>114</v>
      </c>
      <c r="F1507" s="1" t="s">
        <v>150</v>
      </c>
      <c r="G1507" s="1" t="s">
        <v>140</v>
      </c>
    </row>
    <row r="1508">
      <c r="A1508" s="40">
        <v>45621.62699329861</v>
      </c>
      <c r="B1508" s="1" t="s">
        <v>84</v>
      </c>
      <c r="C1508" s="1" t="s">
        <v>91</v>
      </c>
      <c r="D1508" s="1" t="s">
        <v>111</v>
      </c>
      <c r="F1508" s="1" t="s">
        <v>151</v>
      </c>
      <c r="G1508" s="1" t="s">
        <v>140</v>
      </c>
    </row>
    <row r="1509">
      <c r="A1509" s="40">
        <v>45622.42757532407</v>
      </c>
      <c r="B1509" s="1" t="s">
        <v>84</v>
      </c>
      <c r="C1509" s="1" t="s">
        <v>91</v>
      </c>
      <c r="D1509" s="1" t="s">
        <v>115</v>
      </c>
      <c r="F1509" s="1" t="s">
        <v>151</v>
      </c>
      <c r="G1509" s="1" t="s">
        <v>140</v>
      </c>
    </row>
    <row r="1510">
      <c r="A1510" s="40">
        <v>45623.47619954861</v>
      </c>
      <c r="B1510" s="1" t="s">
        <v>90</v>
      </c>
      <c r="D1510" s="1" t="s">
        <v>126</v>
      </c>
      <c r="E1510" s="1" t="s">
        <v>137</v>
      </c>
      <c r="F1510" s="1" t="s">
        <v>146</v>
      </c>
      <c r="G1510" s="1" t="s">
        <v>140</v>
      </c>
    </row>
    <row r="1511">
      <c r="A1511" s="40">
        <v>45624.75558190972</v>
      </c>
      <c r="B1511" s="1" t="s">
        <v>77</v>
      </c>
      <c r="C1511" s="1" t="s">
        <v>91</v>
      </c>
      <c r="D1511" s="1" t="s">
        <v>119</v>
      </c>
      <c r="F1511" s="1" t="s">
        <v>150</v>
      </c>
      <c r="G1511" s="1" t="s">
        <v>140</v>
      </c>
    </row>
    <row r="1512">
      <c r="A1512" s="40">
        <v>45625.449642638894</v>
      </c>
      <c r="B1512" s="1" t="s">
        <v>77</v>
      </c>
      <c r="C1512" s="1" t="s">
        <v>91</v>
      </c>
      <c r="D1512" s="1" t="s">
        <v>119</v>
      </c>
      <c r="F1512" s="1" t="s">
        <v>151</v>
      </c>
      <c r="G1512" s="1" t="s">
        <v>140</v>
      </c>
    </row>
    <row r="1513">
      <c r="A1513" s="40">
        <v>45626.46287682871</v>
      </c>
      <c r="C1513" s="1" t="s">
        <v>93</v>
      </c>
      <c r="D1513" s="1" t="s">
        <v>122</v>
      </c>
      <c r="F1513" s="1" t="s">
        <v>153</v>
      </c>
    </row>
    <row r="1514">
      <c r="A1514" s="40">
        <v>45626.462983854166</v>
      </c>
      <c r="C1514" s="1" t="s">
        <v>93</v>
      </c>
      <c r="F1514" s="1" t="s">
        <v>153</v>
      </c>
    </row>
    <row r="1515">
      <c r="A1515" s="40">
        <v>45626.46306613426</v>
      </c>
      <c r="C1515" s="1" t="s">
        <v>2</v>
      </c>
    </row>
    <row r="1516">
      <c r="A1516" s="40">
        <v>45626.70891224537</v>
      </c>
      <c r="B1516" s="1" t="s">
        <v>77</v>
      </c>
      <c r="C1516" s="1" t="s">
        <v>91</v>
      </c>
      <c r="D1516" s="1" t="s">
        <v>119</v>
      </c>
    </row>
    <row r="1517">
      <c r="A1517" s="40">
        <v>45627.55031652778</v>
      </c>
      <c r="B1517" s="1" t="s">
        <v>1</v>
      </c>
      <c r="C1517" s="1" t="s">
        <v>93</v>
      </c>
      <c r="D1517" s="1" t="s">
        <v>122</v>
      </c>
      <c r="F1517" s="1" t="s">
        <v>151</v>
      </c>
    </row>
    <row r="1518">
      <c r="A1518" s="40">
        <v>45627.55037861111</v>
      </c>
      <c r="F1518" s="1" t="s">
        <v>152</v>
      </c>
    </row>
    <row r="1519">
      <c r="A1519" s="40">
        <v>45627.550484583335</v>
      </c>
      <c r="G1519" s="1" t="s">
        <v>140</v>
      </c>
    </row>
    <row r="1520">
      <c r="A1520" s="40">
        <v>45628.47408418982</v>
      </c>
      <c r="B1520" s="1" t="s">
        <v>84</v>
      </c>
      <c r="C1520" s="1" t="s">
        <v>92</v>
      </c>
      <c r="D1520" s="1" t="s">
        <v>107</v>
      </c>
      <c r="F1520" s="1" t="s">
        <v>151</v>
      </c>
      <c r="G1520" s="1" t="s">
        <v>140</v>
      </c>
    </row>
    <row r="1521">
      <c r="A1521" s="40">
        <v>45629.54650222222</v>
      </c>
      <c r="B1521" s="1" t="s">
        <v>84</v>
      </c>
      <c r="C1521" s="1" t="s">
        <v>92</v>
      </c>
      <c r="D1521" s="1" t="s">
        <v>107</v>
      </c>
      <c r="F1521" s="1" t="s">
        <v>151</v>
      </c>
      <c r="G1521" s="1" t="s">
        <v>140</v>
      </c>
    </row>
    <row r="1522">
      <c r="A1522" s="40">
        <v>45630.495564745375</v>
      </c>
      <c r="B1522" s="1" t="s">
        <v>90</v>
      </c>
      <c r="D1522" s="1" t="s">
        <v>126</v>
      </c>
      <c r="E1522" s="1" t="s">
        <v>137</v>
      </c>
      <c r="F1522" s="1" t="s">
        <v>146</v>
      </c>
      <c r="G1522" s="1" t="s">
        <v>140</v>
      </c>
    </row>
    <row r="1523">
      <c r="A1523" s="40">
        <v>45631.495794166665</v>
      </c>
      <c r="C1523" s="1" t="s">
        <v>93</v>
      </c>
      <c r="G1523" s="1" t="s">
        <v>140</v>
      </c>
    </row>
    <row r="1524">
      <c r="A1524" s="40">
        <v>45631.59760920139</v>
      </c>
      <c r="B1524" s="1" t="s">
        <v>77</v>
      </c>
      <c r="C1524" s="1" t="s">
        <v>91</v>
      </c>
      <c r="D1524" s="1" t="s">
        <v>113</v>
      </c>
      <c r="F1524" s="1" t="s">
        <v>150</v>
      </c>
      <c r="G1524" s="1" t="s">
        <v>140</v>
      </c>
    </row>
    <row r="1525">
      <c r="A1525" s="40">
        <v>45632.425958935186</v>
      </c>
      <c r="B1525" s="1" t="s">
        <v>0</v>
      </c>
      <c r="C1525" s="1" t="s">
        <v>91</v>
      </c>
      <c r="D1525" s="1" t="s">
        <v>113</v>
      </c>
      <c r="F1525" s="1" t="s">
        <v>150</v>
      </c>
      <c r="G1525" s="1" t="s">
        <v>140</v>
      </c>
    </row>
    <row r="1526">
      <c r="A1526" s="40">
        <v>45633.615677951384</v>
      </c>
      <c r="B1526" s="1" t="s">
        <v>0</v>
      </c>
      <c r="C1526" s="1" t="s">
        <v>91</v>
      </c>
      <c r="D1526" s="1" t="s">
        <v>113</v>
      </c>
      <c r="F1526" s="1" t="s">
        <v>152</v>
      </c>
      <c r="G1526" s="1" t="s">
        <v>140</v>
      </c>
    </row>
    <row r="1527">
      <c r="A1527" s="40">
        <v>45634.43933837963</v>
      </c>
      <c r="C1527" s="1" t="s">
        <v>2</v>
      </c>
      <c r="F1527" s="1" t="s">
        <v>153</v>
      </c>
    </row>
    <row r="1528">
      <c r="A1528" s="40">
        <v>45634.50749805555</v>
      </c>
      <c r="B1528" s="1" t="s">
        <v>0</v>
      </c>
      <c r="C1528" s="1" t="s">
        <v>91</v>
      </c>
      <c r="D1528" s="1" t="s">
        <v>113</v>
      </c>
      <c r="F1528" s="1" t="s">
        <v>150</v>
      </c>
      <c r="G1528" s="1" t="s">
        <v>140</v>
      </c>
    </row>
    <row r="1529">
      <c r="A1529" s="40">
        <v>45635.52757513888</v>
      </c>
      <c r="B1529" s="1" t="s">
        <v>0</v>
      </c>
      <c r="C1529" s="1" t="s">
        <v>91</v>
      </c>
      <c r="D1529" s="1" t="s">
        <v>113</v>
      </c>
      <c r="F1529" s="1" t="s">
        <v>151</v>
      </c>
      <c r="G1529" s="1" t="s">
        <v>140</v>
      </c>
    </row>
    <row r="1530">
      <c r="A1530" s="40">
        <v>45636.41700101852</v>
      </c>
      <c r="B1530" s="1" t="s">
        <v>0</v>
      </c>
      <c r="C1530" s="1" t="s">
        <v>91</v>
      </c>
      <c r="D1530" s="1" t="s">
        <v>113</v>
      </c>
      <c r="F1530" s="1" t="s">
        <v>151</v>
      </c>
      <c r="G1530" s="1" t="s">
        <v>140</v>
      </c>
    </row>
    <row r="1531">
      <c r="A1531" s="40">
        <v>45637.34560185185</v>
      </c>
      <c r="B1531" s="1" t="s">
        <v>77</v>
      </c>
      <c r="C1531" s="1" t="s">
        <v>92</v>
      </c>
      <c r="D1531" s="1" t="s">
        <v>119</v>
      </c>
      <c r="F1531" s="1" t="s">
        <v>146</v>
      </c>
      <c r="G1531" s="1" t="s">
        <v>139</v>
      </c>
    </row>
    <row r="1532">
      <c r="A1532" s="40">
        <v>45639.41760724537</v>
      </c>
      <c r="B1532" s="1" t="s">
        <v>77</v>
      </c>
      <c r="C1532" s="1" t="s">
        <v>91</v>
      </c>
      <c r="D1532" s="1" t="s">
        <v>119</v>
      </c>
      <c r="F1532" s="1" t="s">
        <v>147</v>
      </c>
      <c r="G1532" s="1" t="s">
        <v>140</v>
      </c>
    </row>
    <row r="1533">
      <c r="A1533" s="40">
        <v>45639.4177464699</v>
      </c>
      <c r="B1533" s="1" t="s">
        <v>77</v>
      </c>
      <c r="C1533" s="1" t="s">
        <v>91</v>
      </c>
      <c r="D1533" s="1" t="s">
        <v>119</v>
      </c>
      <c r="F1533" s="1" t="s">
        <v>147</v>
      </c>
      <c r="G1533" s="1" t="s">
        <v>140</v>
      </c>
    </row>
    <row r="1534">
      <c r="A1534" s="40">
        <v>45640.417055115744</v>
      </c>
      <c r="B1534" s="1" t="s">
        <v>0</v>
      </c>
      <c r="C1534" s="1" t="s">
        <v>91</v>
      </c>
      <c r="D1534" s="1" t="s">
        <v>109</v>
      </c>
      <c r="F1534" s="1" t="s">
        <v>150</v>
      </c>
      <c r="G1534" s="1" t="s">
        <v>140</v>
      </c>
    </row>
    <row r="1535">
      <c r="A1535" s="40">
        <v>45641.746599328704</v>
      </c>
      <c r="B1535" s="1" t="s">
        <v>0</v>
      </c>
      <c r="C1535" s="1" t="s">
        <v>91</v>
      </c>
      <c r="D1535" s="1" t="s">
        <v>109</v>
      </c>
    </row>
    <row r="1536">
      <c r="A1536" s="40">
        <v>45641.74667603009</v>
      </c>
      <c r="C1536" s="1" t="s">
        <v>2</v>
      </c>
    </row>
    <row r="1537">
      <c r="A1537" s="40">
        <v>45642.46984210648</v>
      </c>
      <c r="B1537" s="1" t="s">
        <v>77</v>
      </c>
      <c r="C1537" s="1" t="s">
        <v>91</v>
      </c>
      <c r="D1537" s="1" t="s">
        <v>119</v>
      </c>
      <c r="F1537" s="1" t="s">
        <v>147</v>
      </c>
      <c r="G1537" s="1" t="s">
        <v>140</v>
      </c>
    </row>
    <row r="1538">
      <c r="A1538" s="40">
        <v>45643.4170534838</v>
      </c>
      <c r="B1538" s="1" t="s">
        <v>77</v>
      </c>
      <c r="C1538" s="1" t="s">
        <v>92</v>
      </c>
      <c r="D1538" s="1" t="s">
        <v>119</v>
      </c>
      <c r="F1538" s="1" t="s">
        <v>147</v>
      </c>
      <c r="G1538" s="1" t="s">
        <v>140</v>
      </c>
    </row>
    <row r="1539">
      <c r="A1539" s="40">
        <v>45643.417117731486</v>
      </c>
      <c r="C1539" s="1" t="s">
        <v>92</v>
      </c>
    </row>
    <row r="1540">
      <c r="A1540" s="40">
        <v>45644.46002824074</v>
      </c>
      <c r="B1540" s="1" t="s">
        <v>84</v>
      </c>
      <c r="C1540" s="1" t="s">
        <v>91</v>
      </c>
      <c r="D1540" s="1" t="s">
        <v>115</v>
      </c>
      <c r="F1540" s="1" t="s">
        <v>151</v>
      </c>
      <c r="G1540" s="1" t="s">
        <v>140</v>
      </c>
    </row>
    <row r="1541">
      <c r="A1541" s="40">
        <v>45645.45439837963</v>
      </c>
      <c r="B1541" s="1" t="s">
        <v>84</v>
      </c>
      <c r="C1541" s="1" t="s">
        <v>91</v>
      </c>
      <c r="D1541" s="1" t="s">
        <v>115</v>
      </c>
      <c r="F1541" s="1" t="s">
        <v>151</v>
      </c>
      <c r="G1541" s="1" t="s">
        <v>140</v>
      </c>
    </row>
    <row r="1542">
      <c r="A1542" s="40">
        <v>45646.52555197917</v>
      </c>
      <c r="B1542" s="1" t="s">
        <v>84</v>
      </c>
      <c r="C1542" s="1" t="s">
        <v>92</v>
      </c>
      <c r="D1542" s="1" t="s">
        <v>115</v>
      </c>
      <c r="F1542" s="1" t="s">
        <v>151</v>
      </c>
      <c r="G1542" s="1" t="s">
        <v>140</v>
      </c>
    </row>
    <row r="1543">
      <c r="A1543" s="40">
        <v>45647.631036377315</v>
      </c>
      <c r="B1543" s="1" t="s">
        <v>77</v>
      </c>
      <c r="C1543" s="1" t="s">
        <v>91</v>
      </c>
      <c r="D1543" s="1" t="s">
        <v>125</v>
      </c>
      <c r="F1543" s="1" t="s">
        <v>147</v>
      </c>
      <c r="G1543" s="1" t="s">
        <v>140</v>
      </c>
    </row>
    <row r="1544">
      <c r="A1544" s="40">
        <v>45648.45392681713</v>
      </c>
      <c r="C1544" s="1" t="s">
        <v>2</v>
      </c>
      <c r="D1544" s="1" t="s">
        <v>122</v>
      </c>
      <c r="F1544" s="1" t="s">
        <v>153</v>
      </c>
    </row>
    <row r="1545">
      <c r="A1545" s="40">
        <v>45648.454067962964</v>
      </c>
      <c r="B1545" s="1" t="s">
        <v>77</v>
      </c>
      <c r="C1545" s="1" t="s">
        <v>91</v>
      </c>
      <c r="D1545" s="1" t="s">
        <v>125</v>
      </c>
    </row>
    <row r="1546">
      <c r="A1546" s="40">
        <v>45648.61002979167</v>
      </c>
      <c r="F1546" s="1" t="s">
        <v>150</v>
      </c>
      <c r="G1546" s="1" t="s">
        <v>140</v>
      </c>
    </row>
    <row r="1547">
      <c r="A1547" s="40">
        <v>45649.374093969906</v>
      </c>
      <c r="C1547" s="1" t="s">
        <v>93</v>
      </c>
    </row>
    <row r="1548">
      <c r="A1548" s="40">
        <v>45649.56500818287</v>
      </c>
      <c r="B1548" s="1" t="s">
        <v>77</v>
      </c>
      <c r="E1548" s="1" t="s">
        <v>134</v>
      </c>
      <c r="F1548" s="1" t="s">
        <v>150</v>
      </c>
      <c r="G1548" s="1" t="s">
        <v>140</v>
      </c>
    </row>
    <row r="1549">
      <c r="A1549" s="40">
        <v>45650.70690773148</v>
      </c>
      <c r="B1549" s="1" t="s">
        <v>77</v>
      </c>
      <c r="C1549" s="1" t="s">
        <v>91</v>
      </c>
      <c r="D1549" s="1" t="s">
        <v>114</v>
      </c>
      <c r="G1549" s="1" t="s">
        <v>140</v>
      </c>
    </row>
    <row r="1550">
      <c r="A1550" s="40">
        <v>45650.70698059028</v>
      </c>
      <c r="C1550" s="1" t="s">
        <v>93</v>
      </c>
    </row>
    <row r="1551">
      <c r="A1551" s="40">
        <v>45652.53911195602</v>
      </c>
      <c r="B1551" s="1" t="s">
        <v>77</v>
      </c>
      <c r="C1551" s="1" t="s">
        <v>91</v>
      </c>
      <c r="D1551" s="1" t="s">
        <v>114</v>
      </c>
      <c r="F1551" s="1" t="s">
        <v>153</v>
      </c>
    </row>
    <row r="1552">
      <c r="A1552" s="40">
        <v>45653.75247574074</v>
      </c>
      <c r="B1552" s="1" t="s">
        <v>77</v>
      </c>
      <c r="C1552" s="1" t="s">
        <v>91</v>
      </c>
      <c r="D1552" s="1" t="s">
        <v>125</v>
      </c>
    </row>
    <row r="1553">
      <c r="A1553" s="40">
        <v>45653.7526100463</v>
      </c>
      <c r="C1553" s="1" t="s">
        <v>93</v>
      </c>
      <c r="D1553" s="1" t="s">
        <v>122</v>
      </c>
    </row>
    <row r="1554">
      <c r="A1554" s="40">
        <v>45654.444549583335</v>
      </c>
      <c r="B1554" s="1" t="s">
        <v>77</v>
      </c>
      <c r="C1554" s="1" t="s">
        <v>92</v>
      </c>
      <c r="D1554" s="1" t="s">
        <v>116</v>
      </c>
      <c r="F1554" s="1" t="s">
        <v>147</v>
      </c>
      <c r="G1554" s="1" t="s">
        <v>140</v>
      </c>
    </row>
    <row r="1555">
      <c r="A1555" s="40">
        <v>45655.51383423611</v>
      </c>
      <c r="B1555" s="1" t="s">
        <v>77</v>
      </c>
      <c r="C1555" s="1" t="s">
        <v>91</v>
      </c>
      <c r="D1555" s="1" t="s">
        <v>116</v>
      </c>
      <c r="F1555" s="1" t="s">
        <v>150</v>
      </c>
    </row>
    <row r="1556">
      <c r="A1556" s="40">
        <v>45655.51394554398</v>
      </c>
      <c r="C1556" s="1" t="s">
        <v>93</v>
      </c>
      <c r="F1556" s="1" t="s">
        <v>153</v>
      </c>
    </row>
    <row r="1557">
      <c r="A1557" s="40">
        <v>45656.66935575231</v>
      </c>
      <c r="C1557" s="1" t="s">
        <v>93</v>
      </c>
    </row>
    <row r="1558">
      <c r="A1558" s="40">
        <v>45656.66956833334</v>
      </c>
      <c r="B1558" s="1" t="s">
        <v>1</v>
      </c>
      <c r="D1558" s="1" t="s">
        <v>121</v>
      </c>
      <c r="F1558" s="1" t="s">
        <v>151</v>
      </c>
      <c r="G1558" s="1" t="s">
        <v>140</v>
      </c>
    </row>
    <row r="1559">
      <c r="A1559" s="40">
        <v>45658.5804341551</v>
      </c>
      <c r="B1559" s="1" t="s">
        <v>1</v>
      </c>
      <c r="D1559" s="1" t="s">
        <v>121</v>
      </c>
      <c r="G1559" s="1" t="s">
        <v>140</v>
      </c>
    </row>
    <row r="1560">
      <c r="A1560" s="40">
        <v>45658.580644201385</v>
      </c>
      <c r="B1560" s="1" t="s">
        <v>1</v>
      </c>
      <c r="C1560" s="1" t="s">
        <v>91</v>
      </c>
      <c r="D1560" s="1" t="s">
        <v>111</v>
      </c>
      <c r="F1560" s="1" t="s">
        <v>150</v>
      </c>
      <c r="G1560" s="1" t="s">
        <v>140</v>
      </c>
    </row>
    <row r="1561">
      <c r="A1561" s="40">
        <v>45659.457921678244</v>
      </c>
      <c r="B1561" s="1" t="s">
        <v>1</v>
      </c>
      <c r="C1561" s="1" t="s">
        <v>91</v>
      </c>
      <c r="D1561" s="1" t="s">
        <v>111</v>
      </c>
    </row>
    <row r="1562">
      <c r="A1562" s="40">
        <v>45661.62192696759</v>
      </c>
      <c r="B1562" s="1" t="s">
        <v>1</v>
      </c>
      <c r="C1562" s="1" t="s">
        <v>91</v>
      </c>
      <c r="D1562" s="1" t="s">
        <v>113</v>
      </c>
      <c r="F1562" s="1" t="s">
        <v>150</v>
      </c>
      <c r="G1562" s="1" t="s">
        <v>139</v>
      </c>
    </row>
    <row r="1563">
      <c r="A1563" s="40">
        <v>45661.62215769676</v>
      </c>
      <c r="C1563" s="1" t="s">
        <v>93</v>
      </c>
      <c r="D1563" s="1" t="s">
        <v>122</v>
      </c>
      <c r="F1563" s="1" t="s">
        <v>152</v>
      </c>
    </row>
    <row r="1564">
      <c r="A1564" s="40">
        <v>45661.62236385417</v>
      </c>
      <c r="C1564" s="1" t="s">
        <v>2</v>
      </c>
      <c r="D1564" s="1" t="s">
        <v>123</v>
      </c>
      <c r="F1564" s="1" t="s">
        <v>152</v>
      </c>
      <c r="G1564" s="1" t="s">
        <v>140</v>
      </c>
    </row>
    <row r="1565">
      <c r="A1565" s="40">
        <v>45661.62246585648</v>
      </c>
      <c r="F1565" s="1" t="s">
        <v>153</v>
      </c>
      <c r="G1565" s="1" t="s">
        <v>140</v>
      </c>
    </row>
    <row r="1566">
      <c r="A1566" s="40">
        <v>45662.450964398144</v>
      </c>
      <c r="C1566" s="1" t="s">
        <v>2</v>
      </c>
      <c r="G1566" s="1" t="s">
        <v>140</v>
      </c>
    </row>
    <row r="1567">
      <c r="A1567" s="40">
        <v>45663.43028018519</v>
      </c>
      <c r="B1567" s="1" t="s">
        <v>1</v>
      </c>
      <c r="C1567" s="1" t="s">
        <v>91</v>
      </c>
      <c r="D1567" s="1" t="s">
        <v>103</v>
      </c>
    </row>
    <row r="1568">
      <c r="A1568" s="40">
        <v>45664.48114513889</v>
      </c>
      <c r="B1568" s="1" t="s">
        <v>0</v>
      </c>
      <c r="C1568" s="1" t="s">
        <v>91</v>
      </c>
      <c r="D1568" s="1" t="s">
        <v>111</v>
      </c>
      <c r="F1568" s="1" t="s">
        <v>151</v>
      </c>
      <c r="G1568" s="1" t="s">
        <v>140</v>
      </c>
    </row>
    <row r="1569">
      <c r="A1569" s="40">
        <v>45665.40088591435</v>
      </c>
      <c r="B1569" s="1" t="s">
        <v>77</v>
      </c>
      <c r="C1569" s="1" t="s">
        <v>92</v>
      </c>
      <c r="D1569" s="1" t="s">
        <v>119</v>
      </c>
      <c r="F1569" s="1" t="s">
        <v>146</v>
      </c>
      <c r="G1569" s="1" t="s">
        <v>140</v>
      </c>
    </row>
    <row r="1570">
      <c r="A1570" s="40">
        <v>45667.36349640046</v>
      </c>
      <c r="B1570" s="1" t="s">
        <v>77</v>
      </c>
      <c r="C1570" s="1" t="s">
        <v>92</v>
      </c>
      <c r="D1570" s="1" t="s">
        <v>119</v>
      </c>
      <c r="F1570" s="1" t="s">
        <v>150</v>
      </c>
      <c r="G1570" s="1" t="s">
        <v>140</v>
      </c>
    </row>
    <row r="1571">
      <c r="A1571" s="40">
        <v>45669.78381966436</v>
      </c>
      <c r="C1571" s="1" t="s">
        <v>2</v>
      </c>
      <c r="D1571" s="1" t="s">
        <v>122</v>
      </c>
      <c r="F1571" s="1" t="s">
        <v>153</v>
      </c>
      <c r="G1571" s="1" t="s">
        <v>140</v>
      </c>
    </row>
    <row r="1572">
      <c r="A1572" s="40">
        <v>45669.78407005787</v>
      </c>
      <c r="B1572" s="1" t="s">
        <v>0</v>
      </c>
      <c r="C1572" s="1" t="s">
        <v>91</v>
      </c>
      <c r="D1572" s="1" t="s">
        <v>113</v>
      </c>
    </row>
    <row r="1573">
      <c r="A1573" s="40">
        <v>45670.454795763886</v>
      </c>
      <c r="B1573" s="1" t="s">
        <v>1</v>
      </c>
      <c r="C1573" s="1" t="s">
        <v>92</v>
      </c>
      <c r="D1573" s="1" t="s">
        <v>103</v>
      </c>
      <c r="F1573" s="1" t="s">
        <v>151</v>
      </c>
      <c r="G1573" s="1" t="s">
        <v>140</v>
      </c>
    </row>
    <row r="1574">
      <c r="A1574" s="40">
        <v>45670.455056273146</v>
      </c>
      <c r="C1574" s="1" t="s">
        <v>2</v>
      </c>
      <c r="D1574" s="1" t="s">
        <v>122</v>
      </c>
    </row>
    <row r="1575">
      <c r="A1575" s="40">
        <v>45671.55730704861</v>
      </c>
      <c r="B1575" s="1" t="s">
        <v>0</v>
      </c>
      <c r="C1575" s="1" t="s">
        <v>91</v>
      </c>
      <c r="D1575" s="1" t="s">
        <v>113</v>
      </c>
      <c r="F1575" s="1" t="s">
        <v>151</v>
      </c>
      <c r="G1575" s="1" t="s">
        <v>140</v>
      </c>
    </row>
    <row r="1576">
      <c r="A1576" s="40">
        <v>45672.503721099536</v>
      </c>
      <c r="B1576" s="1" t="s">
        <v>77</v>
      </c>
      <c r="C1576" s="1" t="s">
        <v>91</v>
      </c>
      <c r="D1576" s="1" t="s">
        <v>118</v>
      </c>
      <c r="F1576" s="1" t="s">
        <v>146</v>
      </c>
      <c r="G1576" s="1" t="s">
        <v>140</v>
      </c>
    </row>
    <row r="1577">
      <c r="A1577" s="40">
        <v>45673.513533460646</v>
      </c>
      <c r="B1577" s="1" t="s">
        <v>77</v>
      </c>
      <c r="C1577" s="1" t="s">
        <v>91</v>
      </c>
      <c r="D1577" s="1" t="s">
        <v>116</v>
      </c>
      <c r="F1577" s="1" t="s">
        <v>147</v>
      </c>
      <c r="G1577" s="1" t="s">
        <v>140</v>
      </c>
    </row>
    <row r="1578">
      <c r="A1578" s="40">
        <v>45674.53636967593</v>
      </c>
      <c r="B1578" s="1" t="s">
        <v>77</v>
      </c>
      <c r="C1578" s="1" t="s">
        <v>91</v>
      </c>
      <c r="D1578" s="1" t="s">
        <v>116</v>
      </c>
      <c r="F1578" s="1" t="s">
        <v>147</v>
      </c>
      <c r="G1578" s="1" t="s">
        <v>140</v>
      </c>
    </row>
    <row r="1579">
      <c r="A1579" s="40">
        <v>45675.51605769676</v>
      </c>
      <c r="B1579" s="1" t="s">
        <v>0</v>
      </c>
      <c r="C1579" s="1" t="s">
        <v>91</v>
      </c>
      <c r="D1579" s="1" t="s">
        <v>113</v>
      </c>
    </row>
    <row r="1580">
      <c r="A1580" s="40">
        <v>45676.417109953705</v>
      </c>
      <c r="C1580" s="1" t="s">
        <v>2</v>
      </c>
      <c r="D1580" s="1" t="s">
        <v>122</v>
      </c>
      <c r="F1580" s="1" t="s">
        <v>153</v>
      </c>
    </row>
    <row r="1581">
      <c r="A1581" s="40">
        <v>45676.41721277778</v>
      </c>
      <c r="D1581" s="1" t="s">
        <v>122</v>
      </c>
    </row>
    <row r="1582">
      <c r="A1582" s="40">
        <v>45676.417387430556</v>
      </c>
      <c r="C1582" s="1" t="s">
        <v>2</v>
      </c>
    </row>
    <row r="1583">
      <c r="A1583" s="40">
        <v>45676.53777951389</v>
      </c>
      <c r="B1583" s="1" t="s">
        <v>1</v>
      </c>
      <c r="C1583" s="1" t="s">
        <v>92</v>
      </c>
      <c r="D1583" s="1" t="s">
        <v>114</v>
      </c>
      <c r="F1583" s="1" t="s">
        <v>151</v>
      </c>
      <c r="G1583" s="1" t="s">
        <v>140</v>
      </c>
    </row>
    <row r="1584">
      <c r="A1584" s="40">
        <v>45677.54951438657</v>
      </c>
      <c r="B1584" s="1" t="s">
        <v>1</v>
      </c>
      <c r="C1584" s="1" t="s">
        <v>92</v>
      </c>
      <c r="D1584" s="1" t="s">
        <v>114</v>
      </c>
      <c r="F1584" s="1" t="s">
        <v>151</v>
      </c>
      <c r="G1584" s="1" t="s">
        <v>140</v>
      </c>
    </row>
    <row r="1585">
      <c r="A1585" s="40">
        <v>45678.44899488426</v>
      </c>
      <c r="B1585" s="1" t="s">
        <v>1</v>
      </c>
      <c r="C1585" s="1" t="s">
        <v>91</v>
      </c>
      <c r="D1585" s="1" t="s">
        <v>118</v>
      </c>
      <c r="F1585" s="1" t="s">
        <v>147</v>
      </c>
      <c r="G1585" s="1" t="s">
        <v>140</v>
      </c>
    </row>
    <row r="1586">
      <c r="A1586" s="40">
        <v>45679.418454513885</v>
      </c>
      <c r="B1586" s="1" t="s">
        <v>1</v>
      </c>
      <c r="C1586" s="1" t="s">
        <v>91</v>
      </c>
      <c r="D1586" s="1" t="s">
        <v>118</v>
      </c>
      <c r="F1586" s="1" t="s">
        <v>146</v>
      </c>
      <c r="G1586" s="1" t="s">
        <v>140</v>
      </c>
    </row>
    <row r="1587">
      <c r="A1587" s="40">
        <v>45680.57080081019</v>
      </c>
      <c r="B1587" s="1" t="s">
        <v>1</v>
      </c>
      <c r="C1587" s="1" t="s">
        <v>91</v>
      </c>
      <c r="D1587" s="1" t="s">
        <v>116</v>
      </c>
      <c r="F1587" s="1" t="s">
        <v>151</v>
      </c>
      <c r="G1587" s="1" t="s">
        <v>140</v>
      </c>
    </row>
    <row r="1588">
      <c r="A1588" s="40">
        <v>45681.42792135417</v>
      </c>
      <c r="B1588" s="1" t="s">
        <v>84</v>
      </c>
      <c r="C1588" s="1" t="s">
        <v>91</v>
      </c>
      <c r="D1588" s="1" t="s">
        <v>115</v>
      </c>
      <c r="F1588" s="1" t="s">
        <v>151</v>
      </c>
      <c r="G1588" s="1" t="s">
        <v>140</v>
      </c>
    </row>
    <row r="1589">
      <c r="A1589" s="40">
        <v>45682.642950706024</v>
      </c>
      <c r="B1589" s="1" t="s">
        <v>84</v>
      </c>
      <c r="C1589" s="1" t="s">
        <v>91</v>
      </c>
      <c r="D1589" s="1" t="s">
        <v>115</v>
      </c>
      <c r="F1589" s="1" t="s">
        <v>151</v>
      </c>
      <c r="G1589" s="1" t="s">
        <v>140</v>
      </c>
    </row>
    <row r="1590">
      <c r="A1590" s="40">
        <v>45684.386888043984</v>
      </c>
      <c r="B1590" s="1" t="s">
        <v>84</v>
      </c>
      <c r="C1590" s="1" t="s">
        <v>91</v>
      </c>
      <c r="D1590" s="1" t="s">
        <v>115</v>
      </c>
      <c r="F1590" s="1" t="s">
        <v>151</v>
      </c>
      <c r="G1590" s="1" t="s">
        <v>140</v>
      </c>
    </row>
    <row r="1591">
      <c r="A1591" s="40">
        <v>45684.41709190972</v>
      </c>
      <c r="B1591" s="1" t="s">
        <v>1</v>
      </c>
      <c r="C1591" s="1" t="s">
        <v>91</v>
      </c>
      <c r="D1591" s="1" t="s">
        <v>116</v>
      </c>
      <c r="F1591" s="1" t="s">
        <v>151</v>
      </c>
      <c r="G1591" s="1" t="s">
        <v>140</v>
      </c>
    </row>
    <row r="1592">
      <c r="A1592" s="40">
        <v>45685.48600188657</v>
      </c>
      <c r="B1592" s="1" t="s">
        <v>90</v>
      </c>
      <c r="D1592" s="1" t="s">
        <v>126</v>
      </c>
      <c r="E1592" s="1" t="s">
        <v>137</v>
      </c>
      <c r="F1592" s="1" t="s">
        <v>146</v>
      </c>
      <c r="G1592" s="1" t="s">
        <v>140</v>
      </c>
    </row>
    <row r="1593">
      <c r="A1593" s="40">
        <v>45686.57761033565</v>
      </c>
      <c r="C1593" s="1" t="s">
        <v>93</v>
      </c>
      <c r="D1593" s="1" t="s">
        <v>122</v>
      </c>
      <c r="F1593" s="1" t="s">
        <v>153</v>
      </c>
    </row>
    <row r="1594">
      <c r="A1594" s="40">
        <v>45687.41260438657</v>
      </c>
      <c r="B1594" s="1" t="s">
        <v>1</v>
      </c>
      <c r="D1594" s="1" t="s">
        <v>116</v>
      </c>
      <c r="E1594" s="1" t="s">
        <v>134</v>
      </c>
      <c r="F1594" s="1" t="s">
        <v>151</v>
      </c>
      <c r="G1594" s="1" t="s">
        <v>140</v>
      </c>
    </row>
    <row r="1595">
      <c r="A1595" s="40">
        <v>45687.42825490741</v>
      </c>
      <c r="B1595" s="1" t="s">
        <v>1</v>
      </c>
      <c r="C1595" s="1" t="s">
        <v>91</v>
      </c>
      <c r="D1595" s="1" t="s">
        <v>116</v>
      </c>
      <c r="F1595" s="1" t="s">
        <v>151</v>
      </c>
      <c r="G1595" s="1" t="s">
        <v>140</v>
      </c>
    </row>
    <row r="1596">
      <c r="A1596" s="40">
        <v>45688.69404209491</v>
      </c>
      <c r="B1596" s="1" t="s">
        <v>1</v>
      </c>
      <c r="C1596" s="1" t="s">
        <v>91</v>
      </c>
      <c r="D1596" s="1" t="s">
        <v>116</v>
      </c>
      <c r="F1596" s="1" t="s">
        <v>150</v>
      </c>
    </row>
    <row r="1597">
      <c r="A1597" s="40">
        <v>45690.37187261574</v>
      </c>
      <c r="B1597" s="1" t="s">
        <v>1</v>
      </c>
      <c r="C1597" s="1" t="s">
        <v>91</v>
      </c>
      <c r="D1597" s="1" t="s">
        <v>116</v>
      </c>
    </row>
    <row r="1598">
      <c r="A1598" s="40">
        <v>45691.954369618055</v>
      </c>
      <c r="B1598" s="1" t="s">
        <v>1</v>
      </c>
      <c r="C1598" s="1" t="s">
        <v>91</v>
      </c>
      <c r="D1598" s="1" t="s">
        <v>116</v>
      </c>
      <c r="F1598" s="1" t="s">
        <v>150</v>
      </c>
    </row>
    <row r="1599">
      <c r="A1599" s="40">
        <v>45692.50351303241</v>
      </c>
      <c r="C1599" s="1" t="s">
        <v>2</v>
      </c>
      <c r="F1599" s="1" t="s">
        <v>153</v>
      </c>
    </row>
    <row r="1600">
      <c r="A1600" s="40">
        <v>45692.67006671296</v>
      </c>
      <c r="B1600" s="1" t="s">
        <v>1</v>
      </c>
      <c r="C1600" s="1" t="s">
        <v>92</v>
      </c>
    </row>
    <row r="1601">
      <c r="A1601" s="40">
        <v>45693.68365046296</v>
      </c>
      <c r="C1601" s="1" t="s">
        <v>2</v>
      </c>
    </row>
    <row r="1602">
      <c r="A1602" s="40">
        <v>45693.68372472222</v>
      </c>
      <c r="C1602" s="1" t="s">
        <v>92</v>
      </c>
    </row>
    <row r="1603">
      <c r="A1603" s="40">
        <v>45694.74777328703</v>
      </c>
      <c r="B1603" s="1" t="s">
        <v>1</v>
      </c>
      <c r="C1603" s="1" t="s">
        <v>91</v>
      </c>
      <c r="D1603" s="1" t="s">
        <v>122</v>
      </c>
      <c r="F1603" s="1" t="s">
        <v>153</v>
      </c>
    </row>
    <row r="1604">
      <c r="A1604" s="40">
        <v>45694.747896562505</v>
      </c>
      <c r="C1604" s="1" t="s">
        <v>2</v>
      </c>
    </row>
    <row r="1605">
      <c r="A1605" s="40">
        <v>45695.66244900463</v>
      </c>
      <c r="B1605" s="1" t="s">
        <v>1</v>
      </c>
      <c r="C1605" s="1" t="s">
        <v>91</v>
      </c>
      <c r="D1605" s="1" t="s">
        <v>115</v>
      </c>
      <c r="F1605" s="1" t="s">
        <v>150</v>
      </c>
    </row>
    <row r="1606">
      <c r="A1606" s="40">
        <v>45695.66251938658</v>
      </c>
      <c r="C1606" s="1" t="s">
        <v>2</v>
      </c>
    </row>
    <row r="1607">
      <c r="A1607" s="40">
        <v>45696.44199685185</v>
      </c>
      <c r="B1607" s="1" t="s">
        <v>1</v>
      </c>
      <c r="C1607" s="1" t="s">
        <v>91</v>
      </c>
      <c r="D1607" s="1" t="s">
        <v>115</v>
      </c>
      <c r="F1607" s="1" t="s">
        <v>150</v>
      </c>
    </row>
    <row r="1608">
      <c r="A1608" s="40">
        <v>45697.422783912036</v>
      </c>
      <c r="C1608" s="1" t="s">
        <v>2</v>
      </c>
      <c r="D1608" s="1" t="s">
        <v>122</v>
      </c>
      <c r="F1608" s="1" t="s">
        <v>153</v>
      </c>
    </row>
    <row r="1609">
      <c r="A1609" s="40">
        <v>45697.42295695602</v>
      </c>
      <c r="C1609" s="1" t="s">
        <v>92</v>
      </c>
      <c r="D1609" s="1" t="s">
        <v>122</v>
      </c>
      <c r="G1609" s="1" t="s">
        <v>140</v>
      </c>
    </row>
    <row r="1610">
      <c r="A1610" s="40">
        <v>45697.567126354166</v>
      </c>
      <c r="B1610" s="1" t="s">
        <v>77</v>
      </c>
      <c r="C1610" s="1" t="s">
        <v>91</v>
      </c>
      <c r="D1610" s="1" t="s">
        <v>114</v>
      </c>
    </row>
    <row r="1611">
      <c r="A1611" s="40">
        <v>45698.44884011574</v>
      </c>
      <c r="B1611" s="1" t="s">
        <v>77</v>
      </c>
      <c r="C1611" s="1" t="s">
        <v>91</v>
      </c>
      <c r="D1611" s="1" t="s">
        <v>117</v>
      </c>
      <c r="F1611" s="1" t="s">
        <v>147</v>
      </c>
      <c r="G1611" s="1" t="s">
        <v>139</v>
      </c>
    </row>
    <row r="1612">
      <c r="A1612" s="40">
        <v>45698.44891482639</v>
      </c>
      <c r="F1612" s="1" t="s">
        <v>147</v>
      </c>
    </row>
    <row r="1613">
      <c r="A1613" s="40">
        <v>45699.43393905093</v>
      </c>
      <c r="B1613" s="1" t="s">
        <v>77</v>
      </c>
      <c r="C1613" s="1" t="s">
        <v>91</v>
      </c>
      <c r="D1613" s="1" t="s">
        <v>118</v>
      </c>
      <c r="F1613" s="1" t="s">
        <v>147</v>
      </c>
      <c r="G1613" s="1" t="s">
        <v>139</v>
      </c>
    </row>
    <row r="1614">
      <c r="A1614" s="40">
        <v>45700.440422858796</v>
      </c>
      <c r="B1614" s="1" t="s">
        <v>77</v>
      </c>
      <c r="C1614" s="1" t="s">
        <v>91</v>
      </c>
      <c r="D1614" s="1" t="s">
        <v>118</v>
      </c>
      <c r="F1614" s="1" t="s">
        <v>146</v>
      </c>
      <c r="G1614" s="1" t="s">
        <v>139</v>
      </c>
    </row>
    <row r="1615">
      <c r="A1615" s="40">
        <v>45701.56132886574</v>
      </c>
      <c r="B1615" s="1" t="s">
        <v>77</v>
      </c>
      <c r="C1615" s="1" t="s">
        <v>91</v>
      </c>
      <c r="D1615" s="1" t="s">
        <v>119</v>
      </c>
      <c r="F1615" s="1" t="s">
        <v>146</v>
      </c>
      <c r="G1615" s="1" t="s">
        <v>139</v>
      </c>
    </row>
    <row r="1616">
      <c r="A1616" s="40">
        <v>45702.47445047453</v>
      </c>
      <c r="C1616" s="1" t="s">
        <v>93</v>
      </c>
      <c r="G1616" s="1" t="s">
        <v>140</v>
      </c>
    </row>
    <row r="1617">
      <c r="A1617" s="40">
        <v>45702.81550798611</v>
      </c>
      <c r="B1617" s="1" t="s">
        <v>77</v>
      </c>
      <c r="D1617" s="1" t="s">
        <v>117</v>
      </c>
      <c r="E1617" s="1" t="s">
        <v>136</v>
      </c>
      <c r="F1617" s="1" t="s">
        <v>147</v>
      </c>
      <c r="G1617" s="1" t="s">
        <v>139</v>
      </c>
    </row>
    <row r="1618">
      <c r="A1618" s="40">
        <v>45703.58770798611</v>
      </c>
      <c r="B1618" s="1" t="s">
        <v>77</v>
      </c>
      <c r="C1618" s="1" t="s">
        <v>92</v>
      </c>
      <c r="D1618" s="1" t="s">
        <v>117</v>
      </c>
      <c r="F1618" s="1" t="s">
        <v>147</v>
      </c>
      <c r="G1618" s="1" t="s">
        <v>139</v>
      </c>
    </row>
    <row r="1619">
      <c r="A1619" s="40">
        <v>45703.587783043986</v>
      </c>
      <c r="C1619" s="1" t="s">
        <v>93</v>
      </c>
    </row>
    <row r="1620">
      <c r="A1620" s="40">
        <v>45704.48982818287</v>
      </c>
      <c r="B1620" s="1" t="s">
        <v>0</v>
      </c>
      <c r="C1620" s="1" t="s">
        <v>92</v>
      </c>
      <c r="D1620" s="1" t="s">
        <v>111</v>
      </c>
      <c r="F1620" s="1" t="s">
        <v>151</v>
      </c>
      <c r="G1620" s="1" t="s">
        <v>140</v>
      </c>
    </row>
    <row r="1621">
      <c r="A1621" s="40">
        <v>45704.79228003472</v>
      </c>
      <c r="C1621" s="1" t="s">
        <v>93</v>
      </c>
      <c r="D1621" s="1" t="s">
        <v>122</v>
      </c>
      <c r="F1621" s="1" t="s">
        <v>153</v>
      </c>
    </row>
    <row r="1622">
      <c r="A1622" s="40">
        <v>45705.385430821756</v>
      </c>
      <c r="B1622" s="1" t="s">
        <v>0</v>
      </c>
      <c r="C1622" s="1" t="s">
        <v>92</v>
      </c>
      <c r="D1622" s="1" t="s">
        <v>111</v>
      </c>
      <c r="F1622" s="1" t="s">
        <v>151</v>
      </c>
      <c r="G1622" s="1" t="s">
        <v>140</v>
      </c>
    </row>
    <row r="1623">
      <c r="A1623" s="40">
        <v>45706.43250712963</v>
      </c>
      <c r="B1623" s="1" t="s">
        <v>0</v>
      </c>
      <c r="C1623" s="1" t="s">
        <v>91</v>
      </c>
      <c r="D1623" s="1" t="s">
        <v>111</v>
      </c>
      <c r="F1623" s="1" t="s">
        <v>151</v>
      </c>
      <c r="G1623" s="1" t="s">
        <v>140</v>
      </c>
    </row>
    <row r="1624">
      <c r="A1624" s="40">
        <v>45707.725960497686</v>
      </c>
      <c r="C1624" s="1" t="s">
        <v>93</v>
      </c>
      <c r="D1624" s="1" t="s">
        <v>122</v>
      </c>
      <c r="F1624" s="1" t="s">
        <v>153</v>
      </c>
      <c r="G1624" s="1" t="s">
        <v>140</v>
      </c>
    </row>
    <row r="1625">
      <c r="A1625" s="40">
        <v>45708.45898590278</v>
      </c>
      <c r="B1625" s="1" t="s">
        <v>77</v>
      </c>
      <c r="C1625" s="1" t="s">
        <v>91</v>
      </c>
      <c r="D1625" s="1" t="s">
        <v>117</v>
      </c>
      <c r="F1625" s="1" t="s">
        <v>147</v>
      </c>
      <c r="G1625" s="1" t="s">
        <v>139</v>
      </c>
    </row>
    <row r="1626">
      <c r="A1626" s="40">
        <v>45709.43393237269</v>
      </c>
      <c r="B1626" s="1" t="s">
        <v>77</v>
      </c>
      <c r="C1626" s="1" t="s">
        <v>91</v>
      </c>
      <c r="D1626" s="1" t="s">
        <v>119</v>
      </c>
      <c r="F1626" s="1" t="s">
        <v>147</v>
      </c>
      <c r="G1626" s="1" t="s">
        <v>139</v>
      </c>
    </row>
    <row r="1627">
      <c r="A1627" s="40">
        <v>45710.41720473379</v>
      </c>
      <c r="C1627" s="1" t="s">
        <v>2</v>
      </c>
      <c r="D1627" s="1" t="s">
        <v>122</v>
      </c>
    </row>
    <row r="1628">
      <c r="A1628" s="40">
        <v>45710.41734996528</v>
      </c>
      <c r="C1628" s="1" t="s">
        <v>93</v>
      </c>
      <c r="D1628" s="1" t="s">
        <v>122</v>
      </c>
      <c r="F1628" s="1" t="s">
        <v>152</v>
      </c>
    </row>
    <row r="1629">
      <c r="A1629" s="40">
        <v>45710.811168726854</v>
      </c>
      <c r="B1629" s="1" t="s">
        <v>0</v>
      </c>
      <c r="C1629" s="1" t="s">
        <v>91</v>
      </c>
      <c r="D1629" s="1" t="s">
        <v>111</v>
      </c>
      <c r="F1629" s="1" t="s">
        <v>151</v>
      </c>
      <c r="G1629" s="1" t="s">
        <v>140</v>
      </c>
    </row>
    <row r="1630">
      <c r="A1630" s="40">
        <v>45711.59191934028</v>
      </c>
      <c r="B1630" s="1" t="s">
        <v>84</v>
      </c>
      <c r="C1630" s="1" t="s">
        <v>91</v>
      </c>
      <c r="D1630" s="1" t="s">
        <v>116</v>
      </c>
      <c r="F1630" s="1" t="s">
        <v>151</v>
      </c>
      <c r="G1630" s="1" t="s">
        <v>140</v>
      </c>
    </row>
    <row r="1631">
      <c r="A1631" s="40">
        <v>45712.420533958335</v>
      </c>
      <c r="B1631" s="1" t="s">
        <v>84</v>
      </c>
      <c r="C1631" s="1" t="s">
        <v>91</v>
      </c>
      <c r="D1631" s="1" t="s">
        <v>116</v>
      </c>
      <c r="F1631" s="1" t="s">
        <v>151</v>
      </c>
      <c r="G1631" s="1" t="s">
        <v>140</v>
      </c>
    </row>
    <row r="1632">
      <c r="A1632" s="40">
        <v>45713.50662085648</v>
      </c>
      <c r="B1632" s="1" t="s">
        <v>84</v>
      </c>
      <c r="C1632" s="1" t="s">
        <v>91</v>
      </c>
      <c r="D1632" s="1" t="s">
        <v>116</v>
      </c>
      <c r="F1632" s="1" t="s">
        <v>151</v>
      </c>
      <c r="G1632" s="1" t="s">
        <v>140</v>
      </c>
    </row>
    <row r="1633">
      <c r="A1633" s="40">
        <v>45714.41837561343</v>
      </c>
      <c r="B1633" s="1" t="s">
        <v>84</v>
      </c>
      <c r="D1633" s="1" t="s">
        <v>120</v>
      </c>
      <c r="F1633" s="1" t="s">
        <v>151</v>
      </c>
      <c r="G1633" s="1" t="s">
        <v>139</v>
      </c>
    </row>
    <row r="1634">
      <c r="A1634" s="40">
        <v>45715.4370815625</v>
      </c>
      <c r="B1634" s="1" t="s">
        <v>77</v>
      </c>
      <c r="C1634" s="1" t="s">
        <v>91</v>
      </c>
      <c r="D1634" s="1" t="s">
        <v>116</v>
      </c>
      <c r="F1634" s="1" t="s">
        <v>147</v>
      </c>
      <c r="G1634" s="1" t="s">
        <v>140</v>
      </c>
    </row>
    <row r="1635">
      <c r="A1635" s="40">
        <v>45716.52388975694</v>
      </c>
      <c r="C1635" s="1" t="s">
        <v>2</v>
      </c>
      <c r="D1635" s="1" t="s">
        <v>122</v>
      </c>
      <c r="F1635" s="1" t="s">
        <v>153</v>
      </c>
    </row>
    <row r="1636">
      <c r="A1636" s="40">
        <v>45716.52410447916</v>
      </c>
      <c r="B1636" s="1" t="s">
        <v>77</v>
      </c>
      <c r="C1636" s="1" t="s">
        <v>91</v>
      </c>
      <c r="D1636" s="1" t="s">
        <v>117</v>
      </c>
      <c r="F1636" s="1" t="s">
        <v>147</v>
      </c>
      <c r="G1636" s="1" t="s">
        <v>140</v>
      </c>
    </row>
    <row r="1637">
      <c r="A1637" s="40">
        <v>45717.85063523148</v>
      </c>
      <c r="B1637" s="1" t="s">
        <v>77</v>
      </c>
      <c r="C1637" s="1" t="s">
        <v>91</v>
      </c>
      <c r="D1637" s="1" t="s">
        <v>117</v>
      </c>
      <c r="F1637" s="1" t="s">
        <v>153</v>
      </c>
    </row>
    <row r="1638">
      <c r="A1638" s="40">
        <v>45717.85077626158</v>
      </c>
      <c r="C1638" s="1" t="s">
        <v>2</v>
      </c>
      <c r="D1638" s="1" t="s">
        <v>122</v>
      </c>
    </row>
    <row r="1639">
      <c r="A1639" s="40">
        <v>45717.850853125</v>
      </c>
      <c r="G1639" s="1" t="s">
        <v>140</v>
      </c>
    </row>
    <row r="1640">
      <c r="A1640" s="40">
        <v>45718.51636259259</v>
      </c>
      <c r="B1640" s="1" t="s">
        <v>1</v>
      </c>
      <c r="C1640" s="1" t="s">
        <v>92</v>
      </c>
      <c r="D1640" s="1" t="s">
        <v>103</v>
      </c>
      <c r="F1640" s="1" t="s">
        <v>151</v>
      </c>
      <c r="G1640" s="1" t="s">
        <v>140</v>
      </c>
    </row>
    <row r="1641">
      <c r="A1641" s="40">
        <v>45719.41808195601</v>
      </c>
      <c r="B1641" s="1" t="s">
        <v>1</v>
      </c>
      <c r="C1641" s="1" t="s">
        <v>91</v>
      </c>
      <c r="D1641" s="1" t="s">
        <v>103</v>
      </c>
      <c r="F1641" s="1" t="s">
        <v>151</v>
      </c>
      <c r="G1641" s="1" t="s">
        <v>140</v>
      </c>
    </row>
    <row r="1642">
      <c r="A1642" s="40">
        <v>45720.463769849535</v>
      </c>
      <c r="B1642" s="1" t="s">
        <v>1</v>
      </c>
      <c r="C1642" s="1" t="s">
        <v>92</v>
      </c>
      <c r="D1642" s="1" t="s">
        <v>125</v>
      </c>
      <c r="F1642" s="1" t="s">
        <v>151</v>
      </c>
      <c r="G1642" s="1" t="s">
        <v>140</v>
      </c>
    </row>
    <row r="1643">
      <c r="A1643" s="40">
        <v>45721.46637342592</v>
      </c>
      <c r="B1643" s="1" t="s">
        <v>77</v>
      </c>
      <c r="C1643" s="1" t="s">
        <v>91</v>
      </c>
      <c r="D1643" s="1" t="s">
        <v>119</v>
      </c>
      <c r="F1643" s="1" t="s">
        <v>151</v>
      </c>
      <c r="G1643" s="1" t="s">
        <v>140</v>
      </c>
    </row>
    <row r="1644">
      <c r="A1644" s="40">
        <v>45722.6458565162</v>
      </c>
      <c r="B1644" s="1" t="s">
        <v>77</v>
      </c>
      <c r="C1644" s="1" t="s">
        <v>91</v>
      </c>
      <c r="D1644" s="1" t="s">
        <v>117</v>
      </c>
      <c r="F1644" s="1" t="s">
        <v>151</v>
      </c>
      <c r="G1644" s="1" t="s">
        <v>140</v>
      </c>
    </row>
    <row r="1645">
      <c r="A1645" s="40">
        <v>45723.42124994213</v>
      </c>
      <c r="C1645" s="1" t="s">
        <v>93</v>
      </c>
      <c r="D1645" s="1" t="s">
        <v>122</v>
      </c>
      <c r="F1645" s="1" t="s">
        <v>153</v>
      </c>
    </row>
    <row r="1646">
      <c r="A1646" s="40">
        <v>45723.53588984953</v>
      </c>
      <c r="B1646" s="1" t="s">
        <v>77</v>
      </c>
      <c r="C1646" s="1" t="s">
        <v>91</v>
      </c>
      <c r="D1646" s="1" t="s">
        <v>119</v>
      </c>
      <c r="F1646" s="1" t="s">
        <v>147</v>
      </c>
      <c r="G1646" s="1" t="s">
        <v>140</v>
      </c>
    </row>
    <row r="1647">
      <c r="A1647" s="40">
        <v>45724.66287260417</v>
      </c>
      <c r="B1647" s="1" t="s">
        <v>1</v>
      </c>
      <c r="C1647" s="1" t="s">
        <v>92</v>
      </c>
      <c r="D1647" s="1" t="s">
        <v>125</v>
      </c>
      <c r="F1647" s="1" t="s">
        <v>151</v>
      </c>
      <c r="G1647" s="1" t="s">
        <v>140</v>
      </c>
    </row>
    <row r="1648">
      <c r="A1648" s="40">
        <v>45725.71498256944</v>
      </c>
      <c r="C1648" s="1" t="s">
        <v>93</v>
      </c>
    </row>
    <row r="1649">
      <c r="A1649" s="40">
        <v>45725.71519484954</v>
      </c>
      <c r="B1649" s="1" t="s">
        <v>1</v>
      </c>
      <c r="C1649" s="1" t="s">
        <v>91</v>
      </c>
      <c r="D1649" s="1" t="s">
        <v>103</v>
      </c>
      <c r="F1649" s="1" t="s">
        <v>151</v>
      </c>
      <c r="G1649" s="1" t="s">
        <v>140</v>
      </c>
    </row>
    <row r="1650">
      <c r="A1650" s="40">
        <v>45727.47276615741</v>
      </c>
      <c r="B1650" s="1" t="s">
        <v>84</v>
      </c>
      <c r="D1650" s="1" t="s">
        <v>121</v>
      </c>
      <c r="F1650" s="1" t="s">
        <v>151</v>
      </c>
      <c r="G1650" s="1" t="s">
        <v>140</v>
      </c>
    </row>
    <row r="1651">
      <c r="A1651" s="40">
        <v>45728.4268703125</v>
      </c>
      <c r="B1651" s="1" t="s">
        <v>1</v>
      </c>
      <c r="C1651" s="1" t="s">
        <v>91</v>
      </c>
      <c r="D1651" s="1" t="s">
        <v>117</v>
      </c>
      <c r="F1651" s="1" t="s">
        <v>151</v>
      </c>
      <c r="G1651" s="1" t="s">
        <v>140</v>
      </c>
    </row>
    <row r="1652">
      <c r="A1652" s="40">
        <v>45730.72594497685</v>
      </c>
      <c r="B1652" s="1" t="s">
        <v>84</v>
      </c>
      <c r="C1652" s="1" t="s">
        <v>91</v>
      </c>
      <c r="D1652" s="1" t="s">
        <v>116</v>
      </c>
      <c r="F1652" s="1" t="s">
        <v>151</v>
      </c>
      <c r="G1652" s="1" t="s">
        <v>140</v>
      </c>
    </row>
    <row r="1653">
      <c r="A1653" s="40">
        <v>45731.73567188658</v>
      </c>
      <c r="B1653" s="1" t="s">
        <v>84</v>
      </c>
      <c r="C1653" s="1" t="s">
        <v>91</v>
      </c>
      <c r="D1653" s="1" t="s">
        <v>121</v>
      </c>
      <c r="F1653" s="1" t="s">
        <v>151</v>
      </c>
      <c r="G1653" s="1" t="s">
        <v>140</v>
      </c>
    </row>
    <row r="1654">
      <c r="A1654" s="40">
        <v>45732.82627055555</v>
      </c>
      <c r="B1654" s="1" t="s">
        <v>84</v>
      </c>
      <c r="D1654" s="1" t="s">
        <v>121</v>
      </c>
      <c r="F1654" s="1" t="s">
        <v>153</v>
      </c>
    </row>
    <row r="1655">
      <c r="A1655" s="40">
        <v>45732.82644024305</v>
      </c>
      <c r="C1655" s="1" t="s">
        <v>2</v>
      </c>
      <c r="D1655" s="1" t="s">
        <v>122</v>
      </c>
    </row>
    <row r="1656">
      <c r="A1656" s="40">
        <v>45733.42655611111</v>
      </c>
      <c r="B1656" s="1" t="s">
        <v>0</v>
      </c>
      <c r="C1656" s="1" t="s">
        <v>91</v>
      </c>
      <c r="D1656" s="1" t="s">
        <v>110</v>
      </c>
      <c r="F1656" s="1" t="s">
        <v>151</v>
      </c>
      <c r="G1656" s="1" t="s">
        <v>140</v>
      </c>
    </row>
    <row r="1657">
      <c r="A1657" s="40">
        <v>45734.41244402778</v>
      </c>
      <c r="B1657" s="1" t="s">
        <v>77</v>
      </c>
      <c r="C1657" s="1" t="s">
        <v>91</v>
      </c>
      <c r="D1657" s="1" t="s">
        <v>118</v>
      </c>
      <c r="F1657" s="1" t="s">
        <v>147</v>
      </c>
      <c r="G1657" s="1" t="s">
        <v>140</v>
      </c>
    </row>
    <row r="1658">
      <c r="A1658" s="40">
        <v>45735.42205195602</v>
      </c>
      <c r="B1658" s="1" t="s">
        <v>0</v>
      </c>
      <c r="C1658" s="1" t="s">
        <v>91</v>
      </c>
      <c r="D1658" s="1" t="s">
        <v>112</v>
      </c>
    </row>
    <row r="1659">
      <c r="A1659" s="40">
        <v>45736.434489861116</v>
      </c>
      <c r="B1659" s="1" t="s">
        <v>0</v>
      </c>
      <c r="C1659" s="1" t="s">
        <v>91</v>
      </c>
      <c r="D1659" s="1" t="s">
        <v>112</v>
      </c>
      <c r="F1659" s="1" t="s">
        <v>151</v>
      </c>
      <c r="G1659" s="1" t="s">
        <v>140</v>
      </c>
    </row>
    <row r="1660">
      <c r="A1660" s="40">
        <v>45737.61163641204</v>
      </c>
      <c r="B1660" s="1" t="s">
        <v>77</v>
      </c>
      <c r="C1660" s="1" t="s">
        <v>91</v>
      </c>
      <c r="D1660" s="1" t="s">
        <v>121</v>
      </c>
      <c r="F1660" s="1" t="s">
        <v>151</v>
      </c>
      <c r="G1660" s="1" t="s">
        <v>140</v>
      </c>
    </row>
    <row r="1661">
      <c r="A1661" s="40">
        <v>45738.46327869213</v>
      </c>
      <c r="B1661" s="1" t="s">
        <v>77</v>
      </c>
      <c r="E1661" s="1" t="s">
        <v>130</v>
      </c>
      <c r="F1661" s="1" t="s">
        <v>151</v>
      </c>
    </row>
    <row r="1662">
      <c r="A1662" s="40">
        <v>45739.40800116898</v>
      </c>
      <c r="B1662" s="1" t="s">
        <v>1</v>
      </c>
      <c r="C1662" s="1" t="s">
        <v>91</v>
      </c>
      <c r="D1662" s="1" t="s">
        <v>125</v>
      </c>
      <c r="F1662" s="1" t="s">
        <v>151</v>
      </c>
    </row>
    <row r="1663">
      <c r="A1663" s="40">
        <v>45740.66544590278</v>
      </c>
      <c r="B1663" s="1" t="s">
        <v>77</v>
      </c>
      <c r="E1663" s="1" t="s">
        <v>130</v>
      </c>
      <c r="F1663" s="1" t="s">
        <v>151</v>
      </c>
    </row>
    <row r="1664">
      <c r="A1664" s="40">
        <v>45741.43497422454</v>
      </c>
      <c r="B1664" s="1" t="s">
        <v>77</v>
      </c>
      <c r="C1664" s="1" t="s">
        <v>91</v>
      </c>
      <c r="D1664" s="1" t="s">
        <v>116</v>
      </c>
      <c r="F1664" s="1" t="s">
        <v>151</v>
      </c>
    </row>
    <row r="1665">
      <c r="A1665" s="40">
        <v>45741.46825443287</v>
      </c>
      <c r="G1665" s="1" t="s">
        <v>144</v>
      </c>
    </row>
    <row r="1666">
      <c r="A1666" s="40">
        <v>45741.468334363424</v>
      </c>
      <c r="G1666" s="1" t="s">
        <v>144</v>
      </c>
    </row>
    <row r="1667">
      <c r="A1667" s="40">
        <v>45742.44889459491</v>
      </c>
      <c r="B1667" s="1" t="s">
        <v>84</v>
      </c>
      <c r="C1667" s="1" t="s">
        <v>91</v>
      </c>
      <c r="D1667" s="1" t="s">
        <v>116</v>
      </c>
    </row>
    <row r="1668">
      <c r="A1668" s="40">
        <v>45743.54214171296</v>
      </c>
      <c r="B1668" s="1" t="s">
        <v>84</v>
      </c>
      <c r="C1668" s="1" t="s">
        <v>91</v>
      </c>
      <c r="D1668" s="1" t="s">
        <v>116</v>
      </c>
      <c r="F1668" s="1" t="s">
        <v>151</v>
      </c>
      <c r="G1668" s="1" t="s">
        <v>144</v>
      </c>
    </row>
    <row r="1669">
      <c r="A1669" s="40">
        <v>45744.42499532407</v>
      </c>
      <c r="B1669" s="1" t="s">
        <v>84</v>
      </c>
      <c r="C1669" s="1" t="s">
        <v>91</v>
      </c>
      <c r="D1669" s="1" t="s">
        <v>116</v>
      </c>
      <c r="F1669" s="1" t="s">
        <v>151</v>
      </c>
      <c r="G1669" s="1" t="s">
        <v>144</v>
      </c>
    </row>
    <row r="1670">
      <c r="A1670" s="40">
        <v>45745.456080104166</v>
      </c>
      <c r="B1670" s="1" t="s">
        <v>1</v>
      </c>
      <c r="C1670" s="1" t="s">
        <v>91</v>
      </c>
      <c r="D1670" s="1" t="s">
        <v>125</v>
      </c>
      <c r="F1670" s="1" t="s">
        <v>151</v>
      </c>
      <c r="G1670" s="1" t="s">
        <v>144</v>
      </c>
    </row>
    <row r="1671">
      <c r="A1671" s="40">
        <v>45746.43144074074</v>
      </c>
      <c r="B1671" s="1" t="s">
        <v>1</v>
      </c>
      <c r="C1671" s="1" t="s">
        <v>91</v>
      </c>
      <c r="D1671" s="1" t="s">
        <v>125</v>
      </c>
      <c r="F1671" s="1" t="s">
        <v>151</v>
      </c>
      <c r="G1671" s="1" t="s">
        <v>144</v>
      </c>
    </row>
    <row r="1672">
      <c r="A1672" s="40">
        <v>45747.46295887731</v>
      </c>
      <c r="B1672" s="1" t="s">
        <v>85</v>
      </c>
      <c r="C1672" s="1" t="s">
        <v>92</v>
      </c>
      <c r="D1672" s="1" t="s">
        <v>111</v>
      </c>
      <c r="F1672" s="1" t="s">
        <v>151</v>
      </c>
    </row>
    <row r="1673">
      <c r="A1673" s="40">
        <v>45748.50405456018</v>
      </c>
      <c r="B1673" s="1" t="s">
        <v>85</v>
      </c>
      <c r="C1673" s="1" t="s">
        <v>91</v>
      </c>
      <c r="D1673" s="1" t="s">
        <v>110</v>
      </c>
      <c r="F1673" s="1" t="s">
        <v>151</v>
      </c>
    </row>
    <row r="1674">
      <c r="A1674" s="43">
        <v>45750.64259271991</v>
      </c>
      <c r="B1674" s="1" t="s">
        <v>90</v>
      </c>
      <c r="D1674" s="1" t="s">
        <v>126</v>
      </c>
      <c r="E1674" s="1" t="s">
        <v>137</v>
      </c>
    </row>
    <row r="1675">
      <c r="A1675" s="43">
        <v>45751.403741898146</v>
      </c>
      <c r="B1675" s="1" t="s">
        <v>85</v>
      </c>
      <c r="C1675" s="1" t="s">
        <v>91</v>
      </c>
      <c r="D1675" s="1" t="s">
        <v>110</v>
      </c>
      <c r="F1675" s="1" t="s">
        <v>151</v>
      </c>
    </row>
    <row r="1676">
      <c r="A1676" s="43">
        <v>45751.609624641205</v>
      </c>
      <c r="C1676" s="1" t="s">
        <v>92</v>
      </c>
      <c r="D1676" s="1" t="s">
        <v>154</v>
      </c>
    </row>
    <row r="1677">
      <c r="A1677" s="43">
        <v>45751.609873877314</v>
      </c>
      <c r="C1677" s="1" t="s">
        <v>92</v>
      </c>
      <c r="D1677" s="1" t="s">
        <v>154</v>
      </c>
    </row>
    <row r="1678">
      <c r="A1678" s="43">
        <v>45751.911370960646</v>
      </c>
      <c r="F1678" s="1" t="s">
        <v>155</v>
      </c>
    </row>
    <row r="1679">
      <c r="A1679" s="43">
        <v>45751.91143207176</v>
      </c>
      <c r="F1679" s="1" t="s">
        <v>155</v>
      </c>
    </row>
    <row r="1680">
      <c r="A1680" s="43">
        <v>45753.46859122685</v>
      </c>
      <c r="B1680" s="1" t="s">
        <v>1</v>
      </c>
      <c r="C1680" s="1" t="s">
        <v>92</v>
      </c>
      <c r="D1680" s="1" t="s">
        <v>121</v>
      </c>
      <c r="F1680" s="1" t="s">
        <v>151</v>
      </c>
    </row>
    <row r="1681">
      <c r="A1681" s="43">
        <v>45754.545501319444</v>
      </c>
      <c r="B1681" s="1" t="s">
        <v>83</v>
      </c>
      <c r="C1681" s="1" t="s">
        <v>91</v>
      </c>
      <c r="D1681" s="1" t="s">
        <v>154</v>
      </c>
      <c r="F1681" s="1" t="s">
        <v>147</v>
      </c>
      <c r="G1681" s="1" t="s">
        <v>142</v>
      </c>
    </row>
    <row r="1682">
      <c r="A1682" s="43">
        <v>45755.43052418981</v>
      </c>
      <c r="B1682" s="1" t="s">
        <v>77</v>
      </c>
      <c r="C1682" s="1" t="s">
        <v>92</v>
      </c>
      <c r="D1682" s="1" t="s">
        <v>118</v>
      </c>
      <c r="F1682" s="1" t="s">
        <v>151</v>
      </c>
      <c r="G1682" s="1" t="s">
        <v>142</v>
      </c>
    </row>
    <row r="1683">
      <c r="A1683" s="43">
        <v>45756.35384652778</v>
      </c>
      <c r="B1683" s="1" t="s">
        <v>77</v>
      </c>
      <c r="C1683" s="1" t="s">
        <v>92</v>
      </c>
      <c r="D1683" s="1" t="s">
        <v>118</v>
      </c>
      <c r="F1683" s="1" t="s">
        <v>151</v>
      </c>
      <c r="G1683" s="1" t="s">
        <v>142</v>
      </c>
    </row>
    <row r="1684">
      <c r="A1684" s="43">
        <v>45757.41725126158</v>
      </c>
      <c r="B1684" s="1" t="s">
        <v>77</v>
      </c>
      <c r="C1684" s="1" t="s">
        <v>92</v>
      </c>
      <c r="D1684" s="1" t="s">
        <v>118</v>
      </c>
      <c r="F1684" s="1" t="s">
        <v>151</v>
      </c>
      <c r="G1684" s="1" t="s">
        <v>144</v>
      </c>
    </row>
    <row r="1685">
      <c r="A1685" s="43">
        <v>45758.42786305556</v>
      </c>
      <c r="B1685" s="1" t="s">
        <v>77</v>
      </c>
      <c r="C1685" s="1" t="s">
        <v>92</v>
      </c>
      <c r="D1685" s="1" t="s">
        <v>154</v>
      </c>
      <c r="F1685" s="1" t="s">
        <v>155</v>
      </c>
      <c r="G1685" s="1" t="s">
        <v>142</v>
      </c>
    </row>
    <row r="1686">
      <c r="A1686" s="43">
        <v>45758.732311388885</v>
      </c>
      <c r="F1686" s="1" t="s">
        <v>156</v>
      </c>
    </row>
    <row r="1687">
      <c r="A1687" s="43">
        <v>45758.7327047338</v>
      </c>
      <c r="F1687" s="1" t="s">
        <v>156</v>
      </c>
    </row>
    <row r="1688">
      <c r="A1688" s="43">
        <v>45758.73284520833</v>
      </c>
      <c r="F1688" s="1" t="s">
        <v>156</v>
      </c>
    </row>
    <row r="1689">
      <c r="A1689" s="43">
        <v>45758.732900625</v>
      </c>
      <c r="F1689" s="1" t="s">
        <v>156</v>
      </c>
    </row>
    <row r="1690">
      <c r="A1690" s="43">
        <v>45758.73295993055</v>
      </c>
      <c r="F1690" s="1" t="s">
        <v>156</v>
      </c>
    </row>
    <row r="1691">
      <c r="A1691" s="43">
        <v>45758.73301460648</v>
      </c>
      <c r="F1691" s="1" t="s">
        <v>156</v>
      </c>
    </row>
    <row r="1692">
      <c r="A1692" s="43">
        <v>45758.7330787963</v>
      </c>
      <c r="F1692" s="1" t="s">
        <v>156</v>
      </c>
    </row>
    <row r="1693">
      <c r="A1693" s="43">
        <v>45758.73313903935</v>
      </c>
      <c r="F1693" s="1" t="s">
        <v>156</v>
      </c>
    </row>
    <row r="1694">
      <c r="A1694" s="43">
        <v>45758.73319021991</v>
      </c>
      <c r="F1694" s="1" t="s">
        <v>156</v>
      </c>
    </row>
    <row r="1695">
      <c r="A1695" s="43">
        <v>45758.73325309028</v>
      </c>
      <c r="F1695" s="1" t="s">
        <v>156</v>
      </c>
    </row>
    <row r="1696">
      <c r="A1696" s="43">
        <v>45760.40847865741</v>
      </c>
      <c r="B1696" s="1" t="s">
        <v>85</v>
      </c>
      <c r="C1696" s="1" t="s">
        <v>95</v>
      </c>
      <c r="F1696" s="1" t="s">
        <v>151</v>
      </c>
      <c r="G1696" s="1" t="s">
        <v>144</v>
      </c>
    </row>
    <row r="1697">
      <c r="A1697" s="43">
        <v>45760.54582505787</v>
      </c>
      <c r="B1697" s="1" t="s">
        <v>0</v>
      </c>
      <c r="C1697" s="1" t="s">
        <v>91</v>
      </c>
      <c r="D1697" s="1" t="s">
        <v>111</v>
      </c>
      <c r="F1697" s="1" t="s">
        <v>151</v>
      </c>
    </row>
    <row r="1698">
      <c r="A1698" s="43">
        <v>45761.396265648145</v>
      </c>
      <c r="B1698" s="1" t="s">
        <v>0</v>
      </c>
      <c r="C1698" s="1" t="s">
        <v>91</v>
      </c>
      <c r="D1698" s="1" t="s">
        <v>111</v>
      </c>
      <c r="F1698" s="1" t="s">
        <v>151</v>
      </c>
      <c r="G1698" s="1" t="s">
        <v>142</v>
      </c>
    </row>
    <row r="1699">
      <c r="A1699" s="43">
        <v>45762.42474324074</v>
      </c>
      <c r="B1699" s="1" t="s">
        <v>0</v>
      </c>
      <c r="C1699" s="1" t="s">
        <v>91</v>
      </c>
      <c r="D1699" s="1" t="s">
        <v>111</v>
      </c>
      <c r="F1699" s="1" t="s">
        <v>151</v>
      </c>
      <c r="G1699" s="1" t="s">
        <v>142</v>
      </c>
    </row>
    <row r="1700">
      <c r="A1700" s="43">
        <v>45763.4175934838</v>
      </c>
      <c r="B1700" s="1" t="s">
        <v>77</v>
      </c>
      <c r="C1700" s="1" t="s">
        <v>91</v>
      </c>
      <c r="D1700" s="1" t="s">
        <v>154</v>
      </c>
      <c r="F1700" s="1" t="s">
        <v>147</v>
      </c>
      <c r="G1700" s="1" t="s">
        <v>142</v>
      </c>
    </row>
    <row r="1701">
      <c r="A1701" s="43">
        <v>45765.33690776621</v>
      </c>
      <c r="B1701" s="1" t="s">
        <v>0</v>
      </c>
      <c r="C1701" s="1" t="s">
        <v>2</v>
      </c>
      <c r="D1701" s="1" t="s">
        <v>111</v>
      </c>
      <c r="F1701" s="1" t="s">
        <v>156</v>
      </c>
      <c r="G1701" s="1" t="s">
        <v>142</v>
      </c>
    </row>
    <row r="1702">
      <c r="A1702" s="43">
        <v>45765.443126377315</v>
      </c>
      <c r="B1702" s="1" t="s">
        <v>77</v>
      </c>
      <c r="C1702" s="1" t="s">
        <v>91</v>
      </c>
      <c r="D1702" s="1" t="s">
        <v>116</v>
      </c>
      <c r="F1702" s="1" t="s">
        <v>151</v>
      </c>
      <c r="G1702" s="1" t="s">
        <v>142</v>
      </c>
    </row>
    <row r="1703">
      <c r="A1703" s="43">
        <v>45766.499573900466</v>
      </c>
      <c r="B1703" s="1" t="s">
        <v>77</v>
      </c>
      <c r="C1703" s="1" t="s">
        <v>91</v>
      </c>
      <c r="D1703" s="1" t="s">
        <v>116</v>
      </c>
      <c r="F1703" s="1" t="s">
        <v>151</v>
      </c>
    </row>
    <row r="1704">
      <c r="A1704" s="43">
        <v>45767.43700016204</v>
      </c>
      <c r="B1704" s="1" t="s">
        <v>77</v>
      </c>
      <c r="C1704" s="1" t="s">
        <v>91</v>
      </c>
      <c r="D1704" s="1" t="s">
        <v>125</v>
      </c>
      <c r="F1704" s="1" t="s">
        <v>151</v>
      </c>
      <c r="G1704" s="1" t="s">
        <v>142</v>
      </c>
    </row>
    <row r="1705">
      <c r="A1705" s="43">
        <v>45768.542597708336</v>
      </c>
      <c r="B1705" s="1" t="s">
        <v>77</v>
      </c>
      <c r="C1705" s="1" t="s">
        <v>91</v>
      </c>
      <c r="D1705" s="1" t="s">
        <v>125</v>
      </c>
      <c r="F1705" s="1" t="s">
        <v>151</v>
      </c>
      <c r="G1705" s="1" t="s">
        <v>142</v>
      </c>
    </row>
    <row r="1706">
      <c r="A1706" s="43">
        <v>45769.443605266206</v>
      </c>
      <c r="B1706" s="1" t="s">
        <v>77</v>
      </c>
      <c r="C1706" s="1" t="s">
        <v>91</v>
      </c>
      <c r="D1706" s="1" t="s">
        <v>125</v>
      </c>
      <c r="F1706" s="1" t="s">
        <v>151</v>
      </c>
      <c r="G1706" s="1" t="s">
        <v>142</v>
      </c>
    </row>
    <row r="1707">
      <c r="A1707" s="43">
        <v>45770.4234816088</v>
      </c>
      <c r="B1707" s="1" t="s">
        <v>1</v>
      </c>
      <c r="C1707" s="1" t="s">
        <v>92</v>
      </c>
      <c r="D1707" s="1" t="s">
        <v>114</v>
      </c>
      <c r="F1707" s="1" t="s">
        <v>151</v>
      </c>
    </row>
    <row r="1708">
      <c r="A1708" s="43">
        <v>45770.431065983794</v>
      </c>
      <c r="G1708" s="1" t="s">
        <v>142</v>
      </c>
    </row>
    <row r="1709">
      <c r="A1709" s="43">
        <v>45771.424199953704</v>
      </c>
      <c r="B1709" s="1" t="s">
        <v>1</v>
      </c>
      <c r="C1709" s="1" t="s">
        <v>92</v>
      </c>
      <c r="D1709" s="1" t="s">
        <v>114</v>
      </c>
      <c r="F1709" s="1" t="s">
        <v>151</v>
      </c>
      <c r="G1709" s="1" t="s">
        <v>142</v>
      </c>
    </row>
    <row r="1710">
      <c r="A1710" s="43">
        <v>45772.434905277776</v>
      </c>
      <c r="B1710" s="1" t="s">
        <v>77</v>
      </c>
      <c r="C1710" s="1" t="s">
        <v>91</v>
      </c>
      <c r="D1710" s="1" t="s">
        <v>119</v>
      </c>
    </row>
    <row r="1711">
      <c r="A1711" s="43">
        <v>45772.52431466435</v>
      </c>
      <c r="F1711" s="1" t="s">
        <v>155</v>
      </c>
      <c r="G1711" s="1" t="s">
        <v>142</v>
      </c>
    </row>
    <row r="1712">
      <c r="A1712" s="43">
        <v>45773.473704814816</v>
      </c>
      <c r="B1712" s="1" t="s">
        <v>77</v>
      </c>
      <c r="C1712" s="1" t="s">
        <v>91</v>
      </c>
      <c r="D1712" s="1" t="s">
        <v>119</v>
      </c>
      <c r="F1712" s="1" t="s">
        <v>150</v>
      </c>
      <c r="G1712" s="1" t="s">
        <v>142</v>
      </c>
    </row>
    <row r="1713">
      <c r="A1713" s="43">
        <v>45773.4737680324</v>
      </c>
      <c r="F1713" s="1" t="s">
        <v>150</v>
      </c>
    </row>
    <row r="1714">
      <c r="A1714" s="43">
        <v>45774.47586856481</v>
      </c>
      <c r="B1714" s="1" t="s">
        <v>1</v>
      </c>
      <c r="C1714" s="1" t="s">
        <v>92</v>
      </c>
      <c r="D1714" s="1" t="s">
        <v>121</v>
      </c>
      <c r="F1714" s="1" t="s">
        <v>151</v>
      </c>
      <c r="G1714" s="1" t="s">
        <v>144</v>
      </c>
    </row>
    <row r="1715">
      <c r="A1715" s="43">
        <v>45775.41642425926</v>
      </c>
      <c r="B1715" s="1" t="s">
        <v>1</v>
      </c>
      <c r="C1715" s="1" t="s">
        <v>92</v>
      </c>
      <c r="D1715" s="1" t="s">
        <v>121</v>
      </c>
      <c r="F1715" s="1" t="s">
        <v>151</v>
      </c>
      <c r="G1715" s="1" t="s">
        <v>144</v>
      </c>
    </row>
    <row r="1716">
      <c r="A1716" s="43">
        <v>45776.78403635416</v>
      </c>
      <c r="B1716" s="44" t="s">
        <v>87</v>
      </c>
      <c r="C1716" s="1" t="s">
        <v>91</v>
      </c>
      <c r="D1716" s="1" t="s">
        <v>113</v>
      </c>
      <c r="F1716" s="1" t="s">
        <v>151</v>
      </c>
    </row>
    <row r="1717">
      <c r="A1717" s="43">
        <v>45777.49433149306</v>
      </c>
      <c r="B1717" s="44" t="s">
        <v>87</v>
      </c>
      <c r="C1717" s="1" t="s">
        <v>91</v>
      </c>
      <c r="D1717" s="1" t="s">
        <v>114</v>
      </c>
    </row>
    <row r="1718">
      <c r="A1718" s="43">
        <v>45778.39797615741</v>
      </c>
      <c r="B1718" s="1" t="s">
        <v>80</v>
      </c>
      <c r="C1718" s="1" t="s">
        <v>95</v>
      </c>
      <c r="F1718" s="1" t="s">
        <v>151</v>
      </c>
    </row>
    <row r="1719">
      <c r="A1719" s="43">
        <v>45779.60281965278</v>
      </c>
      <c r="B1719" s="1" t="s">
        <v>1</v>
      </c>
      <c r="D1719" s="1" t="s">
        <v>120</v>
      </c>
      <c r="F1719" s="1" t="s">
        <v>151</v>
      </c>
    </row>
    <row r="1720">
      <c r="A1720" s="43">
        <v>45780.654220763885</v>
      </c>
      <c r="B1720" s="1" t="s">
        <v>1</v>
      </c>
      <c r="C1720" s="1" t="s">
        <v>91</v>
      </c>
      <c r="D1720" s="1" t="s">
        <v>111</v>
      </c>
    </row>
    <row r="1721">
      <c r="A1721" s="43">
        <v>45780.65432912037</v>
      </c>
      <c r="C1721" s="1" t="s">
        <v>2</v>
      </c>
    </row>
    <row r="1722">
      <c r="A1722" s="43">
        <v>45781.42237295139</v>
      </c>
      <c r="C1722" s="1" t="s">
        <v>2</v>
      </c>
      <c r="D1722" s="1" t="s">
        <v>122</v>
      </c>
    </row>
    <row r="1723">
      <c r="A1723" s="43">
        <v>45781.464458518516</v>
      </c>
      <c r="B1723" s="1" t="s">
        <v>84</v>
      </c>
      <c r="C1723" s="1" t="s">
        <v>91</v>
      </c>
      <c r="D1723" s="1" t="s">
        <v>154</v>
      </c>
      <c r="F1723" s="1" t="s">
        <v>151</v>
      </c>
      <c r="G1723" s="1" t="s">
        <v>142</v>
      </c>
    </row>
    <row r="1724">
      <c r="A1724" s="43">
        <v>45781.472922581015</v>
      </c>
      <c r="G1724" s="1" t="s">
        <v>144</v>
      </c>
    </row>
    <row r="1725">
      <c r="A1725" s="43">
        <v>45782.55940549768</v>
      </c>
      <c r="B1725" s="1" t="s">
        <v>0</v>
      </c>
      <c r="C1725" s="1" t="s">
        <v>93</v>
      </c>
      <c r="D1725" s="1" t="s">
        <v>111</v>
      </c>
      <c r="F1725" s="1" t="s">
        <v>156</v>
      </c>
    </row>
    <row r="1726">
      <c r="A1726" s="43">
        <v>45783.34297648148</v>
      </c>
      <c r="B1726" s="1" t="s">
        <v>84</v>
      </c>
      <c r="C1726" s="1" t="s">
        <v>91</v>
      </c>
      <c r="D1726" s="1" t="s">
        <v>154</v>
      </c>
      <c r="F1726" s="1" t="s">
        <v>151</v>
      </c>
      <c r="G1726" s="1" t="s">
        <v>144</v>
      </c>
    </row>
    <row r="1727">
      <c r="A1727" s="43">
        <v>45784.32398217593</v>
      </c>
      <c r="B1727" s="1" t="s">
        <v>84</v>
      </c>
      <c r="C1727" s="1" t="s">
        <v>91</v>
      </c>
      <c r="D1727" s="1" t="s">
        <v>119</v>
      </c>
      <c r="F1727" s="1" t="s">
        <v>151</v>
      </c>
      <c r="G1727" s="1" t="s">
        <v>144</v>
      </c>
    </row>
    <row r="1728">
      <c r="A1728" s="43">
        <v>45785.33812827546</v>
      </c>
      <c r="B1728" s="1" t="s">
        <v>1</v>
      </c>
      <c r="C1728" s="1" t="s">
        <v>91</v>
      </c>
      <c r="D1728" s="1" t="s">
        <v>103</v>
      </c>
      <c r="F1728" s="1" t="s">
        <v>151</v>
      </c>
      <c r="G1728" s="1" t="s">
        <v>144</v>
      </c>
    </row>
    <row r="1729">
      <c r="A1729" s="43">
        <v>45785.76704619213</v>
      </c>
      <c r="C1729" s="1" t="s">
        <v>2</v>
      </c>
      <c r="D1729" s="1" t="s">
        <v>122</v>
      </c>
    </row>
    <row r="1730">
      <c r="A1730" s="43">
        <v>45786.528310023146</v>
      </c>
      <c r="B1730" s="1" t="s">
        <v>90</v>
      </c>
      <c r="D1730" s="1" t="s">
        <v>126</v>
      </c>
      <c r="E1730" s="1" t="s">
        <v>137</v>
      </c>
      <c r="F1730" s="1" t="s">
        <v>155</v>
      </c>
    </row>
    <row r="1731">
      <c r="A1731" s="43">
        <v>45786.76968081019</v>
      </c>
      <c r="C1731" s="1" t="s">
        <v>2</v>
      </c>
      <c r="D1731" s="1" t="s">
        <v>122</v>
      </c>
    </row>
    <row r="1732">
      <c r="A1732" s="43">
        <v>45786.76988898148</v>
      </c>
      <c r="B1732" s="1" t="s">
        <v>84</v>
      </c>
      <c r="C1732" s="1" t="s">
        <v>91</v>
      </c>
      <c r="D1732" s="1" t="s">
        <v>154</v>
      </c>
      <c r="F1732" s="1" t="s">
        <v>151</v>
      </c>
      <c r="G1732" s="1" t="s">
        <v>144</v>
      </c>
    </row>
    <row r="1733">
      <c r="A1733" s="43">
        <v>45787.40289997685</v>
      </c>
      <c r="C1733" s="1" t="s">
        <v>93</v>
      </c>
    </row>
    <row r="1734">
      <c r="A1734" s="43">
        <v>45787.59267423611</v>
      </c>
      <c r="B1734" s="1" t="s">
        <v>84</v>
      </c>
      <c r="C1734" s="1" t="s">
        <v>92</v>
      </c>
    </row>
    <row r="1735">
      <c r="A1735" s="43">
        <v>45788.573995520834</v>
      </c>
      <c r="B1735" s="1" t="s">
        <v>80</v>
      </c>
      <c r="C1735" s="1" t="s">
        <v>95</v>
      </c>
      <c r="F1735" s="1" t="s">
        <v>151</v>
      </c>
      <c r="G1735" s="1" t="s">
        <v>144</v>
      </c>
    </row>
    <row r="1736">
      <c r="A1736" s="43">
        <v>45789.48845694444</v>
      </c>
      <c r="B1736" s="1" t="s">
        <v>80</v>
      </c>
      <c r="C1736" s="1" t="s">
        <v>96</v>
      </c>
    </row>
    <row r="1737">
      <c r="A1737" s="43">
        <v>45790.365643391204</v>
      </c>
      <c r="B1737" s="1" t="s">
        <v>77</v>
      </c>
      <c r="E1737" s="1" t="s">
        <v>130</v>
      </c>
      <c r="F1737" s="1" t="s">
        <v>147</v>
      </c>
    </row>
    <row r="1738">
      <c r="A1738" s="43">
        <v>45791.52856315972</v>
      </c>
      <c r="B1738" s="1" t="s">
        <v>90</v>
      </c>
      <c r="D1738" s="1" t="s">
        <v>126</v>
      </c>
      <c r="E1738" s="1" t="s">
        <v>137</v>
      </c>
      <c r="F1738" s="1" t="s">
        <v>155</v>
      </c>
    </row>
    <row r="1739">
      <c r="A1739" s="43">
        <v>45792.396843043985</v>
      </c>
      <c r="B1739" s="1" t="s">
        <v>80</v>
      </c>
      <c r="C1739" s="1" t="s">
        <v>96</v>
      </c>
      <c r="F1739" s="1" t="s">
        <v>151</v>
      </c>
      <c r="G1739" s="1" t="s">
        <v>142</v>
      </c>
    </row>
    <row r="1740">
      <c r="A1740" s="43">
        <v>45793.52124770833</v>
      </c>
      <c r="B1740" s="1" t="s">
        <v>77</v>
      </c>
      <c r="E1740" s="1" t="s">
        <v>130</v>
      </c>
      <c r="F1740" s="1" t="s">
        <v>147</v>
      </c>
      <c r="G1740" s="1" t="s">
        <v>144</v>
      </c>
    </row>
    <row r="1741">
      <c r="A1741" s="43">
        <v>45793.88188407407</v>
      </c>
      <c r="C1741" s="1" t="s">
        <v>2</v>
      </c>
      <c r="D1741" s="1" t="s">
        <v>122</v>
      </c>
    </row>
    <row r="1742">
      <c r="A1742" s="43">
        <v>45794.500441701384</v>
      </c>
      <c r="C1742" s="1" t="s">
        <v>2</v>
      </c>
    </row>
    <row r="1743">
      <c r="A1743" s="43">
        <v>45794.6753090162</v>
      </c>
      <c r="B1743" s="1" t="s">
        <v>77</v>
      </c>
      <c r="E1743" s="1" t="s">
        <v>130</v>
      </c>
      <c r="F1743" s="1" t="s">
        <v>147</v>
      </c>
      <c r="G1743" s="1" t="s">
        <v>144</v>
      </c>
    </row>
    <row r="1744">
      <c r="A1744" s="43">
        <v>45795.48481959491</v>
      </c>
      <c r="B1744" s="1" t="s">
        <v>77</v>
      </c>
      <c r="E1744" s="1" t="s">
        <v>130</v>
      </c>
      <c r="F1744" s="1" t="s">
        <v>147</v>
      </c>
      <c r="G1744" s="1" t="s">
        <v>144</v>
      </c>
    </row>
    <row r="1745">
      <c r="A1745" s="43">
        <v>45796.42885519676</v>
      </c>
      <c r="B1745" s="1" t="s">
        <v>80</v>
      </c>
      <c r="C1745" s="1" t="s">
        <v>96</v>
      </c>
      <c r="F1745" s="1" t="s">
        <v>151</v>
      </c>
    </row>
    <row r="1746">
      <c r="A1746" s="43">
        <v>45797.369338159726</v>
      </c>
      <c r="B1746" s="1" t="s">
        <v>80</v>
      </c>
      <c r="C1746" s="1" t="s">
        <v>95</v>
      </c>
      <c r="F1746" s="1" t="s">
        <v>151</v>
      </c>
      <c r="G1746" s="1" t="s">
        <v>144</v>
      </c>
    </row>
    <row r="1747">
      <c r="A1747" s="43">
        <v>45798.3255952662</v>
      </c>
      <c r="B1747" s="1" t="s">
        <v>77</v>
      </c>
      <c r="D1747" s="1" t="s">
        <v>121</v>
      </c>
      <c r="F1747" s="1" t="s">
        <v>151</v>
      </c>
      <c r="G1747" s="1" t="s">
        <v>144</v>
      </c>
    </row>
    <row r="1748">
      <c r="A1748" s="43">
        <v>45798.71269892361</v>
      </c>
      <c r="C1748" s="1" t="s">
        <v>2</v>
      </c>
      <c r="D1748" s="1" t="s">
        <v>122</v>
      </c>
    </row>
    <row r="1749">
      <c r="A1749" s="43">
        <v>45799.34544659722</v>
      </c>
      <c r="B1749" s="1" t="s">
        <v>1</v>
      </c>
      <c r="C1749" s="1" t="s">
        <v>91</v>
      </c>
      <c r="D1749" s="1" t="s">
        <v>118</v>
      </c>
      <c r="F1749" s="1" t="s">
        <v>151</v>
      </c>
      <c r="G1749" s="1" t="s">
        <v>144</v>
      </c>
    </row>
    <row r="1750">
      <c r="A1750" s="43">
        <v>45800.48095689814</v>
      </c>
      <c r="B1750" s="1" t="s">
        <v>90</v>
      </c>
      <c r="D1750" s="1" t="s">
        <v>126</v>
      </c>
      <c r="E1750" s="1" t="s">
        <v>137</v>
      </c>
      <c r="F1750" s="1" t="s">
        <v>155</v>
      </c>
    </row>
    <row r="1751">
      <c r="A1751" s="43">
        <v>45800.885475787036</v>
      </c>
      <c r="B1751" s="1" t="s">
        <v>1</v>
      </c>
      <c r="C1751" s="1" t="s">
        <v>91</v>
      </c>
      <c r="D1751" s="1" t="s">
        <v>118</v>
      </c>
      <c r="F1751" s="1" t="s">
        <v>151</v>
      </c>
      <c r="G1751" s="1" t="s">
        <v>144</v>
      </c>
    </row>
    <row r="1752">
      <c r="A1752" s="43">
        <v>45800.88567497685</v>
      </c>
      <c r="B1752" s="1" t="s">
        <v>81</v>
      </c>
      <c r="C1752" s="1" t="s">
        <v>91</v>
      </c>
      <c r="D1752" s="1" t="s">
        <v>122</v>
      </c>
      <c r="F1752" s="1" t="s">
        <v>150</v>
      </c>
    </row>
    <row r="1753">
      <c r="A1753" s="43">
        <v>45802.40276916667</v>
      </c>
      <c r="B1753" s="1" t="s">
        <v>0</v>
      </c>
      <c r="C1753" s="1" t="s">
        <v>92</v>
      </c>
      <c r="D1753" s="1" t="s">
        <v>115</v>
      </c>
      <c r="F1753" s="1" t="s">
        <v>151</v>
      </c>
      <c r="G1753" s="1" t="s">
        <v>144</v>
      </c>
    </row>
    <row r="1754">
      <c r="A1754" s="43">
        <v>45803.425901145834</v>
      </c>
      <c r="B1754" s="1" t="s">
        <v>0</v>
      </c>
      <c r="C1754" s="1" t="s">
        <v>92</v>
      </c>
      <c r="D1754" s="1" t="s">
        <v>115</v>
      </c>
      <c r="F1754" s="1" t="s">
        <v>151</v>
      </c>
    </row>
    <row r="1755">
      <c r="A1755" s="43">
        <v>45804.35489984954</v>
      </c>
      <c r="B1755" s="1" t="s">
        <v>0</v>
      </c>
      <c r="C1755" s="1" t="s">
        <v>92</v>
      </c>
      <c r="D1755" s="1" t="s">
        <v>111</v>
      </c>
      <c r="F1755" s="1" t="s">
        <v>151</v>
      </c>
      <c r="G1755" s="1" t="s">
        <v>140</v>
      </c>
    </row>
    <row r="1756">
      <c r="A1756" s="43">
        <v>45805.41830372685</v>
      </c>
      <c r="B1756" s="1" t="s">
        <v>1</v>
      </c>
      <c r="C1756" s="1" t="s">
        <v>92</v>
      </c>
      <c r="D1756" s="1" t="s">
        <v>154</v>
      </c>
    </row>
    <row r="1757">
      <c r="A1757" s="43">
        <v>45805.41843452546</v>
      </c>
      <c r="C1757" s="1" t="s">
        <v>2</v>
      </c>
      <c r="D1757" s="1" t="s">
        <v>123</v>
      </c>
    </row>
    <row r="1758">
      <c r="A1758" s="43">
        <v>45806.441175300926</v>
      </c>
      <c r="B1758" s="1" t="s">
        <v>1</v>
      </c>
      <c r="C1758" s="1" t="s">
        <v>92</v>
      </c>
      <c r="D1758" s="1" t="s">
        <v>154</v>
      </c>
      <c r="F1758" s="1" t="s">
        <v>151</v>
      </c>
      <c r="G1758" s="1" t="s">
        <v>140</v>
      </c>
    </row>
    <row r="1759">
      <c r="A1759" s="43">
        <v>45807.48347608796</v>
      </c>
      <c r="B1759" s="1" t="s">
        <v>84</v>
      </c>
      <c r="C1759" s="1" t="s">
        <v>91</v>
      </c>
      <c r="D1759" s="1" t="s">
        <v>154</v>
      </c>
    </row>
    <row r="1760">
      <c r="A1760" s="43">
        <v>45808.48673334491</v>
      </c>
      <c r="B1760" s="44" t="s">
        <v>87</v>
      </c>
      <c r="C1760" s="1" t="s">
        <v>92</v>
      </c>
      <c r="D1760" s="1" t="s">
        <v>125</v>
      </c>
      <c r="F1760" s="1" t="s">
        <v>151</v>
      </c>
    </row>
    <row r="1761">
      <c r="A1761" s="43">
        <v>45809.462124432874</v>
      </c>
      <c r="B1761" s="44" t="s">
        <v>87</v>
      </c>
      <c r="C1761" s="1" t="s">
        <v>92</v>
      </c>
    </row>
    <row r="1762">
      <c r="A1762" s="43">
        <v>45809.70532569445</v>
      </c>
      <c r="D1762" s="1" t="s">
        <v>117</v>
      </c>
      <c r="F1762" s="1" t="s">
        <v>151</v>
      </c>
    </row>
    <row r="1763">
      <c r="A1763" s="43">
        <v>45810.37117414352</v>
      </c>
      <c r="B1763" s="1" t="s">
        <v>84</v>
      </c>
      <c r="C1763" s="1" t="s">
        <v>92</v>
      </c>
      <c r="D1763" s="1" t="s">
        <v>117</v>
      </c>
      <c r="F1763" s="1" t="s">
        <v>151</v>
      </c>
    </row>
    <row r="1764">
      <c r="A1764" s="43">
        <v>45810.671935833336</v>
      </c>
      <c r="C1764" s="1" t="s">
        <v>2</v>
      </c>
      <c r="D1764" s="1" t="s">
        <v>123</v>
      </c>
    </row>
    <row r="1765">
      <c r="A1765" s="43">
        <v>45811.43027523148</v>
      </c>
      <c r="B1765" s="1" t="s">
        <v>84</v>
      </c>
      <c r="C1765" s="1" t="s">
        <v>91</v>
      </c>
      <c r="D1765" s="1" t="s">
        <v>154</v>
      </c>
    </row>
    <row r="1766">
      <c r="A1766" s="43">
        <v>45811.54363289352</v>
      </c>
      <c r="F1766" s="1" t="s">
        <v>151</v>
      </c>
    </row>
    <row r="1767">
      <c r="A1767" s="43">
        <v>45812.52519166667</v>
      </c>
      <c r="B1767" s="1" t="s">
        <v>1</v>
      </c>
      <c r="C1767" s="1" t="s">
        <v>91</v>
      </c>
      <c r="D1767" s="1" t="s">
        <v>116</v>
      </c>
    </row>
    <row r="1768">
      <c r="A1768" s="43">
        <v>45813.379382569445</v>
      </c>
      <c r="B1768" s="1" t="s">
        <v>1</v>
      </c>
      <c r="C1768" s="1" t="s">
        <v>91</v>
      </c>
      <c r="D1768" s="1" t="s">
        <v>116</v>
      </c>
      <c r="F1768" s="1" t="s">
        <v>151</v>
      </c>
    </row>
    <row r="1769">
      <c r="A1769" s="43">
        <v>45813.44290121528</v>
      </c>
      <c r="D1769" s="1" t="s">
        <v>154</v>
      </c>
    </row>
    <row r="1770">
      <c r="A1770" s="43">
        <v>45813.49523528935</v>
      </c>
      <c r="G1770" s="1" t="s">
        <v>144</v>
      </c>
    </row>
    <row r="1771">
      <c r="A1771" s="43">
        <v>45814.4532230787</v>
      </c>
      <c r="B1771" s="1" t="s">
        <v>90</v>
      </c>
      <c r="D1771" s="1" t="s">
        <v>126</v>
      </c>
      <c r="E1771" s="1" t="s">
        <v>137</v>
      </c>
      <c r="F1771" s="1" t="s">
        <v>155</v>
      </c>
    </row>
    <row r="1772">
      <c r="A1772" s="43">
        <v>45815.46589923611</v>
      </c>
      <c r="B1772" s="1" t="s">
        <v>1</v>
      </c>
      <c r="C1772" s="1" t="s">
        <v>92</v>
      </c>
      <c r="D1772" s="1" t="s">
        <v>154</v>
      </c>
    </row>
    <row r="1773">
      <c r="A1773" s="43">
        <v>45815.5037312037</v>
      </c>
      <c r="B1773" s="1" t="s">
        <v>83</v>
      </c>
      <c r="C1773" s="1" t="s">
        <v>91</v>
      </c>
      <c r="D1773" s="1" t="s">
        <v>114</v>
      </c>
      <c r="F1773" s="1" t="s">
        <v>151</v>
      </c>
      <c r="G1773" s="1" t="s">
        <v>142</v>
      </c>
    </row>
    <row r="1774">
      <c r="A1774" s="43">
        <v>45816.489909421296</v>
      </c>
      <c r="B1774" s="1" t="s">
        <v>83</v>
      </c>
      <c r="C1774" s="1" t="s">
        <v>91</v>
      </c>
      <c r="D1774" s="1" t="s">
        <v>114</v>
      </c>
      <c r="F1774" s="1" t="s">
        <v>151</v>
      </c>
      <c r="G1774" s="1" t="s">
        <v>142</v>
      </c>
    </row>
    <row r="1775">
      <c r="A1775" s="43">
        <v>45817.41700621528</v>
      </c>
      <c r="B1775" s="1" t="s">
        <v>83</v>
      </c>
      <c r="C1775" s="1" t="s">
        <v>91</v>
      </c>
      <c r="D1775" s="1" t="s">
        <v>114</v>
      </c>
      <c r="F1775" s="1" t="s">
        <v>151</v>
      </c>
    </row>
    <row r="1776">
      <c r="A1776" s="43">
        <v>45818.390950497684</v>
      </c>
      <c r="C1776" s="1" t="s">
        <v>93</v>
      </c>
      <c r="F1776" s="1" t="s">
        <v>153</v>
      </c>
    </row>
    <row r="1777">
      <c r="A1777" s="43">
        <v>45818.4560808449</v>
      </c>
      <c r="B1777" s="1" t="s">
        <v>77</v>
      </c>
      <c r="D1777" s="1" t="s">
        <v>121</v>
      </c>
    </row>
    <row r="1778">
      <c r="A1778" s="43">
        <v>45819.42604826389</v>
      </c>
      <c r="B1778" s="1" t="s">
        <v>77</v>
      </c>
      <c r="D1778" s="1" t="s">
        <v>121</v>
      </c>
    </row>
    <row r="1779">
      <c r="A1779" s="43">
        <v>45820.46831790509</v>
      </c>
      <c r="B1779" s="1" t="s">
        <v>85</v>
      </c>
      <c r="C1779" s="1" t="s">
        <v>95</v>
      </c>
      <c r="F1779" s="1" t="s">
        <v>151</v>
      </c>
    </row>
    <row r="1780">
      <c r="A1780" s="43">
        <v>45821.7264034838</v>
      </c>
      <c r="C1780" s="1" t="s">
        <v>2</v>
      </c>
      <c r="F1780" s="1" t="s">
        <v>153</v>
      </c>
    </row>
    <row r="1781">
      <c r="A1781" s="43">
        <v>45821.9721937037</v>
      </c>
      <c r="B1781" s="1" t="s">
        <v>89</v>
      </c>
      <c r="C1781" s="1" t="s">
        <v>3</v>
      </c>
      <c r="E1781" s="1" t="s">
        <v>128</v>
      </c>
      <c r="F1781" s="1" t="s">
        <v>151</v>
      </c>
    </row>
    <row r="1782">
      <c r="A1782" s="43">
        <v>45821.97231172454</v>
      </c>
      <c r="B1782" s="1" t="s">
        <v>88</v>
      </c>
    </row>
    <row r="1783">
      <c r="A1783" s="43">
        <v>45823.57362391204</v>
      </c>
      <c r="B1783" s="1" t="s">
        <v>88</v>
      </c>
      <c r="C1783" s="1" t="s">
        <v>3</v>
      </c>
      <c r="F1783" s="1" t="s">
        <v>156</v>
      </c>
    </row>
    <row r="1784">
      <c r="A1784" s="43">
        <v>45824.43332709491</v>
      </c>
      <c r="B1784" s="1" t="s">
        <v>89</v>
      </c>
      <c r="C1784" s="1" t="s">
        <v>95</v>
      </c>
      <c r="F1784" s="1" t="s">
        <v>151</v>
      </c>
    </row>
    <row r="1785">
      <c r="A1785" s="43">
        <v>45825.525141226855</v>
      </c>
      <c r="B1785" s="1" t="s">
        <v>80</v>
      </c>
      <c r="C1785" s="1" t="s">
        <v>96</v>
      </c>
      <c r="F1785" s="1" t="s">
        <v>151</v>
      </c>
    </row>
    <row r="1786">
      <c r="A1786" s="43">
        <v>45826.42034585648</v>
      </c>
      <c r="B1786" s="1" t="s">
        <v>80</v>
      </c>
      <c r="C1786" s="1" t="s">
        <v>96</v>
      </c>
      <c r="F1786" s="1" t="s">
        <v>151</v>
      </c>
    </row>
    <row r="1787">
      <c r="A1787" s="43">
        <v>45827.47839528935</v>
      </c>
      <c r="B1787" s="1" t="s">
        <v>85</v>
      </c>
      <c r="C1787" s="1" t="s">
        <v>94</v>
      </c>
      <c r="F1787" s="1" t="s">
        <v>151</v>
      </c>
    </row>
    <row r="1788">
      <c r="A1788" s="43">
        <v>45827.59460574074</v>
      </c>
      <c r="C1788" s="1" t="s">
        <v>2</v>
      </c>
    </row>
    <row r="1789">
      <c r="A1789" s="43">
        <v>45828.377981446756</v>
      </c>
      <c r="B1789" s="1" t="s">
        <v>85</v>
      </c>
      <c r="C1789" s="1" t="s">
        <v>94</v>
      </c>
      <c r="F1789" s="1" t="s">
        <v>151</v>
      </c>
    </row>
    <row r="1790">
      <c r="A1790" s="43">
        <v>45829.42185731481</v>
      </c>
      <c r="C1790" s="1" t="s">
        <v>2</v>
      </c>
    </row>
    <row r="1791">
      <c r="A1791" s="43">
        <v>45830.469544340274</v>
      </c>
      <c r="B1791" s="1" t="s">
        <v>89</v>
      </c>
      <c r="C1791" s="1" t="s">
        <v>4</v>
      </c>
      <c r="F1791" s="1" t="s">
        <v>151</v>
      </c>
    </row>
    <row r="1792">
      <c r="A1792" s="43">
        <v>45830.46963451389</v>
      </c>
      <c r="B1792" s="1" t="s">
        <v>89</v>
      </c>
      <c r="C1792" s="1" t="s">
        <v>92</v>
      </c>
    </row>
    <row r="1793">
      <c r="A1793" s="43">
        <v>45830.570363067134</v>
      </c>
      <c r="D1793" s="1" t="s">
        <v>121</v>
      </c>
    </row>
    <row r="1794">
      <c r="A1794" s="43">
        <v>45831.45313783565</v>
      </c>
      <c r="B1794" s="1" t="s">
        <v>89</v>
      </c>
      <c r="C1794" s="1" t="s">
        <v>92</v>
      </c>
      <c r="D1794" s="1" t="s">
        <v>154</v>
      </c>
      <c r="F1794" s="1" t="s">
        <v>151</v>
      </c>
    </row>
    <row r="1795">
      <c r="A1795" s="43">
        <v>45832.43359862269</v>
      </c>
      <c r="B1795" s="1" t="s">
        <v>77</v>
      </c>
      <c r="C1795" s="1" t="s">
        <v>92</v>
      </c>
      <c r="D1795" s="1" t="s">
        <v>107</v>
      </c>
      <c r="F1795" s="1" t="s">
        <v>151</v>
      </c>
    </row>
    <row r="1796">
      <c r="A1796" s="43">
        <v>45833.492687962964</v>
      </c>
      <c r="B1796" s="1" t="s">
        <v>77</v>
      </c>
      <c r="C1796" s="1" t="s">
        <v>92</v>
      </c>
      <c r="D1796" s="1" t="s">
        <v>107</v>
      </c>
      <c r="F1796" s="1" t="s">
        <v>151</v>
      </c>
    </row>
    <row r="1797">
      <c r="A1797" s="43">
        <v>45834.427138645835</v>
      </c>
      <c r="B1797" s="1" t="s">
        <v>80</v>
      </c>
      <c r="C1797" s="1" t="s">
        <v>96</v>
      </c>
    </row>
    <row r="1798">
      <c r="A1798" s="43">
        <v>45834.712043506945</v>
      </c>
      <c r="F1798" s="1" t="s">
        <v>151</v>
      </c>
      <c r="G1798" s="1" t="s">
        <v>144</v>
      </c>
    </row>
    <row r="1799">
      <c r="A1799" s="43">
        <v>45834.757838715275</v>
      </c>
      <c r="F1799" s="1" t="s">
        <v>151</v>
      </c>
      <c r="G1799" s="1" t="s">
        <v>144</v>
      </c>
    </row>
    <row r="1800">
      <c r="A1800" s="43">
        <v>45835.69084811343</v>
      </c>
      <c r="B1800" s="1" t="s">
        <v>90</v>
      </c>
      <c r="E1800" s="1" t="s">
        <v>137</v>
      </c>
      <c r="F1800" s="1" t="s">
        <v>155</v>
      </c>
      <c r="G1800" s="1" t="s">
        <v>144</v>
      </c>
    </row>
    <row r="1801">
      <c r="A1801" s="43">
        <v>45835.69163555556</v>
      </c>
      <c r="B1801" s="1" t="s">
        <v>80</v>
      </c>
      <c r="C1801" s="1" t="s">
        <v>96</v>
      </c>
      <c r="F1801" s="1" t="s">
        <v>151</v>
      </c>
      <c r="G1801" s="1" t="s">
        <v>142</v>
      </c>
    </row>
    <row r="1802">
      <c r="A1802" s="43">
        <v>45836.45873680555</v>
      </c>
      <c r="B1802" s="1" t="s">
        <v>0</v>
      </c>
      <c r="C1802" s="1" t="s">
        <v>95</v>
      </c>
    </row>
    <row r="1803">
      <c r="A1803" s="43">
        <v>45836.61356297454</v>
      </c>
      <c r="F1803" s="1" t="s">
        <v>151</v>
      </c>
    </row>
    <row r="1804">
      <c r="A1804" s="43">
        <v>45837.534192465275</v>
      </c>
      <c r="B1804" s="1" t="s">
        <v>0</v>
      </c>
      <c r="C1804" s="1" t="s">
        <v>3</v>
      </c>
      <c r="F1804" s="1" t="s">
        <v>151</v>
      </c>
    </row>
    <row r="1805">
      <c r="A1805" s="43">
        <v>45837.62320444445</v>
      </c>
      <c r="D1805" s="1" t="s">
        <v>121</v>
      </c>
    </row>
    <row r="1806">
      <c r="A1806" s="43">
        <v>45838.35830248843</v>
      </c>
      <c r="B1806" s="1" t="s">
        <v>0</v>
      </c>
      <c r="C1806" s="1" t="s">
        <v>157</v>
      </c>
      <c r="F1806" s="1" t="s">
        <v>151</v>
      </c>
    </row>
    <row r="1807">
      <c r="A1807" s="43">
        <v>45840.446350405095</v>
      </c>
      <c r="B1807" s="1" t="s">
        <v>159</v>
      </c>
      <c r="C1807" s="1" t="s">
        <v>157</v>
      </c>
      <c r="F1807" s="1" t="s">
        <v>151</v>
      </c>
    </row>
    <row r="1808">
      <c r="A1808" s="43">
        <v>45840.446796979166</v>
      </c>
      <c r="B1808" s="1" t="s">
        <v>159</v>
      </c>
      <c r="C1808" s="1" t="s">
        <v>160</v>
      </c>
    </row>
    <row r="1809">
      <c r="A1809" s="43">
        <v>45840.44690064815</v>
      </c>
      <c r="C1809" s="1" t="s">
        <v>93</v>
      </c>
    </row>
    <row r="1810">
      <c r="A1810" s="43">
        <v>45840.446971412035</v>
      </c>
      <c r="C1810" s="1" t="s">
        <v>4</v>
      </c>
    </row>
    <row r="1811">
      <c r="A1811" s="43">
        <v>45840.73490302083</v>
      </c>
      <c r="B1811" s="1" t="s">
        <v>77</v>
      </c>
      <c r="E1811" s="1" t="s">
        <v>130</v>
      </c>
      <c r="F1811" s="1" t="s">
        <v>151</v>
      </c>
    </row>
    <row r="1812">
      <c r="A1812" s="43">
        <v>45841.55312131945</v>
      </c>
      <c r="B1812" s="1" t="s">
        <v>77</v>
      </c>
      <c r="E1812" s="1" t="s">
        <v>130</v>
      </c>
      <c r="F1812" s="1" t="s">
        <v>151</v>
      </c>
    </row>
    <row r="1813">
      <c r="A1813" s="43">
        <v>45841.712619791666</v>
      </c>
      <c r="B1813" s="1" t="s">
        <v>84</v>
      </c>
      <c r="C1813" s="1" t="s">
        <v>157</v>
      </c>
      <c r="D1813" s="1" t="s">
        <v>154</v>
      </c>
    </row>
    <row r="1814">
      <c r="A1814" s="43">
        <v>45842.463084143514</v>
      </c>
      <c r="B1814" s="1" t="s">
        <v>84</v>
      </c>
      <c r="C1814" s="1" t="s">
        <v>157</v>
      </c>
      <c r="D1814" s="1" t="s">
        <v>154</v>
      </c>
      <c r="F1814" s="1" t="s">
        <v>151</v>
      </c>
    </row>
    <row r="1815">
      <c r="A1815" s="43">
        <v>45843.68622508102</v>
      </c>
      <c r="B1815" s="1" t="s">
        <v>84</v>
      </c>
      <c r="C1815" s="1" t="s">
        <v>157</v>
      </c>
      <c r="D1815" s="1" t="s">
        <v>154</v>
      </c>
      <c r="F1815" s="1" t="s">
        <v>151</v>
      </c>
    </row>
    <row r="1816">
      <c r="A1816" s="43">
        <v>45843.68655052083</v>
      </c>
      <c r="C1816" s="1" t="s">
        <v>161</v>
      </c>
    </row>
    <row r="1817">
      <c r="A1817" s="43">
        <v>45844.45153144676</v>
      </c>
      <c r="B1817" s="1" t="s">
        <v>88</v>
      </c>
      <c r="C1817" s="1" t="s">
        <v>161</v>
      </c>
      <c r="F1817" s="1" t="s">
        <v>151</v>
      </c>
    </row>
    <row r="1818">
      <c r="A1818" s="43">
        <v>45845.70512454861</v>
      </c>
      <c r="B1818" s="1" t="s">
        <v>159</v>
      </c>
      <c r="C1818" s="1" t="s">
        <v>161</v>
      </c>
      <c r="D1818" s="1" t="s">
        <v>116</v>
      </c>
      <c r="F1818" s="1" t="s">
        <v>151</v>
      </c>
    </row>
    <row r="1819">
      <c r="A1819" s="43">
        <v>45846.47653248842</v>
      </c>
      <c r="B1819" s="1" t="s">
        <v>159</v>
      </c>
      <c r="C1819" s="1" t="s">
        <v>161</v>
      </c>
    </row>
    <row r="1820">
      <c r="A1820" s="43">
        <v>45847.45076137732</v>
      </c>
      <c r="B1820" s="44" t="s">
        <v>87</v>
      </c>
      <c r="F1820" s="1" t="s">
        <v>151</v>
      </c>
    </row>
    <row r="1821">
      <c r="A1821" s="43">
        <v>45847.45091017361</v>
      </c>
      <c r="B1821" s="1" t="s">
        <v>159</v>
      </c>
      <c r="C1821" s="1" t="s">
        <v>94</v>
      </c>
      <c r="F1821" s="1" t="s">
        <v>151</v>
      </c>
    </row>
    <row r="1822">
      <c r="A1822" s="43">
        <v>45848.46355356481</v>
      </c>
      <c r="B1822" s="1" t="s">
        <v>159</v>
      </c>
      <c r="C1822" s="1" t="s">
        <v>160</v>
      </c>
      <c r="D1822" s="1" t="s">
        <v>116</v>
      </c>
      <c r="F1822" s="1" t="s">
        <v>151</v>
      </c>
    </row>
    <row r="1823">
      <c r="A1823" s="43">
        <v>45849.41155554398</v>
      </c>
      <c r="B1823" s="1" t="s">
        <v>88</v>
      </c>
      <c r="C1823" s="1" t="s">
        <v>3</v>
      </c>
      <c r="F1823" s="1" t="s">
        <v>151</v>
      </c>
    </row>
    <row r="1824">
      <c r="A1824" s="43">
        <v>45849.787283495374</v>
      </c>
      <c r="B1824" s="1" t="s">
        <v>85</v>
      </c>
    </row>
    <row r="1825">
      <c r="A1825" s="43">
        <v>45855.597224074074</v>
      </c>
      <c r="C1825" s="1" t="s">
        <v>2</v>
      </c>
      <c r="F1825" s="1" t="s">
        <v>156</v>
      </c>
    </row>
    <row r="1826">
      <c r="A1826" s="43">
        <v>45855.597337430554</v>
      </c>
      <c r="C1826" s="1" t="s">
        <v>2</v>
      </c>
      <c r="F1826" s="1" t="s">
        <v>156</v>
      </c>
    </row>
    <row r="1827">
      <c r="A1827" s="43">
        <v>45855.59752496528</v>
      </c>
      <c r="C1827" s="1" t="s">
        <v>92</v>
      </c>
      <c r="D1827" s="1" t="s">
        <v>113</v>
      </c>
      <c r="F1827" s="1" t="s">
        <v>156</v>
      </c>
    </row>
    <row r="1828">
      <c r="A1828" s="43">
        <v>45855.59775621528</v>
      </c>
      <c r="C1828" s="1" t="s">
        <v>2</v>
      </c>
      <c r="F1828" s="1" t="s">
        <v>156</v>
      </c>
    </row>
    <row r="1829">
      <c r="A1829" s="43">
        <v>45856.88757375</v>
      </c>
      <c r="C1829" s="1" t="s">
        <v>2</v>
      </c>
      <c r="D1829" s="1" t="s">
        <v>113</v>
      </c>
      <c r="F1829" s="1" t="s">
        <v>156</v>
      </c>
    </row>
    <row r="1830">
      <c r="A1830" s="43">
        <v>45857.48675322917</v>
      </c>
      <c r="C1830" s="1" t="s">
        <v>2</v>
      </c>
      <c r="D1830" s="1" t="s">
        <v>113</v>
      </c>
      <c r="F1830" s="1" t="s">
        <v>156</v>
      </c>
    </row>
    <row r="1831">
      <c r="A1831" s="43">
        <v>45857.53590592592</v>
      </c>
      <c r="B1831" s="1" t="s">
        <v>88</v>
      </c>
    </row>
    <row r="1832">
      <c r="A1832" s="43">
        <v>45858.56789399305</v>
      </c>
      <c r="C1832" s="1" t="s">
        <v>2</v>
      </c>
      <c r="F1832" s="1" t="s">
        <v>156</v>
      </c>
    </row>
    <row r="1833">
      <c r="A1833" s="43">
        <v>45859.661762766205</v>
      </c>
      <c r="C1833" s="1" t="s">
        <v>2</v>
      </c>
      <c r="F1833" s="1" t="s">
        <v>156</v>
      </c>
    </row>
    <row r="1834">
      <c r="A1834" s="43">
        <v>45860.47893211806</v>
      </c>
      <c r="C1834" s="1" t="s">
        <v>2</v>
      </c>
      <c r="D1834" s="1" t="s">
        <v>113</v>
      </c>
      <c r="F1834" s="1" t="s">
        <v>156</v>
      </c>
    </row>
    <row r="1835">
      <c r="A1835" s="43">
        <v>45861.57956627315</v>
      </c>
      <c r="C1835" s="1" t="s">
        <v>2</v>
      </c>
      <c r="F1835" s="1" t="s">
        <v>156</v>
      </c>
    </row>
    <row r="1836">
      <c r="A1836" s="43">
        <v>45862.58587481482</v>
      </c>
      <c r="C1836" s="1" t="s">
        <v>2</v>
      </c>
      <c r="F1836" s="1" t="s">
        <v>156</v>
      </c>
    </row>
    <row r="1837">
      <c r="A1837" s="43">
        <v>45863.83460631945</v>
      </c>
      <c r="C1837" s="1" t="s">
        <v>2</v>
      </c>
      <c r="F1837" s="1" t="s">
        <v>156</v>
      </c>
    </row>
    <row r="1838">
      <c r="A1838" s="43">
        <v>45864.56855364583</v>
      </c>
      <c r="C1838" s="1" t="s">
        <v>92</v>
      </c>
      <c r="F1838" s="1" t="s">
        <v>156</v>
      </c>
    </row>
    <row r="1839">
      <c r="A1839" s="43">
        <v>45865.71606607639</v>
      </c>
      <c r="B1839" s="44" t="s">
        <v>87</v>
      </c>
      <c r="C1839" s="1" t="s">
        <v>91</v>
      </c>
      <c r="F1839" s="1" t="s">
        <v>151</v>
      </c>
    </row>
    <row r="1840">
      <c r="A1840" s="43">
        <v>45865.71794434028</v>
      </c>
      <c r="C1840" s="1" t="s">
        <v>92</v>
      </c>
      <c r="F1840" s="1" t="s">
        <v>156</v>
      </c>
    </row>
    <row r="1841">
      <c r="A1841" s="43">
        <v>45866.40502586805</v>
      </c>
      <c r="B1841" s="1" t="s">
        <v>0</v>
      </c>
      <c r="C1841" s="1" t="s">
        <v>91</v>
      </c>
      <c r="D1841" s="1" t="s">
        <v>111</v>
      </c>
      <c r="F1841" s="1" t="s">
        <v>151</v>
      </c>
    </row>
    <row r="1842">
      <c r="A1842" s="43">
        <v>45867.46721336806</v>
      </c>
      <c r="C1842" s="1" t="s">
        <v>2</v>
      </c>
    </row>
    <row r="1843">
      <c r="A1843" s="43">
        <v>45867.550409814816</v>
      </c>
      <c r="B1843" s="1" t="s">
        <v>0</v>
      </c>
      <c r="C1843" s="1" t="s">
        <v>92</v>
      </c>
      <c r="F1843" s="1" t="s">
        <v>151</v>
      </c>
    </row>
    <row r="1844">
      <c r="A1844" s="43">
        <v>45868.4875378588</v>
      </c>
      <c r="B1844" s="1" t="s">
        <v>0</v>
      </c>
      <c r="C1844" s="1" t="s">
        <v>92</v>
      </c>
      <c r="D1844" s="1" t="s">
        <v>111</v>
      </c>
      <c r="F1844" s="1" t="s">
        <v>151</v>
      </c>
      <c r="G1844" s="1" t="s">
        <v>142</v>
      </c>
    </row>
    <row r="1845">
      <c r="A1845" s="43">
        <v>45868.48774626157</v>
      </c>
      <c r="B1845" s="1" t="s">
        <v>0</v>
      </c>
      <c r="C1845" s="1" t="s">
        <v>92</v>
      </c>
      <c r="F1845" s="1" t="s">
        <v>151</v>
      </c>
    </row>
    <row r="1846">
      <c r="A1846" s="43">
        <v>45868.51961516203</v>
      </c>
      <c r="D1846" s="1" t="s">
        <v>154</v>
      </c>
      <c r="G1846" s="1" t="s">
        <v>144</v>
      </c>
    </row>
    <row r="1847">
      <c r="A1847" s="43">
        <v>45868.6521500463</v>
      </c>
      <c r="G1847" s="1" t="s">
        <v>144</v>
      </c>
    </row>
    <row r="1848">
      <c r="A1848" s="43">
        <v>45868.65224484954</v>
      </c>
      <c r="C1848" s="1" t="s">
        <v>91</v>
      </c>
    </row>
    <row r="1849">
      <c r="A1849" s="43">
        <v>45869.50500457176</v>
      </c>
      <c r="B1849" s="1" t="s">
        <v>0</v>
      </c>
      <c r="C1849" s="1" t="s">
        <v>91</v>
      </c>
    </row>
    <row r="1850">
      <c r="A1850" s="43">
        <v>45870.82748136574</v>
      </c>
      <c r="B1850" s="1" t="s">
        <v>0</v>
      </c>
      <c r="C1850" s="1" t="s">
        <v>91</v>
      </c>
      <c r="F1850" s="1" t="s">
        <v>151</v>
      </c>
      <c r="G1850" s="1" t="s">
        <v>144</v>
      </c>
    </row>
    <row r="1851">
      <c r="A1851" s="43">
        <v>45870.90844471064</v>
      </c>
      <c r="C1851" s="1" t="s">
        <v>161</v>
      </c>
    </row>
    <row r="1852">
      <c r="A1852" s="43">
        <v>45871.65360737269</v>
      </c>
      <c r="B1852" s="1" t="s">
        <v>1</v>
      </c>
      <c r="C1852" s="1" t="s">
        <v>161</v>
      </c>
      <c r="F1852" s="1" t="s">
        <v>151</v>
      </c>
      <c r="G1852" s="1" t="s">
        <v>144</v>
      </c>
    </row>
    <row r="1853">
      <c r="A1853" s="43">
        <v>45872.45683314815</v>
      </c>
      <c r="D1853" s="1" t="s">
        <v>116</v>
      </c>
    </row>
    <row r="1854">
      <c r="A1854" s="43">
        <v>45872.531783541664</v>
      </c>
      <c r="B1854" s="1" t="s">
        <v>1</v>
      </c>
      <c r="C1854" s="1" t="s">
        <v>157</v>
      </c>
      <c r="D1854" s="1" t="s">
        <v>116</v>
      </c>
      <c r="F1854" s="1" t="s">
        <v>151</v>
      </c>
      <c r="G1854" s="1" t="s">
        <v>144</v>
      </c>
    </row>
    <row r="1855">
      <c r="A1855" s="43">
        <v>45872.83333230324</v>
      </c>
      <c r="D1855" s="1" t="s">
        <v>154</v>
      </c>
    </row>
    <row r="1856">
      <c r="A1856" s="43">
        <v>45873.43531878472</v>
      </c>
      <c r="B1856" s="44" t="s">
        <v>87</v>
      </c>
      <c r="C1856" s="1" t="s">
        <v>157</v>
      </c>
    </row>
    <row r="1857">
      <c r="A1857" s="43">
        <v>45874.72632530093</v>
      </c>
      <c r="B1857" s="1" t="s">
        <v>1</v>
      </c>
      <c r="C1857" s="1" t="s">
        <v>92</v>
      </c>
      <c r="D1857" s="1" t="s">
        <v>117</v>
      </c>
      <c r="F1857" s="1" t="s">
        <v>151</v>
      </c>
    </row>
    <row r="1858">
      <c r="A1858" s="43">
        <v>45876.471261307874</v>
      </c>
      <c r="B1858" s="1" t="s">
        <v>1</v>
      </c>
      <c r="C1858" s="1" t="s">
        <v>92</v>
      </c>
      <c r="D1858" s="1" t="s">
        <v>116</v>
      </c>
      <c r="F1858" s="1" t="s">
        <v>151</v>
      </c>
      <c r="G1858" s="1" t="s">
        <v>144</v>
      </c>
    </row>
    <row r="1859">
      <c r="A1859" s="43">
        <v>45876.6387430787</v>
      </c>
      <c r="B1859" s="1" t="s">
        <v>77</v>
      </c>
      <c r="D1859" s="1" t="s">
        <v>117</v>
      </c>
      <c r="F1859" s="1" t="s">
        <v>147</v>
      </c>
    </row>
    <row r="1860">
      <c r="A1860" s="43">
        <v>45877.51979211805</v>
      </c>
      <c r="B1860" s="1" t="s">
        <v>77</v>
      </c>
      <c r="C1860" s="1" t="s">
        <v>92</v>
      </c>
      <c r="D1860" s="1" t="s">
        <v>117</v>
      </c>
      <c r="F1860" s="1" t="s">
        <v>147</v>
      </c>
      <c r="G1860" s="1" t="s">
        <v>144</v>
      </c>
    </row>
    <row r="1861">
      <c r="A1861" s="43">
        <v>45878.57406372685</v>
      </c>
      <c r="B1861" s="1" t="s">
        <v>89</v>
      </c>
      <c r="E1861" s="1" t="s">
        <v>128</v>
      </c>
      <c r="F1861" s="1" t="s">
        <v>151</v>
      </c>
    </row>
    <row r="1862">
      <c r="A1862" s="43">
        <v>45879.510929826385</v>
      </c>
      <c r="B1862" s="1" t="s">
        <v>89</v>
      </c>
      <c r="E1862" s="1" t="s">
        <v>128</v>
      </c>
      <c r="F1862" s="1" t="s">
        <v>151</v>
      </c>
    </row>
    <row r="1863">
      <c r="A1863" s="43">
        <v>45880.58551820602</v>
      </c>
      <c r="B1863" s="1" t="s">
        <v>159</v>
      </c>
      <c r="C1863" s="1" t="s">
        <v>95</v>
      </c>
      <c r="F1863" s="1" t="s">
        <v>151</v>
      </c>
    </row>
    <row r="1864">
      <c r="A1864" s="43">
        <v>45881.42438628472</v>
      </c>
      <c r="B1864" s="1" t="s">
        <v>159</v>
      </c>
      <c r="C1864" s="1" t="s">
        <v>95</v>
      </c>
    </row>
    <row r="1865">
      <c r="A1865" s="43">
        <v>45881.5363405324</v>
      </c>
      <c r="B1865" s="1" t="s">
        <v>167</v>
      </c>
    </row>
    <row r="1866">
      <c r="A1866" s="43">
        <v>45881.53642013889</v>
      </c>
      <c r="B1866" s="1" t="s">
        <v>167</v>
      </c>
      <c r="F1866" s="1" t="s">
        <v>162</v>
      </c>
    </row>
    <row r="1867">
      <c r="A1867" s="43">
        <v>45881.53648944444</v>
      </c>
      <c r="B1867" s="1" t="s">
        <v>167</v>
      </c>
      <c r="F1867" s="1" t="s">
        <v>162</v>
      </c>
    </row>
    <row r="1868">
      <c r="A1868" s="43">
        <v>45881.53656163195</v>
      </c>
      <c r="B1868" s="1" t="s">
        <v>167</v>
      </c>
    </row>
    <row r="1869">
      <c r="A1869" s="43">
        <v>45881.53662460648</v>
      </c>
      <c r="B1869" s="1" t="s">
        <v>167</v>
      </c>
    </row>
    <row r="1870">
      <c r="A1870" s="43">
        <v>45881.53668858796</v>
      </c>
      <c r="B1870" s="1" t="s">
        <v>167</v>
      </c>
    </row>
    <row r="1871">
      <c r="A1871" s="43">
        <v>45881.53675863426</v>
      </c>
      <c r="B1871" s="1" t="s">
        <v>167</v>
      </c>
    </row>
    <row r="1872">
      <c r="A1872" s="43">
        <v>45881.536823877315</v>
      </c>
      <c r="B1872" s="1" t="s">
        <v>167</v>
      </c>
    </row>
    <row r="1873">
      <c r="A1873" s="43">
        <v>45881.53688315972</v>
      </c>
      <c r="B1873" s="1" t="s">
        <v>167</v>
      </c>
    </row>
    <row r="1874">
      <c r="A1874" s="43">
        <v>45881.536944374995</v>
      </c>
      <c r="B1874" s="1" t="s">
        <v>167</v>
      </c>
    </row>
    <row r="1875">
      <c r="A1875" s="43">
        <v>45881.53700658565</v>
      </c>
      <c r="B1875" s="1" t="s">
        <v>167</v>
      </c>
    </row>
    <row r="1876">
      <c r="A1876" s="43">
        <v>45881.53707685185</v>
      </c>
      <c r="B1876" s="1" t="s">
        <v>167</v>
      </c>
    </row>
    <row r="1877">
      <c r="A1877" s="43">
        <v>45881.53714128472</v>
      </c>
      <c r="B1877" s="1" t="s">
        <v>169</v>
      </c>
    </row>
    <row r="1878">
      <c r="A1878" s="43">
        <v>45881.537206967594</v>
      </c>
      <c r="B1878" s="1" t="s">
        <v>169</v>
      </c>
    </row>
    <row r="1879">
      <c r="A1879" s="43">
        <v>45881.53727905093</v>
      </c>
      <c r="B1879" s="1" t="s">
        <v>169</v>
      </c>
    </row>
    <row r="1880">
      <c r="A1880" s="43">
        <v>45881.537339780094</v>
      </c>
      <c r="B1880" s="1" t="s">
        <v>169</v>
      </c>
    </row>
    <row r="1881">
      <c r="A1881" s="43">
        <v>45881.53740811342</v>
      </c>
      <c r="B1881" s="1" t="s">
        <v>169</v>
      </c>
    </row>
    <row r="1882">
      <c r="A1882" s="43">
        <v>45881.53746998843</v>
      </c>
      <c r="B1882" s="1" t="s">
        <v>169</v>
      </c>
    </row>
    <row r="1883">
      <c r="A1883" s="43">
        <v>45881.53761597222</v>
      </c>
      <c r="B1883" s="1" t="s">
        <v>167</v>
      </c>
    </row>
    <row r="1884">
      <c r="A1884" s="43">
        <v>45881.53767572917</v>
      </c>
      <c r="B1884" s="1" t="s">
        <v>167</v>
      </c>
    </row>
    <row r="1885">
      <c r="A1885" s="43">
        <v>45881.53773603009</v>
      </c>
      <c r="B1885" s="1" t="s">
        <v>167</v>
      </c>
    </row>
    <row r="1886">
      <c r="A1886" s="43">
        <v>45881.53781733796</v>
      </c>
      <c r="B1886" s="1" t="s">
        <v>167</v>
      </c>
    </row>
    <row r="1887">
      <c r="A1887" s="43">
        <v>45881.537880868054</v>
      </c>
      <c r="B1887" s="1" t="s">
        <v>167</v>
      </c>
    </row>
    <row r="1888">
      <c r="A1888" s="43">
        <v>45881.53796630787</v>
      </c>
      <c r="B1888" s="1" t="s">
        <v>167</v>
      </c>
    </row>
    <row r="1889">
      <c r="A1889" s="43">
        <v>45881.5380299074</v>
      </c>
      <c r="B1889" s="1" t="s">
        <v>167</v>
      </c>
    </row>
    <row r="1890">
      <c r="A1890" s="43">
        <v>45881.53815104166</v>
      </c>
      <c r="B1890" s="1" t="s">
        <v>167</v>
      </c>
    </row>
    <row r="1891">
      <c r="A1891" s="43">
        <v>45881.538221724535</v>
      </c>
      <c r="B1891" s="1" t="s">
        <v>167</v>
      </c>
    </row>
    <row r="1892">
      <c r="A1892" s="43">
        <v>45881.538281817135</v>
      </c>
      <c r="B1892" s="1" t="s">
        <v>167</v>
      </c>
    </row>
    <row r="1893">
      <c r="A1893" s="43">
        <v>45881.538338495375</v>
      </c>
      <c r="B1893" s="1" t="s">
        <v>167</v>
      </c>
    </row>
    <row r="1894">
      <c r="A1894" s="43">
        <v>45881.53840289352</v>
      </c>
      <c r="B1894" s="1" t="s">
        <v>167</v>
      </c>
    </row>
    <row r="1895">
      <c r="A1895" s="43">
        <v>45881.69071260416</v>
      </c>
      <c r="B1895" s="1" t="s">
        <v>168</v>
      </c>
      <c r="C1895" s="1" t="s">
        <v>165</v>
      </c>
    </row>
    <row r="1896">
      <c r="A1896" s="43">
        <v>45882.67467328704</v>
      </c>
      <c r="B1896" s="1" t="s">
        <v>168</v>
      </c>
      <c r="C1896" s="1" t="s">
        <v>165</v>
      </c>
      <c r="F1896" s="1" t="s">
        <v>162</v>
      </c>
    </row>
    <row r="1897">
      <c r="A1897" s="43">
        <v>45883.49418689815</v>
      </c>
      <c r="B1897" s="1" t="s">
        <v>168</v>
      </c>
      <c r="C1897" s="1" t="s">
        <v>165</v>
      </c>
      <c r="F1897" s="1" t="s">
        <v>162</v>
      </c>
    </row>
    <row r="1898">
      <c r="A1898" s="43">
        <v>45883.49435491898</v>
      </c>
      <c r="B1898" s="1" t="s">
        <v>167</v>
      </c>
      <c r="C1898" s="1" t="s">
        <v>163</v>
      </c>
    </row>
    <row r="1899">
      <c r="A1899" s="43">
        <v>45884.839024699075</v>
      </c>
      <c r="B1899" s="1" t="s">
        <v>167</v>
      </c>
      <c r="C1899" s="1" t="s">
        <v>163</v>
      </c>
      <c r="F1899" s="1" t="s">
        <v>162</v>
      </c>
    </row>
    <row r="1900">
      <c r="A1900" s="43">
        <v>45885.24633400463</v>
      </c>
      <c r="B1900" s="1" t="s">
        <v>167</v>
      </c>
      <c r="C1900" s="1" t="s">
        <v>3</v>
      </c>
      <c r="F1900" s="1" t="s">
        <v>162</v>
      </c>
    </row>
    <row r="1901">
      <c r="A1901" s="43">
        <v>45886.41080773148</v>
      </c>
      <c r="B1901" s="1" t="s">
        <v>167</v>
      </c>
      <c r="C1901" s="1" t="s">
        <v>3</v>
      </c>
      <c r="F1901" s="1" t="s">
        <v>162</v>
      </c>
    </row>
    <row r="1902">
      <c r="A1902" s="43">
        <v>45886.41095600695</v>
      </c>
      <c r="B1902" s="1" t="s">
        <v>167</v>
      </c>
      <c r="C1902" s="1" t="s">
        <v>4</v>
      </c>
      <c r="F1902" s="1" t="s">
        <v>162</v>
      </c>
    </row>
    <row r="1903">
      <c r="A1903" s="43">
        <v>45888.635266620375</v>
      </c>
      <c r="B1903" s="1" t="s">
        <v>167</v>
      </c>
      <c r="C1903" s="1" t="s">
        <v>4</v>
      </c>
      <c r="F1903" s="1" t="s">
        <v>162</v>
      </c>
    </row>
    <row r="1904">
      <c r="A1904" s="43">
        <v>45889.250844988426</v>
      </c>
      <c r="B1904" s="1" t="s">
        <v>167</v>
      </c>
      <c r="C1904" s="1" t="s">
        <v>163</v>
      </c>
    </row>
    <row r="1905">
      <c r="A1905" s="43">
        <v>45894.143882916665</v>
      </c>
      <c r="C1905" s="1" t="s">
        <v>166</v>
      </c>
    </row>
    <row r="1906">
      <c r="A1906" s="43">
        <v>45894.14396427083</v>
      </c>
      <c r="C1906" s="1" t="s">
        <v>166</v>
      </c>
    </row>
    <row r="1907">
      <c r="A1907" s="43">
        <v>45894.14418243055</v>
      </c>
      <c r="B1907" s="1" t="s">
        <v>167</v>
      </c>
      <c r="C1907" s="1" t="s">
        <v>94</v>
      </c>
      <c r="F1907" s="1" t="s">
        <v>162</v>
      </c>
    </row>
    <row r="1908">
      <c r="A1908" s="43">
        <v>45894.14430134259</v>
      </c>
      <c r="B1908" s="1" t="s">
        <v>167</v>
      </c>
      <c r="C1908" s="1" t="s">
        <v>94</v>
      </c>
      <c r="F1908" s="1" t="s">
        <v>162</v>
      </c>
    </row>
    <row r="1909">
      <c r="A1909" s="43">
        <v>45895.27428395834</v>
      </c>
      <c r="B1909" s="1" t="s">
        <v>168</v>
      </c>
      <c r="C1909" s="1" t="s">
        <v>165</v>
      </c>
      <c r="F1909" s="1" t="s">
        <v>162</v>
      </c>
    </row>
    <row r="1910">
      <c r="A1910" s="43">
        <v>45895.52863289352</v>
      </c>
      <c r="B1910" s="1" t="s">
        <v>167</v>
      </c>
      <c r="C1910" s="1" t="s">
        <v>3</v>
      </c>
    </row>
    <row r="1911">
      <c r="A1911" s="43">
        <v>45897.158095833336</v>
      </c>
      <c r="B1911" s="1" t="s">
        <v>168</v>
      </c>
      <c r="C1911" s="1" t="s">
        <v>164</v>
      </c>
      <c r="F1911" s="1" t="s">
        <v>162</v>
      </c>
    </row>
    <row r="1912">
      <c r="A1912" s="43">
        <v>45897.441242974535</v>
      </c>
      <c r="B1912" s="1" t="s">
        <v>168</v>
      </c>
    </row>
    <row r="1913">
      <c r="A1913" s="43">
        <v>45898.4537846875</v>
      </c>
      <c r="B1913" s="1" t="s">
        <v>168</v>
      </c>
      <c r="C1913" s="1" t="s">
        <v>164</v>
      </c>
      <c r="F1913" s="1" t="s">
        <v>162</v>
      </c>
    </row>
    <row r="1914">
      <c r="A1914" s="43">
        <v>45899.47152377314</v>
      </c>
      <c r="B1914" s="1" t="s">
        <v>167</v>
      </c>
      <c r="C1914" s="1" t="s">
        <v>4</v>
      </c>
      <c r="F1914" s="1" t="s">
        <v>162</v>
      </c>
    </row>
    <row r="1915">
      <c r="A1915" s="43">
        <v>45900.480640891205</v>
      </c>
      <c r="B1915" s="1" t="s">
        <v>167</v>
      </c>
      <c r="C1915" s="1" t="s">
        <v>163</v>
      </c>
      <c r="F1915" s="1" t="s">
        <v>162</v>
      </c>
    </row>
    <row r="1916">
      <c r="A1916" s="43">
        <v>45901.14363180556</v>
      </c>
      <c r="B1916" s="1" t="s">
        <v>167</v>
      </c>
      <c r="C1916" s="1" t="s">
        <v>4</v>
      </c>
      <c r="F1916" s="1" t="s">
        <v>162</v>
      </c>
    </row>
    <row r="1917">
      <c r="A1917" s="43">
        <v>45902.25849688657</v>
      </c>
      <c r="B1917" s="1" t="s">
        <v>167</v>
      </c>
      <c r="C1917" s="1" t="s">
        <v>163</v>
      </c>
      <c r="F1917" s="1" t="s">
        <v>162</v>
      </c>
    </row>
    <row r="1918">
      <c r="A1918" s="43">
        <v>45902.57458954861</v>
      </c>
      <c r="C1918" s="1" t="s">
        <v>94</v>
      </c>
    </row>
    <row r="1919">
      <c r="A1919" s="43">
        <v>45903.2784303588</v>
      </c>
      <c r="B1919" s="1" t="s">
        <v>167</v>
      </c>
      <c r="C1919" s="1" t="s">
        <v>163</v>
      </c>
      <c r="F1919" s="1" t="s">
        <v>162</v>
      </c>
    </row>
    <row r="1920">
      <c r="A1920" s="43">
        <v>45903.53866361111</v>
      </c>
      <c r="C1920" s="1" t="s">
        <v>165</v>
      </c>
    </row>
    <row r="1921">
      <c r="A1921" s="43">
        <v>45904.43493087963</v>
      </c>
      <c r="C1921" s="1" t="s">
        <v>165</v>
      </c>
      <c r="F1921" s="1" t="s">
        <v>162</v>
      </c>
    </row>
    <row r="1922">
      <c r="A1922" s="43">
        <v>45904.5127675463</v>
      </c>
      <c r="B1922" s="1" t="s">
        <v>167</v>
      </c>
      <c r="C1922" s="1" t="s">
        <v>94</v>
      </c>
    </row>
    <row r="1923">
      <c r="A1923" s="43">
        <v>45905.420893194445</v>
      </c>
      <c r="C1923" s="1" t="s">
        <v>163</v>
      </c>
      <c r="F1923" s="1" t="s">
        <v>162</v>
      </c>
    </row>
    <row r="1924">
      <c r="A1924" s="43">
        <v>45906.28508202547</v>
      </c>
      <c r="B1924" s="1" t="s">
        <v>167</v>
      </c>
      <c r="C1924" s="1" t="s">
        <v>164</v>
      </c>
      <c r="F1924" s="1" t="s">
        <v>162</v>
      </c>
    </row>
    <row r="1925">
      <c r="A1925" s="43">
        <v>45907.22572454861</v>
      </c>
      <c r="B1925" s="1" t="s">
        <v>167</v>
      </c>
      <c r="C1925" s="1" t="s">
        <v>4</v>
      </c>
      <c r="F1925" s="1" t="s">
        <v>162</v>
      </c>
    </row>
    <row r="1926">
      <c r="A1926" s="43">
        <v>45908.23026361111</v>
      </c>
      <c r="B1926" s="1" t="s">
        <v>167</v>
      </c>
      <c r="C1926" s="1" t="s">
        <v>163</v>
      </c>
      <c r="F1926" s="1" t="s">
        <v>162</v>
      </c>
    </row>
    <row r="1927">
      <c r="A1927" s="43">
        <v>45909.26671834491</v>
      </c>
      <c r="B1927" s="1" t="s">
        <v>167</v>
      </c>
      <c r="C1927" s="1" t="s">
        <v>3</v>
      </c>
      <c r="F1927" s="1" t="s">
        <v>162</v>
      </c>
    </row>
    <row r="1928">
      <c r="A1928" s="43">
        <v>45910.232722430555</v>
      </c>
      <c r="B1928" s="1" t="s">
        <v>168</v>
      </c>
      <c r="C1928" s="1" t="s">
        <v>165</v>
      </c>
      <c r="F1928" s="1" t="s">
        <v>162</v>
      </c>
    </row>
    <row r="1929">
      <c r="A1929" s="43">
        <v>45911.45301993056</v>
      </c>
      <c r="B1929" s="1" t="s">
        <v>168</v>
      </c>
      <c r="C1929" s="1" t="s">
        <v>165</v>
      </c>
      <c r="F1929" s="1" t="s">
        <v>162</v>
      </c>
    </row>
    <row r="1930">
      <c r="A1930" s="43">
        <v>45911.57208578703</v>
      </c>
      <c r="B1930" s="44" t="s">
        <v>87</v>
      </c>
      <c r="C1930" s="1" t="s">
        <v>92</v>
      </c>
      <c r="D1930" s="1" t="s">
        <v>125</v>
      </c>
      <c r="F1930" s="1" t="s">
        <v>151</v>
      </c>
    </row>
    <row r="1931">
      <c r="A1931" s="43">
        <v>45912.39345517362</v>
      </c>
      <c r="B1931" s="1" t="s">
        <v>173</v>
      </c>
    </row>
    <row r="1932">
      <c r="A1932" s="43">
        <v>45912.39352915509</v>
      </c>
      <c r="B1932" s="1" t="s">
        <v>173</v>
      </c>
    </row>
    <row r="1933">
      <c r="A1933" s="43">
        <v>45912.39359295139</v>
      </c>
      <c r="B1933" s="1" t="s">
        <v>173</v>
      </c>
    </row>
    <row r="1934">
      <c r="A1934" s="43">
        <v>45912.39369646991</v>
      </c>
      <c r="E1934" s="1" t="s">
        <v>170</v>
      </c>
    </row>
    <row r="1935">
      <c r="A1935" s="43">
        <v>45912.43236476852</v>
      </c>
      <c r="B1935" s="44" t="s">
        <v>87</v>
      </c>
      <c r="C1935" s="1" t="s">
        <v>92</v>
      </c>
      <c r="D1935" s="1" t="s">
        <v>125</v>
      </c>
    </row>
    <row r="1936">
      <c r="A1936" s="43">
        <v>45913.37269329861</v>
      </c>
      <c r="C1936" s="1" t="s">
        <v>163</v>
      </c>
    </row>
    <row r="1937">
      <c r="A1937" s="43">
        <v>45913.373172638894</v>
      </c>
      <c r="C1937" s="1" t="s">
        <v>163</v>
      </c>
      <c r="D1937" s="1" t="s">
        <v>123</v>
      </c>
    </row>
    <row r="1938">
      <c r="A1938" s="43">
        <v>45913.55470115741</v>
      </c>
      <c r="B1938" s="1" t="s">
        <v>173</v>
      </c>
      <c r="C1938" s="1" t="s">
        <v>92</v>
      </c>
      <c r="F1938" s="1" t="s">
        <v>162</v>
      </c>
      <c r="G1938" s="1" t="s">
        <v>144</v>
      </c>
    </row>
    <row r="1939">
      <c r="A1939" s="43">
        <v>45914.44057153935</v>
      </c>
      <c r="B1939" s="44" t="s">
        <v>87</v>
      </c>
      <c r="C1939" s="1" t="s">
        <v>92</v>
      </c>
      <c r="D1939" s="1" t="s">
        <v>125</v>
      </c>
    </row>
    <row r="1940">
      <c r="A1940" s="43">
        <v>45915.423796331015</v>
      </c>
      <c r="B1940" s="44" t="s">
        <v>87</v>
      </c>
      <c r="C1940" s="1" t="s">
        <v>92</v>
      </c>
      <c r="D1940" s="1" t="s">
        <v>125</v>
      </c>
    </row>
    <row r="1941">
      <c r="A1941" s="43">
        <v>45916.41827451389</v>
      </c>
      <c r="C1941" s="1" t="s">
        <v>163</v>
      </c>
      <c r="F1941" s="1" t="s">
        <v>153</v>
      </c>
    </row>
    <row r="1942">
      <c r="A1942" s="43">
        <v>45916.418423055555</v>
      </c>
      <c r="B1942" s="1" t="s">
        <v>167</v>
      </c>
      <c r="C1942" s="1" t="s">
        <v>2</v>
      </c>
      <c r="F1942" s="1" t="s">
        <v>153</v>
      </c>
    </row>
    <row r="1943">
      <c r="A1943" s="43">
        <v>45916.41849776621</v>
      </c>
      <c r="B1943" s="1" t="s">
        <v>167</v>
      </c>
    </row>
    <row r="1944">
      <c r="A1944" s="43">
        <v>45916.44276517361</v>
      </c>
      <c r="D1944" s="1" t="s">
        <v>123</v>
      </c>
    </row>
    <row r="1945">
      <c r="A1945" s="43">
        <v>45916.46791320602</v>
      </c>
      <c r="B1945" s="1" t="s">
        <v>77</v>
      </c>
      <c r="C1945" s="1" t="s">
        <v>92</v>
      </c>
      <c r="D1945" s="1" t="s">
        <v>116</v>
      </c>
    </row>
    <row r="1946">
      <c r="A1946" s="43">
        <v>45917.42441490741</v>
      </c>
      <c r="C1946" s="1" t="s">
        <v>2</v>
      </c>
      <c r="D1946" s="1" t="s">
        <v>123</v>
      </c>
    </row>
    <row r="1947">
      <c r="A1947" s="43">
        <v>45917.794623333335</v>
      </c>
      <c r="B1947" s="1" t="s">
        <v>77</v>
      </c>
      <c r="C1947" s="1" t="s">
        <v>92</v>
      </c>
      <c r="D1947" s="1" t="s">
        <v>116</v>
      </c>
    </row>
    <row r="1948">
      <c r="A1948" s="43">
        <v>45918.4372300463</v>
      </c>
      <c r="B1948" s="1" t="s">
        <v>77</v>
      </c>
      <c r="C1948" s="1" t="s">
        <v>92</v>
      </c>
      <c r="D1948" s="1" t="s">
        <v>116</v>
      </c>
      <c r="F1948" s="1" t="s">
        <v>162</v>
      </c>
    </row>
    <row r="1949">
      <c r="A1949" s="43">
        <v>45919.42219078704</v>
      </c>
      <c r="C1949" s="1" t="s">
        <v>2</v>
      </c>
      <c r="D1949" s="1" t="s">
        <v>123</v>
      </c>
    </row>
    <row r="1950">
      <c r="A1950" s="43">
        <v>45919.62031388889</v>
      </c>
      <c r="B1950" s="1" t="s">
        <v>173</v>
      </c>
      <c r="C1950" s="1" t="s">
        <v>95</v>
      </c>
      <c r="D1950" s="1" t="s">
        <v>116</v>
      </c>
      <c r="F1950" s="1" t="s">
        <v>162</v>
      </c>
      <c r="G1950" s="1" t="s">
        <v>144</v>
      </c>
    </row>
    <row r="1951">
      <c r="A1951" s="43">
        <v>45920.45184768518</v>
      </c>
      <c r="B1951" s="1" t="s">
        <v>167</v>
      </c>
      <c r="C1951" s="1" t="s">
        <v>2</v>
      </c>
      <c r="F1951" s="1" t="s">
        <v>153</v>
      </c>
    </row>
    <row r="1952">
      <c r="A1952" s="43">
        <v>45921.45233451389</v>
      </c>
      <c r="B1952" s="1" t="s">
        <v>173</v>
      </c>
      <c r="C1952" s="1" t="s">
        <v>95</v>
      </c>
      <c r="F1952" s="1" t="s">
        <v>162</v>
      </c>
      <c r="G1952" s="1" t="s">
        <v>144</v>
      </c>
    </row>
    <row r="1953">
      <c r="A1953" s="43">
        <v>45921.45246619213</v>
      </c>
      <c r="B1953" s="1" t="s">
        <v>173</v>
      </c>
      <c r="C1953" s="1" t="s">
        <v>95</v>
      </c>
      <c r="D1953" s="1" t="s">
        <v>116</v>
      </c>
    </row>
    <row r="1954">
      <c r="A1954" s="43">
        <v>45922.44402649306</v>
      </c>
      <c r="C1954" s="1" t="s">
        <v>2</v>
      </c>
    </row>
    <row r="1955">
      <c r="A1955" s="43">
        <v>45923.395976388885</v>
      </c>
      <c r="B1955" s="1" t="s">
        <v>167</v>
      </c>
      <c r="D1955" s="1" t="s">
        <v>123</v>
      </c>
    </row>
    <row r="1956">
      <c r="A1956" s="43">
        <v>45923.396054675926</v>
      </c>
      <c r="C1956" s="1" t="s">
        <v>92</v>
      </c>
    </row>
    <row r="1957">
      <c r="A1957" s="43">
        <v>45924.721161678244</v>
      </c>
      <c r="B1957" s="1" t="s">
        <v>167</v>
      </c>
      <c r="C1957" s="1" t="s">
        <v>163</v>
      </c>
      <c r="F1957" s="1" t="s">
        <v>153</v>
      </c>
    </row>
    <row r="1958">
      <c r="A1958" s="43">
        <v>45924.72174721065</v>
      </c>
      <c r="C1958" s="1" t="s">
        <v>92</v>
      </c>
    </row>
    <row r="1959">
      <c r="A1959" s="43">
        <v>45925.61589240741</v>
      </c>
      <c r="B1959" s="1" t="s">
        <v>167</v>
      </c>
      <c r="C1959" s="1" t="s">
        <v>2</v>
      </c>
      <c r="G1959" s="1" t="s">
        <v>142</v>
      </c>
    </row>
    <row r="1960">
      <c r="A1960" s="43">
        <v>45925.74705520833</v>
      </c>
      <c r="B1960" s="1" t="s">
        <v>0</v>
      </c>
      <c r="C1960" s="1" t="s">
        <v>92</v>
      </c>
      <c r="D1960" s="1" t="s">
        <v>111</v>
      </c>
      <c r="F1960" s="1" t="s">
        <v>162</v>
      </c>
    </row>
    <row r="1961">
      <c r="A1961" s="43">
        <v>45926.79095502315</v>
      </c>
      <c r="B1961" s="1" t="s">
        <v>0</v>
      </c>
      <c r="C1961" s="1" t="s">
        <v>92</v>
      </c>
      <c r="D1961" s="1" t="s">
        <v>111</v>
      </c>
      <c r="G1961" s="1" t="s">
        <v>142</v>
      </c>
    </row>
    <row r="1962">
      <c r="A1962" s="43">
        <v>45928.62679241898</v>
      </c>
      <c r="B1962" s="1" t="s">
        <v>0</v>
      </c>
      <c r="C1962" s="1" t="s">
        <v>91</v>
      </c>
      <c r="D1962" s="1" t="s">
        <v>113</v>
      </c>
      <c r="F1962" s="1" t="s">
        <v>162</v>
      </c>
      <c r="G1962" s="1" t="s">
        <v>142</v>
      </c>
    </row>
    <row r="1963">
      <c r="A1963" s="43">
        <v>45929.355392881946</v>
      </c>
      <c r="B1963" s="1" t="s">
        <v>77</v>
      </c>
      <c r="C1963" s="1" t="s">
        <v>91</v>
      </c>
      <c r="D1963" s="1" t="s">
        <v>117</v>
      </c>
      <c r="F1963" s="1" t="s">
        <v>147</v>
      </c>
      <c r="G1963" s="1" t="s">
        <v>144</v>
      </c>
    </row>
    <row r="1964">
      <c r="A1964" s="43">
        <v>45930.552854849535</v>
      </c>
      <c r="B1964" s="1" t="s">
        <v>77</v>
      </c>
      <c r="C1964" s="1" t="s">
        <v>91</v>
      </c>
      <c r="D1964" s="1" t="s">
        <v>117</v>
      </c>
      <c r="F1964" s="1" t="s">
        <v>147</v>
      </c>
      <c r="G1964" s="1" t="s">
        <v>142</v>
      </c>
    </row>
    <row r="1965">
      <c r="A1965" s="43">
        <v>45931.705792650464</v>
      </c>
      <c r="B1965" s="1" t="s">
        <v>90</v>
      </c>
      <c r="D1965" s="1" t="s">
        <v>126</v>
      </c>
      <c r="E1965" s="1" t="s">
        <v>171</v>
      </c>
      <c r="F1965" s="1" t="s">
        <v>155</v>
      </c>
    </row>
    <row r="1966">
      <c r="A1966" s="43">
        <v>45932.454396284724</v>
      </c>
      <c r="B1966" s="1" t="s">
        <v>77</v>
      </c>
      <c r="C1966" s="1" t="s">
        <v>92</v>
      </c>
      <c r="D1966" s="1" t="s">
        <v>116</v>
      </c>
      <c r="F1966" s="1" t="s">
        <v>162</v>
      </c>
      <c r="G1966" s="1" t="s">
        <v>144</v>
      </c>
    </row>
    <row r="1967">
      <c r="A1967" s="43">
        <v>45933.45189153936</v>
      </c>
      <c r="B1967" s="1" t="s">
        <v>77</v>
      </c>
      <c r="C1967" s="1" t="s">
        <v>92</v>
      </c>
      <c r="D1967" s="1" t="s">
        <v>116</v>
      </c>
      <c r="F1967" s="1" t="s">
        <v>151</v>
      </c>
      <c r="G1967" s="1" t="s">
        <v>144</v>
      </c>
    </row>
    <row r="1968">
      <c r="A1968" s="43">
        <v>45934.57003466436</v>
      </c>
      <c r="B1968" s="1" t="s">
        <v>1</v>
      </c>
      <c r="C1968" s="1" t="s">
        <v>92</v>
      </c>
      <c r="D1968" s="1" t="s">
        <v>154</v>
      </c>
      <c r="F1968" s="1" t="s">
        <v>162</v>
      </c>
      <c r="G1968" s="1" t="s">
        <v>144</v>
      </c>
    </row>
    <row r="1969">
      <c r="A1969" s="43">
        <v>45935.41821599537</v>
      </c>
      <c r="B1969" s="1" t="s">
        <v>0</v>
      </c>
      <c r="C1969" s="1" t="s">
        <v>92</v>
      </c>
      <c r="D1969" s="1" t="s">
        <v>113</v>
      </c>
      <c r="F1969" s="1" t="s">
        <v>151</v>
      </c>
      <c r="G1969" s="1" t="s">
        <v>142</v>
      </c>
    </row>
    <row r="1970">
      <c r="A1970" s="43">
        <v>45936.3475946875</v>
      </c>
      <c r="B1970" s="1" t="s">
        <v>0</v>
      </c>
      <c r="C1970" s="1" t="s">
        <v>92</v>
      </c>
      <c r="D1970" s="1" t="s">
        <v>113</v>
      </c>
      <c r="F1970" s="1" t="s">
        <v>151</v>
      </c>
      <c r="G1970" s="1" t="s">
        <v>142</v>
      </c>
    </row>
    <row r="1971">
      <c r="A1971" s="43">
        <v>45937.53963113426</v>
      </c>
      <c r="B1971" s="1" t="s">
        <v>77</v>
      </c>
      <c r="C1971" s="1" t="s">
        <v>91</v>
      </c>
      <c r="D1971" s="1" t="s">
        <v>119</v>
      </c>
      <c r="F1971" s="1" t="s">
        <v>151</v>
      </c>
      <c r="G1971" s="1" t="s">
        <v>144</v>
      </c>
    </row>
    <row r="1972">
      <c r="A1972" s="43">
        <v>45938.44242157407</v>
      </c>
      <c r="B1972" s="1" t="s">
        <v>77</v>
      </c>
      <c r="C1972" s="1" t="s">
        <v>92</v>
      </c>
      <c r="D1972" s="1" t="s">
        <v>119</v>
      </c>
      <c r="F1972" s="1" t="s">
        <v>151</v>
      </c>
      <c r="G1972" s="1" t="s">
        <v>142</v>
      </c>
    </row>
    <row r="1973">
      <c r="A1973" s="43">
        <v>45939.56500861111</v>
      </c>
      <c r="B1973" s="1" t="s">
        <v>84</v>
      </c>
      <c r="C1973" s="1" t="s">
        <v>91</v>
      </c>
      <c r="D1973" s="1" t="s">
        <v>117</v>
      </c>
      <c r="F1973" s="1" t="s">
        <v>151</v>
      </c>
      <c r="G1973" s="1" t="s">
        <v>144</v>
      </c>
    </row>
    <row r="1974">
      <c r="A1974" s="43">
        <v>45940.4424652662</v>
      </c>
      <c r="B1974" s="1" t="s">
        <v>84</v>
      </c>
      <c r="C1974" s="1" t="s">
        <v>91</v>
      </c>
      <c r="D1974" s="1" t="s">
        <v>117</v>
      </c>
      <c r="F1974" s="1" t="s">
        <v>151</v>
      </c>
      <c r="G1974" s="1" t="s">
        <v>144</v>
      </c>
    </row>
    <row r="1975">
      <c r="A1975" s="43">
        <v>45941.72759072916</v>
      </c>
      <c r="B1975" s="1" t="s">
        <v>84</v>
      </c>
      <c r="C1975" s="1" t="s">
        <v>91</v>
      </c>
      <c r="D1975" s="1" t="s">
        <v>117</v>
      </c>
      <c r="F1975" s="1" t="s">
        <v>151</v>
      </c>
      <c r="G1975" s="1" t="s">
        <v>144</v>
      </c>
    </row>
    <row r="1976">
      <c r="A1976" s="43">
        <v>45942.49948783565</v>
      </c>
      <c r="B1976" s="1" t="s">
        <v>167</v>
      </c>
      <c r="C1976" s="1" t="s">
        <v>2</v>
      </c>
      <c r="D1976" s="1" t="s">
        <v>123</v>
      </c>
    </row>
    <row r="1977">
      <c r="A1977" s="43">
        <v>45942.74997451389</v>
      </c>
      <c r="B1977" s="1" t="s">
        <v>84</v>
      </c>
      <c r="C1977" s="1" t="s">
        <v>91</v>
      </c>
      <c r="D1977" s="1" t="s">
        <v>117</v>
      </c>
    </row>
    <row r="1978">
      <c r="A1978" s="43">
        <v>45944.46496172454</v>
      </c>
      <c r="B1978" s="1" t="s">
        <v>173</v>
      </c>
      <c r="C1978" s="1" t="s">
        <v>91</v>
      </c>
      <c r="D1978" s="1" t="s">
        <v>116</v>
      </c>
      <c r="F1978" s="1" t="s">
        <v>162</v>
      </c>
      <c r="G1978" s="1" t="s">
        <v>144</v>
      </c>
    </row>
    <row r="1979">
      <c r="A1979" s="43">
        <v>45944.46853300926</v>
      </c>
      <c r="B1979" s="1" t="s">
        <v>173</v>
      </c>
      <c r="C1979" s="1" t="s">
        <v>92</v>
      </c>
      <c r="D1979" s="1" t="s">
        <v>116</v>
      </c>
    </row>
    <row r="1980">
      <c r="A1980" s="43">
        <v>45944.469105324075</v>
      </c>
      <c r="B1980" s="1" t="s">
        <v>167</v>
      </c>
      <c r="C1980" s="1" t="s">
        <v>2</v>
      </c>
      <c r="D1980" s="1" t="s">
        <v>123</v>
      </c>
      <c r="G1980" s="1" t="s">
        <v>142</v>
      </c>
    </row>
    <row r="1981">
      <c r="A1981" s="43">
        <v>45944.469924467594</v>
      </c>
      <c r="C1981" s="1" t="s">
        <v>2</v>
      </c>
    </row>
    <row r="1982">
      <c r="A1982" s="43">
        <v>45945.45499266204</v>
      </c>
      <c r="B1982" s="1" t="s">
        <v>84</v>
      </c>
      <c r="C1982" s="1" t="s">
        <v>92</v>
      </c>
      <c r="D1982" s="1" t="s">
        <v>154</v>
      </c>
      <c r="F1982" s="1" t="s">
        <v>151</v>
      </c>
      <c r="G1982" s="1" t="s">
        <v>144</v>
      </c>
    </row>
    <row r="1983">
      <c r="A1983" s="43">
        <v>45946.47835670139</v>
      </c>
      <c r="B1983" s="1" t="s">
        <v>0</v>
      </c>
      <c r="C1983" s="1" t="s">
        <v>92</v>
      </c>
      <c r="D1983" s="1" t="s">
        <v>113</v>
      </c>
    </row>
    <row r="1984">
      <c r="A1984" s="43">
        <v>45946.74160190972</v>
      </c>
      <c r="F1984" s="1" t="s">
        <v>151</v>
      </c>
      <c r="G1984" s="1" t="s">
        <v>142</v>
      </c>
    </row>
    <row r="1985">
      <c r="A1985" s="43">
        <v>45947.427820902776</v>
      </c>
      <c r="B1985" s="1" t="s">
        <v>90</v>
      </c>
      <c r="D1985" s="1" t="s">
        <v>126</v>
      </c>
      <c r="E1985" s="1" t="s">
        <v>171</v>
      </c>
      <c r="F1985" s="1" t="s">
        <v>155</v>
      </c>
    </row>
    <row r="1986">
      <c r="A1986" s="43">
        <v>45948.50526859953</v>
      </c>
      <c r="B1986" s="1" t="s">
        <v>0</v>
      </c>
      <c r="C1986" s="1" t="s">
        <v>92</v>
      </c>
      <c r="D1986" s="1" t="s">
        <v>113</v>
      </c>
      <c r="F1986" s="1" t="s">
        <v>151</v>
      </c>
      <c r="G1986" s="1" t="s">
        <v>142</v>
      </c>
    </row>
    <row r="1987">
      <c r="A1987" s="43">
        <v>45948.505901261575</v>
      </c>
      <c r="B1987" s="1" t="s">
        <v>167</v>
      </c>
      <c r="C1987" s="1" t="s">
        <v>2</v>
      </c>
      <c r="F1987" s="1" t="s">
        <v>153</v>
      </c>
    </row>
    <row r="1988">
      <c r="A1988" s="43">
        <v>45949.70355653935</v>
      </c>
      <c r="B1988" s="1" t="s">
        <v>0</v>
      </c>
      <c r="C1988" s="1" t="s">
        <v>92</v>
      </c>
      <c r="D1988" s="1" t="s">
        <v>113</v>
      </c>
      <c r="F1988" s="1" t="s">
        <v>151</v>
      </c>
      <c r="G1988" s="1" t="s">
        <v>142</v>
      </c>
    </row>
    <row r="1989">
      <c r="A1989" s="43">
        <v>45950.428248819444</v>
      </c>
      <c r="B1989" s="1" t="s">
        <v>0</v>
      </c>
      <c r="C1989" s="1" t="s">
        <v>92</v>
      </c>
      <c r="D1989" s="1" t="s">
        <v>115</v>
      </c>
    </row>
    <row r="1990">
      <c r="A1990" s="43">
        <v>45951.45783865741</v>
      </c>
      <c r="B1990" s="1" t="s">
        <v>1</v>
      </c>
      <c r="C1990" s="1" t="s">
        <v>92</v>
      </c>
      <c r="D1990" s="1" t="s">
        <v>103</v>
      </c>
    </row>
    <row r="1991">
      <c r="A1991" s="43">
        <v>45951.596571898146</v>
      </c>
      <c r="B1991" s="1" t="s">
        <v>167</v>
      </c>
      <c r="C1991" s="1" t="s">
        <v>2</v>
      </c>
      <c r="F1991" s="1" t="s">
        <v>153</v>
      </c>
    </row>
    <row r="1992">
      <c r="A1992" s="43">
        <v>45952.44793166667</v>
      </c>
      <c r="B1992" s="1" t="s">
        <v>1</v>
      </c>
      <c r="D1992" s="1" t="s">
        <v>154</v>
      </c>
      <c r="E1992" s="1" t="s">
        <v>172</v>
      </c>
      <c r="F1992" s="1" t="s">
        <v>147</v>
      </c>
      <c r="G1992" s="1" t="s">
        <v>144</v>
      </c>
    </row>
    <row r="1993">
      <c r="A1993" s="43">
        <v>45953.6035281713</v>
      </c>
      <c r="B1993" s="1" t="s">
        <v>84</v>
      </c>
      <c r="C1993" s="1" t="s">
        <v>92</v>
      </c>
      <c r="D1993" s="1" t="s">
        <v>115</v>
      </c>
      <c r="F1993" s="1" t="s">
        <v>162</v>
      </c>
      <c r="G1993" s="1" t="s">
        <v>142</v>
      </c>
    </row>
    <row r="1994">
      <c r="A1994" s="43">
        <v>45954.429099444445</v>
      </c>
      <c r="B1994" s="1" t="s">
        <v>84</v>
      </c>
      <c r="C1994" s="1" t="s">
        <v>92</v>
      </c>
      <c r="D1994" s="1" t="s">
        <v>115</v>
      </c>
      <c r="F1994" s="1" t="s">
        <v>162</v>
      </c>
      <c r="G1994" s="1" t="s">
        <v>142</v>
      </c>
    </row>
    <row r="1995">
      <c r="A1995" s="43">
        <v>45955.400552673615</v>
      </c>
      <c r="B1995" s="1" t="s">
        <v>1</v>
      </c>
      <c r="C1995" s="1" t="s">
        <v>91</v>
      </c>
      <c r="D1995" s="1" t="s">
        <v>103</v>
      </c>
      <c r="F1995" s="1" t="s">
        <v>162</v>
      </c>
      <c r="G1995" s="1" t="s">
        <v>142</v>
      </c>
    </row>
    <row r="1996">
      <c r="A1996" s="43">
        <v>45956.43769878472</v>
      </c>
      <c r="B1996" s="1" t="s">
        <v>1</v>
      </c>
      <c r="C1996" s="1" t="s">
        <v>91</v>
      </c>
      <c r="D1996" s="1" t="s">
        <v>103</v>
      </c>
    </row>
    <row r="1997">
      <c r="A1997" s="43">
        <v>45956.911527442135</v>
      </c>
      <c r="B1997" s="1" t="s">
        <v>174</v>
      </c>
      <c r="D1997" s="1" t="s">
        <v>154</v>
      </c>
      <c r="E1997" s="1" t="s">
        <v>171</v>
      </c>
      <c r="F1997" s="1" t="s">
        <v>155</v>
      </c>
      <c r="G1997" s="1" t="s">
        <v>144</v>
      </c>
    </row>
    <row r="1998">
      <c r="A1998" s="43">
        <v>45957.45294234954</v>
      </c>
      <c r="B1998" s="1" t="s">
        <v>1</v>
      </c>
      <c r="C1998" s="1" t="s">
        <v>91</v>
      </c>
      <c r="D1998" s="1" t="s">
        <v>118</v>
      </c>
      <c r="F1998" s="1" t="s">
        <v>151</v>
      </c>
      <c r="G1998" s="1" t="s">
        <v>142</v>
      </c>
    </row>
    <row r="1999">
      <c r="A1999" s="43">
        <v>45958.41944791666</v>
      </c>
      <c r="B1999" s="1" t="s">
        <v>1</v>
      </c>
      <c r="C1999" s="1" t="s">
        <v>91</v>
      </c>
      <c r="D1999" s="1" t="s">
        <v>118</v>
      </c>
      <c r="F1999" s="1" t="s">
        <v>151</v>
      </c>
      <c r="G1999" s="1" t="s">
        <v>142</v>
      </c>
    </row>
    <row r="2000">
      <c r="A2000" s="43">
        <v>45959.41696289352</v>
      </c>
      <c r="B2000" s="1" t="s">
        <v>1</v>
      </c>
      <c r="C2000" s="1" t="s">
        <v>91</v>
      </c>
      <c r="D2000" s="1" t="s">
        <v>103</v>
      </c>
      <c r="F2000" s="1" t="s">
        <v>162</v>
      </c>
      <c r="G2000" s="1" t="s">
        <v>142</v>
      </c>
    </row>
    <row r="2001">
      <c r="A2001" s="43">
        <v>45960.45996175926</v>
      </c>
      <c r="B2001" s="1" t="s">
        <v>90</v>
      </c>
      <c r="D2001" s="1" t="s">
        <v>126</v>
      </c>
      <c r="E2001" s="1" t="s">
        <v>171</v>
      </c>
      <c r="F2001" s="1" t="s">
        <v>155</v>
      </c>
      <c r="G2001" s="1" t="s">
        <v>142</v>
      </c>
    </row>
    <row r="2002">
      <c r="A2002" s="43">
        <v>45961.7309937963</v>
      </c>
      <c r="B2002" s="1" t="s">
        <v>77</v>
      </c>
      <c r="C2002" s="1" t="s">
        <v>91</v>
      </c>
      <c r="D2002" s="1" t="s">
        <v>117</v>
      </c>
      <c r="F2002" s="1" t="s">
        <v>155</v>
      </c>
      <c r="G2002" s="1" t="s">
        <v>142</v>
      </c>
    </row>
    <row r="2003">
      <c r="A2003" s="43">
        <v>45962.40102960648</v>
      </c>
      <c r="B2003" s="1" t="s">
        <v>167</v>
      </c>
      <c r="C2003" s="1" t="s">
        <v>163</v>
      </c>
      <c r="D2003" s="1" t="s">
        <v>123</v>
      </c>
      <c r="F2003" s="1" t="s">
        <v>153</v>
      </c>
    </row>
    <row r="2004">
      <c r="A2004" s="43">
        <v>45962.45586898148</v>
      </c>
      <c r="B2004" s="1" t="s">
        <v>0</v>
      </c>
      <c r="C2004" s="1" t="s">
        <v>92</v>
      </c>
      <c r="D2004" s="1" t="s">
        <v>111</v>
      </c>
    </row>
    <row r="2005">
      <c r="A2005" s="43">
        <v>45963.50599924769</v>
      </c>
      <c r="B2005" s="1" t="s">
        <v>77</v>
      </c>
      <c r="C2005" s="1" t="s">
        <v>92</v>
      </c>
      <c r="D2005" s="1" t="s">
        <v>117</v>
      </c>
      <c r="F2005" s="1" t="s">
        <v>162</v>
      </c>
      <c r="G2005" s="1" t="s">
        <v>144</v>
      </c>
    </row>
    <row r="2006">
      <c r="A2006" s="43">
        <v>45963.6124130324</v>
      </c>
      <c r="F2006" s="1" t="s">
        <v>162</v>
      </c>
      <c r="G2006" s="1" t="s">
        <v>142</v>
      </c>
    </row>
    <row r="2007">
      <c r="A2007" s="43">
        <v>45964.45670616898</v>
      </c>
      <c r="B2007" s="1" t="s">
        <v>0</v>
      </c>
      <c r="C2007" s="1" t="s">
        <v>92</v>
      </c>
      <c r="D2007" s="1" t="s">
        <v>111</v>
      </c>
      <c r="F2007" s="1" t="s">
        <v>162</v>
      </c>
      <c r="G2007" s="1" t="s">
        <v>142</v>
      </c>
    </row>
    <row r="2008">
      <c r="A2008" s="43">
        <v>45965.465042384254</v>
      </c>
      <c r="B2008" s="1" t="s">
        <v>0</v>
      </c>
      <c r="C2008" s="1" t="s">
        <v>92</v>
      </c>
      <c r="D2008" s="1" t="s">
        <v>111</v>
      </c>
      <c r="F2008" s="1" t="s">
        <v>162</v>
      </c>
      <c r="G2008" s="1" t="s">
        <v>142</v>
      </c>
    </row>
    <row r="2009">
      <c r="A2009" s="43">
        <v>45966.41904881944</v>
      </c>
      <c r="B2009" s="1" t="s">
        <v>77</v>
      </c>
      <c r="C2009" s="1" t="s">
        <v>92</v>
      </c>
      <c r="D2009" s="1" t="s">
        <v>121</v>
      </c>
      <c r="F2009" s="1" t="s">
        <v>162</v>
      </c>
      <c r="G2009" s="1" t="s">
        <v>144</v>
      </c>
    </row>
    <row r="2010">
      <c r="A2010" s="43">
        <v>45968.4153171412</v>
      </c>
      <c r="B2010" s="1" t="s">
        <v>173</v>
      </c>
      <c r="C2010" s="1" t="s">
        <v>92</v>
      </c>
      <c r="D2010" s="1" t="s">
        <v>116</v>
      </c>
      <c r="F2010" s="1" t="s">
        <v>162</v>
      </c>
      <c r="G2010" s="1" t="s">
        <v>144</v>
      </c>
    </row>
    <row r="2011">
      <c r="A2011" s="43">
        <v>45968.542060520835</v>
      </c>
      <c r="B2011" s="1" t="s">
        <v>77</v>
      </c>
      <c r="C2011" s="1" t="s">
        <v>92</v>
      </c>
      <c r="D2011" s="1" t="s">
        <v>119</v>
      </c>
      <c r="F2011" s="1" t="s">
        <v>162</v>
      </c>
      <c r="G2011" s="1" t="s">
        <v>144</v>
      </c>
    </row>
    <row r="2012">
      <c r="A2012" s="43">
        <v>45970.633150636575</v>
      </c>
      <c r="B2012" s="1" t="s">
        <v>77</v>
      </c>
      <c r="C2012" s="1" t="s">
        <v>91</v>
      </c>
      <c r="D2012" s="1" t="s">
        <v>119</v>
      </c>
      <c r="F2012" s="1" t="s">
        <v>162</v>
      </c>
      <c r="G2012" s="1" t="s">
        <v>144</v>
      </c>
    </row>
    <row r="2013">
      <c r="A2013" s="43">
        <v>45970.63334835648</v>
      </c>
      <c r="B2013" s="1" t="s">
        <v>173</v>
      </c>
      <c r="C2013" s="1" t="s">
        <v>92</v>
      </c>
      <c r="D2013" s="1" t="s">
        <v>116</v>
      </c>
      <c r="F2013" s="1" t="s">
        <v>162</v>
      </c>
      <c r="G2013" s="1" t="s">
        <v>144</v>
      </c>
    </row>
    <row r="2014">
      <c r="A2014" s="43">
        <v>45971.41742409722</v>
      </c>
      <c r="B2014" s="1" t="s">
        <v>84</v>
      </c>
      <c r="C2014" s="1" t="s">
        <v>91</v>
      </c>
      <c r="D2014" s="1" t="s">
        <v>113</v>
      </c>
      <c r="F2014" s="1" t="s">
        <v>162</v>
      </c>
      <c r="G2014" s="1" t="s">
        <v>142</v>
      </c>
    </row>
    <row r="2015">
      <c r="A2015" s="43">
        <v>45971.59415239583</v>
      </c>
      <c r="B2015" s="1" t="s">
        <v>176</v>
      </c>
      <c r="D2015" s="1" t="s">
        <v>177</v>
      </c>
      <c r="E2015" s="1" t="s">
        <v>178</v>
      </c>
      <c r="F2015" s="1" t="s">
        <v>179</v>
      </c>
    </row>
    <row r="2016">
      <c r="A2016" s="43">
        <v>45972.47787159722</v>
      </c>
      <c r="B2016" s="1" t="s">
        <v>90</v>
      </c>
      <c r="D2016" s="1" t="s">
        <v>126</v>
      </c>
      <c r="E2016" s="1" t="s">
        <v>171</v>
      </c>
      <c r="F2016" s="1" t="s">
        <v>155</v>
      </c>
      <c r="G2016" s="1" t="s">
        <v>139</v>
      </c>
    </row>
    <row r="2017">
      <c r="A2017" s="43">
        <v>45973.41924979167</v>
      </c>
      <c r="B2017" s="44" t="s">
        <v>87</v>
      </c>
      <c r="C2017" s="1" t="s">
        <v>91</v>
      </c>
      <c r="D2017" s="1" t="s">
        <v>113</v>
      </c>
    </row>
    <row r="2018">
      <c r="A2018" s="43">
        <v>45973.84150248843</v>
      </c>
      <c r="B2018" s="1" t="s">
        <v>90</v>
      </c>
      <c r="D2018" s="1" t="s">
        <v>126</v>
      </c>
      <c r="E2018" s="1" t="s">
        <v>172</v>
      </c>
      <c r="F2018" s="1" t="s">
        <v>155</v>
      </c>
      <c r="G2018" s="1" t="s">
        <v>139</v>
      </c>
    </row>
    <row r="2019">
      <c r="A2019" s="43">
        <v>45974.446306157406</v>
      </c>
      <c r="B2019" s="1" t="s">
        <v>84</v>
      </c>
      <c r="C2019" s="1" t="s">
        <v>91</v>
      </c>
      <c r="D2019" s="1" t="s">
        <v>119</v>
      </c>
      <c r="F2019" s="1" t="s">
        <v>162</v>
      </c>
      <c r="G2019" s="1" t="s">
        <v>139</v>
      </c>
    </row>
    <row r="2020">
      <c r="A2020" s="43">
        <v>45975.41988758102</v>
      </c>
      <c r="B2020" s="1" t="s">
        <v>84</v>
      </c>
      <c r="C2020" s="1" t="s">
        <v>91</v>
      </c>
      <c r="D2020" s="1" t="s">
        <v>119</v>
      </c>
      <c r="F2020" s="1" t="s">
        <v>162</v>
      </c>
      <c r="G2020" s="1" t="s">
        <v>139</v>
      </c>
    </row>
    <row r="2021">
      <c r="A2021" s="43">
        <v>45977.55546121528</v>
      </c>
      <c r="B2021" s="44" t="s">
        <v>87</v>
      </c>
      <c r="C2021" s="1" t="s">
        <v>92</v>
      </c>
      <c r="D2021" s="1" t="s">
        <v>125</v>
      </c>
      <c r="F2021" s="1" t="s">
        <v>162</v>
      </c>
      <c r="G2021" s="1" t="s">
        <v>142</v>
      </c>
    </row>
    <row r="2022">
      <c r="A2022" s="43">
        <v>45977.55649148148</v>
      </c>
      <c r="B2022" s="1" t="s">
        <v>1</v>
      </c>
      <c r="C2022" s="1" t="s">
        <v>92</v>
      </c>
      <c r="D2022" s="1" t="s">
        <v>121</v>
      </c>
      <c r="F2022" s="1" t="s">
        <v>162</v>
      </c>
      <c r="G2022" s="1" t="s">
        <v>139</v>
      </c>
    </row>
    <row r="2023">
      <c r="A2023" s="43">
        <v>45978.53310512731</v>
      </c>
      <c r="B2023" s="1" t="s">
        <v>1</v>
      </c>
      <c r="C2023" s="1" t="s">
        <v>92</v>
      </c>
      <c r="D2023" s="1" t="s">
        <v>154</v>
      </c>
      <c r="F2023" s="1" t="s">
        <v>151</v>
      </c>
      <c r="G2023" s="1" t="s">
        <v>139</v>
      </c>
    </row>
    <row r="2024">
      <c r="A2024" s="43">
        <v>45978.601260208336</v>
      </c>
      <c r="F2024" s="1" t="s">
        <v>147</v>
      </c>
    </row>
    <row r="2025">
      <c r="A2025" s="43">
        <v>45979.42642001157</v>
      </c>
      <c r="B2025" s="44" t="s">
        <v>87</v>
      </c>
      <c r="C2025" s="1" t="s">
        <v>92</v>
      </c>
      <c r="D2025" s="1" t="s">
        <v>121</v>
      </c>
    </row>
    <row r="2026">
      <c r="A2026" s="43">
        <v>45980.41705123843</v>
      </c>
      <c r="B2026" s="1" t="s">
        <v>90</v>
      </c>
      <c r="D2026" s="1" t="s">
        <v>126</v>
      </c>
      <c r="E2026" s="1" t="s">
        <v>137</v>
      </c>
      <c r="F2026" s="1" t="s">
        <v>155</v>
      </c>
      <c r="G2026" s="1" t="s">
        <v>139</v>
      </c>
    </row>
    <row r="2027">
      <c r="A2027" s="43">
        <v>45980.419012928236</v>
      </c>
      <c r="B2027" s="1" t="s">
        <v>90</v>
      </c>
      <c r="D2027" s="1" t="s">
        <v>126</v>
      </c>
      <c r="E2027" s="1" t="s">
        <v>171</v>
      </c>
      <c r="F2027" s="1" t="s">
        <v>155</v>
      </c>
      <c r="G2027" s="1" t="s">
        <v>139</v>
      </c>
    </row>
    <row r="2028">
      <c r="A2028" s="43">
        <v>45981.41901539352</v>
      </c>
      <c r="B2028" s="1" t="s">
        <v>1</v>
      </c>
      <c r="C2028" s="1" t="s">
        <v>91</v>
      </c>
      <c r="D2028" s="1" t="s">
        <v>121</v>
      </c>
      <c r="F2028" s="1" t="s">
        <v>162</v>
      </c>
      <c r="G2028" s="1" t="s">
        <v>139</v>
      </c>
    </row>
    <row r="2029">
      <c r="A2029" s="43">
        <v>45982.4281905324</v>
      </c>
      <c r="B2029" s="1" t="s">
        <v>1</v>
      </c>
      <c r="C2029" s="1" t="s">
        <v>92</v>
      </c>
      <c r="D2029" s="1" t="s">
        <v>118</v>
      </c>
      <c r="F2029" s="1" t="s">
        <v>162</v>
      </c>
      <c r="G2029" s="1" t="s">
        <v>139</v>
      </c>
    </row>
    <row r="2030">
      <c r="A2030" s="43">
        <v>45983.754855</v>
      </c>
      <c r="C2030" s="1" t="s">
        <v>163</v>
      </c>
      <c r="D2030" s="1" t="s">
        <v>123</v>
      </c>
      <c r="F2030" s="1" t="s">
        <v>153</v>
      </c>
    </row>
    <row r="2031">
      <c r="A2031" s="43">
        <v>45983.76393608796</v>
      </c>
      <c r="D2031" s="1" t="s">
        <v>118</v>
      </c>
    </row>
    <row r="2032">
      <c r="A2032" s="43">
        <v>45984.470271388884</v>
      </c>
      <c r="B2032" s="1" t="s">
        <v>1</v>
      </c>
      <c r="C2032" s="1" t="s">
        <v>92</v>
      </c>
      <c r="D2032" s="1" t="s">
        <v>116</v>
      </c>
    </row>
    <row r="2033">
      <c r="A2033" s="43">
        <v>45985.41984059028</v>
      </c>
      <c r="B2033" s="1" t="s">
        <v>1</v>
      </c>
      <c r="C2033" s="1" t="s">
        <v>92</v>
      </c>
      <c r="D2033" s="1" t="s">
        <v>113</v>
      </c>
      <c r="F2033" s="1" t="s">
        <v>162</v>
      </c>
      <c r="G2033" s="1" t="s">
        <v>139</v>
      </c>
    </row>
    <row r="2034">
      <c r="A2034" s="43">
        <v>45986.45467950232</v>
      </c>
      <c r="B2034" s="1" t="s">
        <v>1</v>
      </c>
      <c r="C2034" s="1" t="s">
        <v>91</v>
      </c>
      <c r="D2034" s="1" t="s">
        <v>113</v>
      </c>
    </row>
    <row r="2035">
      <c r="A2035" s="43">
        <v>45986.45561502315</v>
      </c>
      <c r="C2035" s="1" t="s">
        <v>164</v>
      </c>
      <c r="F2035" s="1" t="s">
        <v>153</v>
      </c>
    </row>
    <row r="2036">
      <c r="A2036" s="43">
        <v>45987.34763950232</v>
      </c>
      <c r="C2036" s="1" t="s">
        <v>163</v>
      </c>
    </row>
    <row r="2037">
      <c r="A2037" s="43">
        <v>45987.458315578704</v>
      </c>
      <c r="B2037" s="1" t="s">
        <v>174</v>
      </c>
      <c r="D2037" s="1" t="s">
        <v>175</v>
      </c>
      <c r="E2037" s="1" t="s">
        <v>137</v>
      </c>
      <c r="F2037" s="1" t="s">
        <v>155</v>
      </c>
      <c r="G2037" s="1" t="s">
        <v>139</v>
      </c>
    </row>
    <row r="2038">
      <c r="A2038" s="43">
        <v>45988.43932560185</v>
      </c>
      <c r="B2038" s="1" t="s">
        <v>77</v>
      </c>
      <c r="C2038" s="1" t="s">
        <v>92</v>
      </c>
      <c r="D2038" s="1" t="s">
        <v>117</v>
      </c>
      <c r="F2038" s="1" t="s">
        <v>147</v>
      </c>
      <c r="G2038" s="1" t="s">
        <v>139</v>
      </c>
    </row>
    <row r="2039">
      <c r="A2039" s="43">
        <v>45989.44410424768</v>
      </c>
      <c r="B2039" s="1" t="s">
        <v>77</v>
      </c>
      <c r="C2039" s="1" t="s">
        <v>92</v>
      </c>
      <c r="D2039" s="1" t="s">
        <v>117</v>
      </c>
      <c r="F2039" s="1" t="s">
        <v>147</v>
      </c>
      <c r="G2039" s="1" t="s">
        <v>139</v>
      </c>
    </row>
    <row r="2040">
      <c r="A2040" s="43">
        <v>45990.44711320601</v>
      </c>
      <c r="B2040" s="1" t="s">
        <v>77</v>
      </c>
      <c r="C2040" s="1" t="s">
        <v>2</v>
      </c>
      <c r="D2040" s="1" t="s">
        <v>119</v>
      </c>
    </row>
    <row r="2041">
      <c r="A2041" s="43">
        <v>45990.51822920139</v>
      </c>
      <c r="F2041" s="1" t="s">
        <v>162</v>
      </c>
      <c r="G2041" s="1" t="s">
        <v>139</v>
      </c>
    </row>
    <row r="2042">
      <c r="A2042" s="43">
        <v>45990.774233564814</v>
      </c>
      <c r="F2042" s="1" t="s">
        <v>155</v>
      </c>
    </row>
    <row r="2043">
      <c r="A2043" s="43">
        <v>45991.42003502315</v>
      </c>
      <c r="B2043" s="1" t="s">
        <v>1</v>
      </c>
      <c r="C2043" s="1" t="s">
        <v>91</v>
      </c>
      <c r="D2043" s="1" t="s">
        <v>125</v>
      </c>
    </row>
    <row r="2044">
      <c r="A2044" s="43">
        <v>45992.47074052083</v>
      </c>
      <c r="B2044" s="1" t="s">
        <v>1</v>
      </c>
      <c r="C2044" s="1" t="s">
        <v>91</v>
      </c>
      <c r="D2044" s="1" t="s">
        <v>125</v>
      </c>
    </row>
    <row r="2045">
      <c r="A2045" s="43">
        <v>45993.56636633102</v>
      </c>
      <c r="B2045" s="1" t="s">
        <v>1</v>
      </c>
      <c r="C2045" s="1" t="s">
        <v>91</v>
      </c>
      <c r="D2045" s="1" t="s">
        <v>125</v>
      </c>
      <c r="F2045" s="1" t="s">
        <v>151</v>
      </c>
      <c r="G2045" s="1" t="s">
        <v>139</v>
      </c>
    </row>
    <row r="2046">
      <c r="A2046" s="43">
        <v>45994.41700212963</v>
      </c>
      <c r="B2046" s="44" t="s">
        <v>87</v>
      </c>
      <c r="C2046" s="1" t="s">
        <v>91</v>
      </c>
      <c r="D2046" s="1" t="s">
        <v>113</v>
      </c>
    </row>
    <row r="2047">
      <c r="A2047" s="43">
        <v>45994.41741061343</v>
      </c>
      <c r="C2047" s="1" t="s">
        <v>163</v>
      </c>
      <c r="D2047" s="1" t="s">
        <v>123</v>
      </c>
      <c r="F2047" s="1" t="s">
        <v>153</v>
      </c>
    </row>
    <row r="2048">
      <c r="A2048" s="43">
        <v>45994.75307373842</v>
      </c>
      <c r="B2048" s="1" t="s">
        <v>174</v>
      </c>
      <c r="D2048" s="1" t="s">
        <v>175</v>
      </c>
      <c r="E2048" s="1" t="s">
        <v>171</v>
      </c>
      <c r="F2048" s="1" t="s">
        <v>155</v>
      </c>
      <c r="G2048" s="1" t="s">
        <v>139</v>
      </c>
    </row>
    <row r="2049">
      <c r="A2049" s="43">
        <v>45995.460933090275</v>
      </c>
      <c r="B2049" s="1" t="s">
        <v>77</v>
      </c>
      <c r="C2049" s="1" t="s">
        <v>92</v>
      </c>
      <c r="D2049" s="1" t="s">
        <v>118</v>
      </c>
      <c r="F2049" s="1" t="s">
        <v>162</v>
      </c>
      <c r="G2049" s="1" t="s">
        <v>139</v>
      </c>
    </row>
    <row r="2050">
      <c r="A2050" s="43">
        <v>45996.49608067129</v>
      </c>
      <c r="B2050" s="1" t="s">
        <v>1</v>
      </c>
      <c r="C2050" s="1" t="s">
        <v>92</v>
      </c>
      <c r="D2050" s="1" t="s">
        <v>118</v>
      </c>
      <c r="F2050" s="1" t="s">
        <v>162</v>
      </c>
      <c r="G2050" s="1" t="s">
        <v>139</v>
      </c>
    </row>
    <row r="2051">
      <c r="A2051" s="43">
        <v>45997.505873692135</v>
      </c>
      <c r="B2051" s="1" t="s">
        <v>1</v>
      </c>
      <c r="C2051" s="1" t="s">
        <v>92</v>
      </c>
      <c r="D2051" s="1" t="s">
        <v>118</v>
      </c>
      <c r="F2051" s="1" t="s">
        <v>162</v>
      </c>
      <c r="G2051" s="1" t="s">
        <v>139</v>
      </c>
    </row>
    <row r="2052">
      <c r="A2052" s="43">
        <v>45998.499622187504</v>
      </c>
      <c r="B2052" s="1" t="s">
        <v>0</v>
      </c>
      <c r="C2052" s="1" t="s">
        <v>91</v>
      </c>
      <c r="D2052" s="1" t="s">
        <v>110</v>
      </c>
    </row>
    <row r="2053">
      <c r="A2053" s="43">
        <v>45998.54195200231</v>
      </c>
      <c r="F2053" s="1" t="s">
        <v>151</v>
      </c>
      <c r="G2053" s="1" t="s">
        <v>140</v>
      </c>
    </row>
    <row r="2054">
      <c r="A2054" s="43">
        <v>45999.48426730324</v>
      </c>
      <c r="B2054" s="1" t="s">
        <v>0</v>
      </c>
      <c r="C2054" s="1" t="s">
        <v>92</v>
      </c>
      <c r="D2054" s="1" t="s">
        <v>115</v>
      </c>
      <c r="F2054" s="1" t="s">
        <v>151</v>
      </c>
      <c r="G2054" s="1" t="s">
        <v>140</v>
      </c>
    </row>
    <row r="2055">
      <c r="A2055" s="43">
        <v>46000.68155648148</v>
      </c>
      <c r="B2055" s="1" t="s">
        <v>174</v>
      </c>
      <c r="D2055" s="1" t="s">
        <v>175</v>
      </c>
      <c r="E2055" s="1" t="s">
        <v>137</v>
      </c>
      <c r="F2055" s="1" t="s">
        <v>155</v>
      </c>
      <c r="G2055" s="1" t="s">
        <v>139</v>
      </c>
    </row>
    <row r="2056">
      <c r="A2056" s="43">
        <v>46001.4170087963</v>
      </c>
      <c r="B2056" s="44" t="s">
        <v>87</v>
      </c>
      <c r="C2056" s="1" t="s">
        <v>92</v>
      </c>
      <c r="D2056" s="1" t="s">
        <v>121</v>
      </c>
    </row>
    <row r="2057">
      <c r="A2057" s="43">
        <v>46001.93498431713</v>
      </c>
      <c r="F2057" s="1" t="s">
        <v>151</v>
      </c>
      <c r="G2057" s="1" t="s">
        <v>140</v>
      </c>
    </row>
    <row r="2058">
      <c r="A2058" s="43">
        <v>46002.73353413194</v>
      </c>
      <c r="B2058" s="1" t="s">
        <v>174</v>
      </c>
      <c r="D2058" s="1" t="s">
        <v>175</v>
      </c>
      <c r="E2058" s="1" t="s">
        <v>171</v>
      </c>
      <c r="F2058" s="1" t="s">
        <v>155</v>
      </c>
      <c r="G2058" s="1" t="s">
        <v>139</v>
      </c>
    </row>
    <row r="2059">
      <c r="A2059" s="43">
        <v>46003.44004046296</v>
      </c>
      <c r="B2059" s="1" t="s">
        <v>77</v>
      </c>
      <c r="C2059" s="1" t="s">
        <v>92</v>
      </c>
      <c r="D2059" s="1" t="s">
        <v>117</v>
      </c>
      <c r="F2059" s="1" t="s">
        <v>179</v>
      </c>
      <c r="G2059" s="1" t="s">
        <v>139</v>
      </c>
    </row>
    <row r="2060">
      <c r="A2060" s="43">
        <v>46004.41694607639</v>
      </c>
      <c r="C2060" s="1" t="s">
        <v>2</v>
      </c>
      <c r="F2060" s="1" t="s">
        <v>153</v>
      </c>
    </row>
    <row r="2061">
      <c r="A2061" s="43">
        <v>46004.41714695602</v>
      </c>
      <c r="B2061" s="1" t="s">
        <v>167</v>
      </c>
      <c r="C2061" s="1" t="s">
        <v>163</v>
      </c>
      <c r="D2061" s="1" t="s">
        <v>123</v>
      </c>
      <c r="G2061" s="1" t="s">
        <v>140</v>
      </c>
    </row>
    <row r="2062">
      <c r="A2062" s="43">
        <v>46004.45737150463</v>
      </c>
      <c r="B2062" s="1" t="s">
        <v>0</v>
      </c>
      <c r="C2062" s="1" t="s">
        <v>91</v>
      </c>
      <c r="D2062" s="1" t="s">
        <v>115</v>
      </c>
      <c r="F2062" s="1" t="s">
        <v>151</v>
      </c>
    </row>
    <row r="2063">
      <c r="A2063" s="43">
        <v>46005.46824646991</v>
      </c>
      <c r="B2063" s="1" t="s">
        <v>167</v>
      </c>
      <c r="C2063" s="1" t="s">
        <v>163</v>
      </c>
    </row>
    <row r="2064">
      <c r="A2064" s="43">
        <v>46005.608066354165</v>
      </c>
      <c r="B2064" s="1" t="s">
        <v>0</v>
      </c>
      <c r="C2064" s="1" t="s">
        <v>91</v>
      </c>
      <c r="D2064" s="1" t="s">
        <v>115</v>
      </c>
      <c r="F2064" s="1" t="s">
        <v>151</v>
      </c>
      <c r="G2064" s="1" t="s">
        <v>140</v>
      </c>
    </row>
    <row r="2065">
      <c r="A2065" s="43">
        <v>46006.48992862269</v>
      </c>
      <c r="B2065" s="1" t="s">
        <v>90</v>
      </c>
      <c r="D2065" s="1" t="s">
        <v>126</v>
      </c>
      <c r="E2065" s="1" t="s">
        <v>137</v>
      </c>
      <c r="F2065" s="1" t="s">
        <v>155</v>
      </c>
      <c r="G2065" s="1" t="s">
        <v>139</v>
      </c>
    </row>
    <row r="2066">
      <c r="A2066" s="43">
        <v>46007.52515282408</v>
      </c>
      <c r="B2066" s="1" t="s">
        <v>174</v>
      </c>
      <c r="D2066" s="1" t="s">
        <v>175</v>
      </c>
      <c r="E2066" s="1" t="s">
        <v>171</v>
      </c>
      <c r="F2066" s="1" t="s">
        <v>155</v>
      </c>
      <c r="G2066" s="1" t="s">
        <v>139</v>
      </c>
    </row>
    <row r="2067">
      <c r="A2067" s="43">
        <v>46008.461380810186</v>
      </c>
      <c r="B2067" s="1" t="s">
        <v>77</v>
      </c>
      <c r="C2067" s="1" t="s">
        <v>92</v>
      </c>
      <c r="D2067" s="1" t="s">
        <v>119</v>
      </c>
      <c r="F2067" s="1" t="s">
        <v>179</v>
      </c>
      <c r="G2067" s="1" t="s">
        <v>139</v>
      </c>
    </row>
    <row r="2068">
      <c r="A2068" s="43">
        <v>46009.39390635416</v>
      </c>
      <c r="B2068" s="1" t="s">
        <v>90</v>
      </c>
      <c r="D2068" s="1" t="s">
        <v>126</v>
      </c>
      <c r="E2068" s="1" t="s">
        <v>172</v>
      </c>
      <c r="F2068" s="1" t="s">
        <v>155</v>
      </c>
      <c r="G2068" s="1" t="s">
        <v>139</v>
      </c>
    </row>
    <row r="2069">
      <c r="A2069" s="43">
        <v>46010.34144135416</v>
      </c>
      <c r="B2069" s="1" t="s">
        <v>77</v>
      </c>
      <c r="C2069" s="1" t="s">
        <v>91</v>
      </c>
      <c r="D2069" s="1" t="s">
        <v>107</v>
      </c>
      <c r="F2069" s="1" t="s">
        <v>147</v>
      </c>
      <c r="G2069" s="1" t="s">
        <v>139</v>
      </c>
    </row>
    <row r="2070">
      <c r="A2070" s="43">
        <v>46011.56562034722</v>
      </c>
      <c r="B2070" s="1" t="s">
        <v>1</v>
      </c>
      <c r="C2070" s="1" t="s">
        <v>92</v>
      </c>
      <c r="D2070" s="1" t="s">
        <v>116</v>
      </c>
    </row>
    <row r="2071">
      <c r="A2071" s="43">
        <v>46011.89091357639</v>
      </c>
      <c r="F2071" s="1" t="s">
        <v>151</v>
      </c>
      <c r="G2071" s="1" t="s">
        <v>140</v>
      </c>
    </row>
    <row r="2072">
      <c r="A2072" s="43">
        <v>46012.484230752314</v>
      </c>
      <c r="B2072" s="1" t="s">
        <v>167</v>
      </c>
      <c r="C2072" s="1" t="s">
        <v>2</v>
      </c>
      <c r="F2072" s="1" t="s">
        <v>153</v>
      </c>
    </row>
    <row r="2073">
      <c r="A2073" s="43">
        <v>46012.498960173616</v>
      </c>
      <c r="B2073" s="1" t="s">
        <v>1</v>
      </c>
      <c r="C2073" s="1" t="s">
        <v>92</v>
      </c>
      <c r="D2073" s="1" t="s">
        <v>116</v>
      </c>
      <c r="F2073" s="1" t="s">
        <v>151</v>
      </c>
      <c r="G2073" s="1" t="s">
        <v>140</v>
      </c>
    </row>
    <row r="2074">
      <c r="A2074" s="43">
        <v>46013.451200462965</v>
      </c>
      <c r="B2074" s="1" t="s">
        <v>1</v>
      </c>
      <c r="C2074" s="1" t="s">
        <v>92</v>
      </c>
      <c r="D2074" s="1" t="s">
        <v>116</v>
      </c>
      <c r="F2074" s="1" t="s">
        <v>151</v>
      </c>
      <c r="G2074" s="1" t="s">
        <v>140</v>
      </c>
    </row>
    <row r="2075">
      <c r="A2075" s="43">
        <v>46014.48768693287</v>
      </c>
      <c r="B2075" s="1" t="s">
        <v>1</v>
      </c>
      <c r="C2075" s="1" t="s">
        <v>92</v>
      </c>
      <c r="D2075" s="1" t="s">
        <v>154</v>
      </c>
      <c r="F2075" s="1" t="s">
        <v>162</v>
      </c>
      <c r="G2075" s="1" t="s">
        <v>140</v>
      </c>
    </row>
    <row r="2076">
      <c r="A2076" s="43">
        <v>46015.42103686342</v>
      </c>
      <c r="B2076" s="1" t="s">
        <v>1</v>
      </c>
      <c r="C2076" s="1" t="s">
        <v>92</v>
      </c>
      <c r="D2076" s="1" t="s">
        <v>154</v>
      </c>
    </row>
    <row r="2077">
      <c r="A2077" s="43">
        <v>46016.499479039354</v>
      </c>
      <c r="B2077" s="1" t="s">
        <v>77</v>
      </c>
      <c r="C2077" s="1" t="s">
        <v>91</v>
      </c>
      <c r="D2077" s="1" t="s">
        <v>154</v>
      </c>
      <c r="F2077" s="1" t="s">
        <v>147</v>
      </c>
      <c r="G2077" s="1" t="s">
        <v>139</v>
      </c>
    </row>
    <row r="2078">
      <c r="A2078" s="43">
        <v>46017.42967199074</v>
      </c>
      <c r="B2078" s="1" t="s">
        <v>77</v>
      </c>
      <c r="C2078" s="1" t="s">
        <v>91</v>
      </c>
      <c r="D2078" s="1" t="s">
        <v>154</v>
      </c>
      <c r="F2078" s="1" t="s">
        <v>147</v>
      </c>
      <c r="G2078" s="1" t="s">
        <v>139</v>
      </c>
    </row>
    <row r="2079">
      <c r="A2079" s="43">
        <v>46018.5155678588</v>
      </c>
      <c r="B2079" s="1" t="s">
        <v>1</v>
      </c>
      <c r="C2079" s="1" t="s">
        <v>2</v>
      </c>
      <c r="D2079" s="1" t="s">
        <v>121</v>
      </c>
    </row>
    <row r="2080">
      <c r="A2080" s="43">
        <v>46019.70403898148</v>
      </c>
      <c r="C2080" s="1" t="s">
        <v>2</v>
      </c>
      <c r="F2080" s="1" t="s">
        <v>152</v>
      </c>
    </row>
    <row r="2081">
      <c r="A2081" s="43">
        <v>46019.869030925925</v>
      </c>
      <c r="B2081" s="1" t="s">
        <v>1</v>
      </c>
      <c r="C2081" s="1" t="s">
        <v>91</v>
      </c>
      <c r="D2081" s="1" t="s">
        <v>121</v>
      </c>
    </row>
    <row r="2082">
      <c r="A2082" s="43">
        <v>46020.42316722222</v>
      </c>
      <c r="C2082" s="1" t="s">
        <v>2</v>
      </c>
      <c r="D2082" s="1" t="s">
        <v>123</v>
      </c>
      <c r="G2082" s="1" t="s">
        <v>140</v>
      </c>
    </row>
    <row r="2083">
      <c r="A2083" s="43">
        <v>46020.42465901621</v>
      </c>
      <c r="B2083" s="1" t="s">
        <v>1</v>
      </c>
      <c r="C2083" s="1" t="s">
        <v>91</v>
      </c>
      <c r="D2083" s="1" t="s">
        <v>103</v>
      </c>
    </row>
    <row r="2084">
      <c r="A2084" s="43">
        <v>46021.43119641204</v>
      </c>
      <c r="B2084" s="1" t="s">
        <v>1</v>
      </c>
      <c r="C2084" s="1" t="s">
        <v>91</v>
      </c>
      <c r="D2084" s="1" t="s">
        <v>103</v>
      </c>
      <c r="F2084" s="1" t="s">
        <v>151</v>
      </c>
      <c r="G2084" s="1" t="s">
        <v>140</v>
      </c>
    </row>
    <row r="2085">
      <c r="A2085" s="43">
        <v>46022.42148819444</v>
      </c>
      <c r="B2085" s="1" t="s">
        <v>77</v>
      </c>
      <c r="C2085" s="1" t="s">
        <v>92</v>
      </c>
      <c r="D2085" s="1" t="s">
        <v>117</v>
      </c>
    </row>
    <row r="2086">
      <c r="A2086" s="43">
        <v>46023.789997245374</v>
      </c>
      <c r="B2086" s="1" t="s">
        <v>77</v>
      </c>
      <c r="C2086" s="1" t="s">
        <v>92</v>
      </c>
      <c r="D2086" s="1" t="s">
        <v>117</v>
      </c>
      <c r="F2086" s="1" t="s">
        <v>147</v>
      </c>
      <c r="G2086" s="1" t="s">
        <v>140</v>
      </c>
    </row>
    <row r="2087">
      <c r="A2087" s="43">
        <v>46024.5089997801</v>
      </c>
      <c r="B2087" s="1" t="s">
        <v>1</v>
      </c>
      <c r="C2087" s="1" t="s">
        <v>92</v>
      </c>
      <c r="D2087" s="1" t="s">
        <v>154</v>
      </c>
      <c r="F2087" s="1" t="s">
        <v>151</v>
      </c>
    </row>
    <row r="2088">
      <c r="A2088" s="43">
        <v>46026.35613211806</v>
      </c>
      <c r="B2088" s="1" t="s">
        <v>1</v>
      </c>
      <c r="C2088" s="1" t="s">
        <v>92</v>
      </c>
      <c r="D2088" s="1" t="s">
        <v>115</v>
      </c>
      <c r="F2088" s="1" t="s">
        <v>151</v>
      </c>
    </row>
    <row r="2089">
      <c r="A2089" s="43">
        <v>46026.77244724537</v>
      </c>
      <c r="B2089" s="1" t="s">
        <v>1</v>
      </c>
      <c r="C2089" s="1" t="s">
        <v>92</v>
      </c>
      <c r="D2089" s="1" t="s">
        <v>115</v>
      </c>
      <c r="F2089" s="1" t="s">
        <v>151</v>
      </c>
    </row>
    <row r="2090">
      <c r="A2090" s="43">
        <v>46027.73204990741</v>
      </c>
      <c r="B2090" s="1" t="s">
        <v>1</v>
      </c>
      <c r="C2090" s="1" t="s">
        <v>92</v>
      </c>
      <c r="D2090" s="1" t="s">
        <v>154</v>
      </c>
      <c r="F2090" s="1" t="s">
        <v>151</v>
      </c>
    </row>
    <row r="2091">
      <c r="A2091" s="43">
        <v>46029.68954203704</v>
      </c>
      <c r="B2091" s="1" t="s">
        <v>1</v>
      </c>
      <c r="C2091" s="1" t="s">
        <v>92</v>
      </c>
      <c r="D2091" s="1" t="s">
        <v>154</v>
      </c>
      <c r="F2091" s="1" t="s">
        <v>151</v>
      </c>
    </row>
    <row r="2092">
      <c r="A2092" s="43">
        <v>46030.95130216435</v>
      </c>
      <c r="B2092" s="1" t="s">
        <v>1</v>
      </c>
      <c r="C2092" s="1" t="s">
        <v>92</v>
      </c>
      <c r="D2092" s="1" t="s">
        <v>154</v>
      </c>
      <c r="F2092" s="1" t="s">
        <v>151</v>
      </c>
    </row>
    <row r="2093">
      <c r="A2093" s="43">
        <v>46031.443373483795</v>
      </c>
      <c r="B2093" s="1" t="s">
        <v>1</v>
      </c>
      <c r="C2093" s="1" t="s">
        <v>92</v>
      </c>
      <c r="D2093" s="1" t="s">
        <v>154</v>
      </c>
      <c r="F2093" s="1" t="s">
        <v>151</v>
      </c>
    </row>
    <row r="2094">
      <c r="A2094" s="43">
        <v>46032.53299715278</v>
      </c>
      <c r="B2094" s="1" t="s">
        <v>84</v>
      </c>
      <c r="C2094" s="1" t="s">
        <v>91</v>
      </c>
      <c r="D2094" s="1" t="s">
        <v>107</v>
      </c>
    </row>
    <row r="2095">
      <c r="A2095" s="43">
        <v>46032.9645897338</v>
      </c>
      <c r="F2095" s="1" t="s">
        <v>162</v>
      </c>
      <c r="G2095" s="1" t="s">
        <v>140</v>
      </c>
    </row>
    <row r="2096">
      <c r="A2096" s="43">
        <v>46033.545183449074</v>
      </c>
      <c r="B2096" s="1" t="s">
        <v>84</v>
      </c>
      <c r="C2096" s="1" t="s">
        <v>91</v>
      </c>
      <c r="D2096" s="1" t="s">
        <v>107</v>
      </c>
      <c r="F2096" s="1" t="s">
        <v>162</v>
      </c>
      <c r="G2096" s="1" t="s">
        <v>139</v>
      </c>
    </row>
    <row r="2097">
      <c r="A2097" s="43">
        <v>46033.54578652778</v>
      </c>
      <c r="C2097" s="1" t="s">
        <v>163</v>
      </c>
    </row>
    <row r="2098">
      <c r="A2098" s="43">
        <v>46033.54635877315</v>
      </c>
      <c r="B2098" s="1" t="s">
        <v>167</v>
      </c>
      <c r="C2098" s="1" t="s">
        <v>163</v>
      </c>
      <c r="F2098" s="1" t="s">
        <v>153</v>
      </c>
    </row>
    <row r="2099">
      <c r="A2099" s="43">
        <v>46034.42968288195</v>
      </c>
      <c r="B2099" s="1" t="s">
        <v>174</v>
      </c>
      <c r="D2099" s="1" t="s">
        <v>175</v>
      </c>
      <c r="E2099" s="1" t="s">
        <v>137</v>
      </c>
      <c r="F2099" s="1" t="s">
        <v>155</v>
      </c>
      <c r="G2099" s="1" t="s">
        <v>139</v>
      </c>
    </row>
    <row r="2100">
      <c r="A2100" s="43">
        <v>46035.445763020834</v>
      </c>
      <c r="B2100" s="1" t="s">
        <v>84</v>
      </c>
      <c r="C2100" s="1" t="s">
        <v>91</v>
      </c>
      <c r="D2100" s="1" t="s">
        <v>154</v>
      </c>
    </row>
    <row r="2101">
      <c r="A2101" s="43">
        <v>46035.50112721065</v>
      </c>
      <c r="B2101" s="1" t="s">
        <v>174</v>
      </c>
      <c r="D2101" s="1" t="s">
        <v>175</v>
      </c>
      <c r="E2101" s="1" t="s">
        <v>172</v>
      </c>
      <c r="F2101" s="1" t="s">
        <v>155</v>
      </c>
      <c r="G2101" s="1" t="s">
        <v>139</v>
      </c>
    </row>
    <row r="2102">
      <c r="A2102" s="43">
        <v>46036.456352071764</v>
      </c>
      <c r="B2102" s="1" t="s">
        <v>84</v>
      </c>
      <c r="C2102" s="1" t="s">
        <v>91</v>
      </c>
      <c r="D2102" s="1" t="s">
        <v>154</v>
      </c>
      <c r="F2102" s="1" t="s">
        <v>155</v>
      </c>
      <c r="G2102" s="1" t="s">
        <v>139</v>
      </c>
    </row>
    <row r="2103">
      <c r="A2103" s="43">
        <v>46037.532336331016</v>
      </c>
      <c r="B2103" s="1" t="s">
        <v>90</v>
      </c>
      <c r="D2103" s="1" t="s">
        <v>126</v>
      </c>
      <c r="E2103" s="1" t="s">
        <v>137</v>
      </c>
      <c r="F2103" s="1" t="s">
        <v>155</v>
      </c>
      <c r="G2103" s="1" t="s">
        <v>139</v>
      </c>
    </row>
    <row r="2104">
      <c r="A2104" s="43">
        <v>46038.34095450232</v>
      </c>
      <c r="B2104" s="1" t="s">
        <v>77</v>
      </c>
      <c r="C2104" s="1" t="s">
        <v>91</v>
      </c>
      <c r="D2104" s="1" t="s">
        <v>154</v>
      </c>
      <c r="F2104" s="1" t="s">
        <v>179</v>
      </c>
      <c r="G2104" s="1" t="s">
        <v>139</v>
      </c>
    </row>
    <row r="2105">
      <c r="A2105" s="43">
        <v>46039.42393016204</v>
      </c>
      <c r="B2105" s="1" t="s">
        <v>77</v>
      </c>
      <c r="C2105" s="1" t="s">
        <v>91</v>
      </c>
      <c r="D2105" s="1" t="s">
        <v>117</v>
      </c>
      <c r="F2105" s="1" t="s">
        <v>162</v>
      </c>
      <c r="G2105" s="1" t="s">
        <v>140</v>
      </c>
    </row>
    <row r="2106">
      <c r="A2106" s="43">
        <v>46040.43019170139</v>
      </c>
      <c r="B2106" s="44" t="s">
        <v>87</v>
      </c>
      <c r="C2106" s="1" t="s">
        <v>92</v>
      </c>
      <c r="D2106" s="1" t="s">
        <v>114</v>
      </c>
    </row>
    <row r="2107">
      <c r="A2107" s="43">
        <v>46040.56695180555</v>
      </c>
      <c r="G2107" s="1" t="s">
        <v>144</v>
      </c>
    </row>
    <row r="2108">
      <c r="A2108" s="43">
        <v>46040.709767175926</v>
      </c>
      <c r="F2108" s="1" t="s">
        <v>162</v>
      </c>
      <c r="G2108" s="1" t="s">
        <v>140</v>
      </c>
    </row>
    <row r="2109">
      <c r="A2109" s="43">
        <v>46041.45912290509</v>
      </c>
      <c r="B2109" s="1" t="s">
        <v>1</v>
      </c>
      <c r="C2109" s="1" t="s">
        <v>92</v>
      </c>
      <c r="D2109" s="1" t="s">
        <v>118</v>
      </c>
      <c r="F2109" s="1" t="s">
        <v>147</v>
      </c>
      <c r="G2109" s="1" t="s">
        <v>139</v>
      </c>
    </row>
    <row r="2110">
      <c r="A2110" s="43">
        <v>46042.489576921296</v>
      </c>
      <c r="B2110" s="1" t="s">
        <v>90</v>
      </c>
      <c r="D2110" s="1" t="s">
        <v>126</v>
      </c>
      <c r="E2110" s="1" t="s">
        <v>137</v>
      </c>
      <c r="F2110" s="1" t="s">
        <v>155</v>
      </c>
      <c r="G2110" s="1" t="s">
        <v>139</v>
      </c>
    </row>
    <row r="2111">
      <c r="A2111" s="43">
        <v>46043.417357997685</v>
      </c>
      <c r="B2111" s="1" t="s">
        <v>1</v>
      </c>
      <c r="C2111" s="1" t="s">
        <v>91</v>
      </c>
      <c r="D2111" s="1" t="s">
        <v>114</v>
      </c>
    </row>
    <row r="2112">
      <c r="A2112" s="43">
        <v>46043.4179287963</v>
      </c>
      <c r="C2112" s="1" t="s">
        <v>163</v>
      </c>
      <c r="D2112" s="1" t="s">
        <v>123</v>
      </c>
      <c r="G2112" s="1" t="s">
        <v>140</v>
      </c>
    </row>
    <row r="2113">
      <c r="A2113" s="43">
        <v>46044.41700004629</v>
      </c>
      <c r="B2113" s="1" t="s">
        <v>174</v>
      </c>
      <c r="D2113" s="1" t="s">
        <v>175</v>
      </c>
      <c r="E2113" s="1" t="s">
        <v>171</v>
      </c>
      <c r="F2113" s="1" t="s">
        <v>155</v>
      </c>
      <c r="G2113" s="1" t="s">
        <v>139</v>
      </c>
    </row>
    <row r="2114">
      <c r="A2114" s="43">
        <v>46045.449956956014</v>
      </c>
      <c r="B2114" s="1" t="s">
        <v>1</v>
      </c>
      <c r="C2114" s="1" t="s">
        <v>92</v>
      </c>
      <c r="D2114" s="1" t="s">
        <v>117</v>
      </c>
      <c r="F2114" s="1" t="s">
        <v>162</v>
      </c>
      <c r="G2114" s="1" t="s">
        <v>140</v>
      </c>
    </row>
    <row r="2115">
      <c r="A2115" s="43">
        <v>46046.35333</v>
      </c>
      <c r="B2115" s="1" t="s">
        <v>81</v>
      </c>
      <c r="C2115" s="1" t="s">
        <v>92</v>
      </c>
      <c r="D2115" s="1" t="s">
        <v>116</v>
      </c>
      <c r="F2115" s="1" t="s">
        <v>150</v>
      </c>
      <c r="G2115" s="1" t="s">
        <v>140</v>
      </c>
    </row>
    <row r="2116">
      <c r="A2116" s="43">
        <v>46047.57661236111</v>
      </c>
      <c r="B2116" s="1" t="s">
        <v>77</v>
      </c>
      <c r="C2116" s="1" t="s">
        <v>91</v>
      </c>
      <c r="D2116" s="1" t="s">
        <v>125</v>
      </c>
      <c r="F2116" s="1" t="s">
        <v>162</v>
      </c>
      <c r="G2116" s="1" t="s">
        <v>140</v>
      </c>
    </row>
    <row r="2117">
      <c r="A2117" s="43">
        <v>46048.54948780093</v>
      </c>
      <c r="B2117" s="44" t="s">
        <v>87</v>
      </c>
      <c r="C2117" s="1" t="s">
        <v>92</v>
      </c>
      <c r="D2117" s="1" t="s">
        <v>113</v>
      </c>
    </row>
    <row r="2118">
      <c r="A2118" s="43">
        <v>46049.49963119213</v>
      </c>
      <c r="B2118" s="44" t="s">
        <v>87</v>
      </c>
      <c r="C2118" s="1" t="s">
        <v>92</v>
      </c>
      <c r="D2118" s="1" t="s">
        <v>113</v>
      </c>
    </row>
    <row r="2119">
      <c r="A2119" s="43">
        <v>46050.41829430556</v>
      </c>
      <c r="B2119" s="1" t="s">
        <v>1</v>
      </c>
      <c r="C2119" s="1" t="s">
        <v>91</v>
      </c>
      <c r="D2119" s="1" t="s">
        <v>118</v>
      </c>
      <c r="F2119" s="1" t="s">
        <v>162</v>
      </c>
      <c r="G2119" s="1" t="s">
        <v>140</v>
      </c>
    </row>
    <row r="2120">
      <c r="A2120" s="43">
        <v>46051.416999085646</v>
      </c>
      <c r="B2120" s="1" t="s">
        <v>174</v>
      </c>
      <c r="D2120" s="1" t="s">
        <v>175</v>
      </c>
      <c r="E2120" s="1" t="s">
        <v>172</v>
      </c>
      <c r="F2120" s="1" t="s">
        <v>155</v>
      </c>
      <c r="G2120" s="1" t="s">
        <v>139</v>
      </c>
    </row>
    <row r="2121">
      <c r="A2121" s="43">
        <v>46052.53359070602</v>
      </c>
      <c r="B2121" s="1" t="s">
        <v>1</v>
      </c>
      <c r="C2121" s="1" t="s">
        <v>91</v>
      </c>
      <c r="D2121" s="1" t="s">
        <v>118</v>
      </c>
      <c r="F2121" s="1" t="s">
        <v>147</v>
      </c>
      <c r="G2121" s="1" t="s">
        <v>139</v>
      </c>
    </row>
    <row r="2122">
      <c r="A2122" s="43">
        <v>46053.4589825463</v>
      </c>
      <c r="B2122" s="1" t="s">
        <v>167</v>
      </c>
      <c r="C2122" s="1" t="s">
        <v>163</v>
      </c>
      <c r="D2122" s="1" t="s">
        <v>123</v>
      </c>
      <c r="F2122" s="1" t="s">
        <v>153</v>
      </c>
    </row>
    <row r="2123">
      <c r="A2123" s="43">
        <v>46053.459100555556</v>
      </c>
      <c r="C2123" s="1" t="s">
        <v>163</v>
      </c>
      <c r="F2123" s="1" t="s">
        <v>153</v>
      </c>
    </row>
    <row r="2124">
      <c r="A2124" s="43">
        <v>46053.62814152778</v>
      </c>
      <c r="B2124" s="1" t="s">
        <v>84</v>
      </c>
      <c r="C2124" s="1" t="s">
        <v>2</v>
      </c>
      <c r="D2124" s="1" t="s">
        <v>115</v>
      </c>
      <c r="F2124" s="1" t="s">
        <v>151</v>
      </c>
      <c r="G2124" s="1" t="s">
        <v>140</v>
      </c>
    </row>
    <row r="2125">
      <c r="A2125" s="43">
        <v>46054.75317049769</v>
      </c>
      <c r="B2125" s="1" t="s">
        <v>81</v>
      </c>
      <c r="C2125" s="1" t="s">
        <v>93</v>
      </c>
    </row>
    <row r="2126">
      <c r="A2126" s="43">
        <v>46054.75390005787</v>
      </c>
      <c r="B2126" s="1" t="s">
        <v>84</v>
      </c>
      <c r="C2126" s="1" t="s">
        <v>2</v>
      </c>
      <c r="D2126" s="1" t="s">
        <v>115</v>
      </c>
      <c r="F2126" s="1" t="s">
        <v>151</v>
      </c>
      <c r="G2126" s="1" t="s">
        <v>140</v>
      </c>
    </row>
    <row r="2127">
      <c r="A2127" s="43">
        <v>46055.42668159722</v>
      </c>
      <c r="B2127" s="1" t="s">
        <v>84</v>
      </c>
      <c r="C2127" s="1" t="s">
        <v>2</v>
      </c>
      <c r="D2127" s="1" t="s">
        <v>115</v>
      </c>
      <c r="F2127" s="1" t="s">
        <v>151</v>
      </c>
      <c r="G2127" s="1" t="s">
        <v>140</v>
      </c>
    </row>
    <row r="2128">
      <c r="A2128" s="43">
        <v>46056.42157143519</v>
      </c>
      <c r="B2128" s="1" t="s">
        <v>90</v>
      </c>
      <c r="D2128" s="1" t="s">
        <v>126</v>
      </c>
      <c r="E2128" s="1" t="s">
        <v>137</v>
      </c>
      <c r="F2128" s="1" t="s">
        <v>155</v>
      </c>
      <c r="G2128" s="1" t="s">
        <v>139</v>
      </c>
    </row>
    <row r="2129">
      <c r="A2129" s="43">
        <v>46057.350679375</v>
      </c>
      <c r="B2129" s="1" t="s">
        <v>1</v>
      </c>
      <c r="C2129" s="1" t="s">
        <v>92</v>
      </c>
      <c r="D2129" s="1" t="s">
        <v>114</v>
      </c>
      <c r="F2129" s="1" t="s">
        <v>162</v>
      </c>
      <c r="G2129" s="1" t="s">
        <v>140</v>
      </c>
    </row>
    <row r="2130">
      <c r="A2130" s="43">
        <v>46058.44577559028</v>
      </c>
      <c r="B2130" s="1" t="s">
        <v>174</v>
      </c>
      <c r="D2130" s="1" t="s">
        <v>175</v>
      </c>
      <c r="E2130" s="1" t="s">
        <v>171</v>
      </c>
      <c r="F2130" s="1" t="s">
        <v>155</v>
      </c>
      <c r="G2130" s="1" t="s">
        <v>139</v>
      </c>
    </row>
    <row r="2131">
      <c r="A2131" s="43">
        <v>46059.66589719907</v>
      </c>
      <c r="B2131" s="1" t="s">
        <v>1</v>
      </c>
      <c r="C2131" s="1" t="s">
        <v>92</v>
      </c>
      <c r="D2131" s="1" t="s">
        <v>117</v>
      </c>
      <c r="F2131" s="1" t="s">
        <v>155</v>
      </c>
      <c r="G2131" s="1" t="s">
        <v>139</v>
      </c>
    </row>
    <row r="2132">
      <c r="A2132" s="43">
        <v>46060.54034153935</v>
      </c>
      <c r="C2132" s="1" t="s">
        <v>2</v>
      </c>
      <c r="D2132" s="1" t="s">
        <v>123</v>
      </c>
      <c r="G2132" s="1" t="s">
        <v>140</v>
      </c>
    </row>
    <row r="2133">
      <c r="A2133" s="43">
        <v>46060.6659108912</v>
      </c>
      <c r="B2133" s="1" t="s">
        <v>1</v>
      </c>
      <c r="C2133" s="1" t="s">
        <v>91</v>
      </c>
      <c r="D2133" s="1" t="s">
        <v>103</v>
      </c>
      <c r="F2133" s="1" t="s">
        <v>151</v>
      </c>
      <c r="G2133" s="1" t="s">
        <v>140</v>
      </c>
    </row>
    <row r="2134">
      <c r="A2134" s="43">
        <v>46061.49080131944</v>
      </c>
      <c r="B2134" s="1" t="s">
        <v>1</v>
      </c>
      <c r="C2134" s="1" t="s">
        <v>91</v>
      </c>
      <c r="D2134" s="1" t="s">
        <v>103</v>
      </c>
      <c r="F2134" s="1" t="s">
        <v>151</v>
      </c>
      <c r="G2134" s="1" t="s">
        <v>140</v>
      </c>
    </row>
    <row r="2135">
      <c r="A2135" s="43">
        <v>46062.359363564814</v>
      </c>
      <c r="B2135" s="1" t="s">
        <v>1</v>
      </c>
      <c r="C2135" s="1" t="s">
        <v>91</v>
      </c>
      <c r="D2135" s="1" t="s">
        <v>125</v>
      </c>
      <c r="F2135" s="1" t="s">
        <v>151</v>
      </c>
      <c r="G2135" s="1" t="s">
        <v>140</v>
      </c>
    </row>
    <row r="2136">
      <c r="A2136" s="43">
        <v>46063.46260039352</v>
      </c>
      <c r="B2136" s="1" t="s">
        <v>90</v>
      </c>
      <c r="D2136" s="1" t="s">
        <v>126</v>
      </c>
      <c r="E2136" s="1" t="s">
        <v>137</v>
      </c>
      <c r="F2136" s="1" t="s">
        <v>155</v>
      </c>
      <c r="G2136" s="1" t="s">
        <v>139</v>
      </c>
    </row>
    <row r="2137">
      <c r="A2137" s="43">
        <v>46064.43874592593</v>
      </c>
      <c r="B2137" s="1" t="s">
        <v>174</v>
      </c>
      <c r="D2137" s="1" t="s">
        <v>175</v>
      </c>
      <c r="E2137" s="1" t="s">
        <v>171</v>
      </c>
      <c r="F2137" s="1" t="s">
        <v>155</v>
      </c>
      <c r="G2137" s="1" t="s">
        <v>139</v>
      </c>
    </row>
    <row r="2138">
      <c r="A2138" s="43">
        <v>46065.58282577546</v>
      </c>
      <c r="B2138" s="1" t="s">
        <v>174</v>
      </c>
      <c r="D2138" s="1" t="s">
        <v>175</v>
      </c>
      <c r="E2138" s="1" t="s">
        <v>172</v>
      </c>
      <c r="F2138" s="1" t="s">
        <v>155</v>
      </c>
      <c r="G2138" s="1" t="s">
        <v>139</v>
      </c>
    </row>
    <row r="2139">
      <c r="A2139" s="43">
        <v>46066.6008649537</v>
      </c>
      <c r="B2139" s="1" t="s">
        <v>77</v>
      </c>
      <c r="C2139" s="1" t="s">
        <v>92</v>
      </c>
      <c r="D2139" s="1" t="s">
        <v>119</v>
      </c>
      <c r="F2139" s="1" t="s">
        <v>151</v>
      </c>
      <c r="G2139" s="1" t="s">
        <v>140</v>
      </c>
    </row>
    <row r="2140">
      <c r="A2140" s="43">
        <v>46067.75431900463</v>
      </c>
      <c r="B2140" s="1" t="s">
        <v>77</v>
      </c>
      <c r="C2140" s="1" t="s">
        <v>92</v>
      </c>
      <c r="D2140" s="1" t="s">
        <v>119</v>
      </c>
      <c r="F2140" s="1" t="s">
        <v>151</v>
      </c>
      <c r="G2140" s="1" t="s">
        <v>140</v>
      </c>
    </row>
    <row r="2141">
      <c r="A2141" s="43">
        <v>46068.79209853009</v>
      </c>
      <c r="B2141" s="1" t="s">
        <v>1</v>
      </c>
      <c r="C2141" s="1" t="s">
        <v>91</v>
      </c>
      <c r="D2141" s="1" t="s">
        <v>115</v>
      </c>
      <c r="F2141" s="1" t="s">
        <v>151</v>
      </c>
      <c r="G2141" s="1" t="s">
        <v>142</v>
      </c>
    </row>
    <row r="2142">
      <c r="A2142" s="43">
        <v>46068.826839444446</v>
      </c>
      <c r="C2142" s="1" t="s">
        <v>163</v>
      </c>
      <c r="D2142" s="1" t="s">
        <v>123</v>
      </c>
      <c r="F2142" s="1" t="s">
        <v>153</v>
      </c>
    </row>
    <row r="2143">
      <c r="A2143" s="43">
        <v>46068.82763671296</v>
      </c>
      <c r="C2143" s="1" t="s">
        <v>2</v>
      </c>
      <c r="D2143" s="1" t="s">
        <v>123</v>
      </c>
      <c r="F2143" s="1" t="s">
        <v>153</v>
      </c>
    </row>
    <row r="2144">
      <c r="A2144" s="43">
        <v>46069.514537152776</v>
      </c>
      <c r="B2144" s="1" t="s">
        <v>174</v>
      </c>
      <c r="D2144" s="1" t="s">
        <v>175</v>
      </c>
      <c r="E2144" s="1" t="s">
        <v>172</v>
      </c>
      <c r="F2144" s="1" t="s">
        <v>155</v>
      </c>
      <c r="G2144" s="1" t="s">
        <v>139</v>
      </c>
    </row>
    <row r="2145">
      <c r="A2145" s="43">
        <v>46070.41704424769</v>
      </c>
      <c r="B2145" s="1" t="s">
        <v>90</v>
      </c>
      <c r="D2145" s="1" t="s">
        <v>126</v>
      </c>
      <c r="E2145" s="1" t="s">
        <v>171</v>
      </c>
      <c r="F2145" s="1" t="s">
        <v>155</v>
      </c>
      <c r="G2145" s="1" t="s">
        <v>139</v>
      </c>
    </row>
    <row r="2146">
      <c r="A2146" s="43">
        <v>46071.41696857639</v>
      </c>
      <c r="B2146" s="1" t="s">
        <v>174</v>
      </c>
      <c r="D2146" s="1" t="s">
        <v>175</v>
      </c>
      <c r="E2146" s="1" t="s">
        <v>171</v>
      </c>
      <c r="F2146" s="1" t="s">
        <v>155</v>
      </c>
      <c r="G2146" s="1" t="s">
        <v>139</v>
      </c>
    </row>
    <row r="2147">
      <c r="A2147" s="43">
        <v>46072.55346865741</v>
      </c>
      <c r="B2147" s="1" t="s">
        <v>90</v>
      </c>
      <c r="D2147" s="1" t="s">
        <v>126</v>
      </c>
      <c r="E2147" s="1" t="s">
        <v>137</v>
      </c>
      <c r="F2147" s="1" t="s">
        <v>155</v>
      </c>
      <c r="G2147" s="1" t="s">
        <v>139</v>
      </c>
    </row>
    <row r="2148">
      <c r="A2148" s="43">
        <v>46073.56392141204</v>
      </c>
      <c r="B2148" s="1" t="s">
        <v>84</v>
      </c>
      <c r="C2148" s="1" t="s">
        <v>92</v>
      </c>
      <c r="D2148" s="1" t="s">
        <v>115</v>
      </c>
      <c r="F2148" s="1" t="s">
        <v>151</v>
      </c>
      <c r="G2148" s="1" t="s">
        <v>140</v>
      </c>
    </row>
    <row r="2149">
      <c r="A2149" s="43">
        <v>46074.63197714121</v>
      </c>
      <c r="C2149" s="1" t="s">
        <v>163</v>
      </c>
      <c r="F2149" s="1" t="s">
        <v>153</v>
      </c>
    </row>
    <row r="2150">
      <c r="A2150" s="43">
        <v>46074.63287342593</v>
      </c>
      <c r="B2150" s="1" t="s">
        <v>84</v>
      </c>
      <c r="C2150" s="1" t="s">
        <v>92</v>
      </c>
      <c r="D2150" s="1" t="s">
        <v>115</v>
      </c>
    </row>
    <row r="2151">
      <c r="A2151" s="43">
        <v>46075.57449025463</v>
      </c>
      <c r="B2151" s="1" t="s">
        <v>84</v>
      </c>
      <c r="C2151" s="1" t="s">
        <v>92</v>
      </c>
      <c r="D2151" s="1" t="s">
        <v>115</v>
      </c>
    </row>
    <row r="2152">
      <c r="A2152" s="43">
        <v>46076.507635428236</v>
      </c>
      <c r="B2152" s="1" t="s">
        <v>174</v>
      </c>
      <c r="D2152" s="1" t="s">
        <v>175</v>
      </c>
      <c r="E2152" s="1" t="s">
        <v>171</v>
      </c>
      <c r="F2152" s="1" t="s">
        <v>155</v>
      </c>
      <c r="G2152" s="1" t="s">
        <v>139</v>
      </c>
    </row>
    <row r="2153">
      <c r="A2153" s="43">
        <v>46077.43192826389</v>
      </c>
      <c r="B2153" s="1" t="s">
        <v>90</v>
      </c>
      <c r="D2153" s="1" t="s">
        <v>126</v>
      </c>
      <c r="E2153" s="1" t="s">
        <v>172</v>
      </c>
      <c r="F2153" s="1" t="s">
        <v>155</v>
      </c>
      <c r="G2153" s="1" t="s">
        <v>139</v>
      </c>
    </row>
    <row r="2154">
      <c r="A2154" s="43">
        <v>46078.475429618054</v>
      </c>
      <c r="B2154" s="1" t="s">
        <v>77</v>
      </c>
      <c r="C2154" s="1" t="s">
        <v>91</v>
      </c>
      <c r="D2154" s="1" t="s">
        <v>117</v>
      </c>
      <c r="F2154" s="1" t="s">
        <v>147</v>
      </c>
      <c r="G2154" s="1" t="s">
        <v>144</v>
      </c>
    </row>
    <row r="2155">
      <c r="A2155" s="43">
        <v>46079.426919375</v>
      </c>
      <c r="B2155" s="1" t="s">
        <v>174</v>
      </c>
      <c r="D2155" s="1" t="s">
        <v>175</v>
      </c>
      <c r="E2155" s="1" t="s">
        <v>171</v>
      </c>
      <c r="F2155" s="1" t="s">
        <v>155</v>
      </c>
      <c r="G2155" s="1" t="s">
        <v>139</v>
      </c>
    </row>
    <row r="2156">
      <c r="A2156" s="43">
        <v>46080.498871979165</v>
      </c>
      <c r="B2156" s="1" t="s">
        <v>77</v>
      </c>
      <c r="C2156" s="1" t="s">
        <v>91</v>
      </c>
      <c r="D2156" s="1" t="s">
        <v>118</v>
      </c>
      <c r="F2156" s="1" t="s">
        <v>155</v>
      </c>
      <c r="G2156" s="1" t="s">
        <v>139</v>
      </c>
    </row>
    <row r="2157">
      <c r="A2157" s="43">
        <v>46081.53726993056</v>
      </c>
      <c r="B2157" s="1" t="s">
        <v>77</v>
      </c>
      <c r="C2157" s="1" t="s">
        <v>91</v>
      </c>
      <c r="D2157" s="1" t="s">
        <v>118</v>
      </c>
      <c r="F2157" s="1" t="s">
        <v>155</v>
      </c>
      <c r="G2157" s="1" t="s">
        <v>139</v>
      </c>
    </row>
    <row r="2158">
      <c r="A2158" s="43">
        <v>46082.503843275466</v>
      </c>
      <c r="B2158" s="1" t="s">
        <v>1</v>
      </c>
      <c r="C2158" s="1" t="s">
        <v>91</v>
      </c>
      <c r="D2158" s="1" t="s">
        <v>103</v>
      </c>
      <c r="F2158" s="1" t="s">
        <v>162</v>
      </c>
      <c r="G2158" s="1" t="s">
        <v>140</v>
      </c>
    </row>
    <row r="2159">
      <c r="A2159" s="43">
        <v>46082.504836319444</v>
      </c>
      <c r="C2159" s="1" t="s">
        <v>163</v>
      </c>
    </row>
    <row r="2160">
      <c r="A2160" s="43">
        <v>46083.46993528935</v>
      </c>
      <c r="B2160" s="1" t="s">
        <v>174</v>
      </c>
      <c r="D2160" s="1" t="s">
        <v>175</v>
      </c>
      <c r="E2160" s="1" t="s">
        <v>171</v>
      </c>
      <c r="F2160" s="1" t="s">
        <v>155</v>
      </c>
      <c r="G2160" s="1" t="s">
        <v>139</v>
      </c>
    </row>
    <row r="2161">
      <c r="A2161" s="43">
        <v>46085.42543109954</v>
      </c>
      <c r="B2161" s="1" t="s">
        <v>1</v>
      </c>
      <c r="C2161" s="1" t="s">
        <v>92</v>
      </c>
      <c r="D2161" s="1" t="s">
        <v>103</v>
      </c>
      <c r="F2161" s="1" t="s">
        <v>162</v>
      </c>
      <c r="G2161" s="1" t="s">
        <v>139</v>
      </c>
    </row>
    <row r="2162">
      <c r="A2162" s="43">
        <v>46086.526177754626</v>
      </c>
      <c r="B2162" s="1" t="s">
        <v>174</v>
      </c>
      <c r="D2162" s="1" t="s">
        <v>175</v>
      </c>
      <c r="E2162" s="1" t="s">
        <v>171</v>
      </c>
      <c r="F2162" s="1" t="s">
        <v>155</v>
      </c>
      <c r="G2162" s="1" t="s">
        <v>139</v>
      </c>
    </row>
    <row r="2163">
      <c r="A2163" s="43">
        <v>46086.5266465162</v>
      </c>
      <c r="B2163" s="1" t="s">
        <v>174</v>
      </c>
      <c r="D2163" s="1" t="s">
        <v>175</v>
      </c>
      <c r="E2163" s="1" t="s">
        <v>171</v>
      </c>
      <c r="F2163" s="1" t="s">
        <v>155</v>
      </c>
      <c r="G2163" s="1" t="s">
        <v>139</v>
      </c>
    </row>
    <row r="2164">
      <c r="A2164" s="43">
        <v>46087.497218449076</v>
      </c>
      <c r="B2164" s="1" t="s">
        <v>84</v>
      </c>
      <c r="C2164" s="1" t="s">
        <v>92</v>
      </c>
      <c r="D2164" s="1" t="s">
        <v>107</v>
      </c>
      <c r="F2164" s="1" t="s">
        <v>162</v>
      </c>
      <c r="G2164" s="1" t="s">
        <v>144</v>
      </c>
    </row>
    <row r="2165">
      <c r="A2165" s="43">
        <v>46088.59919432871</v>
      </c>
      <c r="C2165" s="1" t="s">
        <v>2</v>
      </c>
    </row>
    <row r="2166">
      <c r="A2166" s="43">
        <v>46088.599802199074</v>
      </c>
      <c r="B2166" s="1" t="s">
        <v>84</v>
      </c>
      <c r="C2166" s="1" t="s">
        <v>92</v>
      </c>
      <c r="D2166" s="1" t="s">
        <v>114</v>
      </c>
    </row>
    <row r="2167">
      <c r="A2167" s="43">
        <v>46089.43442482639</v>
      </c>
      <c r="B2167" s="1" t="s">
        <v>84</v>
      </c>
      <c r="C2167" s="1" t="s">
        <v>92</v>
      </c>
      <c r="D2167" s="1" t="s">
        <v>114</v>
      </c>
      <c r="F2167" s="1" t="s">
        <v>162</v>
      </c>
      <c r="G2167" s="1" t="s">
        <v>140</v>
      </c>
    </row>
    <row r="2168">
      <c r="A2168" s="43">
        <v>46090.572456423615</v>
      </c>
      <c r="B2168" s="1" t="s">
        <v>90</v>
      </c>
      <c r="D2168" s="1" t="s">
        <v>126</v>
      </c>
      <c r="E2168" s="1" t="s">
        <v>171</v>
      </c>
      <c r="F2168" s="1" t="s">
        <v>155</v>
      </c>
      <c r="G2168" s="1" t="s">
        <v>139</v>
      </c>
    </row>
    <row r="2169">
      <c r="A2169" s="43">
        <v>46091.416964606484</v>
      </c>
      <c r="B2169" s="1" t="s">
        <v>90</v>
      </c>
      <c r="D2169" s="1" t="s">
        <v>126</v>
      </c>
      <c r="E2169" s="1" t="s">
        <v>172</v>
      </c>
      <c r="F2169" s="1" t="s">
        <v>155</v>
      </c>
      <c r="G2169" s="1" t="s">
        <v>139</v>
      </c>
    </row>
    <row r="2170">
      <c r="A2170" s="43">
        <v>46094.482302662036</v>
      </c>
      <c r="B2170" s="1" t="s">
        <v>77</v>
      </c>
      <c r="C2170" s="1" t="s">
        <v>92</v>
      </c>
      <c r="D2170" s="1" t="s">
        <v>121</v>
      </c>
      <c r="F2170" s="1" t="s">
        <v>155</v>
      </c>
      <c r="G2170" s="1" t="s">
        <v>139</v>
      </c>
    </row>
    <row r="2171">
      <c r="A2171" s="43">
        <v>46094.483392546295</v>
      </c>
      <c r="B2171" s="1" t="s">
        <v>90</v>
      </c>
      <c r="D2171" s="1" t="s">
        <v>126</v>
      </c>
      <c r="E2171" s="1" t="s">
        <v>137</v>
      </c>
      <c r="F2171" s="1" t="s">
        <v>155</v>
      </c>
      <c r="G2171" s="1" t="s">
        <v>139</v>
      </c>
    </row>
    <row r="2172">
      <c r="A2172" s="43">
        <v>46094.48458005787</v>
      </c>
      <c r="B2172" s="1" t="s">
        <v>77</v>
      </c>
      <c r="C2172" s="1" t="s">
        <v>92</v>
      </c>
      <c r="D2172" s="1" t="s">
        <v>117</v>
      </c>
      <c r="F2172" s="1" t="s">
        <v>155</v>
      </c>
      <c r="G2172" s="1" t="s">
        <v>140</v>
      </c>
    </row>
    <row r="2173">
      <c r="A2173" s="43">
        <v>46095.598840011575</v>
      </c>
      <c r="B2173" s="1" t="s">
        <v>1</v>
      </c>
      <c r="C2173" s="1" t="s">
        <v>2</v>
      </c>
      <c r="D2173" s="1" t="s">
        <v>118</v>
      </c>
      <c r="F2173" s="1" t="s">
        <v>147</v>
      </c>
      <c r="G2173" s="1" t="s">
        <v>140</v>
      </c>
    </row>
    <row r="2174">
      <c r="A2174" s="43">
        <v>46096.603187534725</v>
      </c>
      <c r="B2174" s="1" t="s">
        <v>1</v>
      </c>
      <c r="C2174" s="1" t="s">
        <v>2</v>
      </c>
      <c r="D2174" s="1" t="s">
        <v>118</v>
      </c>
      <c r="F2174" s="1" t="s">
        <v>147</v>
      </c>
      <c r="G2174" s="1" t="s">
        <v>140</v>
      </c>
    </row>
    <row r="2175">
      <c r="A2175" s="43">
        <v>46097.456680243056</v>
      </c>
      <c r="B2175" s="1" t="s">
        <v>90</v>
      </c>
      <c r="D2175" s="1" t="s">
        <v>126</v>
      </c>
      <c r="E2175" s="1" t="s">
        <v>171</v>
      </c>
      <c r="F2175" s="1" t="s">
        <v>155</v>
      </c>
      <c r="G2175" s="1" t="s">
        <v>139</v>
      </c>
    </row>
    <row r="2176">
      <c r="A2176" s="43">
        <v>46098.41696012732</v>
      </c>
      <c r="B2176" s="1" t="s">
        <v>90</v>
      </c>
      <c r="D2176" s="1" t="s">
        <v>126</v>
      </c>
      <c r="E2176" s="1" t="s">
        <v>171</v>
      </c>
      <c r="F2176" s="1" t="s">
        <v>155</v>
      </c>
      <c r="G2176" s="1" t="s">
        <v>139</v>
      </c>
    </row>
    <row r="2177">
      <c r="A2177" s="43">
        <v>46099.45930608796</v>
      </c>
      <c r="B2177" s="1" t="s">
        <v>84</v>
      </c>
      <c r="C2177" s="1" t="s">
        <v>92</v>
      </c>
      <c r="D2177" s="1" t="s">
        <v>116</v>
      </c>
      <c r="F2177" s="1" t="s">
        <v>151</v>
      </c>
      <c r="G2177" s="1" t="s">
        <v>144</v>
      </c>
    </row>
    <row r="2178">
      <c r="A2178" s="43">
        <v>46100.49809620371</v>
      </c>
      <c r="B2178" s="1" t="s">
        <v>90</v>
      </c>
      <c r="D2178" s="1" t="s">
        <v>126</v>
      </c>
      <c r="E2178" s="1" t="s">
        <v>137</v>
      </c>
      <c r="F2178" s="1" t="s">
        <v>155</v>
      </c>
      <c r="G2178" s="1" t="s">
        <v>139</v>
      </c>
    </row>
    <row r="2179">
      <c r="A2179" s="43">
        <v>46101.41738216435</v>
      </c>
      <c r="B2179" s="1" t="s">
        <v>84</v>
      </c>
      <c r="C2179" s="1" t="s">
        <v>92</v>
      </c>
      <c r="D2179" s="1" t="s">
        <v>116</v>
      </c>
      <c r="F2179" s="1" t="s">
        <v>151</v>
      </c>
      <c r="G2179" s="1" t="s">
        <v>140</v>
      </c>
    </row>
    <row r="2180">
      <c r="A2180" s="43">
        <v>46102.44901552083</v>
      </c>
      <c r="B2180" s="1" t="s">
        <v>84</v>
      </c>
      <c r="C2180" s="1" t="s">
        <v>92</v>
      </c>
      <c r="D2180" s="1" t="s">
        <v>115</v>
      </c>
    </row>
    <row r="2181">
      <c r="A2181" s="43">
        <v>46103.52867623843</v>
      </c>
      <c r="B2181" s="1" t="s">
        <v>77</v>
      </c>
      <c r="D2181" s="1" t="s">
        <v>116</v>
      </c>
      <c r="E2181" s="1" t="s">
        <v>134</v>
      </c>
      <c r="F2181" s="1" t="s">
        <v>147</v>
      </c>
      <c r="G2181" s="1" t="s">
        <v>144</v>
      </c>
    </row>
    <row r="2182">
      <c r="A2182" s="43">
        <v>46104.34522754629</v>
      </c>
      <c r="B2182" s="1" t="s">
        <v>174</v>
      </c>
      <c r="D2182" s="1" t="s">
        <v>175</v>
      </c>
      <c r="E2182" s="1" t="s">
        <v>171</v>
      </c>
      <c r="F2182" s="1" t="s">
        <v>155</v>
      </c>
      <c r="G2182" s="1" t="s">
        <v>139</v>
      </c>
    </row>
    <row r="2183">
      <c r="A2183" s="43">
        <v>46105.56316627315</v>
      </c>
      <c r="B2183" s="1" t="s">
        <v>174</v>
      </c>
      <c r="D2183" s="1" t="s">
        <v>175</v>
      </c>
      <c r="E2183" s="1" t="s">
        <v>171</v>
      </c>
      <c r="F2183" s="1" t="s">
        <v>155</v>
      </c>
      <c r="G2183" s="1" t="s">
        <v>139</v>
      </c>
    </row>
    <row r="2184">
      <c r="A2184" s="43">
        <v>46106.83221721065</v>
      </c>
      <c r="B2184" s="1" t="s">
        <v>77</v>
      </c>
      <c r="C2184" s="1" t="s">
        <v>92</v>
      </c>
      <c r="D2184" s="1" t="s">
        <v>154</v>
      </c>
      <c r="F2184" s="1" t="s">
        <v>147</v>
      </c>
      <c r="G2184" s="1" t="s">
        <v>140</v>
      </c>
    </row>
    <row r="2185">
      <c r="A2185" s="43">
        <v>46108.35107453704</v>
      </c>
      <c r="B2185" s="1" t="s">
        <v>77</v>
      </c>
      <c r="C2185" s="1" t="s">
        <v>92</v>
      </c>
      <c r="D2185" s="1" t="s">
        <v>119</v>
      </c>
      <c r="F2185" s="1" t="s">
        <v>147</v>
      </c>
      <c r="G2185" s="1" t="s">
        <v>140</v>
      </c>
    </row>
    <row r="2186">
      <c r="A2186" s="43">
        <v>46108.35548953703</v>
      </c>
      <c r="B2186" s="1" t="s">
        <v>1</v>
      </c>
      <c r="C2186" s="1" t="s">
        <v>91</v>
      </c>
      <c r="D2186" s="1" t="s">
        <v>121</v>
      </c>
      <c r="F2186" s="1" t="s">
        <v>151</v>
      </c>
      <c r="G2186" s="1" t="s">
        <v>140</v>
      </c>
    </row>
    <row r="2187">
      <c r="A2187" s="43">
        <v>46109.5340553125</v>
      </c>
      <c r="B2187" s="44" t="s">
        <v>87</v>
      </c>
      <c r="C2187" s="1" t="s">
        <v>91</v>
      </c>
      <c r="D2187" s="1" t="s">
        <v>111</v>
      </c>
    </row>
    <row r="2188">
      <c r="A2188" s="43">
        <v>46110.54847221065</v>
      </c>
      <c r="B2188" s="1" t="s">
        <v>84</v>
      </c>
      <c r="C2188" s="1" t="s">
        <v>92</v>
      </c>
      <c r="D2188" s="1" t="s">
        <v>154</v>
      </c>
      <c r="F2188" s="1" t="s">
        <v>151</v>
      </c>
      <c r="G2188" s="1" t="s">
        <v>144</v>
      </c>
    </row>
    <row r="2189">
      <c r="A2189" s="43">
        <v>46111.45852326389</v>
      </c>
      <c r="B2189" s="1" t="s">
        <v>174</v>
      </c>
      <c r="D2189" s="1" t="s">
        <v>175</v>
      </c>
      <c r="E2189" s="1" t="s">
        <v>171</v>
      </c>
      <c r="F2189" s="1" t="s">
        <v>155</v>
      </c>
      <c r="G2189" s="1" t="s">
        <v>139</v>
      </c>
    </row>
    <row r="2190">
      <c r="A2190" s="43">
        <v>46112.460687349536</v>
      </c>
      <c r="B2190" s="1" t="s">
        <v>90</v>
      </c>
      <c r="D2190" s="1" t="s">
        <v>126</v>
      </c>
      <c r="E2190" s="1" t="s">
        <v>137</v>
      </c>
      <c r="F2190" s="1" t="s">
        <v>155</v>
      </c>
      <c r="G2190" s="1" t="s">
        <v>139</v>
      </c>
    </row>
    <row r="2191">
      <c r="A2191" s="43">
        <v>46113.35611179398</v>
      </c>
      <c r="B2191" s="1" t="s">
        <v>84</v>
      </c>
      <c r="C2191" s="1" t="s">
        <v>92</v>
      </c>
      <c r="D2191" s="1" t="s">
        <v>115</v>
      </c>
      <c r="F2191" s="1" t="s">
        <v>151</v>
      </c>
      <c r="G2191" s="1" t="s">
        <v>140</v>
      </c>
    </row>
    <row r="2192">
      <c r="A2192" s="43">
        <v>46114.547443194446</v>
      </c>
      <c r="B2192" s="1" t="s">
        <v>174</v>
      </c>
      <c r="D2192" s="1" t="s">
        <v>175</v>
      </c>
      <c r="E2192" s="1" t="s">
        <v>172</v>
      </c>
      <c r="F2192" s="1" t="s">
        <v>155</v>
      </c>
      <c r="G2192" s="1" t="s">
        <v>139</v>
      </c>
    </row>
    <row r="2193">
      <c r="A2193" s="43">
        <v>46115.40917347222</v>
      </c>
      <c r="B2193" s="1" t="s">
        <v>1</v>
      </c>
      <c r="C2193" s="1" t="s">
        <v>92</v>
      </c>
      <c r="D2193" s="1" t="s">
        <v>118</v>
      </c>
      <c r="F2193" s="1" t="s">
        <v>151</v>
      </c>
      <c r="G2193" s="1" t="s">
        <v>139</v>
      </c>
    </row>
    <row r="2194">
      <c r="A2194" s="43">
        <v>46116.55251944445</v>
      </c>
      <c r="B2194" s="44" t="s">
        <v>87</v>
      </c>
      <c r="C2194" s="1" t="s">
        <v>91</v>
      </c>
      <c r="D2194" s="1" t="s">
        <v>111</v>
      </c>
    </row>
    <row r="2195">
      <c r="A2195" s="43">
        <v>46117.74042913194</v>
      </c>
      <c r="B2195" s="1" t="s">
        <v>84</v>
      </c>
      <c r="C2195" s="1" t="s">
        <v>91</v>
      </c>
      <c r="D2195" s="1" t="s">
        <v>114</v>
      </c>
      <c r="F2195" s="1" t="s">
        <v>151</v>
      </c>
      <c r="G2195" s="1" t="s">
        <v>140</v>
      </c>
    </row>
    <row r="2196">
      <c r="A2196" s="43">
        <v>46118.44442818287</v>
      </c>
      <c r="C2196" s="1" t="s">
        <v>2</v>
      </c>
      <c r="F2196" s="1" t="s">
        <v>153</v>
      </c>
    </row>
    <row r="2197">
      <c r="A2197" s="43">
        <v>46119.49004923611</v>
      </c>
      <c r="B2197" s="1" t="s">
        <v>90</v>
      </c>
      <c r="D2197" s="1" t="s">
        <v>126</v>
      </c>
      <c r="E2197" s="1" t="s">
        <v>171</v>
      </c>
      <c r="F2197" s="1" t="s">
        <v>155</v>
      </c>
      <c r="G2197" s="1" t="s">
        <v>139</v>
      </c>
    </row>
    <row r="2198">
      <c r="A2198" s="43">
        <v>46119.49307877314</v>
      </c>
      <c r="B2198" s="1" t="s">
        <v>77</v>
      </c>
      <c r="C2198" s="1" t="s">
        <v>91</v>
      </c>
      <c r="D2198" s="1" t="s">
        <v>125</v>
      </c>
      <c r="F2198" s="1" t="s">
        <v>162</v>
      </c>
      <c r="G2198" s="1" t="s">
        <v>140</v>
      </c>
    </row>
    <row r="2199">
      <c r="A2199" s="43">
        <v>46120.540582037036</v>
      </c>
      <c r="B2199" s="1" t="s">
        <v>77</v>
      </c>
      <c r="C2199" s="1" t="s">
        <v>2</v>
      </c>
      <c r="D2199" s="1" t="s">
        <v>125</v>
      </c>
      <c r="F2199" s="1" t="s">
        <v>162</v>
      </c>
      <c r="G2199" s="1" t="s">
        <v>140</v>
      </c>
    </row>
    <row r="2200">
      <c r="A2200" s="43">
        <v>46121.56739652778</v>
      </c>
      <c r="B2200" s="1" t="s">
        <v>174</v>
      </c>
      <c r="D2200" s="1" t="s">
        <v>175</v>
      </c>
      <c r="E2200" s="1" t="s">
        <v>171</v>
      </c>
      <c r="F2200" s="1" t="s">
        <v>155</v>
      </c>
      <c r="G2200" s="1" t="s">
        <v>139</v>
      </c>
    </row>
    <row r="2201">
      <c r="A2201" s="43">
        <v>46122.499024178236</v>
      </c>
      <c r="B2201" s="1" t="s">
        <v>77</v>
      </c>
      <c r="D2201" s="1" t="s">
        <v>116</v>
      </c>
      <c r="E2201" s="1" t="s">
        <v>134</v>
      </c>
      <c r="F2201" s="1" t="s">
        <v>147</v>
      </c>
      <c r="G2201" s="1" t="s">
        <v>140</v>
      </c>
    </row>
    <row r="2202">
      <c r="A2202" s="43">
        <v>46123.51902622685</v>
      </c>
      <c r="B2202" s="1" t="s">
        <v>1</v>
      </c>
      <c r="D2202" s="1" t="s">
        <v>121</v>
      </c>
    </row>
    <row r="2203">
      <c r="A2203" s="43">
        <v>46123.51938042824</v>
      </c>
      <c r="C2203" s="1" t="s">
        <v>163</v>
      </c>
      <c r="F2203" s="1" t="s">
        <v>153</v>
      </c>
    </row>
    <row r="2204">
      <c r="A2204" s="43">
        <v>46124.57299743056</v>
      </c>
      <c r="B2204" s="1" t="s">
        <v>1</v>
      </c>
      <c r="C2204" s="1" t="s">
        <v>91</v>
      </c>
      <c r="D2204" s="1" t="s">
        <v>121</v>
      </c>
      <c r="F2204" s="1" t="s">
        <v>147</v>
      </c>
      <c r="G2204" s="1" t="s">
        <v>144</v>
      </c>
    </row>
    <row r="2205">
      <c r="A2205" s="43">
        <v>46126.537816805554</v>
      </c>
      <c r="B2205" s="1" t="s">
        <v>90</v>
      </c>
      <c r="D2205" s="1" t="s">
        <v>126</v>
      </c>
      <c r="E2205" s="1" t="s">
        <v>171</v>
      </c>
      <c r="F2205" s="1" t="s">
        <v>155</v>
      </c>
      <c r="G2205" s="1" t="s">
        <v>139</v>
      </c>
    </row>
    <row r="2206">
      <c r="A2206" s="43">
        <v>46127.42867434028</v>
      </c>
      <c r="B2206" s="1" t="s">
        <v>84</v>
      </c>
      <c r="C2206" s="1" t="s">
        <v>92</v>
      </c>
      <c r="D2206" s="1" t="s">
        <v>117</v>
      </c>
      <c r="F2206" s="1" t="s">
        <v>162</v>
      </c>
      <c r="G2206" s="1" t="s">
        <v>144</v>
      </c>
    </row>
    <row r="2207">
      <c r="A2207" s="43">
        <v>46128.96350578703</v>
      </c>
      <c r="B2207" s="1" t="s">
        <v>77</v>
      </c>
      <c r="C2207" s="1" t="s">
        <v>92</v>
      </c>
      <c r="D2207" s="1" t="s">
        <v>117</v>
      </c>
      <c r="F2207" s="1" t="s">
        <v>162</v>
      </c>
      <c r="G2207" s="1" t="s">
        <v>144</v>
      </c>
    </row>
    <row r="2208">
      <c r="A2208" s="43">
        <v>46129.572122314814</v>
      </c>
      <c r="B2208" s="1" t="s">
        <v>84</v>
      </c>
      <c r="C2208" s="1" t="s">
        <v>92</v>
      </c>
      <c r="D2208" s="1" t="s">
        <v>117</v>
      </c>
      <c r="F2208" s="1" t="s">
        <v>151</v>
      </c>
      <c r="G2208" s="1" t="s">
        <v>144</v>
      </c>
    </row>
    <row r="2209">
      <c r="A2209" s="43">
        <v>46130.50781326389</v>
      </c>
      <c r="B2209" s="1" t="s">
        <v>1</v>
      </c>
      <c r="C2209" s="1" t="s">
        <v>92</v>
      </c>
      <c r="D2209" s="1" t="s">
        <v>116</v>
      </c>
      <c r="F2209" s="1" t="s">
        <v>162</v>
      </c>
      <c r="G2209" s="1" t="s">
        <v>144</v>
      </c>
    </row>
    <row r="2210">
      <c r="A2210" s="43">
        <v>46131.451049490744</v>
      </c>
      <c r="B2210" s="1" t="s">
        <v>1</v>
      </c>
      <c r="C2210" s="1" t="s">
        <v>92</v>
      </c>
      <c r="D2210" s="1" t="s">
        <v>103</v>
      </c>
      <c r="F2210" s="1" t="s">
        <v>155</v>
      </c>
    </row>
    <row r="2211">
      <c r="A2211" s="43">
        <v>46132.420987708334</v>
      </c>
      <c r="B2211" s="1" t="s">
        <v>174</v>
      </c>
      <c r="D2211" s="1" t="s">
        <v>175</v>
      </c>
      <c r="E2211" s="1" t="s">
        <v>171</v>
      </c>
      <c r="F2211" s="1" t="s">
        <v>155</v>
      </c>
      <c r="G2211" s="1" t="s">
        <v>140</v>
      </c>
    </row>
    <row r="2212">
      <c r="A2212" s="43">
        <v>46133.48783524305</v>
      </c>
      <c r="B2212" s="1" t="s">
        <v>77</v>
      </c>
      <c r="C2212" s="1" t="s">
        <v>92</v>
      </c>
      <c r="D2212" s="1" t="s">
        <v>121</v>
      </c>
      <c r="F2212" s="1" t="s">
        <v>147</v>
      </c>
      <c r="G2212" s="1" t="s">
        <v>144</v>
      </c>
    </row>
    <row r="2213">
      <c r="A2213" s="43">
        <v>46134.58768265047</v>
      </c>
      <c r="B2213" s="1" t="s">
        <v>77</v>
      </c>
      <c r="C2213" s="1" t="s">
        <v>92</v>
      </c>
      <c r="D2213" s="1" t="s">
        <v>118</v>
      </c>
      <c r="F2213" s="1" t="s">
        <v>147</v>
      </c>
      <c r="G2213" s="1" t="s">
        <v>144</v>
      </c>
    </row>
    <row r="2214">
      <c r="A2214" s="43">
        <v>46135.741914502316</v>
      </c>
      <c r="B2214" s="1" t="s">
        <v>90</v>
      </c>
      <c r="D2214" s="1" t="s">
        <v>126</v>
      </c>
      <c r="E2214" s="1" t="s">
        <v>137</v>
      </c>
      <c r="F2214" s="1" t="s">
        <v>155</v>
      </c>
      <c r="G2214" s="1" t="s">
        <v>139</v>
      </c>
    </row>
    <row r="2215">
      <c r="A2215" s="43">
        <v>46140.43230900463</v>
      </c>
      <c r="B2215" s="1" t="s">
        <v>174</v>
      </c>
      <c r="D2215" s="1" t="s">
        <v>175</v>
      </c>
      <c r="E2215" s="1" t="s">
        <v>171</v>
      </c>
      <c r="F2215" s="1" t="s">
        <v>155</v>
      </c>
      <c r="G2215" s="1" t="s">
        <v>140</v>
      </c>
    </row>
    <row r="2216">
      <c r="A2216" s="43">
        <v>46141.420013020834</v>
      </c>
      <c r="B2216" s="1" t="s">
        <v>77</v>
      </c>
      <c r="C2216" s="1" t="s">
        <v>92</v>
      </c>
      <c r="D2216" s="1" t="s">
        <v>125</v>
      </c>
      <c r="F2216" s="1" t="s">
        <v>147</v>
      </c>
      <c r="G2216" s="1" t="s">
        <v>140</v>
      </c>
    </row>
    <row r="2217">
      <c r="A2217" s="43">
        <v>46142.46366347223</v>
      </c>
      <c r="B2217" s="1" t="s">
        <v>90</v>
      </c>
      <c r="D2217" s="1" t="s">
        <v>126</v>
      </c>
      <c r="E2217" s="1" t="s">
        <v>137</v>
      </c>
      <c r="F2217" s="1" t="s">
        <v>155</v>
      </c>
      <c r="G2217" s="1" t="s">
        <v>140</v>
      </c>
    </row>
    <row r="2218">
      <c r="A2218" s="43">
        <v>46146.73201494213</v>
      </c>
      <c r="B2218" s="1" t="s">
        <v>88</v>
      </c>
      <c r="C2218" s="1" t="s">
        <v>95</v>
      </c>
      <c r="F2218" s="1" t="s">
        <v>162</v>
      </c>
    </row>
    <row r="2219">
      <c r="A2219" s="43">
        <v>46146.73236476852</v>
      </c>
      <c r="B2219" s="1" t="s">
        <v>159</v>
      </c>
      <c r="C2219" s="1" t="s">
        <v>161</v>
      </c>
      <c r="D2219" s="1" t="s">
        <v>125</v>
      </c>
      <c r="F2219" s="1" t="s">
        <v>162</v>
      </c>
    </row>
    <row r="2220">
      <c r="A2220" s="43">
        <v>46146.73270944445</v>
      </c>
      <c r="B2220" s="1" t="s">
        <v>88</v>
      </c>
      <c r="C2220" s="1" t="s">
        <v>4</v>
      </c>
      <c r="F2220" s="1" t="s">
        <v>162</v>
      </c>
    </row>
    <row r="2221">
      <c r="A2221" s="43">
        <v>46149.20655658565</v>
      </c>
      <c r="B2221" s="1" t="s">
        <v>167</v>
      </c>
      <c r="C2221" s="1" t="s">
        <v>157</v>
      </c>
      <c r="D2221" s="1" t="s">
        <v>125</v>
      </c>
      <c r="F2221" s="1" t="s">
        <v>162</v>
      </c>
    </row>
    <row r="2222">
      <c r="A2222" s="43">
        <v>46149.20677975695</v>
      </c>
      <c r="B2222" s="1" t="s">
        <v>88</v>
      </c>
      <c r="C2222" s="1" t="s">
        <v>161</v>
      </c>
      <c r="F2222" s="1" t="s">
        <v>162</v>
      </c>
    </row>
    <row r="2223">
      <c r="A2223" s="43">
        <v>46150.22021681713</v>
      </c>
      <c r="B2223" s="1" t="s">
        <v>88</v>
      </c>
      <c r="C2223" s="1" t="s">
        <v>96</v>
      </c>
      <c r="F2223" s="1" t="s">
        <v>162</v>
      </c>
    </row>
    <row r="2224">
      <c r="A2224" s="43">
        <v>46151.430880381944</v>
      </c>
      <c r="B2224" s="1" t="s">
        <v>159</v>
      </c>
      <c r="C2224" s="1" t="s">
        <v>3</v>
      </c>
      <c r="F2224" s="1" t="s">
        <v>162</v>
      </c>
    </row>
    <row r="2225">
      <c r="A2225" s="43">
        <v>46153.23784357639</v>
      </c>
      <c r="B2225" s="1" t="s">
        <v>159</v>
      </c>
      <c r="C2225" s="1" t="s">
        <v>94</v>
      </c>
      <c r="F2225" s="1" t="s">
        <v>162</v>
      </c>
    </row>
    <row r="2226">
      <c r="A2226" s="43">
        <v>46155.42613530092</v>
      </c>
      <c r="B2226" s="1" t="s">
        <v>167</v>
      </c>
      <c r="C2226" s="1" t="s">
        <v>94</v>
      </c>
      <c r="F2226" s="1" t="s">
        <v>162</v>
      </c>
    </row>
    <row r="2227">
      <c r="A2227" s="43">
        <v>46155.4263740625</v>
      </c>
      <c r="C2227" s="1" t="s">
        <v>3</v>
      </c>
      <c r="F2227" s="1" t="s">
        <v>162</v>
      </c>
    </row>
    <row r="2228">
      <c r="A2228" s="43">
        <v>46155.426513611106</v>
      </c>
      <c r="C2228" s="1" t="s">
        <v>95</v>
      </c>
    </row>
    <row r="2229">
      <c r="A2229" s="43">
        <v>46157.66534892361</v>
      </c>
      <c r="B2229" s="1" t="s">
        <v>88</v>
      </c>
      <c r="C2229" s="1" t="s">
        <v>96</v>
      </c>
      <c r="F2229" s="1" t="s">
        <v>162</v>
      </c>
    </row>
    <row r="2230">
      <c r="A2230" s="43">
        <v>46163.2595290625</v>
      </c>
      <c r="B2230" s="1" t="s">
        <v>167</v>
      </c>
      <c r="C2230" s="1" t="s">
        <v>95</v>
      </c>
      <c r="F2230" s="1" t="s">
        <v>162</v>
      </c>
    </row>
    <row r="2231">
      <c r="A2231" s="43">
        <v>46163.25977729166</v>
      </c>
      <c r="B2231" s="1" t="s">
        <v>167</v>
      </c>
      <c r="C2231" s="1" t="s">
        <v>95</v>
      </c>
      <c r="F2231" s="1" t="s">
        <v>162</v>
      </c>
    </row>
    <row r="2232">
      <c r="A2232" s="43">
        <v>46164.65768824074</v>
      </c>
      <c r="B2232" s="1" t="s">
        <v>80</v>
      </c>
      <c r="C2232" s="1" t="s">
        <v>160</v>
      </c>
      <c r="F2232" s="1" t="s">
        <v>151</v>
      </c>
    </row>
    <row r="2233">
      <c r="A2233" s="43">
        <v>46164.65807520833</v>
      </c>
      <c r="C2233" s="1" t="s">
        <v>95</v>
      </c>
      <c r="F2233" s="1" t="s">
        <v>162</v>
      </c>
    </row>
    <row r="2234">
      <c r="A2234" s="43">
        <v>46166.35500599537</v>
      </c>
      <c r="B2234" s="1" t="s">
        <v>77</v>
      </c>
      <c r="E2234" s="1" t="s">
        <v>130</v>
      </c>
      <c r="F2234" s="1" t="s">
        <v>147</v>
      </c>
    </row>
    <row r="2235">
      <c r="A2235" s="43">
        <v>46166.355488587964</v>
      </c>
      <c r="B2235" s="1" t="s">
        <v>88</v>
      </c>
      <c r="C2235" s="1" t="s">
        <v>160</v>
      </c>
    </row>
    <row r="2236">
      <c r="A2236" s="43">
        <v>46167.795013090275</v>
      </c>
      <c r="B2236" s="1" t="s">
        <v>89</v>
      </c>
      <c r="E2236" s="1" t="s">
        <v>128</v>
      </c>
      <c r="F2236" s="1" t="s">
        <v>151</v>
      </c>
    </row>
    <row r="2237">
      <c r="A2237" s="43">
        <v>46168.45727028935</v>
      </c>
      <c r="B2237" s="1" t="s">
        <v>90</v>
      </c>
      <c r="D2237" s="1" t="s">
        <v>126</v>
      </c>
      <c r="E2237" s="1" t="s">
        <v>171</v>
      </c>
      <c r="F2237" s="1" t="s">
        <v>155</v>
      </c>
    </row>
    <row r="2238">
      <c r="A2238" s="43">
        <v>46169.418431909726</v>
      </c>
      <c r="B2238" s="1" t="s">
        <v>89</v>
      </c>
      <c r="E2238" s="1" t="s">
        <v>128</v>
      </c>
      <c r="F2238" s="1" t="s">
        <v>151</v>
      </c>
    </row>
    <row r="2239">
      <c r="A2239" s="43">
        <v>46170.543429004625</v>
      </c>
      <c r="B2239" s="1" t="s">
        <v>174</v>
      </c>
      <c r="D2239" s="1" t="s">
        <v>175</v>
      </c>
      <c r="E2239" s="1" t="s">
        <v>172</v>
      </c>
      <c r="F2239" s="1" t="s">
        <v>155</v>
      </c>
    </row>
    <row r="2240">
      <c r="A2240" s="43">
        <v>46171.59191371528</v>
      </c>
      <c r="B2240" s="1" t="s">
        <v>90</v>
      </c>
      <c r="D2240" s="1" t="s">
        <v>126</v>
      </c>
      <c r="E2240" s="1" t="s">
        <v>171</v>
      </c>
      <c r="F2240" s="1" t="s">
        <v>155</v>
      </c>
    </row>
    <row r="2241">
      <c r="A2241" s="43">
        <v>46173.842448020834</v>
      </c>
      <c r="B2241" s="1" t="s">
        <v>80</v>
      </c>
      <c r="C2241" s="1" t="s">
        <v>92</v>
      </c>
    </row>
    <row r="2242">
      <c r="A2242" s="43">
        <v>46174.45512086806</v>
      </c>
      <c r="B2242" s="1" t="s">
        <v>80</v>
      </c>
      <c r="C2242" s="1" t="s">
        <v>92</v>
      </c>
      <c r="F2242" s="1" t="s">
        <v>162</v>
      </c>
    </row>
    <row r="2243">
      <c r="A2243" s="43">
        <v>46176.465615127316</v>
      </c>
      <c r="B2243" s="1" t="s">
        <v>174</v>
      </c>
      <c r="D2243" s="1" t="s">
        <v>175</v>
      </c>
      <c r="E2243" s="1" t="s">
        <v>171</v>
      </c>
      <c r="F2243" s="1" t="s">
        <v>155</v>
      </c>
    </row>
    <row r="2244">
      <c r="A2244" s="43">
        <v>46176.46616784722</v>
      </c>
      <c r="B2244" s="1" t="s">
        <v>1</v>
      </c>
      <c r="C2244" s="1" t="s">
        <v>92</v>
      </c>
      <c r="D2244" s="1" t="s">
        <v>154</v>
      </c>
      <c r="F2244" s="1" t="s">
        <v>162</v>
      </c>
    </row>
    <row r="2245">
      <c r="A2245" s="43">
        <v>46181.417009930556</v>
      </c>
      <c r="B2245" s="1" t="s">
        <v>84</v>
      </c>
      <c r="C2245" s="1" t="s">
        <v>91</v>
      </c>
      <c r="D2245" s="1" t="s">
        <v>117</v>
      </c>
      <c r="F2245" s="1" t="s">
        <v>151</v>
      </c>
    </row>
    <row r="2246">
      <c r="A2246" s="43">
        <v>46181.4200693287</v>
      </c>
      <c r="B2246" s="1" t="s">
        <v>80</v>
      </c>
      <c r="C2246" s="1" t="s">
        <v>96</v>
      </c>
      <c r="F2246" s="1" t="s">
        <v>151</v>
      </c>
    </row>
    <row r="2247">
      <c r="A2247" s="43">
        <v>46181.42106787037</v>
      </c>
      <c r="B2247" s="1" t="s">
        <v>1</v>
      </c>
      <c r="C2247" s="1" t="s">
        <v>92</v>
      </c>
      <c r="D2247" s="1" t="s">
        <v>154</v>
      </c>
      <c r="F2247" s="1" t="s">
        <v>162</v>
      </c>
    </row>
    <row r="2248">
      <c r="A2248" s="43">
        <v>46182.42389569445</v>
      </c>
      <c r="B2248" s="1" t="s">
        <v>90</v>
      </c>
      <c r="D2248" s="1" t="s">
        <v>126</v>
      </c>
      <c r="E2248" s="1" t="s">
        <v>171</v>
      </c>
      <c r="F2248" s="1" t="s">
        <v>155</v>
      </c>
    </row>
    <row r="2249">
      <c r="A2249" s="43">
        <v>46183.53758820602</v>
      </c>
      <c r="B2249" s="1" t="s">
        <v>174</v>
      </c>
      <c r="D2249" s="1" t="s">
        <v>175</v>
      </c>
      <c r="E2249" s="1" t="s">
        <v>171</v>
      </c>
      <c r="F2249" s="1" t="s">
        <v>155</v>
      </c>
    </row>
    <row r="2250">
      <c r="A2250" s="43">
        <v>46184.45732206019</v>
      </c>
      <c r="B2250" s="1" t="s">
        <v>77</v>
      </c>
      <c r="C2250" s="1" t="s">
        <v>160</v>
      </c>
      <c r="D2250" s="1" t="s">
        <v>117</v>
      </c>
      <c r="F2250" s="1" t="s">
        <v>162</v>
      </c>
    </row>
    <row r="2251">
      <c r="A2251" s="43">
        <v>46185.58464048611</v>
      </c>
      <c r="B2251" s="1" t="s">
        <v>84</v>
      </c>
      <c r="C2251" s="1" t="s">
        <v>92</v>
      </c>
      <c r="D2251" s="1" t="s">
        <v>117</v>
      </c>
      <c r="F2251" s="1" t="s">
        <v>162</v>
      </c>
    </row>
    <row r="2252">
      <c r="A2252" s="43">
        <v>46186.8180878125</v>
      </c>
      <c r="B2252" s="1" t="s">
        <v>77</v>
      </c>
      <c r="C2252" s="1" t="s">
        <v>161</v>
      </c>
      <c r="D2252" s="1" t="s">
        <v>121</v>
      </c>
      <c r="F2252" s="1" t="s">
        <v>147</v>
      </c>
      <c r="G2252" s="1" t="s">
        <v>144</v>
      </c>
    </row>
    <row r="2253">
      <c r="A2253" s="43">
        <v>46188.73352262731</v>
      </c>
      <c r="B2253" s="1" t="s">
        <v>77</v>
      </c>
      <c r="C2253" s="1" t="s">
        <v>92</v>
      </c>
      <c r="D2253" s="1" t="s">
        <v>116</v>
      </c>
      <c r="F2253" s="1" t="s">
        <v>147</v>
      </c>
    </row>
    <row r="2254">
      <c r="A2254" s="43">
        <v>46189.432141006946</v>
      </c>
      <c r="B2254" s="1" t="s">
        <v>84</v>
      </c>
      <c r="C2254" s="1" t="s">
        <v>92</v>
      </c>
      <c r="D2254" s="1" t="s">
        <v>119</v>
      </c>
      <c r="F2254" s="1" t="s">
        <v>151</v>
      </c>
    </row>
    <row r="2255">
      <c r="A2255" s="43">
        <v>46190.418316192125</v>
      </c>
      <c r="B2255" s="1" t="s">
        <v>90</v>
      </c>
      <c r="D2255" s="1" t="s">
        <v>126</v>
      </c>
      <c r="E2255" s="1" t="s">
        <v>137</v>
      </c>
      <c r="F2255" s="1" t="s">
        <v>155</v>
      </c>
    </row>
    <row r="2256">
      <c r="A2256" s="43">
        <v>46191.41724087963</v>
      </c>
      <c r="B2256" s="44" t="s">
        <v>87</v>
      </c>
      <c r="C2256" s="1" t="s">
        <v>160</v>
      </c>
    </row>
    <row r="2257">
      <c r="A2257" s="43">
        <v>46193.74255738426</v>
      </c>
      <c r="B2257" s="1" t="s">
        <v>88</v>
      </c>
      <c r="C2257" s="1" t="s">
        <v>157</v>
      </c>
      <c r="F2257" s="1" t="s">
        <v>151</v>
      </c>
    </row>
    <row r="2258">
      <c r="A2258" s="43">
        <v>46194.62923298611</v>
      </c>
      <c r="B2258" s="1" t="s">
        <v>88</v>
      </c>
      <c r="C2258" s="1" t="s">
        <v>95</v>
      </c>
      <c r="F2258" s="1" t="s">
        <v>151</v>
      </c>
    </row>
    <row r="2259">
      <c r="A2259" s="43">
        <v>46195.439599942125</v>
      </c>
      <c r="B2259" s="1" t="s">
        <v>80</v>
      </c>
      <c r="C2259" s="1" t="s">
        <v>92</v>
      </c>
      <c r="F2259" s="1" t="s">
        <v>151</v>
      </c>
    </row>
    <row r="2260">
      <c r="A2260" s="43">
        <v>46196.434220462965</v>
      </c>
      <c r="B2260" s="1" t="s">
        <v>80</v>
      </c>
      <c r="C2260" s="1" t="s">
        <v>3</v>
      </c>
      <c r="F2260" s="1" t="s">
        <v>151</v>
      </c>
    </row>
    <row r="2261">
      <c r="A2261" s="43">
        <v>46197.42889201389</v>
      </c>
      <c r="B2261" s="1" t="s">
        <v>90</v>
      </c>
      <c r="E2261" s="1" t="s">
        <v>172</v>
      </c>
      <c r="F2261" s="1" t="s">
        <v>155</v>
      </c>
    </row>
    <row r="2262">
      <c r="A2262" s="43">
        <v>46198.56753151621</v>
      </c>
      <c r="B2262" s="1" t="s">
        <v>80</v>
      </c>
      <c r="C2262" s="1" t="s">
        <v>94</v>
      </c>
      <c r="F2262" s="1" t="s">
        <v>162</v>
      </c>
    </row>
    <row r="2263">
      <c r="A2263" s="43">
        <v>46199.56818231482</v>
      </c>
      <c r="B2263" s="1" t="s">
        <v>89</v>
      </c>
      <c r="E2263" s="1" t="s">
        <v>128</v>
      </c>
      <c r="F2263" s="1" t="s">
        <v>151</v>
      </c>
    </row>
    <row r="2264">
      <c r="A2264" s="43">
        <v>46201.53904613426</v>
      </c>
      <c r="B2264" s="1" t="s">
        <v>88</v>
      </c>
      <c r="C2264" s="1" t="s">
        <v>92</v>
      </c>
    </row>
    <row r="2265">
      <c r="A2265" s="43">
        <v>46202.47426456018</v>
      </c>
      <c r="B2265" s="1" t="s">
        <v>159</v>
      </c>
      <c r="C2265" s="1" t="s">
        <v>161</v>
      </c>
      <c r="F2265" s="1" t="s">
        <v>162</v>
      </c>
    </row>
    <row r="2266">
      <c r="A2266" s="43">
        <v>46203.46144424769</v>
      </c>
      <c r="B2266" s="1" t="s">
        <v>174</v>
      </c>
      <c r="E2266" s="1" t="s">
        <v>171</v>
      </c>
      <c r="F2266" s="1" t="s">
        <v>155</v>
      </c>
    </row>
    <row r="2267">
      <c r="A2267" s="43">
        <v>46204.485224212964</v>
      </c>
      <c r="B2267" s="1" t="s">
        <v>88</v>
      </c>
      <c r="C2267" s="1" t="s">
        <v>92</v>
      </c>
    </row>
    <row r="2268">
      <c r="A2268" s="43">
        <v>46205.564565486115</v>
      </c>
      <c r="B2268" s="1" t="s">
        <v>77</v>
      </c>
      <c r="E2268" s="1" t="s">
        <v>130</v>
      </c>
      <c r="F2268" s="1" t="s">
        <v>147</v>
      </c>
    </row>
    <row r="2269">
      <c r="A2269" s="43">
        <v>46206.58310724537</v>
      </c>
      <c r="B2269" s="1" t="s">
        <v>77</v>
      </c>
      <c r="C2269" s="1" t="s">
        <v>92</v>
      </c>
      <c r="F2269" s="1" t="s">
        <v>147</v>
      </c>
    </row>
    <row r="2270">
      <c r="A2270" s="43">
        <v>46207.76911570602</v>
      </c>
      <c r="B2270" s="1" t="s">
        <v>89</v>
      </c>
      <c r="C2270" s="1" t="s">
        <v>95</v>
      </c>
      <c r="F2270" s="1" t="s">
        <v>162</v>
      </c>
    </row>
    <row r="2271">
      <c r="A2271" s="43">
        <v>46208.556627708334</v>
      </c>
      <c r="B2271" s="1" t="s">
        <v>84</v>
      </c>
      <c r="C2271" s="1" t="s">
        <v>157</v>
      </c>
      <c r="F2271" s="1" t="s">
        <v>162</v>
      </c>
      <c r="G2271" s="1" t="s">
        <v>144</v>
      </c>
    </row>
    <row r="2272">
      <c r="A2272" s="43">
        <v>46209.61817929398</v>
      </c>
      <c r="B2272" s="1" t="s">
        <v>84</v>
      </c>
      <c r="C2272" s="1" t="s">
        <v>92</v>
      </c>
      <c r="F2272" s="1" t="s">
        <v>162</v>
      </c>
    </row>
    <row r="2273">
      <c r="A2273" s="43">
        <v>46210.70784099537</v>
      </c>
      <c r="B2273" s="1" t="s">
        <v>80</v>
      </c>
      <c r="C2273" s="1" t="s">
        <v>3</v>
      </c>
      <c r="F2273" s="1" t="s">
        <v>151</v>
      </c>
    </row>
    <row r="2274">
      <c r="A2274" s="43">
        <v>46211.63366050926</v>
      </c>
      <c r="B2274" s="1" t="s">
        <v>80</v>
      </c>
      <c r="C2274" s="1" t="s">
        <v>96</v>
      </c>
      <c r="F2274" s="1" t="s">
        <v>162</v>
      </c>
    </row>
    <row r="2275">
      <c r="A2275" s="43">
        <v>46212.513936574076</v>
      </c>
      <c r="B2275" s="1" t="s">
        <v>90</v>
      </c>
      <c r="E2275" s="1" t="s">
        <v>171</v>
      </c>
      <c r="F2275" s="1" t="s">
        <v>155</v>
      </c>
    </row>
    <row r="2276">
      <c r="A2276" s="43">
        <v>46213.497179502316</v>
      </c>
      <c r="B2276" s="1" t="s">
        <v>77</v>
      </c>
      <c r="C2276" s="1" t="s">
        <v>92</v>
      </c>
      <c r="F2276" s="1" t="s">
        <v>162</v>
      </c>
    </row>
    <row r="2277">
      <c r="A2277" s="43">
        <v>46216.37396275463</v>
      </c>
      <c r="B2277" s="1" t="s">
        <v>89</v>
      </c>
      <c r="E2277" s="1" t="s">
        <v>128</v>
      </c>
      <c r="F2277" s="1" t="s">
        <v>162</v>
      </c>
    </row>
    <row r="2278">
      <c r="A2278" s="43">
        <v>46216.37439550926</v>
      </c>
      <c r="B2278" s="1" t="s">
        <v>159</v>
      </c>
      <c r="C2278" s="1" t="s">
        <v>4</v>
      </c>
      <c r="F2278" s="1" t="s">
        <v>162</v>
      </c>
    </row>
    <row r="2279">
      <c r="A2279" s="43">
        <v>46218.36467784722</v>
      </c>
      <c r="B2279" s="1" t="s">
        <v>84</v>
      </c>
      <c r="C2279" s="1" t="s">
        <v>160</v>
      </c>
      <c r="F2279" s="1" t="s">
        <v>151</v>
      </c>
    </row>
    <row r="2280">
      <c r="A2280" s="43">
        <v>46218.36548504629</v>
      </c>
      <c r="B2280" s="1" t="s">
        <v>88</v>
      </c>
      <c r="E2280" s="1" t="s">
        <v>133</v>
      </c>
      <c r="F2280" s="1" t="s">
        <v>151</v>
      </c>
    </row>
    <row r="2281">
      <c r="A2281" s="43">
        <v>46219.43312236111</v>
      </c>
      <c r="B2281" s="1" t="s">
        <v>77</v>
      </c>
      <c r="C2281" s="1" t="s">
        <v>94</v>
      </c>
      <c r="F2281" s="1" t="s">
        <v>162</v>
      </c>
    </row>
    <row r="2282">
      <c r="A2282" s="43">
        <v>46222.46561516204</v>
      </c>
      <c r="B2282" s="1" t="s">
        <v>80</v>
      </c>
      <c r="E2282" s="1" t="s">
        <v>133</v>
      </c>
      <c r="F2282" s="1" t="s">
        <v>162</v>
      </c>
    </row>
    <row r="2283">
      <c r="A2283" s="43">
        <v>46222.46616596065</v>
      </c>
      <c r="B2283" s="1" t="s">
        <v>80</v>
      </c>
      <c r="C2283" s="1" t="s">
        <v>95</v>
      </c>
      <c r="F2283" s="1" t="s">
        <v>162</v>
      </c>
    </row>
    <row r="2284">
      <c r="A2284" s="43">
        <v>46223.42466746528</v>
      </c>
      <c r="B2284" s="1" t="s">
        <v>84</v>
      </c>
      <c r="C2284" s="1" t="s">
        <v>157</v>
      </c>
      <c r="D2284" s="1" t="s">
        <v>121</v>
      </c>
      <c r="F2284" s="1" t="s">
        <v>151</v>
      </c>
    </row>
    <row r="2285">
      <c r="A2285" s="43">
        <v>46225.711916493055</v>
      </c>
      <c r="B2285" s="1" t="s">
        <v>84</v>
      </c>
      <c r="C2285" s="1" t="s">
        <v>160</v>
      </c>
      <c r="D2285" s="1" t="s">
        <v>121</v>
      </c>
      <c r="F2285" s="1" t="s">
        <v>151</v>
      </c>
    </row>
    <row r="2286">
      <c r="A2286" s="43">
        <v>46225.71227211806</v>
      </c>
      <c r="B2286" s="1" t="s">
        <v>77</v>
      </c>
      <c r="C2286" s="1" t="s">
        <v>92</v>
      </c>
      <c r="D2286" s="1" t="s">
        <v>118</v>
      </c>
      <c r="F2286" s="1" t="s">
        <v>147</v>
      </c>
    </row>
    <row r="2287">
      <c r="A2287" s="43">
        <v>46227.548561944444</v>
      </c>
      <c r="B2287" s="1" t="s">
        <v>90</v>
      </c>
      <c r="D2287" s="1" t="s">
        <v>126</v>
      </c>
      <c r="E2287" s="1" t="s">
        <v>171</v>
      </c>
      <c r="F2287" s="1" t="s">
        <v>155</v>
      </c>
    </row>
    <row r="2288">
      <c r="A2288" s="43">
        <v>46227.62554159723</v>
      </c>
      <c r="B2288" s="44" t="s">
        <v>87</v>
      </c>
      <c r="C2288" s="1" t="s">
        <v>3</v>
      </c>
    </row>
    <row r="2289">
      <c r="A2289" s="43">
        <v>46228.54858101852</v>
      </c>
      <c r="B2289" s="1" t="s">
        <v>84</v>
      </c>
      <c r="C2289" s="1" t="s">
        <v>161</v>
      </c>
      <c r="F2289" s="1" t="s">
        <v>147</v>
      </c>
    </row>
    <row r="2290">
      <c r="A2290" s="43">
        <v>46231.41747746528</v>
      </c>
      <c r="B2290" s="1" t="s">
        <v>174</v>
      </c>
      <c r="D2290" s="1" t="s">
        <v>175</v>
      </c>
      <c r="E2290" s="1" t="s">
        <v>171</v>
      </c>
      <c r="F2290" s="1" t="s">
        <v>155</v>
      </c>
    </row>
    <row r="2291">
      <c r="A2291" s="43">
        <v>46232.43035219907</v>
      </c>
      <c r="B2291" s="1" t="s">
        <v>174</v>
      </c>
      <c r="D2291" s="1" t="s">
        <v>175</v>
      </c>
      <c r="E2291" s="1" t="s">
        <v>171</v>
      </c>
      <c r="F2291" s="1" t="s">
        <v>155</v>
      </c>
    </row>
    <row r="2292">
      <c r="A2292" s="43">
        <v>46232.43255621528</v>
      </c>
      <c r="B2292" s="1" t="s">
        <v>80</v>
      </c>
      <c r="C2292" s="1" t="s">
        <v>94</v>
      </c>
      <c r="F2292" s="1" t="s">
        <v>151</v>
      </c>
    </row>
    <row r="2293">
      <c r="A2293" s="43">
        <v>46233.6416484838</v>
      </c>
      <c r="B2293" s="1" t="s">
        <v>159</v>
      </c>
      <c r="C2293" s="1" t="s">
        <v>92</v>
      </c>
      <c r="F2293" s="1" t="s">
        <v>151</v>
      </c>
    </row>
    <row r="2294">
      <c r="A2294" s="43">
        <v>46234.491552604166</v>
      </c>
      <c r="B2294" s="1" t="s">
        <v>80</v>
      </c>
      <c r="C2294" s="1" t="s">
        <v>95</v>
      </c>
      <c r="F2294" s="1" t="s">
        <v>151</v>
      </c>
    </row>
    <row r="2295">
      <c r="A2295" s="43">
        <v>46237.34522707176</v>
      </c>
      <c r="B2295" s="1" t="s">
        <v>159</v>
      </c>
      <c r="C2295" s="1" t="s">
        <v>92</v>
      </c>
      <c r="F2295" s="1" t="s">
        <v>162</v>
      </c>
    </row>
    <row r="2296">
      <c r="A2296" s="43">
        <v>46237.34580309028</v>
      </c>
      <c r="B2296" s="1" t="s">
        <v>159</v>
      </c>
      <c r="C2296" s="1" t="s">
        <v>92</v>
      </c>
      <c r="F2296" s="1" t="s">
        <v>162</v>
      </c>
    </row>
    <row r="2297">
      <c r="A2297" s="43">
        <v>46238.57627052083</v>
      </c>
      <c r="B2297" s="1" t="s">
        <v>90</v>
      </c>
      <c r="D2297" s="1" t="s">
        <v>126</v>
      </c>
      <c r="E2297" s="1" t="s">
        <v>172</v>
      </c>
      <c r="F2297" s="1" t="s">
        <v>155</v>
      </c>
    </row>
    <row r="2298">
      <c r="A2298" s="43">
        <v>46240.45114980324</v>
      </c>
      <c r="B2298" s="1" t="s">
        <v>77</v>
      </c>
      <c r="C2298" s="1" t="s">
        <v>96</v>
      </c>
      <c r="F2298" s="1" t="s">
        <v>147</v>
      </c>
    </row>
    <row r="2299">
      <c r="A2299" s="43">
        <v>46241.49957697917</v>
      </c>
      <c r="B2299" s="1" t="s">
        <v>89</v>
      </c>
      <c r="E2299" s="1" t="s">
        <v>128</v>
      </c>
      <c r="F2299" s="1" t="s">
        <v>151</v>
      </c>
    </row>
    <row r="2300">
      <c r="A2300" s="43">
        <v>46242.59439670139</v>
      </c>
      <c r="B2300" s="1" t="s">
        <v>89</v>
      </c>
      <c r="E2300" s="1" t="s">
        <v>128</v>
      </c>
    </row>
    <row r="2301">
      <c r="A2301" s="43">
        <v>46245.80653027778</v>
      </c>
      <c r="B2301" s="1" t="s">
        <v>90</v>
      </c>
      <c r="D2301" s="1" t="s">
        <v>126</v>
      </c>
      <c r="E2301" s="1" t="s">
        <v>171</v>
      </c>
      <c r="F2301" s="1" t="s">
        <v>155</v>
      </c>
    </row>
    <row r="2302">
      <c r="A2302" s="43">
        <v>46245.80736446759</v>
      </c>
      <c r="B2302" s="1" t="s">
        <v>90</v>
      </c>
      <c r="D2302" s="1" t="s">
        <v>126</v>
      </c>
      <c r="E2302" s="1" t="s">
        <v>172</v>
      </c>
      <c r="F2302" s="1" t="s">
        <v>155</v>
      </c>
    </row>
    <row r="2303">
      <c r="A2303" s="43">
        <v>46245.80881731481</v>
      </c>
      <c r="B2303" s="1" t="s">
        <v>159</v>
      </c>
      <c r="E2303" s="1" t="s">
        <v>133</v>
      </c>
    </row>
    <row r="2304">
      <c r="A2304" s="43">
        <v>46246.635859988426</v>
      </c>
      <c r="B2304" s="1" t="s">
        <v>159</v>
      </c>
      <c r="C2304" s="1" t="s">
        <v>92</v>
      </c>
      <c r="F2304" s="1" t="s">
        <v>162</v>
      </c>
    </row>
    <row r="2305">
      <c r="A2305" s="43">
        <v>46247.57455377315</v>
      </c>
      <c r="B2305" s="1" t="s">
        <v>159</v>
      </c>
      <c r="C2305" s="1" t="s">
        <v>92</v>
      </c>
      <c r="F2305" s="1" t="s">
        <v>162</v>
      </c>
    </row>
    <row r="2306">
      <c r="A2306" s="43">
        <v>46248.59428650463</v>
      </c>
      <c r="B2306" s="1" t="s">
        <v>80</v>
      </c>
      <c r="C2306" s="1" t="s">
        <v>157</v>
      </c>
      <c r="F2306" s="1" t="s">
        <v>162</v>
      </c>
    </row>
    <row r="2307">
      <c r="A2307" s="43">
        <v>46249.66412681713</v>
      </c>
      <c r="B2307" s="1" t="s">
        <v>80</v>
      </c>
      <c r="E2307" s="1" t="s">
        <v>133</v>
      </c>
      <c r="F2307" s="1" t="s">
        <v>162</v>
      </c>
    </row>
    <row r="2308">
      <c r="A2308" s="43">
        <v>46250.442974652775</v>
      </c>
      <c r="B2308" s="1" t="s">
        <v>159</v>
      </c>
      <c r="C2308" s="1" t="s">
        <v>92</v>
      </c>
    </row>
    <row r="2309">
      <c r="A2309" s="43">
        <v>46252.88854909722</v>
      </c>
      <c r="B2309" s="1" t="s">
        <v>77</v>
      </c>
      <c r="D2309" s="1" t="s">
        <v>120</v>
      </c>
      <c r="F2309" s="1" t="s">
        <v>147</v>
      </c>
    </row>
    <row r="2310">
      <c r="A2310" s="43">
        <v>46252.888695648144</v>
      </c>
      <c r="B2310" s="1" t="s">
        <v>77</v>
      </c>
      <c r="C2310" s="1" t="s">
        <v>92</v>
      </c>
      <c r="D2310" s="1" t="s">
        <v>125</v>
      </c>
      <c r="F2310" s="1" t="s">
        <v>147</v>
      </c>
    </row>
    <row r="2311">
      <c r="A2311" s="43">
        <v>46253.603627731485</v>
      </c>
      <c r="B2311" s="1" t="s">
        <v>77</v>
      </c>
      <c r="C2311" s="1" t="s">
        <v>92</v>
      </c>
      <c r="D2311" s="1" t="s">
        <v>125</v>
      </c>
      <c r="F2311" s="1" t="s">
        <v>147</v>
      </c>
    </row>
    <row r="2312">
      <c r="A2312" s="43">
        <v>46254.5566421875</v>
      </c>
      <c r="B2312" s="1" t="s">
        <v>174</v>
      </c>
      <c r="D2312" s="1" t="s">
        <v>175</v>
      </c>
      <c r="E2312" s="1" t="s">
        <v>171</v>
      </c>
      <c r="F2312" s="1" t="s">
        <v>155</v>
      </c>
    </row>
    <row r="2313">
      <c r="A2313" s="43">
        <v>46255.566972835644</v>
      </c>
      <c r="B2313" s="1" t="s">
        <v>77</v>
      </c>
      <c r="D2313" s="1" t="s">
        <v>120</v>
      </c>
      <c r="F2313" s="1" t="s">
        <v>147</v>
      </c>
    </row>
    <row r="2314">
      <c r="A2314" s="43">
        <v>46256.78459851852</v>
      </c>
      <c r="B2314" s="1" t="s">
        <v>84</v>
      </c>
      <c r="C2314" s="1" t="s">
        <v>95</v>
      </c>
      <c r="F2314" s="1" t="s">
        <v>151</v>
      </c>
      <c r="G2314" s="1" t="s">
        <v>144</v>
      </c>
    </row>
    <row r="2315">
      <c r="A2315" s="43">
        <v>46257.83501444444</v>
      </c>
      <c r="B2315" s="1" t="s">
        <v>84</v>
      </c>
      <c r="C2315" s="1" t="s">
        <v>95</v>
      </c>
      <c r="F2315" s="1" t="s">
        <v>151</v>
      </c>
      <c r="G2315" s="1" t="s">
        <v>144</v>
      </c>
    </row>
    <row r="2316">
      <c r="A2316" s="43">
        <v>46258.66550070602</v>
      </c>
      <c r="B2316" s="1" t="s">
        <v>77</v>
      </c>
      <c r="C2316" s="1" t="s">
        <v>92</v>
      </c>
      <c r="D2316" s="1" t="s">
        <v>118</v>
      </c>
      <c r="F2316" s="1" t="s">
        <v>147</v>
      </c>
    </row>
    <row r="2317">
      <c r="A2317" s="43">
        <v>46261.36468060185</v>
      </c>
      <c r="B2317" s="1" t="s">
        <v>1</v>
      </c>
      <c r="C2317" s="1" t="s">
        <v>92</v>
      </c>
      <c r="D2317" s="1" t="s">
        <v>117</v>
      </c>
      <c r="F2317" s="1" t="s">
        <v>151</v>
      </c>
    </row>
    <row r="2318">
      <c r="A2318" s="43">
        <v>46261.365042777776</v>
      </c>
      <c r="B2318" s="1" t="s">
        <v>174</v>
      </c>
      <c r="D2318" s="1" t="s">
        <v>175</v>
      </c>
      <c r="E2318" s="1" t="s">
        <v>172</v>
      </c>
      <c r="F2318" s="1" t="s">
        <v>155</v>
      </c>
    </row>
    <row r="2319">
      <c r="A2319" s="43">
        <v>46262.452061724536</v>
      </c>
      <c r="B2319" s="1" t="s">
        <v>84</v>
      </c>
      <c r="C2319" s="1" t="s">
        <v>92</v>
      </c>
      <c r="D2319" s="1" t="s">
        <v>118</v>
      </c>
      <c r="F2319" s="1" t="s">
        <v>151</v>
      </c>
    </row>
    <row r="2320">
      <c r="A2320" s="43">
        <v>46265.75793912037</v>
      </c>
      <c r="B2320" s="1" t="s">
        <v>77</v>
      </c>
      <c r="C2320" s="1" t="s">
        <v>92</v>
      </c>
      <c r="D2320" s="1" t="s">
        <v>117</v>
      </c>
      <c r="F2320" s="1" t="s">
        <v>162</v>
      </c>
    </row>
    <row r="2321">
      <c r="A2321" s="43">
        <v>46265.758683148146</v>
      </c>
      <c r="B2321" s="1" t="s">
        <v>77</v>
      </c>
      <c r="D2321" s="1" t="s">
        <v>120</v>
      </c>
      <c r="F2321" s="1" t="s">
        <v>162</v>
      </c>
      <c r="G2321" s="1" t="s">
        <v>144</v>
      </c>
    </row>
    <row r="2322">
      <c r="A2322" s="43">
        <v>46265.75924811343</v>
      </c>
      <c r="B2322" s="1" t="s">
        <v>1</v>
      </c>
      <c r="C2322" s="1" t="s">
        <v>92</v>
      </c>
      <c r="D2322" s="1" t="s">
        <v>125</v>
      </c>
      <c r="F2322" s="1" t="s">
        <v>162</v>
      </c>
    </row>
    <row r="2323">
      <c r="A2323" s="43">
        <v>46266.42388582176</v>
      </c>
      <c r="B2323" s="1" t="s">
        <v>174</v>
      </c>
      <c r="D2323" s="1" t="s">
        <v>175</v>
      </c>
      <c r="E2323" s="1" t="s">
        <v>171</v>
      </c>
      <c r="F2323" s="1" t="s">
        <v>155</v>
      </c>
    </row>
    <row r="2324">
      <c r="A2324" s="43">
        <v>46268.46407495371</v>
      </c>
      <c r="B2324" s="1" t="s">
        <v>84</v>
      </c>
      <c r="C2324" s="1" t="s">
        <v>161</v>
      </c>
      <c r="D2324" s="1" t="s">
        <v>118</v>
      </c>
      <c r="F2324" s="1" t="s">
        <v>151</v>
      </c>
    </row>
    <row r="2325">
      <c r="A2325" s="43">
        <v>46268.4645193287</v>
      </c>
      <c r="B2325" s="1" t="s">
        <v>84</v>
      </c>
      <c r="C2325" s="1" t="s">
        <v>161</v>
      </c>
      <c r="D2325" s="1" t="s">
        <v>118</v>
      </c>
      <c r="F2325" s="1" t="s">
        <v>151</v>
      </c>
    </row>
    <row r="2326">
      <c r="A2326" s="43">
        <v>46269.41743771991</v>
      </c>
      <c r="B2326" s="1" t="s">
        <v>80</v>
      </c>
      <c r="C2326" s="1" t="s">
        <v>96</v>
      </c>
      <c r="D2326" s="1" t="s">
        <v>158</v>
      </c>
      <c r="F2326" s="1" t="s">
        <v>151</v>
      </c>
    </row>
    <row r="2327">
      <c r="A2327" s="43">
        <v>46272.71419024306</v>
      </c>
      <c r="B2327" s="1" t="s">
        <v>80</v>
      </c>
      <c r="C2327" s="1" t="s">
        <v>92</v>
      </c>
      <c r="F2327" s="1" t="s">
        <v>151</v>
      </c>
      <c r="G2327" s="1" t="s">
        <v>144</v>
      </c>
    </row>
    <row r="2328">
      <c r="A2328" s="43">
        <v>46272.71507386574</v>
      </c>
      <c r="B2328" s="1" t="s">
        <v>80</v>
      </c>
      <c r="C2328" s="1" t="s">
        <v>92</v>
      </c>
      <c r="F2328" s="1" t="s">
        <v>151</v>
      </c>
      <c r="G2328" s="1" t="s">
        <v>144</v>
      </c>
    </row>
    <row r="2329">
      <c r="A2329" s="43">
        <v>46274.64524802083</v>
      </c>
      <c r="B2329" s="1" t="s">
        <v>84</v>
      </c>
      <c r="C2329" s="1" t="s">
        <v>92</v>
      </c>
      <c r="F2329" s="1" t="s">
        <v>151</v>
      </c>
    </row>
    <row r="2330">
      <c r="A2330" s="43">
        <v>46274.645658912035</v>
      </c>
      <c r="B2330" s="1" t="s">
        <v>80</v>
      </c>
      <c r="C2330" s="1" t="s">
        <v>161</v>
      </c>
      <c r="F2330" s="1" t="s">
        <v>162</v>
      </c>
    </row>
    <row r="2331">
      <c r="A2331" s="43">
        <v>46275.43348828703</v>
      </c>
      <c r="B2331" s="1" t="s">
        <v>77</v>
      </c>
      <c r="C2331" s="1" t="s">
        <v>92</v>
      </c>
      <c r="D2331" s="1" t="s">
        <v>107</v>
      </c>
      <c r="F2331" s="1" t="s">
        <v>162</v>
      </c>
      <c r="G2331" s="1" t="s">
        <v>142</v>
      </c>
    </row>
    <row r="2332">
      <c r="A2332" s="43">
        <v>46276.57109118055</v>
      </c>
      <c r="B2332" s="1" t="s">
        <v>159</v>
      </c>
      <c r="C2332" s="1" t="s">
        <v>92</v>
      </c>
      <c r="D2332" s="1" t="s">
        <v>117</v>
      </c>
      <c r="F2332" s="1" t="s">
        <v>162</v>
      </c>
      <c r="G2332" s="1" t="s">
        <v>142</v>
      </c>
    </row>
    <row r="2333">
      <c r="A2333" s="43">
        <v>46278.48101315972</v>
      </c>
      <c r="B2333" s="1" t="s">
        <v>159</v>
      </c>
      <c r="C2333" s="1" t="s">
        <v>95</v>
      </c>
      <c r="F2333" s="1" t="s">
        <v>162</v>
      </c>
    </row>
    <row r="2334">
      <c r="A2334" s="43">
        <v>46278.48238444445</v>
      </c>
      <c r="B2334" s="1" t="s">
        <v>89</v>
      </c>
      <c r="E2334" s="1" t="s">
        <v>128</v>
      </c>
      <c r="F2334" s="1" t="s">
        <v>162</v>
      </c>
    </row>
    <row r="2335">
      <c r="A2335" s="43">
        <v>46280.81546547454</v>
      </c>
      <c r="B2335" s="1" t="s">
        <v>1</v>
      </c>
      <c r="C2335" s="1" t="s">
        <v>92</v>
      </c>
      <c r="D2335" s="1" t="s">
        <v>118</v>
      </c>
      <c r="F2335" s="1" t="s">
        <v>147</v>
      </c>
      <c r="G2335" s="1" t="s">
        <v>142</v>
      </c>
    </row>
    <row r="2336">
      <c r="A2336" s="43">
        <v>46281.812264328706</v>
      </c>
      <c r="B2336" s="1" t="s">
        <v>174</v>
      </c>
      <c r="D2336" s="1" t="s">
        <v>175</v>
      </c>
      <c r="E2336" s="1" t="s">
        <v>171</v>
      </c>
      <c r="F2336" s="1" t="s">
        <v>155</v>
      </c>
    </row>
    <row r="2337">
      <c r="A2337" s="43">
        <v>46286.43899381944</v>
      </c>
      <c r="B2337" s="1" t="s">
        <v>174</v>
      </c>
      <c r="D2337" s="1" t="s">
        <v>175</v>
      </c>
      <c r="E2337" s="1" t="s">
        <v>172</v>
      </c>
      <c r="F2337" s="1" t="s">
        <v>155</v>
      </c>
    </row>
    <row r="2338">
      <c r="A2338" s="43">
        <v>46287.45103444444</v>
      </c>
      <c r="B2338" s="1" t="s">
        <v>77</v>
      </c>
      <c r="C2338" s="1" t="s">
        <v>92</v>
      </c>
      <c r="D2338" s="1" t="s">
        <v>119</v>
      </c>
      <c r="F2338" s="1" t="s">
        <v>151</v>
      </c>
    </row>
    <row r="2339">
      <c r="A2339" s="43">
        <v>46288.528306875</v>
      </c>
      <c r="B2339" s="1" t="s">
        <v>90</v>
      </c>
      <c r="D2339" s="1" t="s">
        <v>126</v>
      </c>
      <c r="E2339" s="1" t="s">
        <v>171</v>
      </c>
      <c r="F2339" s="1" t="s">
        <v>155</v>
      </c>
    </row>
    <row r="2340">
      <c r="A2340" s="43">
        <v>46289.47231402778</v>
      </c>
      <c r="B2340" s="44" t="s">
        <v>87</v>
      </c>
      <c r="C2340" s="1" t="s">
        <v>157</v>
      </c>
      <c r="D2340" s="1" t="s">
        <v>117</v>
      </c>
    </row>
    <row r="2341">
      <c r="A2341" s="43">
        <v>46290.4206931713</v>
      </c>
      <c r="B2341" s="1" t="s">
        <v>77</v>
      </c>
      <c r="C2341" s="1" t="s">
        <v>92</v>
      </c>
      <c r="D2341" s="1" t="s">
        <v>117</v>
      </c>
      <c r="F2341" s="1" t="s">
        <v>147</v>
      </c>
    </row>
    <row r="2342">
      <c r="A2342" s="43">
        <v>46293.41697435185</v>
      </c>
      <c r="B2342" s="1" t="s">
        <v>174</v>
      </c>
      <c r="D2342" s="1" t="s">
        <v>175</v>
      </c>
      <c r="E2342" s="1" t="s">
        <v>171</v>
      </c>
      <c r="F2342" s="1" t="s">
        <v>155</v>
      </c>
    </row>
    <row r="2343">
      <c r="A2343" s="43">
        <v>46297.86397273148</v>
      </c>
      <c r="B2343" s="1" t="s">
        <v>174</v>
      </c>
      <c r="D2343" s="1" t="s">
        <v>175</v>
      </c>
      <c r="E2343" s="1" t="s">
        <v>171</v>
      </c>
      <c r="F2343" s="1" t="s">
        <v>155</v>
      </c>
    </row>
    <row r="2344">
      <c r="A2344" s="43">
        <v>46297.86507623843</v>
      </c>
      <c r="B2344" s="1" t="s">
        <v>77</v>
      </c>
      <c r="C2344" s="1" t="s">
        <v>161</v>
      </c>
      <c r="D2344" s="1" t="s">
        <v>119</v>
      </c>
      <c r="F2344" s="1" t="s">
        <v>147</v>
      </c>
      <c r="G2344" s="1" t="s">
        <v>142</v>
      </c>
    </row>
    <row r="2345">
      <c r="A2345" s="43">
        <v>46299.689769641205</v>
      </c>
      <c r="B2345" s="1" t="s">
        <v>77</v>
      </c>
      <c r="C2345" s="1" t="s">
        <v>91</v>
      </c>
      <c r="D2345" s="1" t="s">
        <v>125</v>
      </c>
      <c r="F2345" s="1" t="s">
        <v>147</v>
      </c>
    </row>
    <row r="2346">
      <c r="A2346" s="43">
        <v>46300.608840891204</v>
      </c>
      <c r="B2346" s="1" t="s">
        <v>90</v>
      </c>
      <c r="D2346" s="1" t="s">
        <v>126</v>
      </c>
      <c r="E2346" s="1" t="s">
        <v>171</v>
      </c>
      <c r="F2346" s="1" t="s">
        <v>155</v>
      </c>
    </row>
    <row r="2347">
      <c r="A2347" s="43">
        <v>46301.682647118054</v>
      </c>
      <c r="B2347" s="1" t="s">
        <v>174</v>
      </c>
      <c r="D2347" s="1" t="s">
        <v>175</v>
      </c>
      <c r="E2347" s="1" t="s">
        <v>171</v>
      </c>
      <c r="F2347" s="1" t="s">
        <v>155</v>
      </c>
    </row>
    <row r="2348">
      <c r="A2348" s="43">
        <v>46302.590004247686</v>
      </c>
      <c r="B2348" s="1" t="s">
        <v>90</v>
      </c>
      <c r="D2348" s="1" t="s">
        <v>126</v>
      </c>
      <c r="E2348" s="1" t="s">
        <v>172</v>
      </c>
      <c r="F2348" s="1" t="s">
        <v>155</v>
      </c>
    </row>
    <row r="2349">
      <c r="A2349" s="43">
        <v>46303.64456752315</v>
      </c>
      <c r="B2349" s="1" t="s">
        <v>174</v>
      </c>
      <c r="D2349" s="1" t="s">
        <v>175</v>
      </c>
      <c r="E2349" s="1" t="s">
        <v>171</v>
      </c>
      <c r="F2349" s="1" t="s">
        <v>155</v>
      </c>
    </row>
    <row r="2350">
      <c r="A2350" s="43">
        <v>46304.490383553246</v>
      </c>
      <c r="B2350" s="1" t="s">
        <v>77</v>
      </c>
      <c r="C2350" s="1" t="s">
        <v>157</v>
      </c>
      <c r="D2350" s="1" t="s">
        <v>120</v>
      </c>
      <c r="F2350" s="1" t="s">
        <v>147</v>
      </c>
      <c r="G2350" s="1" t="s">
        <v>142</v>
      </c>
    </row>
    <row r="2351">
      <c r="A2351" s="43">
        <v>46305.42459859954</v>
      </c>
      <c r="B2351" s="1" t="s">
        <v>77</v>
      </c>
      <c r="C2351" s="1" t="s">
        <v>92</v>
      </c>
      <c r="D2351" s="1" t="s">
        <v>120</v>
      </c>
      <c r="F2351" s="1" t="s">
        <v>147</v>
      </c>
      <c r="G2351" s="1" t="s">
        <v>142</v>
      </c>
    </row>
    <row r="2352">
      <c r="A2352" s="43">
        <v>46307.52635678241</v>
      </c>
      <c r="B2352" s="1" t="s">
        <v>174</v>
      </c>
      <c r="D2352" s="1" t="s">
        <v>175</v>
      </c>
      <c r="E2352" s="1" t="s">
        <v>171</v>
      </c>
      <c r="F2352" s="1" t="s">
        <v>155</v>
      </c>
      <c r="G2352" s="1" t="s">
        <v>142</v>
      </c>
    </row>
    <row r="2353">
      <c r="A2353" s="43">
        <v>46307.526756701394</v>
      </c>
      <c r="B2353" s="1" t="s">
        <v>77</v>
      </c>
      <c r="C2353" s="1" t="s">
        <v>91</v>
      </c>
      <c r="D2353" s="1" t="s">
        <v>117</v>
      </c>
      <c r="F2353" s="1" t="s">
        <v>155</v>
      </c>
      <c r="G2353" s="1" t="s">
        <v>142</v>
      </c>
    </row>
    <row r="2354">
      <c r="A2354" s="39"/>
    </row>
    <row r="2355">
      <c r="A2355" s="39"/>
    </row>
    <row r="2356">
      <c r="A2356" s="39"/>
    </row>
    <row r="2357">
      <c r="A2357" s="39"/>
    </row>
    <row r="2358">
      <c r="A2358" s="39"/>
    </row>
    <row r="2359">
      <c r="A2359" s="39"/>
    </row>
    <row r="2360">
      <c r="A2360" s="39"/>
    </row>
    <row r="2361">
      <c r="A2361" s="39"/>
    </row>
    <row r="2362">
      <c r="A2362" s="39"/>
    </row>
    <row r="2363">
      <c r="A2363" s="39"/>
    </row>
    <row r="2364">
      <c r="A2364" s="39"/>
    </row>
    <row r="2365">
      <c r="A2365" s="39"/>
    </row>
    <row r="2366">
      <c r="A2366" s="39"/>
    </row>
    <row r="2367">
      <c r="A2367" s="39"/>
    </row>
    <row r="2368">
      <c r="A2368" s="39"/>
    </row>
    <row r="2369">
      <c r="A2369" s="39"/>
    </row>
    <row r="2370">
      <c r="A2370" s="39"/>
    </row>
    <row r="2371">
      <c r="A2371" s="39"/>
    </row>
    <row r="2372">
      <c r="A2372" s="39"/>
    </row>
    <row r="2373">
      <c r="A2373" s="39"/>
    </row>
    <row r="2374">
      <c r="A2374" s="39"/>
    </row>
    <row r="2375">
      <c r="A2375" s="39"/>
    </row>
    <row r="2376">
      <c r="A2376" s="39"/>
    </row>
    <row r="2377">
      <c r="A2377" s="39"/>
    </row>
    <row r="2378">
      <c r="A2378" s="39"/>
    </row>
    <row r="2379">
      <c r="A2379" s="39"/>
    </row>
    <row r="2380">
      <c r="A2380" s="39"/>
    </row>
    <row r="2381">
      <c r="A2381" s="39"/>
    </row>
    <row r="2382">
      <c r="A2382" s="39"/>
    </row>
    <row r="2383">
      <c r="A2383" s="39"/>
    </row>
    <row r="2384">
      <c r="A2384" s="39"/>
    </row>
    <row r="2385">
      <c r="A2385" s="39"/>
    </row>
    <row r="2386">
      <c r="A2386" s="39"/>
    </row>
    <row r="2387">
      <c r="A2387" s="39"/>
    </row>
    <row r="2388">
      <c r="A2388" s="39"/>
    </row>
    <row r="2389">
      <c r="A2389" s="39"/>
    </row>
    <row r="2390">
      <c r="A2390" s="39"/>
    </row>
    <row r="2391">
      <c r="A2391" s="39"/>
    </row>
    <row r="2392">
      <c r="A2392" s="39"/>
    </row>
    <row r="2393">
      <c r="A2393" s="39"/>
    </row>
    <row r="2394">
      <c r="A2394" s="39"/>
    </row>
    <row r="2395">
      <c r="A2395" s="39"/>
    </row>
    <row r="2396">
      <c r="A2396" s="39"/>
    </row>
    <row r="2397">
      <c r="A2397" s="39"/>
    </row>
    <row r="2398">
      <c r="A2398" s="39"/>
    </row>
    <row r="2399">
      <c r="A2399" s="39"/>
    </row>
    <row r="2400">
      <c r="A2400" s="39"/>
    </row>
    <row r="2401">
      <c r="A2401" s="39"/>
    </row>
    <row r="2402">
      <c r="A2402" s="39"/>
    </row>
    <row r="2403">
      <c r="A2403" s="39"/>
    </row>
    <row r="2404">
      <c r="A2404" s="39"/>
    </row>
    <row r="2405">
      <c r="A2405" s="39"/>
    </row>
    <row r="2406">
      <c r="A2406" s="39"/>
    </row>
    <row r="2407">
      <c r="A2407" s="39"/>
    </row>
    <row r="2408">
      <c r="A2408" s="39"/>
    </row>
    <row r="2409">
      <c r="A2409" s="39"/>
    </row>
    <row r="2410">
      <c r="A2410" s="39"/>
    </row>
    <row r="2411">
      <c r="A2411" s="39"/>
    </row>
    <row r="2412">
      <c r="A2412" s="39"/>
    </row>
    <row r="2413">
      <c r="A2413" s="39"/>
    </row>
    <row r="2414">
      <c r="A2414" s="39"/>
    </row>
    <row r="2415">
      <c r="A2415" s="39"/>
    </row>
    <row r="2416">
      <c r="A2416" s="39"/>
    </row>
    <row r="2417">
      <c r="A2417" s="39"/>
    </row>
    <row r="2418">
      <c r="A2418" s="39"/>
    </row>
    <row r="2419">
      <c r="A2419" s="39"/>
    </row>
    <row r="2420">
      <c r="A2420" s="39"/>
    </row>
    <row r="2421">
      <c r="A2421" s="39"/>
    </row>
    <row r="2422">
      <c r="A2422" s="39"/>
    </row>
    <row r="2423">
      <c r="A2423" s="39"/>
    </row>
    <row r="2424">
      <c r="A2424" s="39"/>
    </row>
    <row r="2425">
      <c r="A2425" s="39"/>
    </row>
    <row r="2426">
      <c r="A2426" s="39"/>
    </row>
    <row r="2427">
      <c r="A2427" s="39"/>
    </row>
    <row r="2428">
      <c r="A2428" s="39"/>
    </row>
    <row r="2429">
      <c r="A2429" s="39"/>
    </row>
    <row r="2430">
      <c r="A2430" s="39"/>
    </row>
    <row r="2431">
      <c r="A2431" s="39"/>
    </row>
    <row r="2432">
      <c r="A2432" s="39"/>
    </row>
    <row r="2433">
      <c r="A2433" s="39"/>
    </row>
    <row r="2434">
      <c r="A2434" s="39"/>
    </row>
    <row r="2435">
      <c r="A2435" s="39"/>
    </row>
    <row r="2436">
      <c r="A2436" s="39"/>
    </row>
    <row r="2437">
      <c r="A2437" s="39"/>
    </row>
    <row r="2438">
      <c r="A2438" s="39"/>
    </row>
    <row r="2439">
      <c r="A2439" s="39"/>
    </row>
    <row r="2440">
      <c r="A2440" s="39"/>
    </row>
    <row r="2441">
      <c r="A2441" s="39"/>
    </row>
    <row r="2442">
      <c r="A2442" s="39"/>
    </row>
    <row r="2443">
      <c r="A2443" s="39"/>
    </row>
    <row r="2444">
      <c r="A2444" s="39"/>
    </row>
    <row r="2445">
      <c r="A2445" s="39"/>
    </row>
    <row r="2446">
      <c r="A2446" s="39"/>
    </row>
    <row r="2447">
      <c r="A2447" s="39"/>
    </row>
    <row r="2448">
      <c r="A2448" s="39"/>
    </row>
    <row r="2449">
      <c r="A2449" s="39"/>
    </row>
    <row r="2450">
      <c r="A2450" s="39"/>
    </row>
    <row r="2451">
      <c r="A2451" s="39"/>
    </row>
  </sheetData>
  <drawing r:id="rId1"/>
</worksheet>
</file>